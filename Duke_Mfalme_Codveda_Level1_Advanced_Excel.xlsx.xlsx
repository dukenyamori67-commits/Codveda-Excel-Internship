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4f3b1ed3f2b272/Desktop/Codveda Internship/My solutions/"/>
    </mc:Choice>
  </mc:AlternateContent>
  <xr:revisionPtr revIDLastSave="6" documentId="13_ncr:1_{6F39DE40-2102-4893-925D-0B11519B2A25}" xr6:coauthVersionLast="47" xr6:coauthVersionMax="47" xr10:uidLastSave="{6F489B62-7B6F-4618-8015-45FAF37B37AC}"/>
  <bookViews>
    <workbookView xWindow="20370" yWindow="-120" windowWidth="19440" windowHeight="14880" firstSheet="4" activeTab="6" xr2:uid="{1C4AFEF5-DFCD-4AA6-B3B7-F344C5F546DF}"/>
  </bookViews>
  <sheets>
    <sheet name="Raw Data" sheetId="1" r:id="rId1"/>
    <sheet name="Task 1 - Logical Functions" sheetId="2" r:id="rId2"/>
    <sheet name="Task 1 - Error &amp; Special Funcs" sheetId="3" r:id="rId3"/>
    <sheet name="Task 2 - Lookup Functions" sheetId="5" r:id="rId4"/>
    <sheet name="Task 2 - Dynamic Reference" sheetId="6" r:id="rId5"/>
    <sheet name="Sheet1" sheetId="7" r:id="rId6"/>
    <sheet name="Summary &amp; Documentation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2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F3" i="6"/>
  <c r="E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360" i="6"/>
  <c r="F508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3" i="6"/>
  <c r="F504" i="6"/>
  <c r="F505" i="6"/>
  <c r="F506" i="6"/>
  <c r="F507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3" i="6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B4" i="5"/>
  <c r="B5" i="5"/>
  <c r="B6" i="5"/>
  <c r="B7" i="5"/>
  <c r="E7" i="5" s="1"/>
  <c r="B8" i="5"/>
  <c r="B9" i="5"/>
  <c r="E9" i="5" s="1"/>
  <c r="B10" i="5"/>
  <c r="B11" i="5"/>
  <c r="E11" i="5" s="1"/>
  <c r="B12" i="5"/>
  <c r="B13" i="5"/>
  <c r="E13" i="5" s="1"/>
  <c r="B14" i="5"/>
  <c r="B15" i="5"/>
  <c r="E15" i="5" s="1"/>
  <c r="B16" i="5"/>
  <c r="B17" i="5"/>
  <c r="E17" i="5" s="1"/>
  <c r="B18" i="5"/>
  <c r="B19" i="5"/>
  <c r="E19" i="5" s="1"/>
  <c r="B20" i="5"/>
  <c r="B21" i="5"/>
  <c r="E21" i="5" s="1"/>
  <c r="B22" i="5"/>
  <c r="B23" i="5"/>
  <c r="E23" i="5" s="1"/>
  <c r="B24" i="5"/>
  <c r="B25" i="5"/>
  <c r="E25" i="5" s="1"/>
  <c r="B26" i="5"/>
  <c r="B27" i="5"/>
  <c r="E27" i="5" s="1"/>
  <c r="B28" i="5"/>
  <c r="B29" i="5"/>
  <c r="E29" i="5" s="1"/>
  <c r="B30" i="5"/>
  <c r="B31" i="5"/>
  <c r="E31" i="5" s="1"/>
  <c r="B32" i="5"/>
  <c r="B33" i="5"/>
  <c r="E33" i="5" s="1"/>
  <c r="B34" i="5"/>
  <c r="B35" i="5"/>
  <c r="E35" i="5" s="1"/>
  <c r="B36" i="5"/>
  <c r="B37" i="5"/>
  <c r="E37" i="5" s="1"/>
  <c r="B38" i="5"/>
  <c r="B39" i="5"/>
  <c r="E39" i="5" s="1"/>
  <c r="B40" i="5"/>
  <c r="B41" i="5"/>
  <c r="E41" i="5" s="1"/>
  <c r="B42" i="5"/>
  <c r="B43" i="5"/>
  <c r="E43" i="5" s="1"/>
  <c r="B44" i="5"/>
  <c r="B45" i="5"/>
  <c r="E45" i="5" s="1"/>
  <c r="B46" i="5"/>
  <c r="B47" i="5"/>
  <c r="E47" i="5" s="1"/>
  <c r="B48" i="5"/>
  <c r="B49" i="5"/>
  <c r="E49" i="5" s="1"/>
  <c r="B50" i="5"/>
  <c r="B51" i="5"/>
  <c r="E51" i="5" s="1"/>
  <c r="B52" i="5"/>
  <c r="B53" i="5"/>
  <c r="E53" i="5" s="1"/>
  <c r="B54" i="5"/>
  <c r="B55" i="5"/>
  <c r="E55" i="5" s="1"/>
  <c r="B56" i="5"/>
  <c r="B57" i="5"/>
  <c r="E57" i="5" s="1"/>
  <c r="B58" i="5"/>
  <c r="B59" i="5"/>
  <c r="E59" i="5" s="1"/>
  <c r="B60" i="5"/>
  <c r="B61" i="5"/>
  <c r="E61" i="5" s="1"/>
  <c r="B62" i="5"/>
  <c r="B63" i="5"/>
  <c r="E63" i="5" s="1"/>
  <c r="B64" i="5"/>
  <c r="B65" i="5"/>
  <c r="E65" i="5" s="1"/>
  <c r="B66" i="5"/>
  <c r="B67" i="5"/>
  <c r="E67" i="5" s="1"/>
  <c r="B68" i="5"/>
  <c r="B69" i="5"/>
  <c r="E69" i="5" s="1"/>
  <c r="B70" i="5"/>
  <c r="B71" i="5"/>
  <c r="E71" i="5" s="1"/>
  <c r="B72" i="5"/>
  <c r="B73" i="5"/>
  <c r="E73" i="5" s="1"/>
  <c r="B74" i="5"/>
  <c r="B75" i="5"/>
  <c r="E75" i="5" s="1"/>
  <c r="B76" i="5"/>
  <c r="B77" i="5"/>
  <c r="E77" i="5" s="1"/>
  <c r="B78" i="5"/>
  <c r="B79" i="5"/>
  <c r="E79" i="5" s="1"/>
  <c r="B80" i="5"/>
  <c r="B81" i="5"/>
  <c r="E81" i="5" s="1"/>
  <c r="B82" i="5"/>
  <c r="B83" i="5"/>
  <c r="E83" i="5" s="1"/>
  <c r="B84" i="5"/>
  <c r="B85" i="5"/>
  <c r="E85" i="5" s="1"/>
  <c r="B86" i="5"/>
  <c r="B87" i="5"/>
  <c r="E87" i="5" s="1"/>
  <c r="B88" i="5"/>
  <c r="B89" i="5"/>
  <c r="E89" i="5" s="1"/>
  <c r="B90" i="5"/>
  <c r="B91" i="5"/>
  <c r="E91" i="5" s="1"/>
  <c r="B92" i="5"/>
  <c r="B93" i="5"/>
  <c r="E93" i="5" s="1"/>
  <c r="B94" i="5"/>
  <c r="B95" i="5"/>
  <c r="E95" i="5" s="1"/>
  <c r="B96" i="5"/>
  <c r="B97" i="5"/>
  <c r="E97" i="5" s="1"/>
  <c r="B98" i="5"/>
  <c r="B99" i="5"/>
  <c r="E99" i="5" s="1"/>
  <c r="B100" i="5"/>
  <c r="B101" i="5"/>
  <c r="E101" i="5" s="1"/>
  <c r="B102" i="5"/>
  <c r="B103" i="5"/>
  <c r="E103" i="5" s="1"/>
  <c r="B104" i="5"/>
  <c r="B105" i="5"/>
  <c r="E105" i="5" s="1"/>
  <c r="B106" i="5"/>
  <c r="B107" i="5"/>
  <c r="E107" i="5" s="1"/>
  <c r="B108" i="5"/>
  <c r="B109" i="5"/>
  <c r="E109" i="5" s="1"/>
  <c r="B110" i="5"/>
  <c r="B111" i="5"/>
  <c r="E111" i="5" s="1"/>
  <c r="B112" i="5"/>
  <c r="B113" i="5"/>
  <c r="E113" i="5" s="1"/>
  <c r="B114" i="5"/>
  <c r="B115" i="5"/>
  <c r="E115" i="5" s="1"/>
  <c r="B116" i="5"/>
  <c r="B117" i="5"/>
  <c r="E117" i="5" s="1"/>
  <c r="B118" i="5"/>
  <c r="B119" i="5"/>
  <c r="E119" i="5" s="1"/>
  <c r="B120" i="5"/>
  <c r="B121" i="5"/>
  <c r="E121" i="5" s="1"/>
  <c r="B122" i="5"/>
  <c r="B123" i="5"/>
  <c r="E123" i="5" s="1"/>
  <c r="B124" i="5"/>
  <c r="B125" i="5"/>
  <c r="E125" i="5" s="1"/>
  <c r="B126" i="5"/>
  <c r="B127" i="5"/>
  <c r="E127" i="5" s="1"/>
  <c r="B128" i="5"/>
  <c r="B129" i="5"/>
  <c r="E129" i="5" s="1"/>
  <c r="B130" i="5"/>
  <c r="B131" i="5"/>
  <c r="E131" i="5" s="1"/>
  <c r="B132" i="5"/>
  <c r="B133" i="5"/>
  <c r="E133" i="5" s="1"/>
  <c r="B134" i="5"/>
  <c r="B135" i="5"/>
  <c r="E135" i="5" s="1"/>
  <c r="B136" i="5"/>
  <c r="B137" i="5"/>
  <c r="E137" i="5" s="1"/>
  <c r="B138" i="5"/>
  <c r="B139" i="5"/>
  <c r="E139" i="5" s="1"/>
  <c r="B140" i="5"/>
  <c r="B141" i="5"/>
  <c r="E141" i="5" s="1"/>
  <c r="B142" i="5"/>
  <c r="B143" i="5"/>
  <c r="E143" i="5" s="1"/>
  <c r="B144" i="5"/>
  <c r="B145" i="5"/>
  <c r="E145" i="5" s="1"/>
  <c r="B146" i="5"/>
  <c r="B147" i="5"/>
  <c r="E147" i="5" s="1"/>
  <c r="B148" i="5"/>
  <c r="B149" i="5"/>
  <c r="E149" i="5" s="1"/>
  <c r="B150" i="5"/>
  <c r="B151" i="5"/>
  <c r="E151" i="5" s="1"/>
  <c r="B152" i="5"/>
  <c r="B153" i="5"/>
  <c r="E153" i="5" s="1"/>
  <c r="B154" i="5"/>
  <c r="B155" i="5"/>
  <c r="E155" i="5" s="1"/>
  <c r="B156" i="5"/>
  <c r="B157" i="5"/>
  <c r="E157" i="5" s="1"/>
  <c r="B158" i="5"/>
  <c r="B159" i="5"/>
  <c r="E159" i="5" s="1"/>
  <c r="B160" i="5"/>
  <c r="B161" i="5"/>
  <c r="E161" i="5" s="1"/>
  <c r="B162" i="5"/>
  <c r="B163" i="5"/>
  <c r="E163" i="5" s="1"/>
  <c r="B164" i="5"/>
  <c r="B165" i="5"/>
  <c r="E165" i="5" s="1"/>
  <c r="B166" i="5"/>
  <c r="B167" i="5"/>
  <c r="E167" i="5" s="1"/>
  <c r="B168" i="5"/>
  <c r="B169" i="5"/>
  <c r="E169" i="5" s="1"/>
  <c r="B170" i="5"/>
  <c r="B171" i="5"/>
  <c r="E171" i="5" s="1"/>
  <c r="B172" i="5"/>
  <c r="B173" i="5"/>
  <c r="E173" i="5" s="1"/>
  <c r="B174" i="5"/>
  <c r="B175" i="5"/>
  <c r="E175" i="5" s="1"/>
  <c r="B176" i="5"/>
  <c r="B177" i="5"/>
  <c r="E177" i="5" s="1"/>
  <c r="B178" i="5"/>
  <c r="B179" i="5"/>
  <c r="E179" i="5" s="1"/>
  <c r="B180" i="5"/>
  <c r="B181" i="5"/>
  <c r="E181" i="5" s="1"/>
  <c r="B182" i="5"/>
  <c r="B183" i="5"/>
  <c r="E183" i="5" s="1"/>
  <c r="B184" i="5"/>
  <c r="B185" i="5"/>
  <c r="E185" i="5" s="1"/>
  <c r="B186" i="5"/>
  <c r="B187" i="5"/>
  <c r="E187" i="5" s="1"/>
  <c r="B188" i="5"/>
  <c r="B189" i="5"/>
  <c r="E189" i="5" s="1"/>
  <c r="B190" i="5"/>
  <c r="B191" i="5"/>
  <c r="E191" i="5" s="1"/>
  <c r="B192" i="5"/>
  <c r="B193" i="5"/>
  <c r="E193" i="5" s="1"/>
  <c r="B194" i="5"/>
  <c r="B195" i="5"/>
  <c r="E195" i="5" s="1"/>
  <c r="B196" i="5"/>
  <c r="B197" i="5"/>
  <c r="E197" i="5" s="1"/>
  <c r="B198" i="5"/>
  <c r="B199" i="5"/>
  <c r="B200" i="5"/>
  <c r="E200" i="5" s="1"/>
  <c r="B201" i="5"/>
  <c r="E201" i="5" s="1"/>
  <c r="B202" i="5"/>
  <c r="E202" i="5" s="1"/>
  <c r="B203" i="5"/>
  <c r="B204" i="5"/>
  <c r="E204" i="5" s="1"/>
  <c r="B205" i="5"/>
  <c r="E205" i="5" s="1"/>
  <c r="B206" i="5"/>
  <c r="E206" i="5" s="1"/>
  <c r="B207" i="5"/>
  <c r="B208" i="5"/>
  <c r="E208" i="5" s="1"/>
  <c r="B209" i="5"/>
  <c r="E209" i="5" s="1"/>
  <c r="B210" i="5"/>
  <c r="E210" i="5" s="1"/>
  <c r="B211" i="5"/>
  <c r="B212" i="5"/>
  <c r="E212" i="5" s="1"/>
  <c r="B213" i="5"/>
  <c r="E213" i="5" s="1"/>
  <c r="B214" i="5"/>
  <c r="E214" i="5" s="1"/>
  <c r="B215" i="5"/>
  <c r="B216" i="5"/>
  <c r="E216" i="5" s="1"/>
  <c r="B217" i="5"/>
  <c r="E217" i="5" s="1"/>
  <c r="B218" i="5"/>
  <c r="E218" i="5" s="1"/>
  <c r="B219" i="5"/>
  <c r="B220" i="5"/>
  <c r="E220" i="5" s="1"/>
  <c r="B221" i="5"/>
  <c r="E221" i="5" s="1"/>
  <c r="B222" i="5"/>
  <c r="E222" i="5" s="1"/>
  <c r="B223" i="5"/>
  <c r="B224" i="5"/>
  <c r="E224" i="5" s="1"/>
  <c r="B225" i="5"/>
  <c r="E225" i="5" s="1"/>
  <c r="B226" i="5"/>
  <c r="E226" i="5" s="1"/>
  <c r="B227" i="5"/>
  <c r="B228" i="5"/>
  <c r="E228" i="5" s="1"/>
  <c r="B229" i="5"/>
  <c r="E229" i="5" s="1"/>
  <c r="B230" i="5"/>
  <c r="E230" i="5" s="1"/>
  <c r="B231" i="5"/>
  <c r="B232" i="5"/>
  <c r="E232" i="5" s="1"/>
  <c r="B233" i="5"/>
  <c r="E233" i="5" s="1"/>
  <c r="B234" i="5"/>
  <c r="E234" i="5" s="1"/>
  <c r="B235" i="5"/>
  <c r="B236" i="5"/>
  <c r="E236" i="5" s="1"/>
  <c r="B237" i="5"/>
  <c r="E237" i="5" s="1"/>
  <c r="B238" i="5"/>
  <c r="E238" i="5" s="1"/>
  <c r="B239" i="5"/>
  <c r="B240" i="5"/>
  <c r="E240" i="5" s="1"/>
  <c r="B241" i="5"/>
  <c r="E241" i="5" s="1"/>
  <c r="B242" i="5"/>
  <c r="E242" i="5" s="1"/>
  <c r="B243" i="5"/>
  <c r="B244" i="5"/>
  <c r="E244" i="5" s="1"/>
  <c r="B245" i="5"/>
  <c r="E245" i="5" s="1"/>
  <c r="B246" i="5"/>
  <c r="E246" i="5" s="1"/>
  <c r="B247" i="5"/>
  <c r="B248" i="5"/>
  <c r="E248" i="5" s="1"/>
  <c r="B249" i="5"/>
  <c r="E249" i="5" s="1"/>
  <c r="B250" i="5"/>
  <c r="E250" i="5" s="1"/>
  <c r="B251" i="5"/>
  <c r="B252" i="5"/>
  <c r="E252" i="5" s="1"/>
  <c r="B253" i="5"/>
  <c r="E253" i="5" s="1"/>
  <c r="B254" i="5"/>
  <c r="E254" i="5" s="1"/>
  <c r="B255" i="5"/>
  <c r="B256" i="5"/>
  <c r="E256" i="5" s="1"/>
  <c r="B257" i="5"/>
  <c r="E257" i="5" s="1"/>
  <c r="B258" i="5"/>
  <c r="E258" i="5" s="1"/>
  <c r="B259" i="5"/>
  <c r="B260" i="5"/>
  <c r="E260" i="5" s="1"/>
  <c r="B261" i="5"/>
  <c r="E261" i="5" s="1"/>
  <c r="B262" i="5"/>
  <c r="E262" i="5" s="1"/>
  <c r="B263" i="5"/>
  <c r="B264" i="5"/>
  <c r="E264" i="5" s="1"/>
  <c r="B265" i="5"/>
  <c r="E265" i="5" s="1"/>
  <c r="B266" i="5"/>
  <c r="E266" i="5" s="1"/>
  <c r="B267" i="5"/>
  <c r="B268" i="5"/>
  <c r="E268" i="5" s="1"/>
  <c r="B269" i="5"/>
  <c r="E269" i="5" s="1"/>
  <c r="B270" i="5"/>
  <c r="E270" i="5" s="1"/>
  <c r="B271" i="5"/>
  <c r="B272" i="5"/>
  <c r="E272" i="5" s="1"/>
  <c r="B273" i="5"/>
  <c r="E273" i="5" s="1"/>
  <c r="B274" i="5"/>
  <c r="E274" i="5" s="1"/>
  <c r="B275" i="5"/>
  <c r="B276" i="5"/>
  <c r="E276" i="5" s="1"/>
  <c r="B277" i="5"/>
  <c r="E277" i="5" s="1"/>
  <c r="B278" i="5"/>
  <c r="E278" i="5" s="1"/>
  <c r="B279" i="5"/>
  <c r="B280" i="5"/>
  <c r="E280" i="5" s="1"/>
  <c r="B281" i="5"/>
  <c r="E281" i="5" s="1"/>
  <c r="B282" i="5"/>
  <c r="E282" i="5" s="1"/>
  <c r="B283" i="5"/>
  <c r="B284" i="5"/>
  <c r="E284" i="5" s="1"/>
  <c r="B285" i="5"/>
  <c r="E285" i="5" s="1"/>
  <c r="B286" i="5"/>
  <c r="E286" i="5" s="1"/>
  <c r="B287" i="5"/>
  <c r="B288" i="5"/>
  <c r="E288" i="5" s="1"/>
  <c r="B289" i="5"/>
  <c r="E289" i="5" s="1"/>
  <c r="B290" i="5"/>
  <c r="E290" i="5" s="1"/>
  <c r="B291" i="5"/>
  <c r="B292" i="5"/>
  <c r="E292" i="5" s="1"/>
  <c r="B293" i="5"/>
  <c r="E293" i="5" s="1"/>
  <c r="B294" i="5"/>
  <c r="E294" i="5" s="1"/>
  <c r="B295" i="5"/>
  <c r="B296" i="5"/>
  <c r="E296" i="5" s="1"/>
  <c r="B297" i="5"/>
  <c r="E297" i="5" s="1"/>
  <c r="B298" i="5"/>
  <c r="E298" i="5" s="1"/>
  <c r="B299" i="5"/>
  <c r="B300" i="5"/>
  <c r="E300" i="5" s="1"/>
  <c r="B301" i="5"/>
  <c r="E301" i="5" s="1"/>
  <c r="B302" i="5"/>
  <c r="E302" i="5" s="1"/>
  <c r="B303" i="5"/>
  <c r="B304" i="5"/>
  <c r="E304" i="5" s="1"/>
  <c r="B305" i="5"/>
  <c r="E305" i="5" s="1"/>
  <c r="B306" i="5"/>
  <c r="E306" i="5" s="1"/>
  <c r="B307" i="5"/>
  <c r="B308" i="5"/>
  <c r="E308" i="5" s="1"/>
  <c r="B309" i="5"/>
  <c r="E309" i="5" s="1"/>
  <c r="B310" i="5"/>
  <c r="E310" i="5" s="1"/>
  <c r="B311" i="5"/>
  <c r="B312" i="5"/>
  <c r="E312" i="5" s="1"/>
  <c r="B313" i="5"/>
  <c r="E313" i="5" s="1"/>
  <c r="B314" i="5"/>
  <c r="E314" i="5" s="1"/>
  <c r="B315" i="5"/>
  <c r="B316" i="5"/>
  <c r="E316" i="5" s="1"/>
  <c r="B317" i="5"/>
  <c r="E317" i="5" s="1"/>
  <c r="B318" i="5"/>
  <c r="E318" i="5" s="1"/>
  <c r="B319" i="5"/>
  <c r="B320" i="5"/>
  <c r="E320" i="5" s="1"/>
  <c r="B321" i="5"/>
  <c r="E321" i="5" s="1"/>
  <c r="B322" i="5"/>
  <c r="E322" i="5" s="1"/>
  <c r="B323" i="5"/>
  <c r="B324" i="5"/>
  <c r="E324" i="5" s="1"/>
  <c r="B325" i="5"/>
  <c r="E325" i="5" s="1"/>
  <c r="B326" i="5"/>
  <c r="E326" i="5" s="1"/>
  <c r="B327" i="5"/>
  <c r="B328" i="5"/>
  <c r="E328" i="5" s="1"/>
  <c r="B329" i="5"/>
  <c r="E329" i="5" s="1"/>
  <c r="B330" i="5"/>
  <c r="E330" i="5" s="1"/>
  <c r="B331" i="5"/>
  <c r="B332" i="5"/>
  <c r="E332" i="5" s="1"/>
  <c r="B333" i="5"/>
  <c r="E333" i="5" s="1"/>
  <c r="B334" i="5"/>
  <c r="E334" i="5" s="1"/>
  <c r="B335" i="5"/>
  <c r="B336" i="5"/>
  <c r="E336" i="5" s="1"/>
  <c r="B337" i="5"/>
  <c r="E337" i="5" s="1"/>
  <c r="B338" i="5"/>
  <c r="E338" i="5" s="1"/>
  <c r="B339" i="5"/>
  <c r="B340" i="5"/>
  <c r="E340" i="5" s="1"/>
  <c r="B341" i="5"/>
  <c r="E341" i="5" s="1"/>
  <c r="B342" i="5"/>
  <c r="E342" i="5" s="1"/>
  <c r="B343" i="5"/>
  <c r="B344" i="5"/>
  <c r="E344" i="5" s="1"/>
  <c r="B345" i="5"/>
  <c r="E345" i="5" s="1"/>
  <c r="B346" i="5"/>
  <c r="E346" i="5" s="1"/>
  <c r="B347" i="5"/>
  <c r="B348" i="5"/>
  <c r="E348" i="5" s="1"/>
  <c r="B349" i="5"/>
  <c r="E349" i="5" s="1"/>
  <c r="B350" i="5"/>
  <c r="E350" i="5" s="1"/>
  <c r="B351" i="5"/>
  <c r="B352" i="5"/>
  <c r="E352" i="5" s="1"/>
  <c r="B353" i="5"/>
  <c r="E353" i="5" s="1"/>
  <c r="B354" i="5"/>
  <c r="E354" i="5" s="1"/>
  <c r="B355" i="5"/>
  <c r="B356" i="5"/>
  <c r="E356" i="5" s="1"/>
  <c r="B357" i="5"/>
  <c r="E357" i="5" s="1"/>
  <c r="B358" i="5"/>
  <c r="E358" i="5" s="1"/>
  <c r="B359" i="5"/>
  <c r="B360" i="5"/>
  <c r="E360" i="5" s="1"/>
  <c r="B361" i="5"/>
  <c r="E361" i="5" s="1"/>
  <c r="B362" i="5"/>
  <c r="E362" i="5" s="1"/>
  <c r="B363" i="5"/>
  <c r="B364" i="5"/>
  <c r="E364" i="5" s="1"/>
  <c r="B365" i="5"/>
  <c r="E365" i="5" s="1"/>
  <c r="B366" i="5"/>
  <c r="E366" i="5" s="1"/>
  <c r="B367" i="5"/>
  <c r="B368" i="5"/>
  <c r="E368" i="5" s="1"/>
  <c r="B369" i="5"/>
  <c r="E369" i="5" s="1"/>
  <c r="B370" i="5"/>
  <c r="E370" i="5" s="1"/>
  <c r="B371" i="5"/>
  <c r="B372" i="5"/>
  <c r="E372" i="5" s="1"/>
  <c r="B373" i="5"/>
  <c r="E373" i="5" s="1"/>
  <c r="B374" i="5"/>
  <c r="E374" i="5" s="1"/>
  <c r="B375" i="5"/>
  <c r="B376" i="5"/>
  <c r="E376" i="5" s="1"/>
  <c r="B377" i="5"/>
  <c r="E377" i="5" s="1"/>
  <c r="B378" i="5"/>
  <c r="E378" i="5" s="1"/>
  <c r="B379" i="5"/>
  <c r="B380" i="5"/>
  <c r="E380" i="5" s="1"/>
  <c r="B381" i="5"/>
  <c r="E381" i="5" s="1"/>
  <c r="B382" i="5"/>
  <c r="E382" i="5" s="1"/>
  <c r="B383" i="5"/>
  <c r="B384" i="5"/>
  <c r="E384" i="5" s="1"/>
  <c r="B385" i="5"/>
  <c r="E385" i="5" s="1"/>
  <c r="B386" i="5"/>
  <c r="E386" i="5" s="1"/>
  <c r="B387" i="5"/>
  <c r="B388" i="5"/>
  <c r="E388" i="5" s="1"/>
  <c r="B389" i="5"/>
  <c r="E389" i="5" s="1"/>
  <c r="B390" i="5"/>
  <c r="E390" i="5" s="1"/>
  <c r="B391" i="5"/>
  <c r="B392" i="5"/>
  <c r="E392" i="5" s="1"/>
  <c r="B393" i="5"/>
  <c r="E393" i="5" s="1"/>
  <c r="B394" i="5"/>
  <c r="E394" i="5" s="1"/>
  <c r="B395" i="5"/>
  <c r="B396" i="5"/>
  <c r="E396" i="5" s="1"/>
  <c r="B397" i="5"/>
  <c r="E397" i="5" s="1"/>
  <c r="B398" i="5"/>
  <c r="E398" i="5" s="1"/>
  <c r="B399" i="5"/>
  <c r="B400" i="5"/>
  <c r="E400" i="5" s="1"/>
  <c r="B401" i="5"/>
  <c r="E401" i="5" s="1"/>
  <c r="B402" i="5"/>
  <c r="E402" i="5" s="1"/>
  <c r="B403" i="5"/>
  <c r="B404" i="5"/>
  <c r="E404" i="5" s="1"/>
  <c r="B405" i="5"/>
  <c r="E405" i="5" s="1"/>
  <c r="B406" i="5"/>
  <c r="E406" i="5" s="1"/>
  <c r="B407" i="5"/>
  <c r="B408" i="5"/>
  <c r="E408" i="5" s="1"/>
  <c r="B409" i="5"/>
  <c r="E409" i="5" s="1"/>
  <c r="B410" i="5"/>
  <c r="E410" i="5" s="1"/>
  <c r="B411" i="5"/>
  <c r="B412" i="5"/>
  <c r="E412" i="5" s="1"/>
  <c r="B413" i="5"/>
  <c r="E413" i="5" s="1"/>
  <c r="B414" i="5"/>
  <c r="E414" i="5" s="1"/>
  <c r="B415" i="5"/>
  <c r="B416" i="5"/>
  <c r="E416" i="5" s="1"/>
  <c r="B417" i="5"/>
  <c r="E417" i="5" s="1"/>
  <c r="B418" i="5"/>
  <c r="E418" i="5" s="1"/>
  <c r="B419" i="5"/>
  <c r="B420" i="5"/>
  <c r="E420" i="5" s="1"/>
  <c r="B421" i="5"/>
  <c r="E421" i="5" s="1"/>
  <c r="B422" i="5"/>
  <c r="E422" i="5" s="1"/>
  <c r="B423" i="5"/>
  <c r="B424" i="5"/>
  <c r="E424" i="5" s="1"/>
  <c r="B425" i="5"/>
  <c r="E425" i="5" s="1"/>
  <c r="B426" i="5"/>
  <c r="E426" i="5" s="1"/>
  <c r="B427" i="5"/>
  <c r="B428" i="5"/>
  <c r="E428" i="5" s="1"/>
  <c r="B429" i="5"/>
  <c r="E429" i="5" s="1"/>
  <c r="B430" i="5"/>
  <c r="E430" i="5" s="1"/>
  <c r="B431" i="5"/>
  <c r="B432" i="5"/>
  <c r="E432" i="5" s="1"/>
  <c r="B433" i="5"/>
  <c r="E433" i="5" s="1"/>
  <c r="B434" i="5"/>
  <c r="E434" i="5" s="1"/>
  <c r="B435" i="5"/>
  <c r="B436" i="5"/>
  <c r="E436" i="5" s="1"/>
  <c r="B437" i="5"/>
  <c r="E437" i="5" s="1"/>
  <c r="B438" i="5"/>
  <c r="E438" i="5" s="1"/>
  <c r="B439" i="5"/>
  <c r="B440" i="5"/>
  <c r="E440" i="5" s="1"/>
  <c r="B441" i="5"/>
  <c r="E441" i="5" s="1"/>
  <c r="B442" i="5"/>
  <c r="E442" i="5" s="1"/>
  <c r="B443" i="5"/>
  <c r="E443" i="5" s="1"/>
  <c r="B444" i="5"/>
  <c r="E444" i="5" s="1"/>
  <c r="B445" i="5"/>
  <c r="E445" i="5" s="1"/>
  <c r="B446" i="5"/>
  <c r="E446" i="5" s="1"/>
  <c r="B447" i="5"/>
  <c r="E447" i="5" s="1"/>
  <c r="B448" i="5"/>
  <c r="E448" i="5" s="1"/>
  <c r="B449" i="5"/>
  <c r="E449" i="5" s="1"/>
  <c r="B450" i="5"/>
  <c r="E450" i="5" s="1"/>
  <c r="B451" i="5"/>
  <c r="E451" i="5" s="1"/>
  <c r="B452" i="5"/>
  <c r="E452" i="5" s="1"/>
  <c r="B453" i="5"/>
  <c r="E453" i="5" s="1"/>
  <c r="B454" i="5"/>
  <c r="E454" i="5" s="1"/>
  <c r="B455" i="5"/>
  <c r="E455" i="5" s="1"/>
  <c r="B456" i="5"/>
  <c r="E456" i="5" s="1"/>
  <c r="B457" i="5"/>
  <c r="E457" i="5" s="1"/>
  <c r="B458" i="5"/>
  <c r="E458" i="5" s="1"/>
  <c r="B459" i="5"/>
  <c r="E459" i="5" s="1"/>
  <c r="B460" i="5"/>
  <c r="E460" i="5" s="1"/>
  <c r="B461" i="5"/>
  <c r="E461" i="5" s="1"/>
  <c r="B462" i="5"/>
  <c r="E462" i="5" s="1"/>
  <c r="B463" i="5"/>
  <c r="E463" i="5" s="1"/>
  <c r="B464" i="5"/>
  <c r="E464" i="5" s="1"/>
  <c r="B465" i="5"/>
  <c r="E465" i="5" s="1"/>
  <c r="B466" i="5"/>
  <c r="E466" i="5" s="1"/>
  <c r="B467" i="5"/>
  <c r="E467" i="5" s="1"/>
  <c r="B468" i="5"/>
  <c r="E468" i="5" s="1"/>
  <c r="B469" i="5"/>
  <c r="E469" i="5" s="1"/>
  <c r="B470" i="5"/>
  <c r="E470" i="5" s="1"/>
  <c r="B471" i="5"/>
  <c r="E471" i="5" s="1"/>
  <c r="B472" i="5"/>
  <c r="E472" i="5" s="1"/>
  <c r="B473" i="5"/>
  <c r="E473" i="5" s="1"/>
  <c r="B474" i="5"/>
  <c r="E474" i="5" s="1"/>
  <c r="B475" i="5"/>
  <c r="E475" i="5" s="1"/>
  <c r="B476" i="5"/>
  <c r="E476" i="5" s="1"/>
  <c r="B477" i="5"/>
  <c r="E477" i="5" s="1"/>
  <c r="B478" i="5"/>
  <c r="E478" i="5" s="1"/>
  <c r="B479" i="5"/>
  <c r="E479" i="5" s="1"/>
  <c r="B480" i="5"/>
  <c r="E480" i="5" s="1"/>
  <c r="B481" i="5"/>
  <c r="E481" i="5" s="1"/>
  <c r="B482" i="5"/>
  <c r="E482" i="5" s="1"/>
  <c r="B483" i="5"/>
  <c r="E483" i="5" s="1"/>
  <c r="B484" i="5"/>
  <c r="E484" i="5" s="1"/>
  <c r="B485" i="5"/>
  <c r="E485" i="5" s="1"/>
  <c r="B486" i="5"/>
  <c r="E486" i="5" s="1"/>
  <c r="B487" i="5"/>
  <c r="E487" i="5" s="1"/>
  <c r="B488" i="5"/>
  <c r="E488" i="5" s="1"/>
  <c r="B489" i="5"/>
  <c r="E489" i="5" s="1"/>
  <c r="B490" i="5"/>
  <c r="E490" i="5" s="1"/>
  <c r="B491" i="5"/>
  <c r="E491" i="5" s="1"/>
  <c r="B492" i="5"/>
  <c r="E492" i="5" s="1"/>
  <c r="B493" i="5"/>
  <c r="E493" i="5" s="1"/>
  <c r="B494" i="5"/>
  <c r="E494" i="5" s="1"/>
  <c r="B495" i="5"/>
  <c r="E495" i="5" s="1"/>
  <c r="B496" i="5"/>
  <c r="E496" i="5" s="1"/>
  <c r="B497" i="5"/>
  <c r="E497" i="5" s="1"/>
  <c r="B498" i="5"/>
  <c r="E498" i="5" s="1"/>
  <c r="B499" i="5"/>
  <c r="E499" i="5" s="1"/>
  <c r="B500" i="5"/>
  <c r="E500" i="5" s="1"/>
  <c r="B501" i="5"/>
  <c r="E501" i="5" s="1"/>
  <c r="B502" i="5"/>
  <c r="E502" i="5" s="1"/>
  <c r="B503" i="5"/>
  <c r="E503" i="5" s="1"/>
  <c r="B504" i="5"/>
  <c r="E504" i="5" s="1"/>
  <c r="B505" i="5"/>
  <c r="E505" i="5" s="1"/>
  <c r="B506" i="5"/>
  <c r="E506" i="5" s="1"/>
  <c r="B507" i="5"/>
  <c r="E507" i="5" s="1"/>
  <c r="B508" i="5"/>
  <c r="C3" i="5"/>
  <c r="B3" i="5"/>
  <c r="E3" i="5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C208" i="3"/>
  <c r="D208" i="3" s="1"/>
  <c r="C209" i="3"/>
  <c r="D209" i="3" s="1"/>
  <c r="C210" i="3"/>
  <c r="D210" i="3" s="1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D228" i="3" s="1"/>
  <c r="C229" i="3"/>
  <c r="D229" i="3" s="1"/>
  <c r="C230" i="3"/>
  <c r="D230" i="3" s="1"/>
  <c r="C231" i="3"/>
  <c r="D231" i="3" s="1"/>
  <c r="C232" i="3"/>
  <c r="D232" i="3" s="1"/>
  <c r="C233" i="3"/>
  <c r="D233" i="3" s="1"/>
  <c r="C234" i="3"/>
  <c r="D234" i="3" s="1"/>
  <c r="C235" i="3"/>
  <c r="D235" i="3" s="1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C251" i="3"/>
  <c r="D251" i="3" s="1"/>
  <c r="C252" i="3"/>
  <c r="D252" i="3" s="1"/>
  <c r="C253" i="3"/>
  <c r="D253" i="3" s="1"/>
  <c r="C254" i="3"/>
  <c r="D254" i="3" s="1"/>
  <c r="C255" i="3"/>
  <c r="D255" i="3" s="1"/>
  <c r="C256" i="3"/>
  <c r="D256" i="3" s="1"/>
  <c r="C257" i="3"/>
  <c r="D257" i="3" s="1"/>
  <c r="C258" i="3"/>
  <c r="D258" i="3" s="1"/>
  <c r="C259" i="3"/>
  <c r="D259" i="3" s="1"/>
  <c r="C260" i="3"/>
  <c r="D260" i="3" s="1"/>
  <c r="C261" i="3"/>
  <c r="D261" i="3" s="1"/>
  <c r="C262" i="3"/>
  <c r="D262" i="3" s="1"/>
  <c r="C263" i="3"/>
  <c r="D263" i="3" s="1"/>
  <c r="C264" i="3"/>
  <c r="D264" i="3" s="1"/>
  <c r="C265" i="3"/>
  <c r="D265" i="3" s="1"/>
  <c r="C266" i="3"/>
  <c r="D266" i="3" s="1"/>
  <c r="C267" i="3"/>
  <c r="D267" i="3" s="1"/>
  <c r="C268" i="3"/>
  <c r="D268" i="3" s="1"/>
  <c r="C269" i="3"/>
  <c r="D269" i="3" s="1"/>
  <c r="C270" i="3"/>
  <c r="D270" i="3" s="1"/>
  <c r="C271" i="3"/>
  <c r="D271" i="3" s="1"/>
  <c r="C272" i="3"/>
  <c r="D272" i="3" s="1"/>
  <c r="C273" i="3"/>
  <c r="D273" i="3" s="1"/>
  <c r="C274" i="3"/>
  <c r="D274" i="3" s="1"/>
  <c r="C275" i="3"/>
  <c r="D275" i="3" s="1"/>
  <c r="C276" i="3"/>
  <c r="D276" i="3" s="1"/>
  <c r="C277" i="3"/>
  <c r="D277" i="3" s="1"/>
  <c r="C278" i="3"/>
  <c r="D278" i="3" s="1"/>
  <c r="C279" i="3"/>
  <c r="D279" i="3" s="1"/>
  <c r="C280" i="3"/>
  <c r="D280" i="3" s="1"/>
  <c r="C281" i="3"/>
  <c r="D281" i="3" s="1"/>
  <c r="C282" i="3"/>
  <c r="D282" i="3" s="1"/>
  <c r="C283" i="3"/>
  <c r="D283" i="3" s="1"/>
  <c r="C284" i="3"/>
  <c r="D284" i="3" s="1"/>
  <c r="C285" i="3"/>
  <c r="D285" i="3" s="1"/>
  <c r="C286" i="3"/>
  <c r="D286" i="3" s="1"/>
  <c r="C287" i="3"/>
  <c r="D287" i="3" s="1"/>
  <c r="C288" i="3"/>
  <c r="D288" i="3" s="1"/>
  <c r="C289" i="3"/>
  <c r="D289" i="3" s="1"/>
  <c r="C290" i="3"/>
  <c r="D290" i="3" s="1"/>
  <c r="C291" i="3"/>
  <c r="D291" i="3" s="1"/>
  <c r="C292" i="3"/>
  <c r="D292" i="3" s="1"/>
  <c r="C293" i="3"/>
  <c r="D293" i="3" s="1"/>
  <c r="C294" i="3"/>
  <c r="D294" i="3" s="1"/>
  <c r="C295" i="3"/>
  <c r="D295" i="3" s="1"/>
  <c r="C296" i="3"/>
  <c r="D296" i="3" s="1"/>
  <c r="C297" i="3"/>
  <c r="D297" i="3" s="1"/>
  <c r="C298" i="3"/>
  <c r="D298" i="3" s="1"/>
  <c r="C299" i="3"/>
  <c r="D299" i="3" s="1"/>
  <c r="C300" i="3"/>
  <c r="D300" i="3" s="1"/>
  <c r="C301" i="3"/>
  <c r="D301" i="3" s="1"/>
  <c r="C302" i="3"/>
  <c r="D302" i="3" s="1"/>
  <c r="C303" i="3"/>
  <c r="D303" i="3" s="1"/>
  <c r="C304" i="3"/>
  <c r="D304" i="3" s="1"/>
  <c r="C305" i="3"/>
  <c r="D305" i="3" s="1"/>
  <c r="C306" i="3"/>
  <c r="D306" i="3" s="1"/>
  <c r="C307" i="3"/>
  <c r="D307" i="3" s="1"/>
  <c r="C308" i="3"/>
  <c r="D308" i="3" s="1"/>
  <c r="C309" i="3"/>
  <c r="D309" i="3" s="1"/>
  <c r="C310" i="3"/>
  <c r="D310" i="3" s="1"/>
  <c r="C311" i="3"/>
  <c r="D311" i="3" s="1"/>
  <c r="C312" i="3"/>
  <c r="D312" i="3" s="1"/>
  <c r="C313" i="3"/>
  <c r="D313" i="3" s="1"/>
  <c r="C314" i="3"/>
  <c r="D314" i="3" s="1"/>
  <c r="C315" i="3"/>
  <c r="D315" i="3" s="1"/>
  <c r="C316" i="3"/>
  <c r="D316" i="3" s="1"/>
  <c r="C317" i="3"/>
  <c r="D317" i="3" s="1"/>
  <c r="C318" i="3"/>
  <c r="D318" i="3" s="1"/>
  <c r="C319" i="3"/>
  <c r="D319" i="3" s="1"/>
  <c r="C320" i="3"/>
  <c r="D320" i="3" s="1"/>
  <c r="C321" i="3"/>
  <c r="D321" i="3" s="1"/>
  <c r="C322" i="3"/>
  <c r="D322" i="3" s="1"/>
  <c r="C323" i="3"/>
  <c r="D323" i="3" s="1"/>
  <c r="C324" i="3"/>
  <c r="D324" i="3" s="1"/>
  <c r="C325" i="3"/>
  <c r="D325" i="3" s="1"/>
  <c r="C326" i="3"/>
  <c r="D326" i="3" s="1"/>
  <c r="C327" i="3"/>
  <c r="D327" i="3" s="1"/>
  <c r="C328" i="3"/>
  <c r="D328" i="3" s="1"/>
  <c r="C329" i="3"/>
  <c r="D329" i="3" s="1"/>
  <c r="C330" i="3"/>
  <c r="D330" i="3" s="1"/>
  <c r="C331" i="3"/>
  <c r="D331" i="3" s="1"/>
  <c r="C332" i="3"/>
  <c r="D332" i="3" s="1"/>
  <c r="C333" i="3"/>
  <c r="D333" i="3" s="1"/>
  <c r="C334" i="3"/>
  <c r="D334" i="3" s="1"/>
  <c r="C335" i="3"/>
  <c r="D335" i="3" s="1"/>
  <c r="C336" i="3"/>
  <c r="D336" i="3" s="1"/>
  <c r="C337" i="3"/>
  <c r="D337" i="3" s="1"/>
  <c r="C338" i="3"/>
  <c r="D338" i="3" s="1"/>
  <c r="C339" i="3"/>
  <c r="D339" i="3" s="1"/>
  <c r="C340" i="3"/>
  <c r="D340" i="3" s="1"/>
  <c r="C341" i="3"/>
  <c r="D341" i="3" s="1"/>
  <c r="C342" i="3"/>
  <c r="D342" i="3" s="1"/>
  <c r="C343" i="3"/>
  <c r="D343" i="3" s="1"/>
  <c r="C344" i="3"/>
  <c r="D344" i="3" s="1"/>
  <c r="C345" i="3"/>
  <c r="D345" i="3" s="1"/>
  <c r="C346" i="3"/>
  <c r="D346" i="3" s="1"/>
  <c r="C347" i="3"/>
  <c r="D347" i="3" s="1"/>
  <c r="C348" i="3"/>
  <c r="D348" i="3" s="1"/>
  <c r="C349" i="3"/>
  <c r="D349" i="3" s="1"/>
  <c r="C350" i="3"/>
  <c r="D350" i="3" s="1"/>
  <c r="C351" i="3"/>
  <c r="D351" i="3" s="1"/>
  <c r="C352" i="3"/>
  <c r="D352" i="3" s="1"/>
  <c r="C353" i="3"/>
  <c r="D353" i="3" s="1"/>
  <c r="C354" i="3"/>
  <c r="D354" i="3" s="1"/>
  <c r="C355" i="3"/>
  <c r="D355" i="3" s="1"/>
  <c r="C356" i="3"/>
  <c r="D356" i="3" s="1"/>
  <c r="C357" i="3"/>
  <c r="D357" i="3" s="1"/>
  <c r="C358" i="3"/>
  <c r="D358" i="3" s="1"/>
  <c r="C359" i="3"/>
  <c r="D359" i="3" s="1"/>
  <c r="C360" i="3"/>
  <c r="D360" i="3" s="1"/>
  <c r="C361" i="3"/>
  <c r="D361" i="3" s="1"/>
  <c r="C362" i="3"/>
  <c r="D362" i="3" s="1"/>
  <c r="C363" i="3"/>
  <c r="D363" i="3" s="1"/>
  <c r="C364" i="3"/>
  <c r="D364" i="3" s="1"/>
  <c r="C365" i="3"/>
  <c r="D365" i="3" s="1"/>
  <c r="C366" i="3"/>
  <c r="D366" i="3" s="1"/>
  <c r="C367" i="3"/>
  <c r="D367" i="3" s="1"/>
  <c r="C368" i="3"/>
  <c r="D368" i="3" s="1"/>
  <c r="C369" i="3"/>
  <c r="D369" i="3" s="1"/>
  <c r="C370" i="3"/>
  <c r="D370" i="3" s="1"/>
  <c r="C371" i="3"/>
  <c r="D371" i="3" s="1"/>
  <c r="C372" i="3"/>
  <c r="D372" i="3" s="1"/>
  <c r="C373" i="3"/>
  <c r="D373" i="3" s="1"/>
  <c r="C374" i="3"/>
  <c r="D374" i="3" s="1"/>
  <c r="C375" i="3"/>
  <c r="D375" i="3" s="1"/>
  <c r="C376" i="3"/>
  <c r="D376" i="3" s="1"/>
  <c r="C377" i="3"/>
  <c r="D377" i="3" s="1"/>
  <c r="C378" i="3"/>
  <c r="D378" i="3" s="1"/>
  <c r="C379" i="3"/>
  <c r="D379" i="3" s="1"/>
  <c r="C380" i="3"/>
  <c r="D380" i="3" s="1"/>
  <c r="C381" i="3"/>
  <c r="D381" i="3" s="1"/>
  <c r="C382" i="3"/>
  <c r="D382" i="3" s="1"/>
  <c r="C383" i="3"/>
  <c r="D383" i="3" s="1"/>
  <c r="C384" i="3"/>
  <c r="D384" i="3" s="1"/>
  <c r="C385" i="3"/>
  <c r="D385" i="3" s="1"/>
  <c r="C386" i="3"/>
  <c r="D386" i="3" s="1"/>
  <c r="C387" i="3"/>
  <c r="D387" i="3" s="1"/>
  <c r="C388" i="3"/>
  <c r="D388" i="3" s="1"/>
  <c r="C389" i="3"/>
  <c r="D389" i="3" s="1"/>
  <c r="C390" i="3"/>
  <c r="D390" i="3" s="1"/>
  <c r="C391" i="3"/>
  <c r="D391" i="3" s="1"/>
  <c r="C392" i="3"/>
  <c r="D392" i="3" s="1"/>
  <c r="C393" i="3"/>
  <c r="D393" i="3" s="1"/>
  <c r="C394" i="3"/>
  <c r="D394" i="3" s="1"/>
  <c r="C395" i="3"/>
  <c r="D395" i="3" s="1"/>
  <c r="C396" i="3"/>
  <c r="D396" i="3" s="1"/>
  <c r="C397" i="3"/>
  <c r="D397" i="3" s="1"/>
  <c r="C398" i="3"/>
  <c r="D398" i="3" s="1"/>
  <c r="C399" i="3"/>
  <c r="D399" i="3" s="1"/>
  <c r="C400" i="3"/>
  <c r="D400" i="3" s="1"/>
  <c r="C401" i="3"/>
  <c r="D401" i="3" s="1"/>
  <c r="C402" i="3"/>
  <c r="D402" i="3" s="1"/>
  <c r="C403" i="3"/>
  <c r="D403" i="3" s="1"/>
  <c r="C404" i="3"/>
  <c r="D404" i="3" s="1"/>
  <c r="C405" i="3"/>
  <c r="D405" i="3" s="1"/>
  <c r="C406" i="3"/>
  <c r="D406" i="3" s="1"/>
  <c r="C407" i="3"/>
  <c r="D407" i="3" s="1"/>
  <c r="C408" i="3"/>
  <c r="D408" i="3" s="1"/>
  <c r="C409" i="3"/>
  <c r="D409" i="3" s="1"/>
  <c r="C410" i="3"/>
  <c r="D410" i="3" s="1"/>
  <c r="C411" i="3"/>
  <c r="D411" i="3" s="1"/>
  <c r="C412" i="3"/>
  <c r="D412" i="3" s="1"/>
  <c r="C413" i="3"/>
  <c r="D413" i="3" s="1"/>
  <c r="C414" i="3"/>
  <c r="D414" i="3" s="1"/>
  <c r="C415" i="3"/>
  <c r="D415" i="3" s="1"/>
  <c r="C416" i="3"/>
  <c r="D416" i="3" s="1"/>
  <c r="C417" i="3"/>
  <c r="D417" i="3" s="1"/>
  <c r="C418" i="3"/>
  <c r="D418" i="3" s="1"/>
  <c r="C419" i="3"/>
  <c r="D419" i="3" s="1"/>
  <c r="C420" i="3"/>
  <c r="D420" i="3" s="1"/>
  <c r="C421" i="3"/>
  <c r="D421" i="3" s="1"/>
  <c r="C422" i="3"/>
  <c r="D422" i="3" s="1"/>
  <c r="C423" i="3"/>
  <c r="D423" i="3" s="1"/>
  <c r="C424" i="3"/>
  <c r="D424" i="3" s="1"/>
  <c r="C425" i="3"/>
  <c r="D425" i="3" s="1"/>
  <c r="C426" i="3"/>
  <c r="D426" i="3" s="1"/>
  <c r="C427" i="3"/>
  <c r="D427" i="3" s="1"/>
  <c r="C428" i="3"/>
  <c r="D428" i="3" s="1"/>
  <c r="C429" i="3"/>
  <c r="D429" i="3" s="1"/>
  <c r="C430" i="3"/>
  <c r="D430" i="3" s="1"/>
  <c r="C431" i="3"/>
  <c r="D431" i="3" s="1"/>
  <c r="C432" i="3"/>
  <c r="D432" i="3" s="1"/>
  <c r="C433" i="3"/>
  <c r="D433" i="3" s="1"/>
  <c r="C434" i="3"/>
  <c r="D434" i="3" s="1"/>
  <c r="C435" i="3"/>
  <c r="D435" i="3" s="1"/>
  <c r="C436" i="3"/>
  <c r="D436" i="3" s="1"/>
  <c r="C437" i="3"/>
  <c r="D437" i="3" s="1"/>
  <c r="C438" i="3"/>
  <c r="D438" i="3" s="1"/>
  <c r="C439" i="3"/>
  <c r="D439" i="3" s="1"/>
  <c r="C440" i="3"/>
  <c r="D440" i="3" s="1"/>
  <c r="C441" i="3"/>
  <c r="D441" i="3" s="1"/>
  <c r="C442" i="3"/>
  <c r="D442" i="3" s="1"/>
  <c r="C443" i="3"/>
  <c r="D443" i="3" s="1"/>
  <c r="C444" i="3"/>
  <c r="D444" i="3" s="1"/>
  <c r="C445" i="3"/>
  <c r="D445" i="3" s="1"/>
  <c r="C446" i="3"/>
  <c r="D446" i="3" s="1"/>
  <c r="C447" i="3"/>
  <c r="D447" i="3" s="1"/>
  <c r="C448" i="3"/>
  <c r="D448" i="3" s="1"/>
  <c r="C449" i="3"/>
  <c r="D449" i="3" s="1"/>
  <c r="C450" i="3"/>
  <c r="D450" i="3" s="1"/>
  <c r="C451" i="3"/>
  <c r="D451" i="3" s="1"/>
  <c r="C452" i="3"/>
  <c r="D452" i="3" s="1"/>
  <c r="C453" i="3"/>
  <c r="D453" i="3" s="1"/>
  <c r="C454" i="3"/>
  <c r="D454" i="3" s="1"/>
  <c r="C455" i="3"/>
  <c r="D455" i="3" s="1"/>
  <c r="C456" i="3"/>
  <c r="D456" i="3" s="1"/>
  <c r="C457" i="3"/>
  <c r="D457" i="3" s="1"/>
  <c r="C458" i="3"/>
  <c r="D458" i="3" s="1"/>
  <c r="C459" i="3"/>
  <c r="D459" i="3" s="1"/>
  <c r="C460" i="3"/>
  <c r="D460" i="3" s="1"/>
  <c r="C461" i="3"/>
  <c r="D461" i="3" s="1"/>
  <c r="C462" i="3"/>
  <c r="D462" i="3" s="1"/>
  <c r="C463" i="3"/>
  <c r="D463" i="3" s="1"/>
  <c r="C464" i="3"/>
  <c r="D464" i="3" s="1"/>
  <c r="C465" i="3"/>
  <c r="D465" i="3" s="1"/>
  <c r="C466" i="3"/>
  <c r="D466" i="3" s="1"/>
  <c r="C467" i="3"/>
  <c r="D467" i="3" s="1"/>
  <c r="C468" i="3"/>
  <c r="D468" i="3" s="1"/>
  <c r="C469" i="3"/>
  <c r="D469" i="3" s="1"/>
  <c r="C470" i="3"/>
  <c r="D470" i="3" s="1"/>
  <c r="C471" i="3"/>
  <c r="D471" i="3" s="1"/>
  <c r="C472" i="3"/>
  <c r="D472" i="3" s="1"/>
  <c r="C473" i="3"/>
  <c r="D473" i="3" s="1"/>
  <c r="C474" i="3"/>
  <c r="D474" i="3" s="1"/>
  <c r="C475" i="3"/>
  <c r="D475" i="3" s="1"/>
  <c r="C476" i="3"/>
  <c r="D476" i="3" s="1"/>
  <c r="C477" i="3"/>
  <c r="D477" i="3" s="1"/>
  <c r="C478" i="3"/>
  <c r="D478" i="3" s="1"/>
  <c r="C479" i="3"/>
  <c r="D479" i="3" s="1"/>
  <c r="C480" i="3"/>
  <c r="D480" i="3" s="1"/>
  <c r="C481" i="3"/>
  <c r="D481" i="3" s="1"/>
  <c r="C482" i="3"/>
  <c r="D482" i="3" s="1"/>
  <c r="C483" i="3"/>
  <c r="D483" i="3" s="1"/>
  <c r="C484" i="3"/>
  <c r="D484" i="3" s="1"/>
  <c r="C485" i="3"/>
  <c r="D485" i="3" s="1"/>
  <c r="C486" i="3"/>
  <c r="D486" i="3" s="1"/>
  <c r="C487" i="3"/>
  <c r="D487" i="3" s="1"/>
  <c r="C488" i="3"/>
  <c r="D488" i="3" s="1"/>
  <c r="C489" i="3"/>
  <c r="D489" i="3" s="1"/>
  <c r="C490" i="3"/>
  <c r="D490" i="3" s="1"/>
  <c r="C491" i="3"/>
  <c r="D491" i="3" s="1"/>
  <c r="C492" i="3"/>
  <c r="D492" i="3" s="1"/>
  <c r="C493" i="3"/>
  <c r="D493" i="3" s="1"/>
  <c r="C494" i="3"/>
  <c r="D494" i="3" s="1"/>
  <c r="C495" i="3"/>
  <c r="D495" i="3" s="1"/>
  <c r="C496" i="3"/>
  <c r="D496" i="3" s="1"/>
  <c r="C497" i="3"/>
  <c r="D497" i="3" s="1"/>
  <c r="C498" i="3"/>
  <c r="D498" i="3" s="1"/>
  <c r="C499" i="3"/>
  <c r="D499" i="3" s="1"/>
  <c r="C500" i="3"/>
  <c r="D500" i="3" s="1"/>
  <c r="C501" i="3"/>
  <c r="D501" i="3" s="1"/>
  <c r="C502" i="3"/>
  <c r="D502" i="3" s="1"/>
  <c r="C503" i="3"/>
  <c r="D503" i="3" s="1"/>
  <c r="C504" i="3"/>
  <c r="D504" i="3" s="1"/>
  <c r="C505" i="3"/>
  <c r="D505" i="3" s="1"/>
  <c r="C506" i="3"/>
  <c r="D506" i="3" s="1"/>
  <c r="C507" i="3"/>
  <c r="D507" i="3" s="1"/>
  <c r="C508" i="3"/>
  <c r="D508" i="3" s="1"/>
  <c r="C3" i="3"/>
  <c r="D3" i="3" s="1"/>
  <c r="B4" i="3"/>
  <c r="B5" i="3"/>
  <c r="B6" i="3"/>
  <c r="B7" i="3"/>
  <c r="B8" i="3"/>
  <c r="B9" i="3"/>
  <c r="E9" i="3" s="1"/>
  <c r="B10" i="3"/>
  <c r="B11" i="3"/>
  <c r="E11" i="3" s="1"/>
  <c r="B12" i="3"/>
  <c r="B13" i="3"/>
  <c r="E13" i="3" s="1"/>
  <c r="B14" i="3"/>
  <c r="B15" i="3"/>
  <c r="B16" i="3"/>
  <c r="B17" i="3"/>
  <c r="B18" i="3"/>
  <c r="B19" i="3"/>
  <c r="B20" i="3"/>
  <c r="B21" i="3"/>
  <c r="E21" i="3" s="1"/>
  <c r="B22" i="3"/>
  <c r="B23" i="3"/>
  <c r="B24" i="3"/>
  <c r="B25" i="3"/>
  <c r="E25" i="3" s="1"/>
  <c r="B26" i="3"/>
  <c r="B27" i="3"/>
  <c r="E27" i="3" s="1"/>
  <c r="B28" i="3"/>
  <c r="B29" i="3"/>
  <c r="E29" i="3" s="1"/>
  <c r="B30" i="3"/>
  <c r="B31" i="3"/>
  <c r="B32" i="3"/>
  <c r="B33" i="3"/>
  <c r="B34" i="3"/>
  <c r="B35" i="3"/>
  <c r="B36" i="3"/>
  <c r="B37" i="3"/>
  <c r="E37" i="3" s="1"/>
  <c r="B38" i="3"/>
  <c r="B39" i="3"/>
  <c r="B40" i="3"/>
  <c r="B41" i="3"/>
  <c r="E41" i="3" s="1"/>
  <c r="B42" i="3"/>
  <c r="B43" i="3"/>
  <c r="E43" i="3" s="1"/>
  <c r="B44" i="3"/>
  <c r="B45" i="3"/>
  <c r="E45" i="3" s="1"/>
  <c r="B46" i="3"/>
  <c r="B47" i="3"/>
  <c r="B48" i="3"/>
  <c r="B49" i="3"/>
  <c r="B50" i="3"/>
  <c r="B51" i="3"/>
  <c r="B52" i="3"/>
  <c r="B53" i="3"/>
  <c r="E53" i="3" s="1"/>
  <c r="B54" i="3"/>
  <c r="B55" i="3"/>
  <c r="B56" i="3"/>
  <c r="B57" i="3"/>
  <c r="E57" i="3" s="1"/>
  <c r="B58" i="3"/>
  <c r="B59" i="3"/>
  <c r="E59" i="3" s="1"/>
  <c r="B60" i="3"/>
  <c r="B61" i="3"/>
  <c r="E61" i="3" s="1"/>
  <c r="B62" i="3"/>
  <c r="B63" i="3"/>
  <c r="B64" i="3"/>
  <c r="B65" i="3"/>
  <c r="B66" i="3"/>
  <c r="B67" i="3"/>
  <c r="B68" i="3"/>
  <c r="B69" i="3"/>
  <c r="E69" i="3" s="1"/>
  <c r="B70" i="3"/>
  <c r="B71" i="3"/>
  <c r="B72" i="3"/>
  <c r="B73" i="3"/>
  <c r="E73" i="3" s="1"/>
  <c r="B74" i="3"/>
  <c r="E74" i="3" s="1"/>
  <c r="B75" i="3"/>
  <c r="B76" i="3"/>
  <c r="B77" i="3"/>
  <c r="E77" i="3" s="1"/>
  <c r="B78" i="3"/>
  <c r="E78" i="3" s="1"/>
  <c r="B79" i="3"/>
  <c r="B80" i="3"/>
  <c r="B81" i="3"/>
  <c r="E81" i="3" s="1"/>
  <c r="B82" i="3"/>
  <c r="E82" i="3" s="1"/>
  <c r="B83" i="3"/>
  <c r="B84" i="3"/>
  <c r="B85" i="3"/>
  <c r="E85" i="3" s="1"/>
  <c r="B86" i="3"/>
  <c r="E86" i="3" s="1"/>
  <c r="B87" i="3"/>
  <c r="B88" i="3"/>
  <c r="B89" i="3"/>
  <c r="E89" i="3" s="1"/>
  <c r="B90" i="3"/>
  <c r="E90" i="3" s="1"/>
  <c r="B91" i="3"/>
  <c r="B92" i="3"/>
  <c r="B93" i="3"/>
  <c r="E93" i="3" s="1"/>
  <c r="B94" i="3"/>
  <c r="E94" i="3" s="1"/>
  <c r="B95" i="3"/>
  <c r="B96" i="3"/>
  <c r="B97" i="3"/>
  <c r="E97" i="3" s="1"/>
  <c r="B98" i="3"/>
  <c r="E98" i="3" s="1"/>
  <c r="B99" i="3"/>
  <c r="B100" i="3"/>
  <c r="B101" i="3"/>
  <c r="E101" i="3" s="1"/>
  <c r="B102" i="3"/>
  <c r="E102" i="3" s="1"/>
  <c r="B103" i="3"/>
  <c r="B104" i="3"/>
  <c r="B105" i="3"/>
  <c r="E105" i="3" s="1"/>
  <c r="B106" i="3"/>
  <c r="E106" i="3" s="1"/>
  <c r="B107" i="3"/>
  <c r="B108" i="3"/>
  <c r="B109" i="3"/>
  <c r="E109" i="3" s="1"/>
  <c r="B110" i="3"/>
  <c r="E110" i="3" s="1"/>
  <c r="B111" i="3"/>
  <c r="B112" i="3"/>
  <c r="B113" i="3"/>
  <c r="E113" i="3" s="1"/>
  <c r="B114" i="3"/>
  <c r="E114" i="3" s="1"/>
  <c r="B115" i="3"/>
  <c r="B116" i="3"/>
  <c r="B117" i="3"/>
  <c r="E117" i="3" s="1"/>
  <c r="B118" i="3"/>
  <c r="E118" i="3" s="1"/>
  <c r="B119" i="3"/>
  <c r="B120" i="3"/>
  <c r="B121" i="3"/>
  <c r="E121" i="3" s="1"/>
  <c r="B122" i="3"/>
  <c r="E122" i="3" s="1"/>
  <c r="B123" i="3"/>
  <c r="B124" i="3"/>
  <c r="B125" i="3"/>
  <c r="E125" i="3" s="1"/>
  <c r="B126" i="3"/>
  <c r="E126" i="3" s="1"/>
  <c r="B127" i="3"/>
  <c r="B128" i="3"/>
  <c r="B129" i="3"/>
  <c r="E129" i="3" s="1"/>
  <c r="B130" i="3"/>
  <c r="E130" i="3" s="1"/>
  <c r="B131" i="3"/>
  <c r="B132" i="3"/>
  <c r="B133" i="3"/>
  <c r="E133" i="3" s="1"/>
  <c r="B134" i="3"/>
  <c r="E134" i="3" s="1"/>
  <c r="B135" i="3"/>
  <c r="B136" i="3"/>
  <c r="B137" i="3"/>
  <c r="E137" i="3" s="1"/>
  <c r="B138" i="3"/>
  <c r="E138" i="3" s="1"/>
  <c r="B139" i="3"/>
  <c r="B140" i="3"/>
  <c r="B141" i="3"/>
  <c r="E141" i="3" s="1"/>
  <c r="B142" i="3"/>
  <c r="E142" i="3" s="1"/>
  <c r="B143" i="3"/>
  <c r="B144" i="3"/>
  <c r="B145" i="3"/>
  <c r="E145" i="3" s="1"/>
  <c r="B146" i="3"/>
  <c r="E146" i="3" s="1"/>
  <c r="B147" i="3"/>
  <c r="B148" i="3"/>
  <c r="B149" i="3"/>
  <c r="E149" i="3" s="1"/>
  <c r="B150" i="3"/>
  <c r="E150" i="3" s="1"/>
  <c r="B151" i="3"/>
  <c r="B152" i="3"/>
  <c r="B153" i="3"/>
  <c r="E153" i="3" s="1"/>
  <c r="B154" i="3"/>
  <c r="E154" i="3" s="1"/>
  <c r="B155" i="3"/>
  <c r="B156" i="3"/>
  <c r="B157" i="3"/>
  <c r="E157" i="3" s="1"/>
  <c r="B158" i="3"/>
  <c r="E158" i="3" s="1"/>
  <c r="B159" i="3"/>
  <c r="B160" i="3"/>
  <c r="B161" i="3"/>
  <c r="E161" i="3" s="1"/>
  <c r="B162" i="3"/>
  <c r="E162" i="3" s="1"/>
  <c r="B163" i="3"/>
  <c r="B164" i="3"/>
  <c r="B165" i="3"/>
  <c r="E165" i="3" s="1"/>
  <c r="B166" i="3"/>
  <c r="E166" i="3" s="1"/>
  <c r="B167" i="3"/>
  <c r="B168" i="3"/>
  <c r="B169" i="3"/>
  <c r="E169" i="3" s="1"/>
  <c r="B170" i="3"/>
  <c r="E170" i="3" s="1"/>
  <c r="B171" i="3"/>
  <c r="B172" i="3"/>
  <c r="B173" i="3"/>
  <c r="E173" i="3" s="1"/>
  <c r="B174" i="3"/>
  <c r="E174" i="3" s="1"/>
  <c r="B175" i="3"/>
  <c r="B176" i="3"/>
  <c r="B177" i="3"/>
  <c r="E177" i="3" s="1"/>
  <c r="B178" i="3"/>
  <c r="E178" i="3" s="1"/>
  <c r="B179" i="3"/>
  <c r="B180" i="3"/>
  <c r="B181" i="3"/>
  <c r="E181" i="3" s="1"/>
  <c r="B182" i="3"/>
  <c r="E182" i="3" s="1"/>
  <c r="B183" i="3"/>
  <c r="B184" i="3"/>
  <c r="B185" i="3"/>
  <c r="E185" i="3" s="1"/>
  <c r="B186" i="3"/>
  <c r="E186" i="3" s="1"/>
  <c r="B187" i="3"/>
  <c r="B188" i="3"/>
  <c r="B189" i="3"/>
  <c r="E189" i="3" s="1"/>
  <c r="B190" i="3"/>
  <c r="E190" i="3" s="1"/>
  <c r="B191" i="3"/>
  <c r="B192" i="3"/>
  <c r="B193" i="3"/>
  <c r="E193" i="3" s="1"/>
  <c r="B194" i="3"/>
  <c r="E194" i="3" s="1"/>
  <c r="B195" i="3"/>
  <c r="B196" i="3"/>
  <c r="B197" i="3"/>
  <c r="E197" i="3" s="1"/>
  <c r="B198" i="3"/>
  <c r="E198" i="3" s="1"/>
  <c r="B199" i="3"/>
  <c r="B200" i="3"/>
  <c r="B201" i="3"/>
  <c r="E201" i="3" s="1"/>
  <c r="B202" i="3"/>
  <c r="E202" i="3" s="1"/>
  <c r="B203" i="3"/>
  <c r="B204" i="3"/>
  <c r="B205" i="3"/>
  <c r="E205" i="3" s="1"/>
  <c r="B206" i="3"/>
  <c r="E206" i="3" s="1"/>
  <c r="B207" i="3"/>
  <c r="B208" i="3"/>
  <c r="B209" i="3"/>
  <c r="E209" i="3" s="1"/>
  <c r="B210" i="3"/>
  <c r="E210" i="3" s="1"/>
  <c r="B211" i="3"/>
  <c r="B212" i="3"/>
  <c r="B213" i="3"/>
  <c r="E213" i="3" s="1"/>
  <c r="B214" i="3"/>
  <c r="E214" i="3" s="1"/>
  <c r="B215" i="3"/>
  <c r="B216" i="3"/>
  <c r="B217" i="3"/>
  <c r="E217" i="3" s="1"/>
  <c r="B218" i="3"/>
  <c r="E218" i="3" s="1"/>
  <c r="B219" i="3"/>
  <c r="B220" i="3"/>
  <c r="B221" i="3"/>
  <c r="E221" i="3" s="1"/>
  <c r="B222" i="3"/>
  <c r="E222" i="3" s="1"/>
  <c r="B223" i="3"/>
  <c r="B224" i="3"/>
  <c r="B225" i="3"/>
  <c r="E225" i="3" s="1"/>
  <c r="B226" i="3"/>
  <c r="E226" i="3" s="1"/>
  <c r="B227" i="3"/>
  <c r="B228" i="3"/>
  <c r="B229" i="3"/>
  <c r="E229" i="3" s="1"/>
  <c r="B230" i="3"/>
  <c r="E230" i="3" s="1"/>
  <c r="B231" i="3"/>
  <c r="B232" i="3"/>
  <c r="B233" i="3"/>
  <c r="E233" i="3" s="1"/>
  <c r="B234" i="3"/>
  <c r="E234" i="3" s="1"/>
  <c r="B235" i="3"/>
  <c r="B236" i="3"/>
  <c r="B237" i="3"/>
  <c r="E237" i="3" s="1"/>
  <c r="B238" i="3"/>
  <c r="E238" i="3" s="1"/>
  <c r="B239" i="3"/>
  <c r="B240" i="3"/>
  <c r="B241" i="3"/>
  <c r="E241" i="3" s="1"/>
  <c r="B242" i="3"/>
  <c r="E242" i="3" s="1"/>
  <c r="B243" i="3"/>
  <c r="B244" i="3"/>
  <c r="B245" i="3"/>
  <c r="E245" i="3" s="1"/>
  <c r="B246" i="3"/>
  <c r="E246" i="3" s="1"/>
  <c r="B247" i="3"/>
  <c r="B248" i="3"/>
  <c r="B249" i="3"/>
  <c r="E249" i="3" s="1"/>
  <c r="B250" i="3"/>
  <c r="E250" i="3" s="1"/>
  <c r="B251" i="3"/>
  <c r="B252" i="3"/>
  <c r="B253" i="3"/>
  <c r="E253" i="3" s="1"/>
  <c r="B254" i="3"/>
  <c r="E254" i="3" s="1"/>
  <c r="B255" i="3"/>
  <c r="B256" i="3"/>
  <c r="B257" i="3"/>
  <c r="E257" i="3" s="1"/>
  <c r="B258" i="3"/>
  <c r="E258" i="3" s="1"/>
  <c r="B259" i="3"/>
  <c r="B260" i="3"/>
  <c r="B261" i="3"/>
  <c r="E261" i="3" s="1"/>
  <c r="B262" i="3"/>
  <c r="E262" i="3" s="1"/>
  <c r="B263" i="3"/>
  <c r="B264" i="3"/>
  <c r="B265" i="3"/>
  <c r="E265" i="3" s="1"/>
  <c r="B266" i="3"/>
  <c r="E266" i="3" s="1"/>
  <c r="B267" i="3"/>
  <c r="B268" i="3"/>
  <c r="B269" i="3"/>
  <c r="E269" i="3" s="1"/>
  <c r="B270" i="3"/>
  <c r="E270" i="3" s="1"/>
  <c r="B271" i="3"/>
  <c r="B272" i="3"/>
  <c r="B273" i="3"/>
  <c r="E273" i="3" s="1"/>
  <c r="B274" i="3"/>
  <c r="E274" i="3" s="1"/>
  <c r="B275" i="3"/>
  <c r="B276" i="3"/>
  <c r="B277" i="3"/>
  <c r="E277" i="3" s="1"/>
  <c r="B278" i="3"/>
  <c r="E278" i="3" s="1"/>
  <c r="B279" i="3"/>
  <c r="B280" i="3"/>
  <c r="B281" i="3"/>
  <c r="E281" i="3" s="1"/>
  <c r="B282" i="3"/>
  <c r="E282" i="3" s="1"/>
  <c r="B283" i="3"/>
  <c r="B284" i="3"/>
  <c r="B285" i="3"/>
  <c r="E285" i="3" s="1"/>
  <c r="B286" i="3"/>
  <c r="E286" i="3" s="1"/>
  <c r="B287" i="3"/>
  <c r="B288" i="3"/>
  <c r="B289" i="3"/>
  <c r="E289" i="3" s="1"/>
  <c r="B290" i="3"/>
  <c r="E290" i="3" s="1"/>
  <c r="B291" i="3"/>
  <c r="B292" i="3"/>
  <c r="B293" i="3"/>
  <c r="E293" i="3" s="1"/>
  <c r="B294" i="3"/>
  <c r="E294" i="3" s="1"/>
  <c r="B295" i="3"/>
  <c r="B296" i="3"/>
  <c r="B297" i="3"/>
  <c r="E297" i="3" s="1"/>
  <c r="B298" i="3"/>
  <c r="E298" i="3" s="1"/>
  <c r="B299" i="3"/>
  <c r="B300" i="3"/>
  <c r="B301" i="3"/>
  <c r="E301" i="3" s="1"/>
  <c r="B302" i="3"/>
  <c r="E302" i="3" s="1"/>
  <c r="B303" i="3"/>
  <c r="B304" i="3"/>
  <c r="B305" i="3"/>
  <c r="E305" i="3" s="1"/>
  <c r="B306" i="3"/>
  <c r="E306" i="3" s="1"/>
  <c r="B307" i="3"/>
  <c r="B308" i="3"/>
  <c r="B309" i="3"/>
  <c r="E309" i="3" s="1"/>
  <c r="B310" i="3"/>
  <c r="E310" i="3" s="1"/>
  <c r="B311" i="3"/>
  <c r="B312" i="3"/>
  <c r="B313" i="3"/>
  <c r="E313" i="3" s="1"/>
  <c r="B314" i="3"/>
  <c r="E314" i="3" s="1"/>
  <c r="B315" i="3"/>
  <c r="B316" i="3"/>
  <c r="B317" i="3"/>
  <c r="E317" i="3" s="1"/>
  <c r="B318" i="3"/>
  <c r="E318" i="3" s="1"/>
  <c r="B319" i="3"/>
  <c r="B320" i="3"/>
  <c r="B321" i="3"/>
  <c r="E321" i="3" s="1"/>
  <c r="B322" i="3"/>
  <c r="E322" i="3" s="1"/>
  <c r="B323" i="3"/>
  <c r="B324" i="3"/>
  <c r="B325" i="3"/>
  <c r="E325" i="3" s="1"/>
  <c r="B326" i="3"/>
  <c r="E326" i="3" s="1"/>
  <c r="B327" i="3"/>
  <c r="B328" i="3"/>
  <c r="B329" i="3"/>
  <c r="E329" i="3" s="1"/>
  <c r="B330" i="3"/>
  <c r="E330" i="3" s="1"/>
  <c r="B331" i="3"/>
  <c r="B332" i="3"/>
  <c r="B333" i="3"/>
  <c r="E333" i="3" s="1"/>
  <c r="B334" i="3"/>
  <c r="E334" i="3" s="1"/>
  <c r="B335" i="3"/>
  <c r="B336" i="3"/>
  <c r="B337" i="3"/>
  <c r="E337" i="3" s="1"/>
  <c r="B338" i="3"/>
  <c r="E338" i="3" s="1"/>
  <c r="B339" i="3"/>
  <c r="B340" i="3"/>
  <c r="B341" i="3"/>
  <c r="E341" i="3" s="1"/>
  <c r="B342" i="3"/>
  <c r="E342" i="3" s="1"/>
  <c r="B343" i="3"/>
  <c r="B344" i="3"/>
  <c r="B345" i="3"/>
  <c r="E345" i="3" s="1"/>
  <c r="B346" i="3"/>
  <c r="E346" i="3" s="1"/>
  <c r="B347" i="3"/>
  <c r="B348" i="3"/>
  <c r="B349" i="3"/>
  <c r="E349" i="3" s="1"/>
  <c r="B350" i="3"/>
  <c r="E350" i="3" s="1"/>
  <c r="B351" i="3"/>
  <c r="B352" i="3"/>
  <c r="B353" i="3"/>
  <c r="E353" i="3" s="1"/>
  <c r="B354" i="3"/>
  <c r="E354" i="3" s="1"/>
  <c r="B355" i="3"/>
  <c r="B356" i="3"/>
  <c r="B357" i="3"/>
  <c r="E357" i="3" s="1"/>
  <c r="B358" i="3"/>
  <c r="E358" i="3" s="1"/>
  <c r="B359" i="3"/>
  <c r="B360" i="3"/>
  <c r="B361" i="3"/>
  <c r="E361" i="3" s="1"/>
  <c r="B362" i="3"/>
  <c r="E362" i="3" s="1"/>
  <c r="B363" i="3"/>
  <c r="B364" i="3"/>
  <c r="B365" i="3"/>
  <c r="E365" i="3" s="1"/>
  <c r="B366" i="3"/>
  <c r="E366" i="3" s="1"/>
  <c r="B367" i="3"/>
  <c r="B368" i="3"/>
  <c r="B369" i="3"/>
  <c r="E369" i="3" s="1"/>
  <c r="B370" i="3"/>
  <c r="E370" i="3" s="1"/>
  <c r="B371" i="3"/>
  <c r="B372" i="3"/>
  <c r="B373" i="3"/>
  <c r="E373" i="3" s="1"/>
  <c r="B374" i="3"/>
  <c r="E374" i="3" s="1"/>
  <c r="B375" i="3"/>
  <c r="B376" i="3"/>
  <c r="B377" i="3"/>
  <c r="E377" i="3" s="1"/>
  <c r="B378" i="3"/>
  <c r="E378" i="3" s="1"/>
  <c r="B379" i="3"/>
  <c r="B380" i="3"/>
  <c r="B381" i="3"/>
  <c r="E381" i="3" s="1"/>
  <c r="B382" i="3"/>
  <c r="E382" i="3" s="1"/>
  <c r="B383" i="3"/>
  <c r="B384" i="3"/>
  <c r="B385" i="3"/>
  <c r="E385" i="3" s="1"/>
  <c r="B386" i="3"/>
  <c r="E386" i="3" s="1"/>
  <c r="B387" i="3"/>
  <c r="B388" i="3"/>
  <c r="B389" i="3"/>
  <c r="E389" i="3" s="1"/>
  <c r="B390" i="3"/>
  <c r="E390" i="3" s="1"/>
  <c r="B391" i="3"/>
  <c r="B392" i="3"/>
  <c r="B393" i="3"/>
  <c r="E393" i="3" s="1"/>
  <c r="B394" i="3"/>
  <c r="E394" i="3" s="1"/>
  <c r="B395" i="3"/>
  <c r="B396" i="3"/>
  <c r="B397" i="3"/>
  <c r="E397" i="3" s="1"/>
  <c r="B398" i="3"/>
  <c r="E398" i="3" s="1"/>
  <c r="B399" i="3"/>
  <c r="B400" i="3"/>
  <c r="B401" i="3"/>
  <c r="E401" i="3" s="1"/>
  <c r="B402" i="3"/>
  <c r="E402" i="3" s="1"/>
  <c r="B403" i="3"/>
  <c r="B404" i="3"/>
  <c r="B405" i="3"/>
  <c r="E405" i="3" s="1"/>
  <c r="B406" i="3"/>
  <c r="E406" i="3" s="1"/>
  <c r="B407" i="3"/>
  <c r="B408" i="3"/>
  <c r="B409" i="3"/>
  <c r="E409" i="3" s="1"/>
  <c r="B410" i="3"/>
  <c r="E410" i="3" s="1"/>
  <c r="B411" i="3"/>
  <c r="B412" i="3"/>
  <c r="B413" i="3"/>
  <c r="E413" i="3" s="1"/>
  <c r="B414" i="3"/>
  <c r="E414" i="3" s="1"/>
  <c r="B415" i="3"/>
  <c r="B416" i="3"/>
  <c r="B417" i="3"/>
  <c r="E417" i="3" s="1"/>
  <c r="B418" i="3"/>
  <c r="E418" i="3" s="1"/>
  <c r="B419" i="3"/>
  <c r="B420" i="3"/>
  <c r="B421" i="3"/>
  <c r="E421" i="3" s="1"/>
  <c r="B422" i="3"/>
  <c r="E422" i="3" s="1"/>
  <c r="B423" i="3"/>
  <c r="B424" i="3"/>
  <c r="B425" i="3"/>
  <c r="E425" i="3" s="1"/>
  <c r="B426" i="3"/>
  <c r="E426" i="3" s="1"/>
  <c r="B427" i="3"/>
  <c r="F427" i="3" s="1"/>
  <c r="B428" i="3"/>
  <c r="B429" i="3"/>
  <c r="E429" i="3" s="1"/>
  <c r="B430" i="3"/>
  <c r="E430" i="3" s="1"/>
  <c r="B431" i="3"/>
  <c r="B432" i="3"/>
  <c r="B433" i="3"/>
  <c r="E433" i="3" s="1"/>
  <c r="B434" i="3"/>
  <c r="E434" i="3" s="1"/>
  <c r="B435" i="3"/>
  <c r="B436" i="3"/>
  <c r="B437" i="3"/>
  <c r="E437" i="3" s="1"/>
  <c r="B438" i="3"/>
  <c r="E438" i="3" s="1"/>
  <c r="B439" i="3"/>
  <c r="B440" i="3"/>
  <c r="B441" i="3"/>
  <c r="E441" i="3" s="1"/>
  <c r="B442" i="3"/>
  <c r="E442" i="3" s="1"/>
  <c r="B443" i="3"/>
  <c r="F443" i="3" s="1"/>
  <c r="B444" i="3"/>
  <c r="B445" i="3"/>
  <c r="E445" i="3" s="1"/>
  <c r="B446" i="3"/>
  <c r="E446" i="3" s="1"/>
  <c r="B447" i="3"/>
  <c r="B448" i="3"/>
  <c r="B449" i="3"/>
  <c r="E449" i="3" s="1"/>
  <c r="B450" i="3"/>
  <c r="E450" i="3" s="1"/>
  <c r="B451" i="3"/>
  <c r="B452" i="3"/>
  <c r="B453" i="3"/>
  <c r="E453" i="3" s="1"/>
  <c r="B454" i="3"/>
  <c r="E454" i="3" s="1"/>
  <c r="B455" i="3"/>
  <c r="B456" i="3"/>
  <c r="B457" i="3"/>
  <c r="E457" i="3" s="1"/>
  <c r="B458" i="3"/>
  <c r="E458" i="3" s="1"/>
  <c r="B459" i="3"/>
  <c r="F459" i="3" s="1"/>
  <c r="B460" i="3"/>
  <c r="B461" i="3"/>
  <c r="E461" i="3" s="1"/>
  <c r="B462" i="3"/>
  <c r="E462" i="3" s="1"/>
  <c r="B463" i="3"/>
  <c r="B464" i="3"/>
  <c r="B465" i="3"/>
  <c r="E465" i="3" s="1"/>
  <c r="B466" i="3"/>
  <c r="E466" i="3" s="1"/>
  <c r="B467" i="3"/>
  <c r="B468" i="3"/>
  <c r="B469" i="3"/>
  <c r="E469" i="3" s="1"/>
  <c r="B470" i="3"/>
  <c r="E470" i="3" s="1"/>
  <c r="B471" i="3"/>
  <c r="B472" i="3"/>
  <c r="B473" i="3"/>
  <c r="E473" i="3" s="1"/>
  <c r="B474" i="3"/>
  <c r="E474" i="3" s="1"/>
  <c r="B475" i="3"/>
  <c r="F475" i="3" s="1"/>
  <c r="B476" i="3"/>
  <c r="B477" i="3"/>
  <c r="E477" i="3" s="1"/>
  <c r="B478" i="3"/>
  <c r="E478" i="3" s="1"/>
  <c r="B479" i="3"/>
  <c r="B480" i="3"/>
  <c r="B481" i="3"/>
  <c r="E481" i="3" s="1"/>
  <c r="B482" i="3"/>
  <c r="E482" i="3" s="1"/>
  <c r="B483" i="3"/>
  <c r="B484" i="3"/>
  <c r="B485" i="3"/>
  <c r="E485" i="3" s="1"/>
  <c r="B486" i="3"/>
  <c r="E486" i="3" s="1"/>
  <c r="B487" i="3"/>
  <c r="B488" i="3"/>
  <c r="B489" i="3"/>
  <c r="E489" i="3" s="1"/>
  <c r="B490" i="3"/>
  <c r="E490" i="3" s="1"/>
  <c r="B491" i="3"/>
  <c r="F491" i="3" s="1"/>
  <c r="B492" i="3"/>
  <c r="B493" i="3"/>
  <c r="E493" i="3" s="1"/>
  <c r="B494" i="3"/>
  <c r="E494" i="3" s="1"/>
  <c r="B495" i="3"/>
  <c r="B496" i="3"/>
  <c r="B497" i="3"/>
  <c r="E497" i="3" s="1"/>
  <c r="B498" i="3"/>
  <c r="E498" i="3" s="1"/>
  <c r="B499" i="3"/>
  <c r="B500" i="3"/>
  <c r="B501" i="3"/>
  <c r="E501" i="3" s="1"/>
  <c r="B502" i="3"/>
  <c r="E502" i="3" s="1"/>
  <c r="B503" i="3"/>
  <c r="B504" i="3"/>
  <c r="B505" i="3"/>
  <c r="E505" i="3" s="1"/>
  <c r="B506" i="3"/>
  <c r="E506" i="3" s="1"/>
  <c r="B507" i="3"/>
  <c r="F507" i="3" s="1"/>
  <c r="B508" i="3"/>
  <c r="B3" i="3"/>
  <c r="E3" i="3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I396" i="2" s="1"/>
  <c r="D397" i="2"/>
  <c r="D398" i="2"/>
  <c r="D399" i="2"/>
  <c r="D400" i="2"/>
  <c r="D401" i="2"/>
  <c r="D402" i="2"/>
  <c r="D403" i="2"/>
  <c r="D404" i="2"/>
  <c r="I404" i="2" s="1"/>
  <c r="D405" i="2"/>
  <c r="D406" i="2"/>
  <c r="D407" i="2"/>
  <c r="D408" i="2"/>
  <c r="D409" i="2"/>
  <c r="D410" i="2"/>
  <c r="D411" i="2"/>
  <c r="D412" i="2"/>
  <c r="I412" i="2" s="1"/>
  <c r="D413" i="2"/>
  <c r="D414" i="2"/>
  <c r="D415" i="2"/>
  <c r="D416" i="2"/>
  <c r="D417" i="2"/>
  <c r="D418" i="2"/>
  <c r="D419" i="2"/>
  <c r="D420" i="2"/>
  <c r="I420" i="2" s="1"/>
  <c r="D421" i="2"/>
  <c r="D422" i="2"/>
  <c r="D423" i="2"/>
  <c r="D424" i="2"/>
  <c r="D425" i="2"/>
  <c r="D426" i="2"/>
  <c r="D427" i="2"/>
  <c r="D428" i="2"/>
  <c r="I428" i="2" s="1"/>
  <c r="D429" i="2"/>
  <c r="D430" i="2"/>
  <c r="D431" i="2"/>
  <c r="D432" i="2"/>
  <c r="D433" i="2"/>
  <c r="D434" i="2"/>
  <c r="D435" i="2"/>
  <c r="D436" i="2"/>
  <c r="I436" i="2" s="1"/>
  <c r="D437" i="2"/>
  <c r="D438" i="2"/>
  <c r="D439" i="2"/>
  <c r="D440" i="2"/>
  <c r="D441" i="2"/>
  <c r="D442" i="2"/>
  <c r="D443" i="2"/>
  <c r="D444" i="2"/>
  <c r="I444" i="2" s="1"/>
  <c r="D445" i="2"/>
  <c r="D446" i="2"/>
  <c r="D447" i="2"/>
  <c r="D448" i="2"/>
  <c r="D449" i="2"/>
  <c r="D450" i="2"/>
  <c r="D451" i="2"/>
  <c r="D452" i="2"/>
  <c r="I452" i="2" s="1"/>
  <c r="D453" i="2"/>
  <c r="D454" i="2"/>
  <c r="D455" i="2"/>
  <c r="D456" i="2"/>
  <c r="D457" i="2"/>
  <c r="D458" i="2"/>
  <c r="D459" i="2"/>
  <c r="D460" i="2"/>
  <c r="I460" i="2" s="1"/>
  <c r="D461" i="2"/>
  <c r="D462" i="2"/>
  <c r="D463" i="2"/>
  <c r="D464" i="2"/>
  <c r="D465" i="2"/>
  <c r="D466" i="2"/>
  <c r="D467" i="2"/>
  <c r="D468" i="2"/>
  <c r="I468" i="2" s="1"/>
  <c r="D469" i="2"/>
  <c r="D470" i="2"/>
  <c r="D471" i="2"/>
  <c r="D472" i="2"/>
  <c r="D473" i="2"/>
  <c r="D474" i="2"/>
  <c r="D475" i="2"/>
  <c r="D476" i="2"/>
  <c r="I476" i="2" s="1"/>
  <c r="D477" i="2"/>
  <c r="D478" i="2"/>
  <c r="D479" i="2"/>
  <c r="D480" i="2"/>
  <c r="D481" i="2"/>
  <c r="D482" i="2"/>
  <c r="D483" i="2"/>
  <c r="D484" i="2"/>
  <c r="I484" i="2" s="1"/>
  <c r="D485" i="2"/>
  <c r="D486" i="2"/>
  <c r="D487" i="2"/>
  <c r="D488" i="2"/>
  <c r="D489" i="2"/>
  <c r="D490" i="2"/>
  <c r="D491" i="2"/>
  <c r="D492" i="2"/>
  <c r="I492" i="2" s="1"/>
  <c r="D493" i="2"/>
  <c r="D494" i="2"/>
  <c r="D495" i="2"/>
  <c r="D496" i="2"/>
  <c r="D497" i="2"/>
  <c r="D498" i="2"/>
  <c r="D499" i="2"/>
  <c r="D500" i="2"/>
  <c r="I500" i="2" s="1"/>
  <c r="D501" i="2"/>
  <c r="D502" i="2"/>
  <c r="D503" i="2"/>
  <c r="D504" i="2"/>
  <c r="D505" i="2"/>
  <c r="D506" i="2"/>
  <c r="D507" i="2"/>
  <c r="D508" i="2"/>
  <c r="I508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B4" i="2"/>
  <c r="B5" i="2"/>
  <c r="B6" i="2"/>
  <c r="F6" i="2" s="1"/>
  <c r="B7" i="2"/>
  <c r="E7" i="2" s="1"/>
  <c r="B8" i="2"/>
  <c r="G8" i="2" s="1"/>
  <c r="B9" i="2"/>
  <c r="B10" i="2"/>
  <c r="F10" i="2" s="1"/>
  <c r="B11" i="2"/>
  <c r="B12" i="2"/>
  <c r="B13" i="2"/>
  <c r="B14" i="2"/>
  <c r="F14" i="2" s="1"/>
  <c r="B15" i="2"/>
  <c r="E15" i="2" s="1"/>
  <c r="B16" i="2"/>
  <c r="E16" i="2" s="1"/>
  <c r="B17" i="2"/>
  <c r="B18" i="2"/>
  <c r="F18" i="2" s="1"/>
  <c r="B19" i="2"/>
  <c r="B20" i="2"/>
  <c r="B21" i="2"/>
  <c r="B22" i="2"/>
  <c r="F22" i="2" s="1"/>
  <c r="B23" i="2"/>
  <c r="E23" i="2" s="1"/>
  <c r="B24" i="2"/>
  <c r="G24" i="2" s="1"/>
  <c r="B25" i="2"/>
  <c r="B26" i="2"/>
  <c r="F26" i="2" s="1"/>
  <c r="B27" i="2"/>
  <c r="B28" i="2"/>
  <c r="B29" i="2"/>
  <c r="B30" i="2"/>
  <c r="F30" i="2" s="1"/>
  <c r="B31" i="2"/>
  <c r="E31" i="2" s="1"/>
  <c r="B32" i="2"/>
  <c r="E32" i="2" s="1"/>
  <c r="B33" i="2"/>
  <c r="B34" i="2"/>
  <c r="F34" i="2" s="1"/>
  <c r="B35" i="2"/>
  <c r="B36" i="2"/>
  <c r="B37" i="2"/>
  <c r="B38" i="2"/>
  <c r="F38" i="2" s="1"/>
  <c r="B39" i="2"/>
  <c r="E39" i="2" s="1"/>
  <c r="B40" i="2"/>
  <c r="G40" i="2" s="1"/>
  <c r="B41" i="2"/>
  <c r="B42" i="2"/>
  <c r="F42" i="2" s="1"/>
  <c r="B43" i="2"/>
  <c r="B44" i="2"/>
  <c r="B45" i="2"/>
  <c r="B46" i="2"/>
  <c r="F46" i="2" s="1"/>
  <c r="B47" i="2"/>
  <c r="E47" i="2" s="1"/>
  <c r="B48" i="2"/>
  <c r="E48" i="2" s="1"/>
  <c r="B49" i="2"/>
  <c r="B50" i="2"/>
  <c r="F50" i="2" s="1"/>
  <c r="B51" i="2"/>
  <c r="B52" i="2"/>
  <c r="B53" i="2"/>
  <c r="B54" i="2"/>
  <c r="F54" i="2" s="1"/>
  <c r="B55" i="2"/>
  <c r="E55" i="2" s="1"/>
  <c r="B56" i="2"/>
  <c r="E56" i="2" s="1"/>
  <c r="B57" i="2"/>
  <c r="B58" i="2"/>
  <c r="F58" i="2" s="1"/>
  <c r="B59" i="2"/>
  <c r="B60" i="2"/>
  <c r="B61" i="2"/>
  <c r="B62" i="2"/>
  <c r="F62" i="2" s="1"/>
  <c r="B63" i="2"/>
  <c r="E63" i="2" s="1"/>
  <c r="B64" i="2"/>
  <c r="E64" i="2" s="1"/>
  <c r="B65" i="2"/>
  <c r="B66" i="2"/>
  <c r="F66" i="2" s="1"/>
  <c r="B67" i="2"/>
  <c r="B68" i="2"/>
  <c r="B69" i="2"/>
  <c r="B70" i="2"/>
  <c r="F70" i="2" s="1"/>
  <c r="B71" i="2"/>
  <c r="E71" i="2" s="1"/>
  <c r="B72" i="2"/>
  <c r="E72" i="2" s="1"/>
  <c r="B73" i="2"/>
  <c r="B74" i="2"/>
  <c r="F74" i="2" s="1"/>
  <c r="B75" i="2"/>
  <c r="B76" i="2"/>
  <c r="B77" i="2"/>
  <c r="B78" i="2"/>
  <c r="F78" i="2" s="1"/>
  <c r="B79" i="2"/>
  <c r="E79" i="2" s="1"/>
  <c r="B80" i="2"/>
  <c r="E80" i="2" s="1"/>
  <c r="B81" i="2"/>
  <c r="B82" i="2"/>
  <c r="F82" i="2" s="1"/>
  <c r="B83" i="2"/>
  <c r="B84" i="2"/>
  <c r="B85" i="2"/>
  <c r="B86" i="2"/>
  <c r="F86" i="2" s="1"/>
  <c r="B87" i="2"/>
  <c r="E87" i="2" s="1"/>
  <c r="B88" i="2"/>
  <c r="E88" i="2" s="1"/>
  <c r="B89" i="2"/>
  <c r="B90" i="2"/>
  <c r="F90" i="2" s="1"/>
  <c r="B91" i="2"/>
  <c r="B92" i="2"/>
  <c r="B93" i="2"/>
  <c r="B94" i="2"/>
  <c r="F94" i="2" s="1"/>
  <c r="B95" i="2"/>
  <c r="E95" i="2" s="1"/>
  <c r="B96" i="2"/>
  <c r="E96" i="2" s="1"/>
  <c r="B97" i="2"/>
  <c r="B98" i="2"/>
  <c r="F98" i="2" s="1"/>
  <c r="B99" i="2"/>
  <c r="B100" i="2"/>
  <c r="B101" i="2"/>
  <c r="B102" i="2"/>
  <c r="F102" i="2" s="1"/>
  <c r="B103" i="2"/>
  <c r="E103" i="2" s="1"/>
  <c r="B104" i="2"/>
  <c r="E104" i="2" s="1"/>
  <c r="B105" i="2"/>
  <c r="B106" i="2"/>
  <c r="F106" i="2" s="1"/>
  <c r="B107" i="2"/>
  <c r="B108" i="2"/>
  <c r="B109" i="2"/>
  <c r="B110" i="2"/>
  <c r="F110" i="2" s="1"/>
  <c r="B111" i="2"/>
  <c r="E111" i="2" s="1"/>
  <c r="B112" i="2"/>
  <c r="E112" i="2" s="1"/>
  <c r="B113" i="2"/>
  <c r="B114" i="2"/>
  <c r="F114" i="2" s="1"/>
  <c r="B115" i="2"/>
  <c r="B116" i="2"/>
  <c r="B117" i="2"/>
  <c r="B118" i="2"/>
  <c r="F118" i="2" s="1"/>
  <c r="B119" i="2"/>
  <c r="E119" i="2" s="1"/>
  <c r="B120" i="2"/>
  <c r="E120" i="2" s="1"/>
  <c r="B121" i="2"/>
  <c r="B122" i="2"/>
  <c r="F122" i="2" s="1"/>
  <c r="B123" i="2"/>
  <c r="B124" i="2"/>
  <c r="B125" i="2"/>
  <c r="B126" i="2"/>
  <c r="F126" i="2" s="1"/>
  <c r="B127" i="2"/>
  <c r="E127" i="2" s="1"/>
  <c r="B128" i="2"/>
  <c r="E128" i="2" s="1"/>
  <c r="B129" i="2"/>
  <c r="B130" i="2"/>
  <c r="F130" i="2" s="1"/>
  <c r="B131" i="2"/>
  <c r="B132" i="2"/>
  <c r="B133" i="2"/>
  <c r="B134" i="2"/>
  <c r="F134" i="2" s="1"/>
  <c r="B135" i="2"/>
  <c r="E135" i="2" s="1"/>
  <c r="B136" i="2"/>
  <c r="E136" i="2" s="1"/>
  <c r="B137" i="2"/>
  <c r="B138" i="2"/>
  <c r="F138" i="2" s="1"/>
  <c r="B139" i="2"/>
  <c r="B140" i="2"/>
  <c r="B141" i="2"/>
  <c r="B142" i="2"/>
  <c r="F142" i="2" s="1"/>
  <c r="B143" i="2"/>
  <c r="E143" i="2" s="1"/>
  <c r="B144" i="2"/>
  <c r="E144" i="2" s="1"/>
  <c r="B145" i="2"/>
  <c r="B146" i="2"/>
  <c r="F146" i="2" s="1"/>
  <c r="B147" i="2"/>
  <c r="B148" i="2"/>
  <c r="B149" i="2"/>
  <c r="B150" i="2"/>
  <c r="F150" i="2" s="1"/>
  <c r="B151" i="2"/>
  <c r="E151" i="2" s="1"/>
  <c r="B152" i="2"/>
  <c r="E152" i="2" s="1"/>
  <c r="B153" i="2"/>
  <c r="B154" i="2"/>
  <c r="F154" i="2" s="1"/>
  <c r="B155" i="2"/>
  <c r="B156" i="2"/>
  <c r="B157" i="2"/>
  <c r="B158" i="2"/>
  <c r="F158" i="2" s="1"/>
  <c r="B159" i="2"/>
  <c r="E159" i="2" s="1"/>
  <c r="B160" i="2"/>
  <c r="E160" i="2" s="1"/>
  <c r="B161" i="2"/>
  <c r="B162" i="2"/>
  <c r="F162" i="2" s="1"/>
  <c r="B163" i="2"/>
  <c r="B164" i="2"/>
  <c r="B165" i="2"/>
  <c r="B166" i="2"/>
  <c r="F166" i="2" s="1"/>
  <c r="B167" i="2"/>
  <c r="E167" i="2" s="1"/>
  <c r="B168" i="2"/>
  <c r="E168" i="2" s="1"/>
  <c r="B169" i="2"/>
  <c r="B170" i="2"/>
  <c r="F170" i="2" s="1"/>
  <c r="B171" i="2"/>
  <c r="B172" i="2"/>
  <c r="B173" i="2"/>
  <c r="B174" i="2"/>
  <c r="F174" i="2" s="1"/>
  <c r="B175" i="2"/>
  <c r="E175" i="2" s="1"/>
  <c r="B176" i="2"/>
  <c r="E176" i="2" s="1"/>
  <c r="B177" i="2"/>
  <c r="B178" i="2"/>
  <c r="F178" i="2" s="1"/>
  <c r="B179" i="2"/>
  <c r="B180" i="2"/>
  <c r="B181" i="2"/>
  <c r="B182" i="2"/>
  <c r="F182" i="2" s="1"/>
  <c r="B183" i="2"/>
  <c r="E183" i="2" s="1"/>
  <c r="B184" i="2"/>
  <c r="E184" i="2" s="1"/>
  <c r="B185" i="2"/>
  <c r="B186" i="2"/>
  <c r="F186" i="2" s="1"/>
  <c r="B187" i="2"/>
  <c r="B188" i="2"/>
  <c r="B189" i="2"/>
  <c r="B190" i="2"/>
  <c r="F190" i="2" s="1"/>
  <c r="B191" i="2"/>
  <c r="E191" i="2" s="1"/>
  <c r="B192" i="2"/>
  <c r="E192" i="2" s="1"/>
  <c r="B193" i="2"/>
  <c r="B194" i="2"/>
  <c r="F194" i="2" s="1"/>
  <c r="B195" i="2"/>
  <c r="B196" i="2"/>
  <c r="B197" i="2"/>
  <c r="B198" i="2"/>
  <c r="F198" i="2" s="1"/>
  <c r="B199" i="2"/>
  <c r="E199" i="2" s="1"/>
  <c r="B200" i="2"/>
  <c r="E200" i="2" s="1"/>
  <c r="B201" i="2"/>
  <c r="B202" i="2"/>
  <c r="F202" i="2" s="1"/>
  <c r="B203" i="2"/>
  <c r="B204" i="2"/>
  <c r="B205" i="2"/>
  <c r="B206" i="2"/>
  <c r="F206" i="2" s="1"/>
  <c r="B207" i="2"/>
  <c r="E207" i="2" s="1"/>
  <c r="B208" i="2"/>
  <c r="E208" i="2" s="1"/>
  <c r="B209" i="2"/>
  <c r="B210" i="2"/>
  <c r="F210" i="2" s="1"/>
  <c r="B211" i="2"/>
  <c r="B212" i="2"/>
  <c r="B213" i="2"/>
  <c r="B214" i="2"/>
  <c r="F214" i="2" s="1"/>
  <c r="B215" i="2"/>
  <c r="E215" i="2" s="1"/>
  <c r="B216" i="2"/>
  <c r="E216" i="2" s="1"/>
  <c r="B217" i="2"/>
  <c r="B218" i="2"/>
  <c r="F218" i="2" s="1"/>
  <c r="B219" i="2"/>
  <c r="B220" i="2"/>
  <c r="B221" i="2"/>
  <c r="B222" i="2"/>
  <c r="F222" i="2" s="1"/>
  <c r="B223" i="2"/>
  <c r="E223" i="2" s="1"/>
  <c r="B224" i="2"/>
  <c r="E224" i="2" s="1"/>
  <c r="B225" i="2"/>
  <c r="B226" i="2"/>
  <c r="F226" i="2" s="1"/>
  <c r="B227" i="2"/>
  <c r="B228" i="2"/>
  <c r="B229" i="2"/>
  <c r="B230" i="2"/>
  <c r="F230" i="2" s="1"/>
  <c r="B231" i="2"/>
  <c r="E231" i="2" s="1"/>
  <c r="B232" i="2"/>
  <c r="E232" i="2" s="1"/>
  <c r="B233" i="2"/>
  <c r="B234" i="2"/>
  <c r="F234" i="2" s="1"/>
  <c r="B235" i="2"/>
  <c r="B236" i="2"/>
  <c r="B237" i="2"/>
  <c r="B238" i="2"/>
  <c r="F238" i="2" s="1"/>
  <c r="B239" i="2"/>
  <c r="E239" i="2" s="1"/>
  <c r="B240" i="2"/>
  <c r="E240" i="2" s="1"/>
  <c r="B241" i="2"/>
  <c r="B242" i="2"/>
  <c r="F242" i="2" s="1"/>
  <c r="B243" i="2"/>
  <c r="B244" i="2"/>
  <c r="B245" i="2"/>
  <c r="B246" i="2"/>
  <c r="F246" i="2" s="1"/>
  <c r="B247" i="2"/>
  <c r="E247" i="2" s="1"/>
  <c r="B248" i="2"/>
  <c r="E248" i="2" s="1"/>
  <c r="B249" i="2"/>
  <c r="B250" i="2"/>
  <c r="F250" i="2" s="1"/>
  <c r="B251" i="2"/>
  <c r="B252" i="2"/>
  <c r="B253" i="2"/>
  <c r="B254" i="2"/>
  <c r="F254" i="2" s="1"/>
  <c r="B255" i="2"/>
  <c r="E255" i="2" s="1"/>
  <c r="B256" i="2"/>
  <c r="E256" i="2" s="1"/>
  <c r="B257" i="2"/>
  <c r="B258" i="2"/>
  <c r="F258" i="2" s="1"/>
  <c r="B259" i="2"/>
  <c r="B260" i="2"/>
  <c r="B261" i="2"/>
  <c r="B262" i="2"/>
  <c r="F262" i="2" s="1"/>
  <c r="B263" i="2"/>
  <c r="E263" i="2" s="1"/>
  <c r="B264" i="2"/>
  <c r="E264" i="2" s="1"/>
  <c r="B265" i="2"/>
  <c r="B266" i="2"/>
  <c r="F266" i="2" s="1"/>
  <c r="B267" i="2"/>
  <c r="B268" i="2"/>
  <c r="B269" i="2"/>
  <c r="B270" i="2"/>
  <c r="F270" i="2" s="1"/>
  <c r="B271" i="2"/>
  <c r="E271" i="2" s="1"/>
  <c r="B272" i="2"/>
  <c r="E272" i="2" s="1"/>
  <c r="B273" i="2"/>
  <c r="B274" i="2"/>
  <c r="F274" i="2" s="1"/>
  <c r="B275" i="2"/>
  <c r="B276" i="2"/>
  <c r="B277" i="2"/>
  <c r="B278" i="2"/>
  <c r="F278" i="2" s="1"/>
  <c r="B279" i="2"/>
  <c r="E279" i="2" s="1"/>
  <c r="B280" i="2"/>
  <c r="E280" i="2" s="1"/>
  <c r="B281" i="2"/>
  <c r="B282" i="2"/>
  <c r="F282" i="2" s="1"/>
  <c r="B283" i="2"/>
  <c r="B284" i="2"/>
  <c r="B285" i="2"/>
  <c r="B286" i="2"/>
  <c r="F286" i="2" s="1"/>
  <c r="B287" i="2"/>
  <c r="E287" i="2" s="1"/>
  <c r="B288" i="2"/>
  <c r="E288" i="2" s="1"/>
  <c r="B289" i="2"/>
  <c r="B290" i="2"/>
  <c r="F290" i="2" s="1"/>
  <c r="B291" i="2"/>
  <c r="B292" i="2"/>
  <c r="B293" i="2"/>
  <c r="B294" i="2"/>
  <c r="F294" i="2" s="1"/>
  <c r="B295" i="2"/>
  <c r="E295" i="2" s="1"/>
  <c r="B296" i="2"/>
  <c r="E296" i="2" s="1"/>
  <c r="B297" i="2"/>
  <c r="B298" i="2"/>
  <c r="F298" i="2" s="1"/>
  <c r="B299" i="2"/>
  <c r="B300" i="2"/>
  <c r="B301" i="2"/>
  <c r="B302" i="2"/>
  <c r="F302" i="2" s="1"/>
  <c r="B303" i="2"/>
  <c r="E303" i="2" s="1"/>
  <c r="B304" i="2"/>
  <c r="B305" i="2"/>
  <c r="B306" i="2"/>
  <c r="E306" i="2" s="1"/>
  <c r="B307" i="2"/>
  <c r="E307" i="2" s="1"/>
  <c r="B308" i="2"/>
  <c r="E308" i="2" s="1"/>
  <c r="B309" i="2"/>
  <c r="J309" i="2" s="1"/>
  <c r="B310" i="2"/>
  <c r="F310" i="2" s="1"/>
  <c r="B311" i="2"/>
  <c r="E311" i="2" s="1"/>
  <c r="B312" i="2"/>
  <c r="E312" i="2" s="1"/>
  <c r="B313" i="2"/>
  <c r="J313" i="2" s="1"/>
  <c r="B314" i="2"/>
  <c r="E314" i="2" s="1"/>
  <c r="B315" i="2"/>
  <c r="E315" i="2" s="1"/>
  <c r="B316" i="2"/>
  <c r="E316" i="2" s="1"/>
  <c r="B317" i="2"/>
  <c r="J317" i="2" s="1"/>
  <c r="B318" i="2"/>
  <c r="F318" i="2" s="1"/>
  <c r="B319" i="2"/>
  <c r="E319" i="2" s="1"/>
  <c r="B320" i="2"/>
  <c r="E320" i="2" s="1"/>
  <c r="B321" i="2"/>
  <c r="J321" i="2" s="1"/>
  <c r="B322" i="2"/>
  <c r="E322" i="2" s="1"/>
  <c r="B323" i="2"/>
  <c r="E323" i="2" s="1"/>
  <c r="B324" i="2"/>
  <c r="E324" i="2" s="1"/>
  <c r="B325" i="2"/>
  <c r="J325" i="2" s="1"/>
  <c r="B326" i="2"/>
  <c r="F326" i="2" s="1"/>
  <c r="B327" i="2"/>
  <c r="E327" i="2" s="1"/>
  <c r="B328" i="2"/>
  <c r="E328" i="2" s="1"/>
  <c r="B329" i="2"/>
  <c r="J329" i="2" s="1"/>
  <c r="B330" i="2"/>
  <c r="E330" i="2" s="1"/>
  <c r="B331" i="2"/>
  <c r="E331" i="2" s="1"/>
  <c r="B332" i="2"/>
  <c r="E332" i="2" s="1"/>
  <c r="B333" i="2"/>
  <c r="J333" i="2" s="1"/>
  <c r="B334" i="2"/>
  <c r="F334" i="2" s="1"/>
  <c r="B335" i="2"/>
  <c r="E335" i="2" s="1"/>
  <c r="B336" i="2"/>
  <c r="E336" i="2" s="1"/>
  <c r="B337" i="2"/>
  <c r="J337" i="2" s="1"/>
  <c r="B338" i="2"/>
  <c r="E338" i="2" s="1"/>
  <c r="B339" i="2"/>
  <c r="E339" i="2" s="1"/>
  <c r="B340" i="2"/>
  <c r="E340" i="2" s="1"/>
  <c r="B341" i="2"/>
  <c r="J341" i="2" s="1"/>
  <c r="B342" i="2"/>
  <c r="F342" i="2" s="1"/>
  <c r="B343" i="2"/>
  <c r="E343" i="2" s="1"/>
  <c r="B344" i="2"/>
  <c r="E344" i="2" s="1"/>
  <c r="B345" i="2"/>
  <c r="J345" i="2" s="1"/>
  <c r="B346" i="2"/>
  <c r="E346" i="2" s="1"/>
  <c r="B347" i="2"/>
  <c r="E347" i="2" s="1"/>
  <c r="B348" i="2"/>
  <c r="E348" i="2" s="1"/>
  <c r="B349" i="2"/>
  <c r="J349" i="2" s="1"/>
  <c r="B350" i="2"/>
  <c r="F350" i="2" s="1"/>
  <c r="B351" i="2"/>
  <c r="E351" i="2" s="1"/>
  <c r="B352" i="2"/>
  <c r="E352" i="2" s="1"/>
  <c r="B353" i="2"/>
  <c r="J353" i="2" s="1"/>
  <c r="B354" i="2"/>
  <c r="E354" i="2" s="1"/>
  <c r="B355" i="2"/>
  <c r="E355" i="2" s="1"/>
  <c r="B356" i="2"/>
  <c r="E356" i="2" s="1"/>
  <c r="B357" i="2"/>
  <c r="J357" i="2" s="1"/>
  <c r="B358" i="2"/>
  <c r="F358" i="2" s="1"/>
  <c r="B359" i="2"/>
  <c r="E359" i="2" s="1"/>
  <c r="B360" i="2"/>
  <c r="E360" i="2" s="1"/>
  <c r="B361" i="2"/>
  <c r="J361" i="2" s="1"/>
  <c r="B362" i="2"/>
  <c r="E362" i="2" s="1"/>
  <c r="B363" i="2"/>
  <c r="E363" i="2" s="1"/>
  <c r="B364" i="2"/>
  <c r="E364" i="2" s="1"/>
  <c r="B365" i="2"/>
  <c r="J365" i="2" s="1"/>
  <c r="B366" i="2"/>
  <c r="F366" i="2" s="1"/>
  <c r="B367" i="2"/>
  <c r="E367" i="2" s="1"/>
  <c r="B368" i="2"/>
  <c r="E368" i="2" s="1"/>
  <c r="B369" i="2"/>
  <c r="J369" i="2" s="1"/>
  <c r="B370" i="2"/>
  <c r="E370" i="2" s="1"/>
  <c r="B371" i="2"/>
  <c r="E371" i="2" s="1"/>
  <c r="B372" i="2"/>
  <c r="E372" i="2" s="1"/>
  <c r="B373" i="2"/>
  <c r="B374" i="2"/>
  <c r="F374" i="2" s="1"/>
  <c r="B375" i="2"/>
  <c r="E375" i="2" s="1"/>
  <c r="B376" i="2"/>
  <c r="E376" i="2" s="1"/>
  <c r="B377" i="2"/>
  <c r="J377" i="2" s="1"/>
  <c r="B378" i="2"/>
  <c r="E378" i="2" s="1"/>
  <c r="B379" i="2"/>
  <c r="E379" i="2" s="1"/>
  <c r="B380" i="2"/>
  <c r="E380" i="2" s="1"/>
  <c r="B381" i="2"/>
  <c r="J381" i="2" s="1"/>
  <c r="B382" i="2"/>
  <c r="F382" i="2" s="1"/>
  <c r="B383" i="2"/>
  <c r="E383" i="2" s="1"/>
  <c r="B384" i="2"/>
  <c r="E384" i="2" s="1"/>
  <c r="B385" i="2"/>
  <c r="J385" i="2" s="1"/>
  <c r="B386" i="2"/>
  <c r="E386" i="2" s="1"/>
  <c r="B387" i="2"/>
  <c r="E387" i="2" s="1"/>
  <c r="B388" i="2"/>
  <c r="E388" i="2" s="1"/>
  <c r="B389" i="2"/>
  <c r="J389" i="2" s="1"/>
  <c r="B390" i="2"/>
  <c r="F390" i="2" s="1"/>
  <c r="B391" i="2"/>
  <c r="E391" i="2" s="1"/>
  <c r="B392" i="2"/>
  <c r="E392" i="2" s="1"/>
  <c r="B393" i="2"/>
  <c r="J393" i="2" s="1"/>
  <c r="B394" i="2"/>
  <c r="E394" i="2" s="1"/>
  <c r="B395" i="2"/>
  <c r="E395" i="2" s="1"/>
  <c r="B396" i="2"/>
  <c r="E396" i="2" s="1"/>
  <c r="B397" i="2"/>
  <c r="J397" i="2" s="1"/>
  <c r="B398" i="2"/>
  <c r="F398" i="2" s="1"/>
  <c r="B399" i="2"/>
  <c r="E399" i="2" s="1"/>
  <c r="B400" i="2"/>
  <c r="E400" i="2" s="1"/>
  <c r="B401" i="2"/>
  <c r="J401" i="2" s="1"/>
  <c r="B402" i="2"/>
  <c r="E402" i="2" s="1"/>
  <c r="B403" i="2"/>
  <c r="E403" i="2" s="1"/>
  <c r="B404" i="2"/>
  <c r="E404" i="2" s="1"/>
  <c r="B405" i="2"/>
  <c r="J405" i="2" s="1"/>
  <c r="B406" i="2"/>
  <c r="F406" i="2" s="1"/>
  <c r="B407" i="2"/>
  <c r="E407" i="2" s="1"/>
  <c r="B408" i="2"/>
  <c r="E408" i="2" s="1"/>
  <c r="B409" i="2"/>
  <c r="J409" i="2" s="1"/>
  <c r="B410" i="2"/>
  <c r="E410" i="2" s="1"/>
  <c r="B411" i="2"/>
  <c r="E411" i="2" s="1"/>
  <c r="B412" i="2"/>
  <c r="E412" i="2" s="1"/>
  <c r="B413" i="2"/>
  <c r="J413" i="2" s="1"/>
  <c r="B414" i="2"/>
  <c r="F414" i="2" s="1"/>
  <c r="B415" i="2"/>
  <c r="E415" i="2" s="1"/>
  <c r="B416" i="2"/>
  <c r="E416" i="2" s="1"/>
  <c r="B417" i="2"/>
  <c r="J417" i="2" s="1"/>
  <c r="B418" i="2"/>
  <c r="E418" i="2" s="1"/>
  <c r="B419" i="2"/>
  <c r="E419" i="2" s="1"/>
  <c r="B420" i="2"/>
  <c r="E420" i="2" s="1"/>
  <c r="B421" i="2"/>
  <c r="J421" i="2" s="1"/>
  <c r="B422" i="2"/>
  <c r="F422" i="2" s="1"/>
  <c r="B423" i="2"/>
  <c r="E423" i="2" s="1"/>
  <c r="B424" i="2"/>
  <c r="E424" i="2" s="1"/>
  <c r="B425" i="2"/>
  <c r="J425" i="2" s="1"/>
  <c r="B426" i="2"/>
  <c r="E426" i="2" s="1"/>
  <c r="B427" i="2"/>
  <c r="E427" i="2" s="1"/>
  <c r="B428" i="2"/>
  <c r="G428" i="2" s="1"/>
  <c r="B429" i="2"/>
  <c r="J429" i="2" s="1"/>
  <c r="B430" i="2"/>
  <c r="F430" i="2" s="1"/>
  <c r="B431" i="2"/>
  <c r="E431" i="2" s="1"/>
  <c r="B432" i="2"/>
  <c r="E432" i="2" s="1"/>
  <c r="B433" i="2"/>
  <c r="J433" i="2" s="1"/>
  <c r="B434" i="2"/>
  <c r="E434" i="2" s="1"/>
  <c r="B435" i="2"/>
  <c r="E435" i="2" s="1"/>
  <c r="B436" i="2"/>
  <c r="G436" i="2" s="1"/>
  <c r="B437" i="2"/>
  <c r="J437" i="2" s="1"/>
  <c r="B438" i="2"/>
  <c r="F438" i="2" s="1"/>
  <c r="B439" i="2"/>
  <c r="E439" i="2" s="1"/>
  <c r="B440" i="2"/>
  <c r="E440" i="2" s="1"/>
  <c r="B441" i="2"/>
  <c r="J441" i="2" s="1"/>
  <c r="B442" i="2"/>
  <c r="E442" i="2" s="1"/>
  <c r="B443" i="2"/>
  <c r="E443" i="2" s="1"/>
  <c r="B444" i="2"/>
  <c r="G444" i="2" s="1"/>
  <c r="B445" i="2"/>
  <c r="J445" i="2" s="1"/>
  <c r="B446" i="2"/>
  <c r="F446" i="2" s="1"/>
  <c r="B447" i="2"/>
  <c r="E447" i="2" s="1"/>
  <c r="B448" i="2"/>
  <c r="E448" i="2" s="1"/>
  <c r="B449" i="2"/>
  <c r="J449" i="2" s="1"/>
  <c r="B450" i="2"/>
  <c r="E450" i="2" s="1"/>
  <c r="B451" i="2"/>
  <c r="E451" i="2" s="1"/>
  <c r="B452" i="2"/>
  <c r="G452" i="2" s="1"/>
  <c r="B453" i="2"/>
  <c r="J453" i="2" s="1"/>
  <c r="B454" i="2"/>
  <c r="F454" i="2" s="1"/>
  <c r="B455" i="2"/>
  <c r="E455" i="2" s="1"/>
  <c r="B456" i="2"/>
  <c r="E456" i="2" s="1"/>
  <c r="B457" i="2"/>
  <c r="J457" i="2" s="1"/>
  <c r="B458" i="2"/>
  <c r="E458" i="2" s="1"/>
  <c r="B459" i="2"/>
  <c r="E459" i="2" s="1"/>
  <c r="B460" i="2"/>
  <c r="G460" i="2" s="1"/>
  <c r="B461" i="2"/>
  <c r="J461" i="2" s="1"/>
  <c r="B462" i="2"/>
  <c r="F462" i="2" s="1"/>
  <c r="B463" i="2"/>
  <c r="E463" i="2" s="1"/>
  <c r="B464" i="2"/>
  <c r="E464" i="2" s="1"/>
  <c r="B465" i="2"/>
  <c r="J465" i="2" s="1"/>
  <c r="B466" i="2"/>
  <c r="E466" i="2" s="1"/>
  <c r="B467" i="2"/>
  <c r="E467" i="2" s="1"/>
  <c r="B468" i="2"/>
  <c r="G468" i="2" s="1"/>
  <c r="B469" i="2"/>
  <c r="J469" i="2" s="1"/>
  <c r="B470" i="2"/>
  <c r="F470" i="2" s="1"/>
  <c r="B471" i="2"/>
  <c r="E471" i="2" s="1"/>
  <c r="B472" i="2"/>
  <c r="E472" i="2" s="1"/>
  <c r="B473" i="2"/>
  <c r="J473" i="2" s="1"/>
  <c r="B474" i="2"/>
  <c r="E474" i="2" s="1"/>
  <c r="B475" i="2"/>
  <c r="E475" i="2" s="1"/>
  <c r="B476" i="2"/>
  <c r="G476" i="2" s="1"/>
  <c r="B477" i="2"/>
  <c r="J477" i="2" s="1"/>
  <c r="B478" i="2"/>
  <c r="F478" i="2" s="1"/>
  <c r="B479" i="2"/>
  <c r="E479" i="2" s="1"/>
  <c r="B480" i="2"/>
  <c r="E480" i="2" s="1"/>
  <c r="B481" i="2"/>
  <c r="J481" i="2" s="1"/>
  <c r="B482" i="2"/>
  <c r="E482" i="2" s="1"/>
  <c r="B483" i="2"/>
  <c r="E483" i="2" s="1"/>
  <c r="B484" i="2"/>
  <c r="E484" i="2" s="1"/>
  <c r="B485" i="2"/>
  <c r="J485" i="2" s="1"/>
  <c r="B486" i="2"/>
  <c r="F486" i="2" s="1"/>
  <c r="B487" i="2"/>
  <c r="E487" i="2" s="1"/>
  <c r="B488" i="2"/>
  <c r="E488" i="2" s="1"/>
  <c r="B489" i="2"/>
  <c r="J489" i="2" s="1"/>
  <c r="B490" i="2"/>
  <c r="E490" i="2" s="1"/>
  <c r="B491" i="2"/>
  <c r="E491" i="2" s="1"/>
  <c r="B492" i="2"/>
  <c r="G492" i="2" s="1"/>
  <c r="B493" i="2"/>
  <c r="J493" i="2" s="1"/>
  <c r="B494" i="2"/>
  <c r="F494" i="2" s="1"/>
  <c r="B495" i="2"/>
  <c r="E495" i="2" s="1"/>
  <c r="B496" i="2"/>
  <c r="E496" i="2" s="1"/>
  <c r="B497" i="2"/>
  <c r="J497" i="2" s="1"/>
  <c r="B498" i="2"/>
  <c r="E498" i="2" s="1"/>
  <c r="B499" i="2"/>
  <c r="E499" i="2" s="1"/>
  <c r="B500" i="2"/>
  <c r="G500" i="2" s="1"/>
  <c r="B501" i="2"/>
  <c r="J501" i="2" s="1"/>
  <c r="B502" i="2"/>
  <c r="F502" i="2" s="1"/>
  <c r="B503" i="2"/>
  <c r="E503" i="2" s="1"/>
  <c r="B504" i="2"/>
  <c r="E504" i="2" s="1"/>
  <c r="B505" i="2"/>
  <c r="J505" i="2" s="1"/>
  <c r="B506" i="2"/>
  <c r="E506" i="2" s="1"/>
  <c r="B507" i="2"/>
  <c r="E507" i="2" s="1"/>
  <c r="B508" i="2"/>
  <c r="E508" i="2" s="1"/>
  <c r="D3" i="2"/>
  <c r="I3" i="2" s="1"/>
  <c r="C3" i="2"/>
  <c r="B3" i="2"/>
  <c r="E3" i="2" s="1"/>
  <c r="D4" i="6" a="1"/>
  <c r="D6" i="6" a="1"/>
  <c r="D8" i="6" a="1"/>
  <c r="D10" i="6" a="1"/>
  <c r="D12" i="6" a="1"/>
  <c r="D14" i="6" a="1"/>
  <c r="D16" i="6" a="1"/>
  <c r="D18" i="6" a="1"/>
  <c r="D20" i="6" a="1"/>
  <c r="D22" i="6" a="1"/>
  <c r="D24" i="6" a="1"/>
  <c r="D26" i="6" a="1"/>
  <c r="D28" i="6" a="1"/>
  <c r="D5" i="6" a="1"/>
  <c r="D7" i="6" a="1"/>
  <c r="D9" i="6" a="1"/>
  <c r="D11" i="6" a="1"/>
  <c r="D13" i="6" a="1"/>
  <c r="D15" i="6" a="1"/>
  <c r="D17" i="6" a="1"/>
  <c r="D19" i="6" a="1"/>
  <c r="D21" i="6" a="1"/>
  <c r="D23" i="6" a="1"/>
  <c r="D25" i="6" a="1"/>
  <c r="D27" i="6" a="1"/>
  <c r="D29" i="6" a="1"/>
  <c r="D30" i="6" a="1"/>
  <c r="D33" i="6" a="1"/>
  <c r="D38" i="6" a="1"/>
  <c r="D41" i="6" a="1"/>
  <c r="D46" i="6" a="1"/>
  <c r="D49" i="6" a="1"/>
  <c r="D54" i="6" a="1"/>
  <c r="D57" i="6" a="1"/>
  <c r="D62" i="6" a="1"/>
  <c r="D65" i="6" a="1"/>
  <c r="D70" i="6" a="1"/>
  <c r="D73" i="6" a="1"/>
  <c r="D78" i="6" a="1"/>
  <c r="D81" i="6" a="1"/>
  <c r="D86" i="6" a="1"/>
  <c r="D89" i="6" a="1"/>
  <c r="D94" i="6" a="1"/>
  <c r="D97" i="6" a="1"/>
  <c r="D102" i="6" a="1"/>
  <c r="D105" i="6" a="1"/>
  <c r="D110" i="6" a="1"/>
  <c r="D113" i="6" a="1"/>
  <c r="D118" i="6" a="1"/>
  <c r="D121" i="6" a="1"/>
  <c r="D126" i="6" a="1"/>
  <c r="D129" i="6" a="1"/>
  <c r="D134" i="6" a="1"/>
  <c r="D137" i="6" a="1"/>
  <c r="D142" i="6" a="1"/>
  <c r="D145" i="6" a="1"/>
  <c r="D150" i="6" a="1"/>
  <c r="D153" i="6" a="1"/>
  <c r="D158" i="6" a="1"/>
  <c r="D161" i="6" a="1"/>
  <c r="D166" i="6" a="1"/>
  <c r="D169" i="6" a="1"/>
  <c r="D174" i="6" a="1"/>
  <c r="D176" i="6" a="1"/>
  <c r="D178" i="6" a="1"/>
  <c r="D180" i="6" a="1"/>
  <c r="D182" i="6" a="1"/>
  <c r="D184" i="6" a="1"/>
  <c r="D186" i="6" a="1"/>
  <c r="D188" i="6" a="1"/>
  <c r="D190" i="6" a="1"/>
  <c r="D192" i="6" a="1"/>
  <c r="D194" i="6" a="1"/>
  <c r="D196" i="6" a="1"/>
  <c r="D198" i="6" a="1"/>
  <c r="D200" i="6" a="1"/>
  <c r="D202" i="6" a="1"/>
  <c r="D204" i="6" a="1"/>
  <c r="D206" i="6" a="1"/>
  <c r="D208" i="6" a="1"/>
  <c r="D210" i="6" a="1"/>
  <c r="D212" i="6" a="1"/>
  <c r="D214" i="6" a="1"/>
  <c r="D216" i="6" a="1"/>
  <c r="D218" i="6" a="1"/>
  <c r="D220" i="6" a="1"/>
  <c r="D222" i="6" a="1"/>
  <c r="D224" i="6" a="1"/>
  <c r="D226" i="6" a="1"/>
  <c r="D228" i="6" a="1"/>
  <c r="D230" i="6" a="1"/>
  <c r="D232" i="6" a="1"/>
  <c r="D234" i="6" a="1"/>
  <c r="D236" i="6" a="1"/>
  <c r="D238" i="6" a="1"/>
  <c r="D240" i="6" a="1"/>
  <c r="D242" i="6" a="1"/>
  <c r="D244" i="6" a="1"/>
  <c r="D246" i="6" a="1"/>
  <c r="D248" i="6" a="1"/>
  <c r="D31" i="6" a="1"/>
  <c r="D36" i="6" a="1"/>
  <c r="D39" i="6" a="1"/>
  <c r="D44" i="6" a="1"/>
  <c r="D47" i="6" a="1"/>
  <c r="D52" i="6" a="1"/>
  <c r="D55" i="6" a="1"/>
  <c r="D60" i="6" a="1"/>
  <c r="D63" i="6" a="1"/>
  <c r="D68" i="6" a="1"/>
  <c r="D71" i="6" a="1"/>
  <c r="D76" i="6" a="1"/>
  <c r="D79" i="6" a="1"/>
  <c r="D84" i="6" a="1"/>
  <c r="D87" i="6" a="1"/>
  <c r="D92" i="6" a="1"/>
  <c r="D95" i="6" a="1"/>
  <c r="D100" i="6" a="1"/>
  <c r="D103" i="6" a="1"/>
  <c r="D108" i="6" a="1"/>
  <c r="D111" i="6" a="1"/>
  <c r="D116" i="6" a="1"/>
  <c r="D119" i="6" a="1"/>
  <c r="D124" i="6" a="1"/>
  <c r="D127" i="6" a="1"/>
  <c r="D132" i="6" a="1"/>
  <c r="D135" i="6" a="1"/>
  <c r="D140" i="6" a="1"/>
  <c r="D143" i="6" a="1"/>
  <c r="D148" i="6" a="1"/>
  <c r="D151" i="6" a="1"/>
  <c r="D156" i="6" a="1"/>
  <c r="D159" i="6" a="1"/>
  <c r="D164" i="6" a="1"/>
  <c r="D167" i="6" a="1"/>
  <c r="D172" i="6" a="1"/>
  <c r="D34" i="6" a="1"/>
  <c r="D37" i="6" a="1"/>
  <c r="D42" i="6" a="1"/>
  <c r="D45" i="6" a="1"/>
  <c r="D50" i="6" a="1"/>
  <c r="D53" i="6" a="1"/>
  <c r="D58" i="6" a="1"/>
  <c r="D61" i="6" a="1"/>
  <c r="D66" i="6" a="1"/>
  <c r="D69" i="6" a="1"/>
  <c r="D74" i="6" a="1"/>
  <c r="D77" i="6" a="1"/>
  <c r="D82" i="6" a="1"/>
  <c r="D85" i="6" a="1"/>
  <c r="D90" i="6" a="1"/>
  <c r="D93" i="6" a="1"/>
  <c r="D98" i="6" a="1"/>
  <c r="D101" i="6" a="1"/>
  <c r="D106" i="6" a="1"/>
  <c r="D109" i="6" a="1"/>
  <c r="D114" i="6" a="1"/>
  <c r="D117" i="6" a="1"/>
  <c r="D122" i="6" a="1"/>
  <c r="D125" i="6" a="1"/>
  <c r="D130" i="6" a="1"/>
  <c r="D133" i="6" a="1"/>
  <c r="D138" i="6" a="1"/>
  <c r="D141" i="6" a="1"/>
  <c r="D146" i="6" a="1"/>
  <c r="D149" i="6" a="1"/>
  <c r="D154" i="6" a="1"/>
  <c r="D157" i="6" a="1"/>
  <c r="D162" i="6" a="1"/>
  <c r="D165" i="6" a="1"/>
  <c r="D170" i="6" a="1"/>
  <c r="D173" i="6" a="1"/>
  <c r="D175" i="6" a="1"/>
  <c r="D177" i="6" a="1"/>
  <c r="D179" i="6" a="1"/>
  <c r="D181" i="6" a="1"/>
  <c r="D183" i="6" a="1"/>
  <c r="D185" i="6" a="1"/>
  <c r="D187" i="6" a="1"/>
  <c r="D189" i="6" a="1"/>
  <c r="D191" i="6" a="1"/>
  <c r="D193" i="6" a="1"/>
  <c r="D195" i="6" a="1"/>
  <c r="D197" i="6" a="1"/>
  <c r="D199" i="6" a="1"/>
  <c r="D201" i="6" a="1"/>
  <c r="D203" i="6" a="1"/>
  <c r="D205" i="6" a="1"/>
  <c r="D207" i="6" a="1"/>
  <c r="D209" i="6" a="1"/>
  <c r="D211" i="6" a="1"/>
  <c r="D213" i="6" a="1"/>
  <c r="D215" i="6" a="1"/>
  <c r="D217" i="6" a="1"/>
  <c r="D219" i="6" a="1"/>
  <c r="D221" i="6" a="1"/>
  <c r="D223" i="6" a="1"/>
  <c r="D225" i="6" a="1"/>
  <c r="D227" i="6" a="1"/>
  <c r="D229" i="6" a="1"/>
  <c r="D231" i="6" a="1"/>
  <c r="D233" i="6" a="1"/>
  <c r="D235" i="6" a="1"/>
  <c r="D237" i="6" a="1"/>
  <c r="D239" i="6" a="1"/>
  <c r="D241" i="6" a="1"/>
  <c r="D243" i="6" a="1"/>
  <c r="D245" i="6" a="1"/>
  <c r="D247" i="6" a="1"/>
  <c r="D249" i="6" a="1"/>
  <c r="D251" i="6" a="1"/>
  <c r="D35" i="6" a="1"/>
  <c r="D56" i="6" a="1"/>
  <c r="D67" i="6" a="1"/>
  <c r="D88" i="6" a="1"/>
  <c r="D99" i="6" a="1"/>
  <c r="D120" i="6" a="1"/>
  <c r="D131" i="6" a="1"/>
  <c r="D152" i="6" a="1"/>
  <c r="D163" i="6" a="1"/>
  <c r="D254" i="6" a="1"/>
  <c r="D257" i="6" a="1"/>
  <c r="D262" i="6" a="1"/>
  <c r="D265" i="6" a="1"/>
  <c r="D270" i="6" a="1"/>
  <c r="D273" i="6" a="1"/>
  <c r="D278" i="6" a="1"/>
  <c r="D281" i="6" a="1"/>
  <c r="D286" i="6" a="1"/>
  <c r="D289" i="6" a="1"/>
  <c r="D294" i="6" a="1"/>
  <c r="D297" i="6" a="1"/>
  <c r="D302" i="6" a="1"/>
  <c r="D305" i="6" a="1"/>
  <c r="D310" i="6" a="1"/>
  <c r="D313" i="6" a="1"/>
  <c r="D318" i="6" a="1"/>
  <c r="D321" i="6" a="1"/>
  <c r="D326" i="6" a="1"/>
  <c r="D329" i="6" a="1"/>
  <c r="D334" i="6" a="1"/>
  <c r="D337" i="6" a="1"/>
  <c r="D342" i="6" a="1"/>
  <c r="D345" i="6" a="1"/>
  <c r="D350" i="6" a="1"/>
  <c r="D353" i="6" a="1"/>
  <c r="D358" i="6" a="1"/>
  <c r="D361" i="6" a="1"/>
  <c r="D366" i="6" a="1"/>
  <c r="D369" i="6" a="1"/>
  <c r="D374" i="6" a="1"/>
  <c r="D377" i="6" a="1"/>
  <c r="D382" i="6" a="1"/>
  <c r="D385" i="6" a="1"/>
  <c r="D390" i="6" a="1"/>
  <c r="D393" i="6" a="1"/>
  <c r="D398" i="6" a="1"/>
  <c r="D401" i="6" a="1"/>
  <c r="D406" i="6" a="1"/>
  <c r="D409" i="6" a="1"/>
  <c r="D414" i="6" a="1"/>
  <c r="D417" i="6" a="1"/>
  <c r="D422" i="6" a="1"/>
  <c r="D40" i="6" a="1"/>
  <c r="D83" i="6" a="1"/>
  <c r="D96" i="6" a="1"/>
  <c r="D112" i="6" a="1"/>
  <c r="D139" i="6" a="1"/>
  <c r="D155" i="6" a="1"/>
  <c r="D168" i="6" a="1"/>
  <c r="D252" i="6" a="1"/>
  <c r="D259" i="6" a="1"/>
  <c r="D263" i="6" a="1"/>
  <c r="D266" i="6" a="1"/>
  <c r="D277" i="6" a="1"/>
  <c r="D280" i="6" a="1"/>
  <c r="D284" i="6" a="1"/>
  <c r="D291" i="6" a="1"/>
  <c r="D295" i="6" a="1"/>
  <c r="D298" i="6" a="1"/>
  <c r="D309" i="6" a="1"/>
  <c r="D312" i="6" a="1"/>
  <c r="D316" i="6" a="1"/>
  <c r="D323" i="6" a="1"/>
  <c r="D327" i="6" a="1"/>
  <c r="D330" i="6" a="1"/>
  <c r="D341" i="6" a="1"/>
  <c r="D344" i="6" a="1"/>
  <c r="D348" i="6" a="1"/>
  <c r="D355" i="6" a="1"/>
  <c r="D359" i="6" a="1"/>
  <c r="D362" i="6" a="1"/>
  <c r="D373" i="6" a="1"/>
  <c r="D376" i="6" a="1"/>
  <c r="D380" i="6" a="1"/>
  <c r="D387" i="6" a="1"/>
  <c r="D391" i="6" a="1"/>
  <c r="D394" i="6" a="1"/>
  <c r="D405" i="6" a="1"/>
  <c r="D408" i="6" a="1"/>
  <c r="D412" i="6" a="1"/>
  <c r="D419" i="6" a="1"/>
  <c r="D423" i="6" a="1"/>
  <c r="D428" i="6" a="1"/>
  <c r="D431" i="6" a="1"/>
  <c r="D436" i="6" a="1"/>
  <c r="D43" i="6" a="1"/>
  <c r="D59" i="6" a="1"/>
  <c r="D72" i="6" a="1"/>
  <c r="D115" i="6" a="1"/>
  <c r="D128" i="6" a="1"/>
  <c r="D144" i="6" a="1"/>
  <c r="D171" i="6" a="1"/>
  <c r="D253" i="6" a="1"/>
  <c r="D256" i="6" a="1"/>
  <c r="D260" i="6" a="1"/>
  <c r="D267" i="6" a="1"/>
  <c r="D271" i="6" a="1"/>
  <c r="D274" i="6" a="1"/>
  <c r="D285" i="6" a="1"/>
  <c r="D288" i="6" a="1"/>
  <c r="D292" i="6" a="1"/>
  <c r="D299" i="6" a="1"/>
  <c r="D303" i="6" a="1"/>
  <c r="D306" i="6" a="1"/>
  <c r="D317" i="6" a="1"/>
  <c r="D320" i="6" a="1"/>
  <c r="D324" i="6" a="1"/>
  <c r="D331" i="6" a="1"/>
  <c r="D335" i="6" a="1"/>
  <c r="D338" i="6" a="1"/>
  <c r="D349" i="6" a="1"/>
  <c r="D352" i="6" a="1"/>
  <c r="D356" i="6" a="1"/>
  <c r="D363" i="6" a="1"/>
  <c r="D367" i="6" a="1"/>
  <c r="D370" i="6" a="1"/>
  <c r="D381" i="6" a="1"/>
  <c r="D384" i="6" a="1"/>
  <c r="D388" i="6" a="1"/>
  <c r="D395" i="6" a="1"/>
  <c r="D399" i="6" a="1"/>
  <c r="D402" i="6" a="1"/>
  <c r="D413" i="6" a="1"/>
  <c r="D416" i="6" a="1"/>
  <c r="D420" i="6" a="1"/>
  <c r="D426" i="6" a="1"/>
  <c r="D429" i="6" a="1"/>
  <c r="D434" i="6" a="1"/>
  <c r="D32" i="6" a="1"/>
  <c r="D48" i="6" a="1"/>
  <c r="D75" i="6" a="1"/>
  <c r="D91" i="6" a="1"/>
  <c r="D104" i="6" a="1"/>
  <c r="D147" i="6" a="1"/>
  <c r="D160" i="6" a="1"/>
  <c r="D261" i="6" a="1"/>
  <c r="D264" i="6" a="1"/>
  <c r="D268" i="6" a="1"/>
  <c r="D275" i="6" a="1"/>
  <c r="D279" i="6" a="1"/>
  <c r="D282" i="6" a="1"/>
  <c r="D293" i="6" a="1"/>
  <c r="D296" i="6" a="1"/>
  <c r="D300" i="6" a="1"/>
  <c r="D307" i="6" a="1"/>
  <c r="D311" i="6" a="1"/>
  <c r="D314" i="6" a="1"/>
  <c r="D325" i="6" a="1"/>
  <c r="D328" i="6" a="1"/>
  <c r="D332" i="6" a="1"/>
  <c r="D339" i="6" a="1"/>
  <c r="D343" i="6" a="1"/>
  <c r="D346" i="6" a="1"/>
  <c r="D357" i="6" a="1"/>
  <c r="D360" i="6" a="1"/>
  <c r="D364" i="6" a="1"/>
  <c r="D371" i="6" a="1"/>
  <c r="D375" i="6" a="1"/>
  <c r="D378" i="6" a="1"/>
  <c r="D389" i="6" a="1"/>
  <c r="D392" i="6" a="1"/>
  <c r="D396" i="6" a="1"/>
  <c r="D403" i="6" a="1"/>
  <c r="D407" i="6" a="1"/>
  <c r="D410" i="6" a="1"/>
  <c r="D421" i="6" a="1"/>
  <c r="D424" i="6" a="1"/>
  <c r="D427" i="6" a="1"/>
  <c r="D432" i="6" a="1"/>
  <c r="D435" i="6" a="1"/>
  <c r="D440" i="6" a="1"/>
  <c r="D443" i="6" a="1"/>
  <c r="D448" i="6" a="1"/>
  <c r="D276" i="6" a="1"/>
  <c r="D290" i="6" a="1"/>
  <c r="D304" i="6" a="1"/>
  <c r="D319" i="6" a="1"/>
  <c r="D333" i="6" a="1"/>
  <c r="D347" i="6" a="1"/>
  <c r="D404" i="6" a="1"/>
  <c r="D418" i="6" a="1"/>
  <c r="D430" i="6" a="1"/>
  <c r="D438" i="6" a="1"/>
  <c r="D445" i="6" a="1"/>
  <c r="D449" i="6" a="1"/>
  <c r="D454" i="6" a="1"/>
  <c r="D457" i="6" a="1"/>
  <c r="D462" i="6" a="1"/>
  <c r="D465" i="6" a="1"/>
  <c r="D470" i="6" a="1"/>
  <c r="D473" i="6" a="1"/>
  <c r="D478" i="6" a="1"/>
  <c r="D481" i="6" a="1"/>
  <c r="D486" i="6" a="1"/>
  <c r="D489" i="6" a="1"/>
  <c r="D494" i="6" a="1"/>
  <c r="D497" i="6" a="1"/>
  <c r="D499" i="6" a="1"/>
  <c r="D501" i="6" a="1"/>
  <c r="D503" i="6" a="1"/>
  <c r="D505" i="6" a="1"/>
  <c r="D507" i="6" a="1"/>
  <c r="D51" i="6" a="1"/>
  <c r="D107" i="6" a="1"/>
  <c r="D250" i="6" a="1"/>
  <c r="D308" i="6" a="1"/>
  <c r="D322" i="6" a="1"/>
  <c r="D336" i="6" a="1"/>
  <c r="D351" i="6" a="1"/>
  <c r="D365" i="6" a="1"/>
  <c r="D379" i="6" a="1"/>
  <c r="D433" i="6" a="1"/>
  <c r="D439" i="6" a="1"/>
  <c r="D442" i="6" a="1"/>
  <c r="D446" i="6" a="1"/>
  <c r="D452" i="6" a="1"/>
  <c r="D455" i="6" a="1"/>
  <c r="D460" i="6" a="1"/>
  <c r="D463" i="6" a="1"/>
  <c r="D468" i="6" a="1"/>
  <c r="D471" i="6" a="1"/>
  <c r="D476" i="6" a="1"/>
  <c r="D479" i="6" a="1"/>
  <c r="D484" i="6" a="1"/>
  <c r="D487" i="6" a="1"/>
  <c r="D492" i="6" a="1"/>
  <c r="D495" i="6" a="1"/>
  <c r="D136" i="6" a="1"/>
  <c r="D272" i="6" a="1"/>
  <c r="D301" i="6" a="1"/>
  <c r="D372" i="6" a="1"/>
  <c r="D400" i="6" a="1"/>
  <c r="D441" i="6" a="1"/>
  <c r="D451" i="6" a="1"/>
  <c r="D456" i="6" a="1"/>
  <c r="D464" i="6" a="1"/>
  <c r="D475" i="6" a="1"/>
  <c r="D483" i="6" a="1"/>
  <c r="D491" i="6" a="1"/>
  <c r="D496" i="6" a="1"/>
  <c r="D64" i="6" a="1"/>
  <c r="D123" i="6" a="1"/>
  <c r="D255" i="6" a="1"/>
  <c r="D269" i="6" a="1"/>
  <c r="D283" i="6" a="1"/>
  <c r="D340" i="6" a="1"/>
  <c r="D354" i="6" a="1"/>
  <c r="D368" i="6" a="1"/>
  <c r="D383" i="6" a="1"/>
  <c r="D397" i="6" a="1"/>
  <c r="D411" i="6" a="1"/>
  <c r="D425" i="6" a="1"/>
  <c r="D447" i="6" a="1"/>
  <c r="D450" i="6" a="1"/>
  <c r="D453" i="6" a="1"/>
  <c r="D458" i="6" a="1"/>
  <c r="D461" i="6" a="1"/>
  <c r="D466" i="6" a="1"/>
  <c r="D469" i="6" a="1"/>
  <c r="D474" i="6" a="1"/>
  <c r="D477" i="6" a="1"/>
  <c r="D482" i="6" a="1"/>
  <c r="D485" i="6" a="1"/>
  <c r="D490" i="6" a="1"/>
  <c r="D493" i="6" a="1"/>
  <c r="D498" i="6" a="1"/>
  <c r="D500" i="6" a="1"/>
  <c r="D502" i="6" a="1"/>
  <c r="D504" i="6" a="1"/>
  <c r="D506" i="6" a="1"/>
  <c r="D508" i="6" a="1"/>
  <c r="D80" i="6" a="1"/>
  <c r="D258" i="6" a="1"/>
  <c r="D287" i="6" a="1"/>
  <c r="D315" i="6" a="1"/>
  <c r="D386" i="6" a="1"/>
  <c r="D415" i="6" a="1"/>
  <c r="D437" i="6" a="1"/>
  <c r="D444" i="6" a="1"/>
  <c r="D459" i="6" a="1"/>
  <c r="D467" i="6" a="1"/>
  <c r="D472" i="6" a="1"/>
  <c r="D480" i="6" a="1"/>
  <c r="D488" i="6" a="1"/>
  <c r="D3" i="6" a="1"/>
  <c r="D488" i="6" l="1"/>
  <c r="D480" i="6"/>
  <c r="D472" i="6"/>
  <c r="D467" i="6"/>
  <c r="D459" i="6"/>
  <c r="D444" i="6"/>
  <c r="D437" i="6"/>
  <c r="D415" i="6"/>
  <c r="D386" i="6"/>
  <c r="D315" i="6"/>
  <c r="D287" i="6"/>
  <c r="D258" i="6"/>
  <c r="D80" i="6"/>
  <c r="D508" i="6"/>
  <c r="D506" i="6"/>
  <c r="D504" i="6"/>
  <c r="D502" i="6"/>
  <c r="D500" i="6"/>
  <c r="D498" i="6"/>
  <c r="D493" i="6"/>
  <c r="D490" i="6"/>
  <c r="D485" i="6"/>
  <c r="D482" i="6"/>
  <c r="D477" i="6"/>
  <c r="D474" i="6"/>
  <c r="D469" i="6"/>
  <c r="D466" i="6"/>
  <c r="D461" i="6"/>
  <c r="D458" i="6"/>
  <c r="D453" i="6"/>
  <c r="D450" i="6"/>
  <c r="D447" i="6"/>
  <c r="D425" i="6"/>
  <c r="D411" i="6"/>
  <c r="D397" i="6"/>
  <c r="D383" i="6"/>
  <c r="D368" i="6"/>
  <c r="D354" i="6"/>
  <c r="D340" i="6"/>
  <c r="D283" i="6"/>
  <c r="D269" i="6"/>
  <c r="D255" i="6"/>
  <c r="D123" i="6"/>
  <c r="D64" i="6"/>
  <c r="D496" i="6"/>
  <c r="D491" i="6"/>
  <c r="D483" i="6"/>
  <c r="D475" i="6"/>
  <c r="D464" i="6"/>
  <c r="D456" i="6"/>
  <c r="D451" i="6"/>
  <c r="D441" i="6"/>
  <c r="D400" i="6"/>
  <c r="D372" i="6"/>
  <c r="D301" i="6"/>
  <c r="D272" i="6"/>
  <c r="D136" i="6"/>
  <c r="D495" i="6"/>
  <c r="D492" i="6"/>
  <c r="D487" i="6"/>
  <c r="D484" i="6"/>
  <c r="D479" i="6"/>
  <c r="D476" i="6"/>
  <c r="D471" i="6"/>
  <c r="D468" i="6"/>
  <c r="D463" i="6"/>
  <c r="D460" i="6"/>
  <c r="D455" i="6"/>
  <c r="D452" i="6"/>
  <c r="D446" i="6"/>
  <c r="D442" i="6"/>
  <c r="D439" i="6"/>
  <c r="D433" i="6"/>
  <c r="D379" i="6"/>
  <c r="D365" i="6"/>
  <c r="D351" i="6"/>
  <c r="D336" i="6"/>
  <c r="D322" i="6"/>
  <c r="D308" i="6"/>
  <c r="D250" i="6"/>
  <c r="D107" i="6"/>
  <c r="D51" i="6"/>
  <c r="D507" i="6"/>
  <c r="D505" i="6"/>
  <c r="D503" i="6"/>
  <c r="D501" i="6"/>
  <c r="D499" i="6"/>
  <c r="D497" i="6"/>
  <c r="D494" i="6"/>
  <c r="D489" i="6"/>
  <c r="D486" i="6"/>
  <c r="D481" i="6"/>
  <c r="D478" i="6"/>
  <c r="D473" i="6"/>
  <c r="D470" i="6"/>
  <c r="D465" i="6"/>
  <c r="D462" i="6"/>
  <c r="D457" i="6"/>
  <c r="D454" i="6"/>
  <c r="D449" i="6"/>
  <c r="D445" i="6"/>
  <c r="D438" i="6"/>
  <c r="D430" i="6"/>
  <c r="D418" i="6"/>
  <c r="D404" i="6"/>
  <c r="D347" i="6"/>
  <c r="D333" i="6"/>
  <c r="D319" i="6"/>
  <c r="D304" i="6"/>
  <c r="D290" i="6"/>
  <c r="D276" i="6"/>
  <c r="D448" i="6"/>
  <c r="D443" i="6"/>
  <c r="D440" i="6"/>
  <c r="D435" i="6"/>
  <c r="D432" i="6"/>
  <c r="D427" i="6"/>
  <c r="D424" i="6"/>
  <c r="D421" i="6"/>
  <c r="D410" i="6"/>
  <c r="D407" i="6"/>
  <c r="D403" i="6"/>
  <c r="D396" i="6"/>
  <c r="D392" i="6"/>
  <c r="D389" i="6"/>
  <c r="D378" i="6"/>
  <c r="D375" i="6"/>
  <c r="D371" i="6"/>
  <c r="D364" i="6"/>
  <c r="D360" i="6"/>
  <c r="D357" i="6"/>
  <c r="D346" i="6"/>
  <c r="D343" i="6"/>
  <c r="D339" i="6"/>
  <c r="D332" i="6"/>
  <c r="D328" i="6"/>
  <c r="D325" i="6"/>
  <c r="D314" i="6"/>
  <c r="D311" i="6"/>
  <c r="D307" i="6"/>
  <c r="D300" i="6"/>
  <c r="D296" i="6"/>
  <c r="D293" i="6"/>
  <c r="D282" i="6"/>
  <c r="D279" i="6"/>
  <c r="D275" i="6"/>
  <c r="D268" i="6"/>
  <c r="D264" i="6"/>
  <c r="D261" i="6"/>
  <c r="D160" i="6"/>
  <c r="D147" i="6"/>
  <c r="D104" i="6"/>
  <c r="D91" i="6"/>
  <c r="D75" i="6"/>
  <c r="D48" i="6"/>
  <c r="D32" i="6"/>
  <c r="D434" i="6"/>
  <c r="D429" i="6"/>
  <c r="D426" i="6"/>
  <c r="D420" i="6"/>
  <c r="D416" i="6"/>
  <c r="D413" i="6"/>
  <c r="D402" i="6"/>
  <c r="D399" i="6"/>
  <c r="D395" i="6"/>
  <c r="D388" i="6"/>
  <c r="D384" i="6"/>
  <c r="D381" i="6"/>
  <c r="D370" i="6"/>
  <c r="D367" i="6"/>
  <c r="D363" i="6"/>
  <c r="D356" i="6"/>
  <c r="D352" i="6"/>
  <c r="D349" i="6"/>
  <c r="D338" i="6"/>
  <c r="D335" i="6"/>
  <c r="D331" i="6"/>
  <c r="D324" i="6"/>
  <c r="D320" i="6"/>
  <c r="D317" i="6"/>
  <c r="D306" i="6"/>
  <c r="D303" i="6"/>
  <c r="D299" i="6"/>
  <c r="D292" i="6"/>
  <c r="D288" i="6"/>
  <c r="D285" i="6"/>
  <c r="D274" i="6"/>
  <c r="D271" i="6"/>
  <c r="D267" i="6"/>
  <c r="D260" i="6"/>
  <c r="D256" i="6"/>
  <c r="D253" i="6"/>
  <c r="D171" i="6"/>
  <c r="D144" i="6"/>
  <c r="D128" i="6"/>
  <c r="D115" i="6"/>
  <c r="D72" i="6"/>
  <c r="D59" i="6"/>
  <c r="D43" i="6"/>
  <c r="D436" i="6"/>
  <c r="D431" i="6"/>
  <c r="D428" i="6"/>
  <c r="D423" i="6"/>
  <c r="D419" i="6"/>
  <c r="D412" i="6"/>
  <c r="D408" i="6"/>
  <c r="D405" i="6"/>
  <c r="D394" i="6"/>
  <c r="D391" i="6"/>
  <c r="D387" i="6"/>
  <c r="D380" i="6"/>
  <c r="D376" i="6"/>
  <c r="D373" i="6"/>
  <c r="D362" i="6"/>
  <c r="D359" i="6"/>
  <c r="D355" i="6"/>
  <c r="D348" i="6"/>
  <c r="D344" i="6"/>
  <c r="D341" i="6"/>
  <c r="D330" i="6"/>
  <c r="D327" i="6"/>
  <c r="D323" i="6"/>
  <c r="D316" i="6"/>
  <c r="D312" i="6"/>
  <c r="D309" i="6"/>
  <c r="D298" i="6"/>
  <c r="D295" i="6"/>
  <c r="D291" i="6"/>
  <c r="D284" i="6"/>
  <c r="D280" i="6"/>
  <c r="D277" i="6"/>
  <c r="D266" i="6"/>
  <c r="D263" i="6"/>
  <c r="D259" i="6"/>
  <c r="D252" i="6"/>
  <c r="D168" i="6"/>
  <c r="D155" i="6"/>
  <c r="D139" i="6"/>
  <c r="D112" i="6"/>
  <c r="D96" i="6"/>
  <c r="D83" i="6"/>
  <c r="D40" i="6"/>
  <c r="D422" i="6"/>
  <c r="D417" i="6"/>
  <c r="D414" i="6"/>
  <c r="D409" i="6"/>
  <c r="D406" i="6"/>
  <c r="D401" i="6"/>
  <c r="D398" i="6"/>
  <c r="D393" i="6"/>
  <c r="D390" i="6"/>
  <c r="D385" i="6"/>
  <c r="D382" i="6"/>
  <c r="D377" i="6"/>
  <c r="D374" i="6"/>
  <c r="D369" i="6"/>
  <c r="D366" i="6"/>
  <c r="D361" i="6"/>
  <c r="D358" i="6"/>
  <c r="D353" i="6"/>
  <c r="D350" i="6"/>
  <c r="D345" i="6"/>
  <c r="D342" i="6"/>
  <c r="D337" i="6"/>
  <c r="D334" i="6"/>
  <c r="D329" i="6"/>
  <c r="D326" i="6"/>
  <c r="D321" i="6"/>
  <c r="D318" i="6"/>
  <c r="D313" i="6"/>
  <c r="D310" i="6"/>
  <c r="D305" i="6"/>
  <c r="D302" i="6"/>
  <c r="D297" i="6"/>
  <c r="D294" i="6"/>
  <c r="D289" i="6"/>
  <c r="D286" i="6"/>
  <c r="D281" i="6"/>
  <c r="D278" i="6"/>
  <c r="D273" i="6"/>
  <c r="D270" i="6"/>
  <c r="D265" i="6"/>
  <c r="D262" i="6"/>
  <c r="D257" i="6"/>
  <c r="D254" i="6"/>
  <c r="D163" i="6"/>
  <c r="D152" i="6"/>
  <c r="D131" i="6"/>
  <c r="D120" i="6"/>
  <c r="D99" i="6"/>
  <c r="D88" i="6"/>
  <c r="D67" i="6"/>
  <c r="D56" i="6"/>
  <c r="D35" i="6"/>
  <c r="D251" i="6"/>
  <c r="D249" i="6"/>
  <c r="D247" i="6"/>
  <c r="D245" i="6"/>
  <c r="D243" i="6"/>
  <c r="D241" i="6"/>
  <c r="D239" i="6"/>
  <c r="D237" i="6"/>
  <c r="D235" i="6"/>
  <c r="D233" i="6"/>
  <c r="D231" i="6"/>
  <c r="D229" i="6"/>
  <c r="D227" i="6"/>
  <c r="D225" i="6"/>
  <c r="D223" i="6"/>
  <c r="D221" i="6"/>
  <c r="D219" i="6"/>
  <c r="D217" i="6"/>
  <c r="D215" i="6"/>
  <c r="D213" i="6"/>
  <c r="D211" i="6"/>
  <c r="D209" i="6"/>
  <c r="D207" i="6"/>
  <c r="D205" i="6"/>
  <c r="D203" i="6"/>
  <c r="D201" i="6"/>
  <c r="D199" i="6"/>
  <c r="D197" i="6"/>
  <c r="D195" i="6"/>
  <c r="D193" i="6"/>
  <c r="D191" i="6"/>
  <c r="D189" i="6"/>
  <c r="D187" i="6"/>
  <c r="D185" i="6"/>
  <c r="D183" i="6"/>
  <c r="D181" i="6"/>
  <c r="D179" i="6"/>
  <c r="D177" i="6"/>
  <c r="D175" i="6"/>
  <c r="D173" i="6"/>
  <c r="D170" i="6"/>
  <c r="D165" i="6"/>
  <c r="D162" i="6"/>
  <c r="D157" i="6"/>
  <c r="D154" i="6"/>
  <c r="D149" i="6"/>
  <c r="D146" i="6"/>
  <c r="D141" i="6"/>
  <c r="D138" i="6"/>
  <c r="D133" i="6"/>
  <c r="D130" i="6"/>
  <c r="D125" i="6"/>
  <c r="D122" i="6"/>
  <c r="D117" i="6"/>
  <c r="D114" i="6"/>
  <c r="D109" i="6"/>
  <c r="D106" i="6"/>
  <c r="D101" i="6"/>
  <c r="D98" i="6"/>
  <c r="D93" i="6"/>
  <c r="D90" i="6"/>
  <c r="D85" i="6"/>
  <c r="D82" i="6"/>
  <c r="D77" i="6"/>
  <c r="D74" i="6"/>
  <c r="D69" i="6"/>
  <c r="D66" i="6"/>
  <c r="D61" i="6"/>
  <c r="D58" i="6"/>
  <c r="D53" i="6"/>
  <c r="D50" i="6"/>
  <c r="D45" i="6"/>
  <c r="D42" i="6"/>
  <c r="D37" i="6"/>
  <c r="D34" i="6"/>
  <c r="D172" i="6"/>
  <c r="D167" i="6"/>
  <c r="D164" i="6"/>
  <c r="D159" i="6"/>
  <c r="D156" i="6"/>
  <c r="D151" i="6"/>
  <c r="D148" i="6"/>
  <c r="D143" i="6"/>
  <c r="D140" i="6"/>
  <c r="D135" i="6"/>
  <c r="D132" i="6"/>
  <c r="D127" i="6"/>
  <c r="D124" i="6"/>
  <c r="D119" i="6"/>
  <c r="D116" i="6"/>
  <c r="D111" i="6"/>
  <c r="D108" i="6"/>
  <c r="D103" i="6"/>
  <c r="D100" i="6"/>
  <c r="D95" i="6"/>
  <c r="D92" i="6"/>
  <c r="D87" i="6"/>
  <c r="D84" i="6"/>
  <c r="D79" i="6"/>
  <c r="D76" i="6"/>
  <c r="D71" i="6"/>
  <c r="D68" i="6"/>
  <c r="D63" i="6"/>
  <c r="D60" i="6"/>
  <c r="D55" i="6"/>
  <c r="D52" i="6"/>
  <c r="D47" i="6"/>
  <c r="D44" i="6"/>
  <c r="D39" i="6"/>
  <c r="D36" i="6"/>
  <c r="D31" i="6"/>
  <c r="D248" i="6"/>
  <c r="D246" i="6"/>
  <c r="D244" i="6"/>
  <c r="D242" i="6"/>
  <c r="D240" i="6"/>
  <c r="D238" i="6"/>
  <c r="D236" i="6"/>
  <c r="D234" i="6"/>
  <c r="D232" i="6"/>
  <c r="D230" i="6"/>
  <c r="D228" i="6"/>
  <c r="D226" i="6"/>
  <c r="D224" i="6"/>
  <c r="D222" i="6"/>
  <c r="D220" i="6"/>
  <c r="D218" i="6"/>
  <c r="D216" i="6"/>
  <c r="D214" i="6"/>
  <c r="D212" i="6"/>
  <c r="D210" i="6"/>
  <c r="D208" i="6"/>
  <c r="D206" i="6"/>
  <c r="D204" i="6"/>
  <c r="D202" i="6"/>
  <c r="D200" i="6"/>
  <c r="D198" i="6"/>
  <c r="D196" i="6"/>
  <c r="D194" i="6"/>
  <c r="D192" i="6"/>
  <c r="D190" i="6"/>
  <c r="D188" i="6"/>
  <c r="D186" i="6"/>
  <c r="D184" i="6"/>
  <c r="D182" i="6"/>
  <c r="D180" i="6"/>
  <c r="D178" i="6"/>
  <c r="D176" i="6"/>
  <c r="D174" i="6"/>
  <c r="D169" i="6"/>
  <c r="D166" i="6"/>
  <c r="D161" i="6"/>
  <c r="D158" i="6"/>
  <c r="D153" i="6"/>
  <c r="D150" i="6"/>
  <c r="D145" i="6"/>
  <c r="D142" i="6"/>
  <c r="D137" i="6"/>
  <c r="D134" i="6"/>
  <c r="D129" i="6"/>
  <c r="D126" i="6"/>
  <c r="D121" i="6"/>
  <c r="D118" i="6"/>
  <c r="D113" i="6"/>
  <c r="D110" i="6"/>
  <c r="D105" i="6"/>
  <c r="D102" i="6"/>
  <c r="D97" i="6"/>
  <c r="D94" i="6"/>
  <c r="D89" i="6"/>
  <c r="D86" i="6"/>
  <c r="D81" i="6"/>
  <c r="D78" i="6"/>
  <c r="D73" i="6"/>
  <c r="D70" i="6"/>
  <c r="D65" i="6"/>
  <c r="D62" i="6"/>
  <c r="D57" i="6"/>
  <c r="D54" i="6"/>
  <c r="D49" i="6"/>
  <c r="D46" i="6"/>
  <c r="D41" i="6"/>
  <c r="D38" i="6"/>
  <c r="D33" i="6"/>
  <c r="D30" i="6"/>
  <c r="D29" i="6"/>
  <c r="D27" i="6"/>
  <c r="D25" i="6"/>
  <c r="D23" i="6"/>
  <c r="D21" i="6"/>
  <c r="D19" i="6"/>
  <c r="D17" i="6"/>
  <c r="D15" i="6"/>
  <c r="D13" i="6"/>
  <c r="D11" i="6"/>
  <c r="D9" i="6"/>
  <c r="D7" i="6"/>
  <c r="D5" i="6"/>
  <c r="D28" i="6"/>
  <c r="D26" i="6"/>
  <c r="D24" i="6"/>
  <c r="D22" i="6"/>
  <c r="D20" i="6"/>
  <c r="D18" i="6"/>
  <c r="D16" i="6"/>
  <c r="D14" i="6"/>
  <c r="D12" i="6"/>
  <c r="D10" i="6"/>
  <c r="D8" i="6"/>
  <c r="D6" i="6"/>
  <c r="D4" i="6"/>
  <c r="D3" i="6"/>
  <c r="J373" i="2"/>
  <c r="E198" i="5"/>
  <c r="D198" i="5"/>
  <c r="E194" i="5"/>
  <c r="D194" i="5"/>
  <c r="E190" i="5"/>
  <c r="D190" i="5"/>
  <c r="E186" i="5"/>
  <c r="D186" i="5"/>
  <c r="E182" i="5"/>
  <c r="D182" i="5"/>
  <c r="E178" i="5"/>
  <c r="D178" i="5"/>
  <c r="E174" i="5"/>
  <c r="D174" i="5"/>
  <c r="E170" i="5"/>
  <c r="D170" i="5"/>
  <c r="E166" i="5"/>
  <c r="D166" i="5"/>
  <c r="E162" i="5"/>
  <c r="D162" i="5"/>
  <c r="E158" i="5"/>
  <c r="D158" i="5"/>
  <c r="E154" i="5"/>
  <c r="D154" i="5"/>
  <c r="E150" i="5"/>
  <c r="D150" i="5"/>
  <c r="E146" i="5"/>
  <c r="D146" i="5"/>
  <c r="E142" i="5"/>
  <c r="D142" i="5"/>
  <c r="E138" i="5"/>
  <c r="D138" i="5"/>
  <c r="E134" i="5"/>
  <c r="D134" i="5"/>
  <c r="E130" i="5"/>
  <c r="D130" i="5"/>
  <c r="E126" i="5"/>
  <c r="D126" i="5"/>
  <c r="E122" i="5"/>
  <c r="D122" i="5"/>
  <c r="E118" i="5"/>
  <c r="D118" i="5"/>
  <c r="E114" i="5"/>
  <c r="D114" i="5"/>
  <c r="E110" i="5"/>
  <c r="D110" i="5"/>
  <c r="E106" i="5"/>
  <c r="D106" i="5"/>
  <c r="E102" i="5"/>
  <c r="D102" i="5"/>
  <c r="E98" i="5"/>
  <c r="D98" i="5"/>
  <c r="E94" i="5"/>
  <c r="D94" i="5"/>
  <c r="E90" i="5"/>
  <c r="D90" i="5"/>
  <c r="E86" i="5"/>
  <c r="D86" i="5"/>
  <c r="E82" i="5"/>
  <c r="D82" i="5"/>
  <c r="E78" i="5"/>
  <c r="D78" i="5"/>
  <c r="E74" i="5"/>
  <c r="D74" i="5"/>
  <c r="E70" i="5"/>
  <c r="D70" i="5"/>
  <c r="E66" i="5"/>
  <c r="D66" i="5"/>
  <c r="E62" i="5"/>
  <c r="D62" i="5"/>
  <c r="E58" i="5"/>
  <c r="D58" i="5"/>
  <c r="E54" i="5"/>
  <c r="D54" i="5"/>
  <c r="E50" i="5"/>
  <c r="D50" i="5"/>
  <c r="E46" i="5"/>
  <c r="D46" i="5"/>
  <c r="E42" i="5"/>
  <c r="D42" i="5"/>
  <c r="E38" i="5"/>
  <c r="D38" i="5"/>
  <c r="E34" i="5"/>
  <c r="D34" i="5"/>
  <c r="E30" i="5"/>
  <c r="D30" i="5"/>
  <c r="E26" i="5"/>
  <c r="D26" i="5"/>
  <c r="E22" i="5"/>
  <c r="D22" i="5"/>
  <c r="E18" i="5"/>
  <c r="D18" i="5"/>
  <c r="E14" i="5"/>
  <c r="D14" i="5"/>
  <c r="E10" i="5"/>
  <c r="D10" i="5"/>
  <c r="E6" i="5"/>
  <c r="D6" i="5"/>
  <c r="D3" i="5"/>
  <c r="D504" i="5"/>
  <c r="D500" i="5"/>
  <c r="D496" i="5"/>
  <c r="D492" i="5"/>
  <c r="D488" i="5"/>
  <c r="D484" i="5"/>
  <c r="D480" i="5"/>
  <c r="D476" i="5"/>
  <c r="D472" i="5"/>
  <c r="D468" i="5"/>
  <c r="D464" i="5"/>
  <c r="D460" i="5"/>
  <c r="D456" i="5"/>
  <c r="D452" i="5"/>
  <c r="D448" i="5"/>
  <c r="D444" i="5"/>
  <c r="D440" i="5"/>
  <c r="D434" i="5"/>
  <c r="D429" i="5"/>
  <c r="D424" i="5"/>
  <c r="D418" i="5"/>
  <c r="D413" i="5"/>
  <c r="D408" i="5"/>
  <c r="D402" i="5"/>
  <c r="D397" i="5"/>
  <c r="D392" i="5"/>
  <c r="D386" i="5"/>
  <c r="D381" i="5"/>
  <c r="D376" i="5"/>
  <c r="D370" i="5"/>
  <c r="D365" i="5"/>
  <c r="D360" i="5"/>
  <c r="D354" i="5"/>
  <c r="D349" i="5"/>
  <c r="D344" i="5"/>
  <c r="D338" i="5"/>
  <c r="D333" i="5"/>
  <c r="D328" i="5"/>
  <c r="D322" i="5"/>
  <c r="D317" i="5"/>
  <c r="D312" i="5"/>
  <c r="D306" i="5"/>
  <c r="D301" i="5"/>
  <c r="D296" i="5"/>
  <c r="D290" i="5"/>
  <c r="D285" i="5"/>
  <c r="D280" i="5"/>
  <c r="D274" i="5"/>
  <c r="D269" i="5"/>
  <c r="D264" i="5"/>
  <c r="D258" i="5"/>
  <c r="D253" i="5"/>
  <c r="D248" i="5"/>
  <c r="D242" i="5"/>
  <c r="D237" i="5"/>
  <c r="D232" i="5"/>
  <c r="D226" i="5"/>
  <c r="D221" i="5"/>
  <c r="D216" i="5"/>
  <c r="D210" i="5"/>
  <c r="D205" i="5"/>
  <c r="D200" i="5"/>
  <c r="D191" i="5"/>
  <c r="D183" i="5"/>
  <c r="D175" i="5"/>
  <c r="D167" i="5"/>
  <c r="D159" i="5"/>
  <c r="D151" i="5"/>
  <c r="D143" i="5"/>
  <c r="D135" i="5"/>
  <c r="D127" i="5"/>
  <c r="D119" i="5"/>
  <c r="D111" i="5"/>
  <c r="D103" i="5"/>
  <c r="D95" i="5"/>
  <c r="D87" i="5"/>
  <c r="D79" i="5"/>
  <c r="D71" i="5"/>
  <c r="D63" i="5"/>
  <c r="D55" i="5"/>
  <c r="D47" i="5"/>
  <c r="D39" i="5"/>
  <c r="D31" i="5"/>
  <c r="D23" i="5"/>
  <c r="D15" i="5"/>
  <c r="D7" i="5"/>
  <c r="E5" i="5"/>
  <c r="D5" i="5"/>
  <c r="D507" i="5"/>
  <c r="D503" i="5"/>
  <c r="D499" i="5"/>
  <c r="D495" i="5"/>
  <c r="D491" i="5"/>
  <c r="D487" i="5"/>
  <c r="D483" i="5"/>
  <c r="D479" i="5"/>
  <c r="D475" i="5"/>
  <c r="D471" i="5"/>
  <c r="D467" i="5"/>
  <c r="D463" i="5"/>
  <c r="D459" i="5"/>
  <c r="D455" i="5"/>
  <c r="D451" i="5"/>
  <c r="D447" i="5"/>
  <c r="D443" i="5"/>
  <c r="D438" i="5"/>
  <c r="D433" i="5"/>
  <c r="D428" i="5"/>
  <c r="D422" i="5"/>
  <c r="D417" i="5"/>
  <c r="D412" i="5"/>
  <c r="D406" i="5"/>
  <c r="D401" i="5"/>
  <c r="D396" i="5"/>
  <c r="D390" i="5"/>
  <c r="D385" i="5"/>
  <c r="D380" i="5"/>
  <c r="D374" i="5"/>
  <c r="D369" i="5"/>
  <c r="D364" i="5"/>
  <c r="D358" i="5"/>
  <c r="D353" i="5"/>
  <c r="D348" i="5"/>
  <c r="D342" i="5"/>
  <c r="D337" i="5"/>
  <c r="D332" i="5"/>
  <c r="D326" i="5"/>
  <c r="D321" i="5"/>
  <c r="D316" i="5"/>
  <c r="D310" i="5"/>
  <c r="D305" i="5"/>
  <c r="D300" i="5"/>
  <c r="D294" i="5"/>
  <c r="D289" i="5"/>
  <c r="D284" i="5"/>
  <c r="D278" i="5"/>
  <c r="D273" i="5"/>
  <c r="D268" i="5"/>
  <c r="D262" i="5"/>
  <c r="D257" i="5"/>
  <c r="D252" i="5"/>
  <c r="D246" i="5"/>
  <c r="D241" i="5"/>
  <c r="D236" i="5"/>
  <c r="D230" i="5"/>
  <c r="D225" i="5"/>
  <c r="D220" i="5"/>
  <c r="D214" i="5"/>
  <c r="D209" i="5"/>
  <c r="D204" i="5"/>
  <c r="D197" i="5"/>
  <c r="D189" i="5"/>
  <c r="D181" i="5"/>
  <c r="D173" i="5"/>
  <c r="D165" i="5"/>
  <c r="D157" i="5"/>
  <c r="D149" i="5"/>
  <c r="D141" i="5"/>
  <c r="D133" i="5"/>
  <c r="D125" i="5"/>
  <c r="D117" i="5"/>
  <c r="D109" i="5"/>
  <c r="D101" i="5"/>
  <c r="D93" i="5"/>
  <c r="D85" i="5"/>
  <c r="D77" i="5"/>
  <c r="D69" i="5"/>
  <c r="D61" i="5"/>
  <c r="D53" i="5"/>
  <c r="D45" i="5"/>
  <c r="D37" i="5"/>
  <c r="D29" i="5"/>
  <c r="D21" i="5"/>
  <c r="D13" i="5"/>
  <c r="D508" i="5"/>
  <c r="E508" i="5"/>
  <c r="E196" i="5"/>
  <c r="D196" i="5"/>
  <c r="E192" i="5"/>
  <c r="D192" i="5"/>
  <c r="E188" i="5"/>
  <c r="D188" i="5"/>
  <c r="E184" i="5"/>
  <c r="D184" i="5"/>
  <c r="E180" i="5"/>
  <c r="D180" i="5"/>
  <c r="E176" i="5"/>
  <c r="D176" i="5"/>
  <c r="E172" i="5"/>
  <c r="D172" i="5"/>
  <c r="E168" i="5"/>
  <c r="D168" i="5"/>
  <c r="E164" i="5"/>
  <c r="D164" i="5"/>
  <c r="E160" i="5"/>
  <c r="D160" i="5"/>
  <c r="E156" i="5"/>
  <c r="D156" i="5"/>
  <c r="E152" i="5"/>
  <c r="D152" i="5"/>
  <c r="E148" i="5"/>
  <c r="D148" i="5"/>
  <c r="E144" i="5"/>
  <c r="D144" i="5"/>
  <c r="E140" i="5"/>
  <c r="D140" i="5"/>
  <c r="E136" i="5"/>
  <c r="D136" i="5"/>
  <c r="E132" i="5"/>
  <c r="D132" i="5"/>
  <c r="E128" i="5"/>
  <c r="D128" i="5"/>
  <c r="E124" i="5"/>
  <c r="D124" i="5"/>
  <c r="E120" i="5"/>
  <c r="D120" i="5"/>
  <c r="E116" i="5"/>
  <c r="D116" i="5"/>
  <c r="E112" i="5"/>
  <c r="D112" i="5"/>
  <c r="E108" i="5"/>
  <c r="D108" i="5"/>
  <c r="E104" i="5"/>
  <c r="D104" i="5"/>
  <c r="E100" i="5"/>
  <c r="D100" i="5"/>
  <c r="E96" i="5"/>
  <c r="D96" i="5"/>
  <c r="E92" i="5"/>
  <c r="D92" i="5"/>
  <c r="E88" i="5"/>
  <c r="D88" i="5"/>
  <c r="E84" i="5"/>
  <c r="D84" i="5"/>
  <c r="E80" i="5"/>
  <c r="D80" i="5"/>
  <c r="E76" i="5"/>
  <c r="D76" i="5"/>
  <c r="E72" i="5"/>
  <c r="D72" i="5"/>
  <c r="E68" i="5"/>
  <c r="D68" i="5"/>
  <c r="E64" i="5"/>
  <c r="D64" i="5"/>
  <c r="E60" i="5"/>
  <c r="D60" i="5"/>
  <c r="E56" i="5"/>
  <c r="D56" i="5"/>
  <c r="E52" i="5"/>
  <c r="D52" i="5"/>
  <c r="E48" i="5"/>
  <c r="D48" i="5"/>
  <c r="E44" i="5"/>
  <c r="D44" i="5"/>
  <c r="E40" i="5"/>
  <c r="D40" i="5"/>
  <c r="E36" i="5"/>
  <c r="D36" i="5"/>
  <c r="E32" i="5"/>
  <c r="D32" i="5"/>
  <c r="E28" i="5"/>
  <c r="D28" i="5"/>
  <c r="E24" i="5"/>
  <c r="D24" i="5"/>
  <c r="E20" i="5"/>
  <c r="D20" i="5"/>
  <c r="E16" i="5"/>
  <c r="D16" i="5"/>
  <c r="E12" i="5"/>
  <c r="D12" i="5"/>
  <c r="E8" i="5"/>
  <c r="D8" i="5"/>
  <c r="E4" i="5"/>
  <c r="D4" i="5"/>
  <c r="D506" i="5"/>
  <c r="D502" i="5"/>
  <c r="D498" i="5"/>
  <c r="D494" i="5"/>
  <c r="D490" i="5"/>
  <c r="D486" i="5"/>
  <c r="D482" i="5"/>
  <c r="D478" i="5"/>
  <c r="D474" i="5"/>
  <c r="D470" i="5"/>
  <c r="D466" i="5"/>
  <c r="D462" i="5"/>
  <c r="D458" i="5"/>
  <c r="D454" i="5"/>
  <c r="D450" i="5"/>
  <c r="D446" i="5"/>
  <c r="D442" i="5"/>
  <c r="D437" i="5"/>
  <c r="D432" i="5"/>
  <c r="D426" i="5"/>
  <c r="D421" i="5"/>
  <c r="D416" i="5"/>
  <c r="D410" i="5"/>
  <c r="D405" i="5"/>
  <c r="D400" i="5"/>
  <c r="D394" i="5"/>
  <c r="D389" i="5"/>
  <c r="D384" i="5"/>
  <c r="D378" i="5"/>
  <c r="D373" i="5"/>
  <c r="D368" i="5"/>
  <c r="D362" i="5"/>
  <c r="D357" i="5"/>
  <c r="D352" i="5"/>
  <c r="D346" i="5"/>
  <c r="D341" i="5"/>
  <c r="D336" i="5"/>
  <c r="D330" i="5"/>
  <c r="D325" i="5"/>
  <c r="D320" i="5"/>
  <c r="D314" i="5"/>
  <c r="D309" i="5"/>
  <c r="D304" i="5"/>
  <c r="D298" i="5"/>
  <c r="D293" i="5"/>
  <c r="D288" i="5"/>
  <c r="D282" i="5"/>
  <c r="D277" i="5"/>
  <c r="D272" i="5"/>
  <c r="D266" i="5"/>
  <c r="D261" i="5"/>
  <c r="D256" i="5"/>
  <c r="D250" i="5"/>
  <c r="D245" i="5"/>
  <c r="D240" i="5"/>
  <c r="D234" i="5"/>
  <c r="D229" i="5"/>
  <c r="D224" i="5"/>
  <c r="D218" i="5"/>
  <c r="D213" i="5"/>
  <c r="D208" i="5"/>
  <c r="D202" i="5"/>
  <c r="D195" i="5"/>
  <c r="D187" i="5"/>
  <c r="D179" i="5"/>
  <c r="D171" i="5"/>
  <c r="D163" i="5"/>
  <c r="D155" i="5"/>
  <c r="D147" i="5"/>
  <c r="D139" i="5"/>
  <c r="D131" i="5"/>
  <c r="D123" i="5"/>
  <c r="D115" i="5"/>
  <c r="D107" i="5"/>
  <c r="D99" i="5"/>
  <c r="D91" i="5"/>
  <c r="D83" i="5"/>
  <c r="D75" i="5"/>
  <c r="D67" i="5"/>
  <c r="D59" i="5"/>
  <c r="D51" i="5"/>
  <c r="D43" i="5"/>
  <c r="D35" i="5"/>
  <c r="D27" i="5"/>
  <c r="D19" i="5"/>
  <c r="D11" i="5"/>
  <c r="D439" i="5"/>
  <c r="E439" i="5"/>
  <c r="E435" i="5"/>
  <c r="D435" i="5"/>
  <c r="D431" i="5"/>
  <c r="E431" i="5"/>
  <c r="E427" i="5"/>
  <c r="D427" i="5"/>
  <c r="D423" i="5"/>
  <c r="E423" i="5"/>
  <c r="E419" i="5"/>
  <c r="D419" i="5"/>
  <c r="D415" i="5"/>
  <c r="E415" i="5"/>
  <c r="E411" i="5"/>
  <c r="D411" i="5"/>
  <c r="D407" i="5"/>
  <c r="E407" i="5"/>
  <c r="E403" i="5"/>
  <c r="D403" i="5"/>
  <c r="D399" i="5"/>
  <c r="E399" i="5"/>
  <c r="E395" i="5"/>
  <c r="D395" i="5"/>
  <c r="D391" i="5"/>
  <c r="E391" i="5"/>
  <c r="E387" i="5"/>
  <c r="D387" i="5"/>
  <c r="D383" i="5"/>
  <c r="E383" i="5"/>
  <c r="E379" i="5"/>
  <c r="D379" i="5"/>
  <c r="D375" i="5"/>
  <c r="E375" i="5"/>
  <c r="E371" i="5"/>
  <c r="D371" i="5"/>
  <c r="D367" i="5"/>
  <c r="E367" i="5"/>
  <c r="E363" i="5"/>
  <c r="D363" i="5"/>
  <c r="D359" i="5"/>
  <c r="E359" i="5"/>
  <c r="E355" i="5"/>
  <c r="D355" i="5"/>
  <c r="D351" i="5"/>
  <c r="E351" i="5"/>
  <c r="E347" i="5"/>
  <c r="D347" i="5"/>
  <c r="D343" i="5"/>
  <c r="E343" i="5"/>
  <c r="E339" i="5"/>
  <c r="D339" i="5"/>
  <c r="E335" i="5"/>
  <c r="D335" i="5"/>
  <c r="D331" i="5"/>
  <c r="E331" i="5"/>
  <c r="D327" i="5"/>
  <c r="E327" i="5"/>
  <c r="E323" i="5"/>
  <c r="D323" i="5"/>
  <c r="E319" i="5"/>
  <c r="D319" i="5"/>
  <c r="D315" i="5"/>
  <c r="E315" i="5"/>
  <c r="D311" i="5"/>
  <c r="E311" i="5"/>
  <c r="E307" i="5"/>
  <c r="D307" i="5"/>
  <c r="E303" i="5"/>
  <c r="D303" i="5"/>
  <c r="E299" i="5"/>
  <c r="D299" i="5"/>
  <c r="E295" i="5"/>
  <c r="D295" i="5"/>
  <c r="E291" i="5"/>
  <c r="D291" i="5"/>
  <c r="E287" i="5"/>
  <c r="D287" i="5"/>
  <c r="E283" i="5"/>
  <c r="D283" i="5"/>
  <c r="E279" i="5"/>
  <c r="D279" i="5"/>
  <c r="E275" i="5"/>
  <c r="D275" i="5"/>
  <c r="E271" i="5"/>
  <c r="D271" i="5"/>
  <c r="E267" i="5"/>
  <c r="D267" i="5"/>
  <c r="E263" i="5"/>
  <c r="D263" i="5"/>
  <c r="E259" i="5"/>
  <c r="D259" i="5"/>
  <c r="E255" i="5"/>
  <c r="D255" i="5"/>
  <c r="E251" i="5"/>
  <c r="D251" i="5"/>
  <c r="E247" i="5"/>
  <c r="D247" i="5"/>
  <c r="E243" i="5"/>
  <c r="D243" i="5"/>
  <c r="E239" i="5"/>
  <c r="D239" i="5"/>
  <c r="E235" i="5"/>
  <c r="D235" i="5"/>
  <c r="E231" i="5"/>
  <c r="D231" i="5"/>
  <c r="E227" i="5"/>
  <c r="D227" i="5"/>
  <c r="E223" i="5"/>
  <c r="D223" i="5"/>
  <c r="E219" i="5"/>
  <c r="D219" i="5"/>
  <c r="E215" i="5"/>
  <c r="D215" i="5"/>
  <c r="E211" i="5"/>
  <c r="D211" i="5"/>
  <c r="E207" i="5"/>
  <c r="D207" i="5"/>
  <c r="E203" i="5"/>
  <c r="D203" i="5"/>
  <c r="E199" i="5"/>
  <c r="D199" i="5"/>
  <c r="D505" i="5"/>
  <c r="D501" i="5"/>
  <c r="D497" i="5"/>
  <c r="D493" i="5"/>
  <c r="D489" i="5"/>
  <c r="D485" i="5"/>
  <c r="D481" i="5"/>
  <c r="D477" i="5"/>
  <c r="D473" i="5"/>
  <c r="D469" i="5"/>
  <c r="D465" i="5"/>
  <c r="D461" i="5"/>
  <c r="D457" i="5"/>
  <c r="D453" i="5"/>
  <c r="D449" i="5"/>
  <c r="D445" i="5"/>
  <c r="D441" i="5"/>
  <c r="D436" i="5"/>
  <c r="D430" i="5"/>
  <c r="D425" i="5"/>
  <c r="D420" i="5"/>
  <c r="D414" i="5"/>
  <c r="D409" i="5"/>
  <c r="D404" i="5"/>
  <c r="D398" i="5"/>
  <c r="D393" i="5"/>
  <c r="D388" i="5"/>
  <c r="D382" i="5"/>
  <c r="D377" i="5"/>
  <c r="D372" i="5"/>
  <c r="D366" i="5"/>
  <c r="D361" i="5"/>
  <c r="D356" i="5"/>
  <c r="D350" i="5"/>
  <c r="D345" i="5"/>
  <c r="D340" i="5"/>
  <c r="D334" i="5"/>
  <c r="D329" i="5"/>
  <c r="D324" i="5"/>
  <c r="D318" i="5"/>
  <c r="D313" i="5"/>
  <c r="D308" i="5"/>
  <c r="D302" i="5"/>
  <c r="D297" i="5"/>
  <c r="D292" i="5"/>
  <c r="D286" i="5"/>
  <c r="D281" i="5"/>
  <c r="D276" i="5"/>
  <c r="D270" i="5"/>
  <c r="D265" i="5"/>
  <c r="D260" i="5"/>
  <c r="D254" i="5"/>
  <c r="D249" i="5"/>
  <c r="D244" i="5"/>
  <c r="D238" i="5"/>
  <c r="D233" i="5"/>
  <c r="D228" i="5"/>
  <c r="D222" i="5"/>
  <c r="D217" i="5"/>
  <c r="D212" i="5"/>
  <c r="D206" i="5"/>
  <c r="D201" i="5"/>
  <c r="D193" i="5"/>
  <c r="D185" i="5"/>
  <c r="D177" i="5"/>
  <c r="D169" i="5"/>
  <c r="D161" i="5"/>
  <c r="D153" i="5"/>
  <c r="D145" i="5"/>
  <c r="D137" i="5"/>
  <c r="D129" i="5"/>
  <c r="D121" i="5"/>
  <c r="D113" i="5"/>
  <c r="D105" i="5"/>
  <c r="D97" i="5"/>
  <c r="D89" i="5"/>
  <c r="D81" i="5"/>
  <c r="D73" i="5"/>
  <c r="D65" i="5"/>
  <c r="D57" i="5"/>
  <c r="D49" i="5"/>
  <c r="D41" i="5"/>
  <c r="D33" i="5"/>
  <c r="D25" i="5"/>
  <c r="D17" i="5"/>
  <c r="D9" i="5"/>
  <c r="J305" i="2"/>
  <c r="E305" i="2"/>
  <c r="J301" i="2"/>
  <c r="E301" i="2"/>
  <c r="J297" i="2"/>
  <c r="E297" i="2"/>
  <c r="J293" i="2"/>
  <c r="E293" i="2"/>
  <c r="J289" i="2"/>
  <c r="E289" i="2"/>
  <c r="J285" i="2"/>
  <c r="E285" i="2"/>
  <c r="J281" i="2"/>
  <c r="E281" i="2"/>
  <c r="J277" i="2"/>
  <c r="E277" i="2"/>
  <c r="J273" i="2"/>
  <c r="E273" i="2"/>
  <c r="J269" i="2"/>
  <c r="E269" i="2"/>
  <c r="J265" i="2"/>
  <c r="E265" i="2"/>
  <c r="J261" i="2"/>
  <c r="E261" i="2"/>
  <c r="J257" i="2"/>
  <c r="E257" i="2"/>
  <c r="J253" i="2"/>
  <c r="E253" i="2"/>
  <c r="J249" i="2"/>
  <c r="E249" i="2"/>
  <c r="J245" i="2"/>
  <c r="E245" i="2"/>
  <c r="J241" i="2"/>
  <c r="E241" i="2"/>
  <c r="J237" i="2"/>
  <c r="E237" i="2"/>
  <c r="J233" i="2"/>
  <c r="E233" i="2"/>
  <c r="J229" i="2"/>
  <c r="E229" i="2"/>
  <c r="J225" i="2"/>
  <c r="E225" i="2"/>
  <c r="J221" i="2"/>
  <c r="E221" i="2"/>
  <c r="J217" i="2"/>
  <c r="E217" i="2"/>
  <c r="J213" i="2"/>
  <c r="E213" i="2"/>
  <c r="J209" i="2"/>
  <c r="E209" i="2"/>
  <c r="J205" i="2"/>
  <c r="E205" i="2"/>
  <c r="J201" i="2"/>
  <c r="E201" i="2"/>
  <c r="J197" i="2"/>
  <c r="E197" i="2"/>
  <c r="J193" i="2"/>
  <c r="E193" i="2"/>
  <c r="J189" i="2"/>
  <c r="E189" i="2"/>
  <c r="J185" i="2"/>
  <c r="E185" i="2"/>
  <c r="J181" i="2"/>
  <c r="E181" i="2"/>
  <c r="J177" i="2"/>
  <c r="E177" i="2"/>
  <c r="J173" i="2"/>
  <c r="E173" i="2"/>
  <c r="J169" i="2"/>
  <c r="E169" i="2"/>
  <c r="J165" i="2"/>
  <c r="E165" i="2"/>
  <c r="J161" i="2"/>
  <c r="E161" i="2"/>
  <c r="J157" i="2"/>
  <c r="E157" i="2"/>
  <c r="J153" i="2"/>
  <c r="E153" i="2"/>
  <c r="J149" i="2"/>
  <c r="E149" i="2"/>
  <c r="J145" i="2"/>
  <c r="E145" i="2"/>
  <c r="J141" i="2"/>
  <c r="E141" i="2"/>
  <c r="J137" i="2"/>
  <c r="E137" i="2"/>
  <c r="J133" i="2"/>
  <c r="E133" i="2"/>
  <c r="J129" i="2"/>
  <c r="E129" i="2"/>
  <c r="J125" i="2"/>
  <c r="E125" i="2"/>
  <c r="J121" i="2"/>
  <c r="E121" i="2"/>
  <c r="J117" i="2"/>
  <c r="E117" i="2"/>
  <c r="J113" i="2"/>
  <c r="E113" i="2"/>
  <c r="J109" i="2"/>
  <c r="E109" i="2"/>
  <c r="J105" i="2"/>
  <c r="E105" i="2"/>
  <c r="J101" i="2"/>
  <c r="E101" i="2"/>
  <c r="J97" i="2"/>
  <c r="E97" i="2"/>
  <c r="J93" i="2"/>
  <c r="E93" i="2"/>
  <c r="J89" i="2"/>
  <c r="E89" i="2"/>
  <c r="J85" i="2"/>
  <c r="E85" i="2"/>
  <c r="J81" i="2"/>
  <c r="E81" i="2"/>
  <c r="J77" i="2"/>
  <c r="E77" i="2"/>
  <c r="J73" i="2"/>
  <c r="E73" i="2"/>
  <c r="J69" i="2"/>
  <c r="E69" i="2"/>
  <c r="J65" i="2"/>
  <c r="E65" i="2"/>
  <c r="J61" i="2"/>
  <c r="E61" i="2"/>
  <c r="J57" i="2"/>
  <c r="E57" i="2"/>
  <c r="J53" i="2"/>
  <c r="E53" i="2"/>
  <c r="J49" i="2"/>
  <c r="G49" i="2"/>
  <c r="E49" i="2"/>
  <c r="J45" i="2"/>
  <c r="G45" i="2"/>
  <c r="E45" i="2"/>
  <c r="J41" i="2"/>
  <c r="G41" i="2"/>
  <c r="E41" i="2"/>
  <c r="J37" i="2"/>
  <c r="G37" i="2"/>
  <c r="E37" i="2"/>
  <c r="J33" i="2"/>
  <c r="G33" i="2"/>
  <c r="E33" i="2"/>
  <c r="J29" i="2"/>
  <c r="G29" i="2"/>
  <c r="E29" i="2"/>
  <c r="J25" i="2"/>
  <c r="G25" i="2"/>
  <c r="E25" i="2"/>
  <c r="J21" i="2"/>
  <c r="G21" i="2"/>
  <c r="E21" i="2"/>
  <c r="J17" i="2"/>
  <c r="G17" i="2"/>
  <c r="E17" i="2"/>
  <c r="J13" i="2"/>
  <c r="G13" i="2"/>
  <c r="E13" i="2"/>
  <c r="J9" i="2"/>
  <c r="G9" i="2"/>
  <c r="E9" i="2"/>
  <c r="J5" i="2"/>
  <c r="G5" i="2"/>
  <c r="E5" i="2"/>
  <c r="H507" i="2"/>
  <c r="I507" i="2"/>
  <c r="H503" i="2"/>
  <c r="I503" i="2"/>
  <c r="H499" i="2"/>
  <c r="I499" i="2"/>
  <c r="H495" i="2"/>
  <c r="I495" i="2"/>
  <c r="H491" i="2"/>
  <c r="I491" i="2"/>
  <c r="H487" i="2"/>
  <c r="I487" i="2"/>
  <c r="H483" i="2"/>
  <c r="I483" i="2"/>
  <c r="H479" i="2"/>
  <c r="I479" i="2"/>
  <c r="H475" i="2"/>
  <c r="I475" i="2"/>
  <c r="H471" i="2"/>
  <c r="I471" i="2"/>
  <c r="H467" i="2"/>
  <c r="I467" i="2"/>
  <c r="H463" i="2"/>
  <c r="I463" i="2"/>
  <c r="H459" i="2"/>
  <c r="I459" i="2"/>
  <c r="H455" i="2"/>
  <c r="I455" i="2"/>
  <c r="H451" i="2"/>
  <c r="I451" i="2"/>
  <c r="H447" i="2"/>
  <c r="I447" i="2"/>
  <c r="H443" i="2"/>
  <c r="I443" i="2"/>
  <c r="H439" i="2"/>
  <c r="I439" i="2"/>
  <c r="H435" i="2"/>
  <c r="I435" i="2"/>
  <c r="H431" i="2"/>
  <c r="I431" i="2"/>
  <c r="H427" i="2"/>
  <c r="I427" i="2"/>
  <c r="H423" i="2"/>
  <c r="I423" i="2"/>
  <c r="H419" i="2"/>
  <c r="I419" i="2"/>
  <c r="H415" i="2"/>
  <c r="I415" i="2"/>
  <c r="H411" i="2"/>
  <c r="I411" i="2"/>
  <c r="H407" i="2"/>
  <c r="I407" i="2"/>
  <c r="H403" i="2"/>
  <c r="I403" i="2"/>
  <c r="H399" i="2"/>
  <c r="I399" i="2"/>
  <c r="H395" i="2"/>
  <c r="I395" i="2"/>
  <c r="H391" i="2"/>
  <c r="I391" i="2"/>
  <c r="H387" i="2"/>
  <c r="I387" i="2"/>
  <c r="H383" i="2"/>
  <c r="I383" i="2"/>
  <c r="H379" i="2"/>
  <c r="I379" i="2"/>
  <c r="H375" i="2"/>
  <c r="I375" i="2"/>
  <c r="H371" i="2"/>
  <c r="I371" i="2"/>
  <c r="H367" i="2"/>
  <c r="I367" i="2"/>
  <c r="H363" i="2"/>
  <c r="I363" i="2"/>
  <c r="H359" i="2"/>
  <c r="I359" i="2"/>
  <c r="H355" i="2"/>
  <c r="I355" i="2"/>
  <c r="H351" i="2"/>
  <c r="I351" i="2"/>
  <c r="H347" i="2"/>
  <c r="I347" i="2"/>
  <c r="H343" i="2"/>
  <c r="I343" i="2"/>
  <c r="H339" i="2"/>
  <c r="I339" i="2"/>
  <c r="H335" i="2"/>
  <c r="I335" i="2"/>
  <c r="H331" i="2"/>
  <c r="I331" i="2"/>
  <c r="H327" i="2"/>
  <c r="I327" i="2"/>
  <c r="H323" i="2"/>
  <c r="I323" i="2"/>
  <c r="H319" i="2"/>
  <c r="I319" i="2"/>
  <c r="H315" i="2"/>
  <c r="I315" i="2"/>
  <c r="H311" i="2"/>
  <c r="I311" i="2"/>
  <c r="H307" i="2"/>
  <c r="I307" i="2"/>
  <c r="H303" i="2"/>
  <c r="I303" i="2"/>
  <c r="H299" i="2"/>
  <c r="I299" i="2"/>
  <c r="H295" i="2"/>
  <c r="I295" i="2"/>
  <c r="H291" i="2"/>
  <c r="I291" i="2"/>
  <c r="H287" i="2"/>
  <c r="I287" i="2"/>
  <c r="H283" i="2"/>
  <c r="I283" i="2"/>
  <c r="H279" i="2"/>
  <c r="I279" i="2"/>
  <c r="H275" i="2"/>
  <c r="I275" i="2"/>
  <c r="H271" i="2"/>
  <c r="I271" i="2"/>
  <c r="H267" i="2"/>
  <c r="I267" i="2"/>
  <c r="H263" i="2"/>
  <c r="I263" i="2"/>
  <c r="H259" i="2"/>
  <c r="I259" i="2"/>
  <c r="H255" i="2"/>
  <c r="I255" i="2"/>
  <c r="H251" i="2"/>
  <c r="I251" i="2"/>
  <c r="H247" i="2"/>
  <c r="I247" i="2"/>
  <c r="H243" i="2"/>
  <c r="I243" i="2"/>
  <c r="H239" i="2"/>
  <c r="I239" i="2"/>
  <c r="H235" i="2"/>
  <c r="I235" i="2"/>
  <c r="H231" i="2"/>
  <c r="I231" i="2"/>
  <c r="H227" i="2"/>
  <c r="I227" i="2"/>
  <c r="H223" i="2"/>
  <c r="I223" i="2"/>
  <c r="H219" i="2"/>
  <c r="I219" i="2"/>
  <c r="H215" i="2"/>
  <c r="I215" i="2"/>
  <c r="H211" i="2"/>
  <c r="I211" i="2"/>
  <c r="H207" i="2"/>
  <c r="I207" i="2"/>
  <c r="H203" i="2"/>
  <c r="I203" i="2"/>
  <c r="H199" i="2"/>
  <c r="I199" i="2"/>
  <c r="H195" i="2"/>
  <c r="I195" i="2"/>
  <c r="H191" i="2"/>
  <c r="I191" i="2"/>
  <c r="H187" i="2"/>
  <c r="I187" i="2"/>
  <c r="H183" i="2"/>
  <c r="I183" i="2"/>
  <c r="H179" i="2"/>
  <c r="I179" i="2"/>
  <c r="H175" i="2"/>
  <c r="I175" i="2"/>
  <c r="H171" i="2"/>
  <c r="I171" i="2"/>
  <c r="H167" i="2"/>
  <c r="I167" i="2"/>
  <c r="H163" i="2"/>
  <c r="I163" i="2"/>
  <c r="H159" i="2"/>
  <c r="I159" i="2"/>
  <c r="H155" i="2"/>
  <c r="I155" i="2"/>
  <c r="H151" i="2"/>
  <c r="I151" i="2"/>
  <c r="H147" i="2"/>
  <c r="I147" i="2"/>
  <c r="H143" i="2"/>
  <c r="I143" i="2"/>
  <c r="H139" i="2"/>
  <c r="I139" i="2"/>
  <c r="H135" i="2"/>
  <c r="I135" i="2"/>
  <c r="H131" i="2"/>
  <c r="I131" i="2"/>
  <c r="H127" i="2"/>
  <c r="I127" i="2"/>
  <c r="H123" i="2"/>
  <c r="I123" i="2"/>
  <c r="H119" i="2"/>
  <c r="I119" i="2"/>
  <c r="H115" i="2"/>
  <c r="I115" i="2"/>
  <c r="H111" i="2"/>
  <c r="I111" i="2"/>
  <c r="H107" i="2"/>
  <c r="I107" i="2"/>
  <c r="H103" i="2"/>
  <c r="I103" i="2"/>
  <c r="H99" i="2"/>
  <c r="I99" i="2"/>
  <c r="H95" i="2"/>
  <c r="I95" i="2"/>
  <c r="H91" i="2"/>
  <c r="I91" i="2"/>
  <c r="H87" i="2"/>
  <c r="I87" i="2"/>
  <c r="H83" i="2"/>
  <c r="I83" i="2"/>
  <c r="H79" i="2"/>
  <c r="I79" i="2"/>
  <c r="H75" i="2"/>
  <c r="I75" i="2"/>
  <c r="H71" i="2"/>
  <c r="I71" i="2"/>
  <c r="H67" i="2"/>
  <c r="I67" i="2"/>
  <c r="H63" i="2"/>
  <c r="I63" i="2"/>
  <c r="H59" i="2"/>
  <c r="I59" i="2"/>
  <c r="H55" i="2"/>
  <c r="I55" i="2"/>
  <c r="H51" i="2"/>
  <c r="I51" i="2"/>
  <c r="H47" i="2"/>
  <c r="I47" i="2"/>
  <c r="H43" i="2"/>
  <c r="I43" i="2"/>
  <c r="H39" i="2"/>
  <c r="I39" i="2"/>
  <c r="H35" i="2"/>
  <c r="I35" i="2"/>
  <c r="H31" i="2"/>
  <c r="I31" i="2"/>
  <c r="H27" i="2"/>
  <c r="I27" i="2"/>
  <c r="H23" i="2"/>
  <c r="I23" i="2"/>
  <c r="H19" i="2"/>
  <c r="I19" i="2"/>
  <c r="H15" i="2"/>
  <c r="I15" i="2"/>
  <c r="H11" i="2"/>
  <c r="I11" i="2"/>
  <c r="H7" i="2"/>
  <c r="I7" i="2"/>
  <c r="E500" i="2"/>
  <c r="E492" i="2"/>
  <c r="E476" i="2"/>
  <c r="E468" i="2"/>
  <c r="E460" i="2"/>
  <c r="E452" i="2"/>
  <c r="E444" i="2"/>
  <c r="E436" i="2"/>
  <c r="E428" i="2"/>
  <c r="E40" i="2"/>
  <c r="E24" i="2"/>
  <c r="E8" i="2"/>
  <c r="F506" i="2"/>
  <c r="F498" i="2"/>
  <c r="F490" i="2"/>
  <c r="F482" i="2"/>
  <c r="F474" i="2"/>
  <c r="F466" i="2"/>
  <c r="F458" i="2"/>
  <c r="F450" i="2"/>
  <c r="F442" i="2"/>
  <c r="F434" i="2"/>
  <c r="F426" i="2"/>
  <c r="F418" i="2"/>
  <c r="F410" i="2"/>
  <c r="F402" i="2"/>
  <c r="F394" i="2"/>
  <c r="F386" i="2"/>
  <c r="F378" i="2"/>
  <c r="F370" i="2"/>
  <c r="F362" i="2"/>
  <c r="F354" i="2"/>
  <c r="F346" i="2"/>
  <c r="F338" i="2"/>
  <c r="F330" i="2"/>
  <c r="F322" i="2"/>
  <c r="F314" i="2"/>
  <c r="F306" i="2"/>
  <c r="H3" i="2"/>
  <c r="G501" i="2"/>
  <c r="G493" i="2"/>
  <c r="G485" i="2"/>
  <c r="G477" i="2"/>
  <c r="G469" i="2"/>
  <c r="G461" i="2"/>
  <c r="G453" i="2"/>
  <c r="G445" i="2"/>
  <c r="G437" i="2"/>
  <c r="G429" i="2"/>
  <c r="G421" i="2"/>
  <c r="G413" i="2"/>
  <c r="G405" i="2"/>
  <c r="G397" i="2"/>
  <c r="G389" i="2"/>
  <c r="G381" i="2"/>
  <c r="G373" i="2"/>
  <c r="G365" i="2"/>
  <c r="G357" i="2"/>
  <c r="G349" i="2"/>
  <c r="G341" i="2"/>
  <c r="G333" i="2"/>
  <c r="G325" i="2"/>
  <c r="G317" i="2"/>
  <c r="G309" i="2"/>
  <c r="G301" i="2"/>
  <c r="G293" i="2"/>
  <c r="G285" i="2"/>
  <c r="G277" i="2"/>
  <c r="G269" i="2"/>
  <c r="G261" i="2"/>
  <c r="G253" i="2"/>
  <c r="G245" i="2"/>
  <c r="G237" i="2"/>
  <c r="G229" i="2"/>
  <c r="G221" i="2"/>
  <c r="G213" i="2"/>
  <c r="G205" i="2"/>
  <c r="G197" i="2"/>
  <c r="G189" i="2"/>
  <c r="G181" i="2"/>
  <c r="G173" i="2"/>
  <c r="G165" i="2"/>
  <c r="G157" i="2"/>
  <c r="G149" i="2"/>
  <c r="G141" i="2"/>
  <c r="G133" i="2"/>
  <c r="G125" i="2"/>
  <c r="G117" i="2"/>
  <c r="G109" i="2"/>
  <c r="G101" i="2"/>
  <c r="G93" i="2"/>
  <c r="G85" i="2"/>
  <c r="G77" i="2"/>
  <c r="G69" i="2"/>
  <c r="G61" i="2"/>
  <c r="G53" i="2"/>
  <c r="H484" i="2"/>
  <c r="H452" i="2"/>
  <c r="H420" i="2"/>
  <c r="J508" i="2"/>
  <c r="G508" i="2"/>
  <c r="F508" i="2"/>
  <c r="J496" i="2"/>
  <c r="F496" i="2"/>
  <c r="J488" i="2"/>
  <c r="F488" i="2"/>
  <c r="J484" i="2"/>
  <c r="F484" i="2"/>
  <c r="J472" i="2"/>
  <c r="F472" i="2"/>
  <c r="J464" i="2"/>
  <c r="F464" i="2"/>
  <c r="J456" i="2"/>
  <c r="F456" i="2"/>
  <c r="J448" i="2"/>
  <c r="F448" i="2"/>
  <c r="J440" i="2"/>
  <c r="F440" i="2"/>
  <c r="J432" i="2"/>
  <c r="F432" i="2"/>
  <c r="J424" i="2"/>
  <c r="F424" i="2"/>
  <c r="J420" i="2"/>
  <c r="F420" i="2"/>
  <c r="J412" i="2"/>
  <c r="F412" i="2"/>
  <c r="J408" i="2"/>
  <c r="F408" i="2"/>
  <c r="J404" i="2"/>
  <c r="F404" i="2"/>
  <c r="J400" i="2"/>
  <c r="F400" i="2"/>
  <c r="J396" i="2"/>
  <c r="F396" i="2"/>
  <c r="J392" i="2"/>
  <c r="F392" i="2"/>
  <c r="J388" i="2"/>
  <c r="F388" i="2"/>
  <c r="J384" i="2"/>
  <c r="F384" i="2"/>
  <c r="J380" i="2"/>
  <c r="F380" i="2"/>
  <c r="J376" i="2"/>
  <c r="F376" i="2"/>
  <c r="J372" i="2"/>
  <c r="F372" i="2"/>
  <c r="J368" i="2"/>
  <c r="F368" i="2"/>
  <c r="J364" i="2"/>
  <c r="F364" i="2"/>
  <c r="J360" i="2"/>
  <c r="F360" i="2"/>
  <c r="J356" i="2"/>
  <c r="F356" i="2"/>
  <c r="J352" i="2"/>
  <c r="F352" i="2"/>
  <c r="J348" i="2"/>
  <c r="F348" i="2"/>
  <c r="J344" i="2"/>
  <c r="F344" i="2"/>
  <c r="J340" i="2"/>
  <c r="F340" i="2"/>
  <c r="J336" i="2"/>
  <c r="F336" i="2"/>
  <c r="J332" i="2"/>
  <c r="F332" i="2"/>
  <c r="J328" i="2"/>
  <c r="F328" i="2"/>
  <c r="J324" i="2"/>
  <c r="F324" i="2"/>
  <c r="J320" i="2"/>
  <c r="F320" i="2"/>
  <c r="J316" i="2"/>
  <c r="F316" i="2"/>
  <c r="J312" i="2"/>
  <c r="F312" i="2"/>
  <c r="J308" i="2"/>
  <c r="F308" i="2"/>
  <c r="J304" i="2"/>
  <c r="F304" i="2"/>
  <c r="J300" i="2"/>
  <c r="F300" i="2"/>
  <c r="J296" i="2"/>
  <c r="F296" i="2"/>
  <c r="J292" i="2"/>
  <c r="F292" i="2"/>
  <c r="J288" i="2"/>
  <c r="F288" i="2"/>
  <c r="J284" i="2"/>
  <c r="F284" i="2"/>
  <c r="J280" i="2"/>
  <c r="F280" i="2"/>
  <c r="J276" i="2"/>
  <c r="F276" i="2"/>
  <c r="J272" i="2"/>
  <c r="F272" i="2"/>
  <c r="J268" i="2"/>
  <c r="F268" i="2"/>
  <c r="J264" i="2"/>
  <c r="F264" i="2"/>
  <c r="J260" i="2"/>
  <c r="F260" i="2"/>
  <c r="J256" i="2"/>
  <c r="F256" i="2"/>
  <c r="J252" i="2"/>
  <c r="F252" i="2"/>
  <c r="J248" i="2"/>
  <c r="F248" i="2"/>
  <c r="J244" i="2"/>
  <c r="F244" i="2"/>
  <c r="J240" i="2"/>
  <c r="F240" i="2"/>
  <c r="J236" i="2"/>
  <c r="F236" i="2"/>
  <c r="J232" i="2"/>
  <c r="F232" i="2"/>
  <c r="J228" i="2"/>
  <c r="F228" i="2"/>
  <c r="J224" i="2"/>
  <c r="F224" i="2"/>
  <c r="J220" i="2"/>
  <c r="F220" i="2"/>
  <c r="J216" i="2"/>
  <c r="F216" i="2"/>
  <c r="J212" i="2"/>
  <c r="F212" i="2"/>
  <c r="J208" i="2"/>
  <c r="F208" i="2"/>
  <c r="J204" i="2"/>
  <c r="F204" i="2"/>
  <c r="J200" i="2"/>
  <c r="F200" i="2"/>
  <c r="J196" i="2"/>
  <c r="F196" i="2"/>
  <c r="J192" i="2"/>
  <c r="F192" i="2"/>
  <c r="J188" i="2"/>
  <c r="F188" i="2"/>
  <c r="J184" i="2"/>
  <c r="F184" i="2"/>
  <c r="J180" i="2"/>
  <c r="F180" i="2"/>
  <c r="J176" i="2"/>
  <c r="F176" i="2"/>
  <c r="J172" i="2"/>
  <c r="F172" i="2"/>
  <c r="J168" i="2"/>
  <c r="F168" i="2"/>
  <c r="J164" i="2"/>
  <c r="F164" i="2"/>
  <c r="J160" i="2"/>
  <c r="F160" i="2"/>
  <c r="J156" i="2"/>
  <c r="F156" i="2"/>
  <c r="J152" i="2"/>
  <c r="F152" i="2"/>
  <c r="J148" i="2"/>
  <c r="F148" i="2"/>
  <c r="J144" i="2"/>
  <c r="F144" i="2"/>
  <c r="J140" i="2"/>
  <c r="F140" i="2"/>
  <c r="J136" i="2"/>
  <c r="F136" i="2"/>
  <c r="J132" i="2"/>
  <c r="F132" i="2"/>
  <c r="J128" i="2"/>
  <c r="F128" i="2"/>
  <c r="J124" i="2"/>
  <c r="F124" i="2"/>
  <c r="J120" i="2"/>
  <c r="F120" i="2"/>
  <c r="J116" i="2"/>
  <c r="F116" i="2"/>
  <c r="J112" i="2"/>
  <c r="F112" i="2"/>
  <c r="J108" i="2"/>
  <c r="F108" i="2"/>
  <c r="J104" i="2"/>
  <c r="F104" i="2"/>
  <c r="J100" i="2"/>
  <c r="F100" i="2"/>
  <c r="J96" i="2"/>
  <c r="F96" i="2"/>
  <c r="J92" i="2"/>
  <c r="F92" i="2"/>
  <c r="J88" i="2"/>
  <c r="F88" i="2"/>
  <c r="J84" i="2"/>
  <c r="F84" i="2"/>
  <c r="J80" i="2"/>
  <c r="F80" i="2"/>
  <c r="J76" i="2"/>
  <c r="F76" i="2"/>
  <c r="J72" i="2"/>
  <c r="F72" i="2"/>
  <c r="J68" i="2"/>
  <c r="F68" i="2"/>
  <c r="J64" i="2"/>
  <c r="F64" i="2"/>
  <c r="J60" i="2"/>
  <c r="F60" i="2"/>
  <c r="J56" i="2"/>
  <c r="F56" i="2"/>
  <c r="J52" i="2"/>
  <c r="F52" i="2"/>
  <c r="J48" i="2"/>
  <c r="F48" i="2"/>
  <c r="J44" i="2"/>
  <c r="F44" i="2"/>
  <c r="J40" i="2"/>
  <c r="F40" i="2"/>
  <c r="J36" i="2"/>
  <c r="F36" i="2"/>
  <c r="J32" i="2"/>
  <c r="F32" i="2"/>
  <c r="J28" i="2"/>
  <c r="F28" i="2"/>
  <c r="J24" i="2"/>
  <c r="F24" i="2"/>
  <c r="J20" i="2"/>
  <c r="F20" i="2"/>
  <c r="J16" i="2"/>
  <c r="F16" i="2"/>
  <c r="J12" i="2"/>
  <c r="F12" i="2"/>
  <c r="J8" i="2"/>
  <c r="F8" i="2"/>
  <c r="J4" i="2"/>
  <c r="G4" i="2"/>
  <c r="F4" i="2"/>
  <c r="I506" i="2"/>
  <c r="H506" i="2"/>
  <c r="I502" i="2"/>
  <c r="H502" i="2"/>
  <c r="I498" i="2"/>
  <c r="H498" i="2"/>
  <c r="I494" i="2"/>
  <c r="H494" i="2"/>
  <c r="I490" i="2"/>
  <c r="H490" i="2"/>
  <c r="I486" i="2"/>
  <c r="H486" i="2"/>
  <c r="I482" i="2"/>
  <c r="H482" i="2"/>
  <c r="I478" i="2"/>
  <c r="H478" i="2"/>
  <c r="I474" i="2"/>
  <c r="H474" i="2"/>
  <c r="I470" i="2"/>
  <c r="H470" i="2"/>
  <c r="I466" i="2"/>
  <c r="H466" i="2"/>
  <c r="I462" i="2"/>
  <c r="H462" i="2"/>
  <c r="I458" i="2"/>
  <c r="H458" i="2"/>
  <c r="I454" i="2"/>
  <c r="H454" i="2"/>
  <c r="I450" i="2"/>
  <c r="H450" i="2"/>
  <c r="I446" i="2"/>
  <c r="H446" i="2"/>
  <c r="I442" i="2"/>
  <c r="H442" i="2"/>
  <c r="I438" i="2"/>
  <c r="H438" i="2"/>
  <c r="I434" i="2"/>
  <c r="H434" i="2"/>
  <c r="I430" i="2"/>
  <c r="H430" i="2"/>
  <c r="I426" i="2"/>
  <c r="H426" i="2"/>
  <c r="I422" i="2"/>
  <c r="H422" i="2"/>
  <c r="I418" i="2"/>
  <c r="H418" i="2"/>
  <c r="I414" i="2"/>
  <c r="H414" i="2"/>
  <c r="I410" i="2"/>
  <c r="H410" i="2"/>
  <c r="I406" i="2"/>
  <c r="H406" i="2"/>
  <c r="I402" i="2"/>
  <c r="H402" i="2"/>
  <c r="I398" i="2"/>
  <c r="H398" i="2"/>
  <c r="I394" i="2"/>
  <c r="H394" i="2"/>
  <c r="I390" i="2"/>
  <c r="H390" i="2"/>
  <c r="I386" i="2"/>
  <c r="H386" i="2"/>
  <c r="I382" i="2"/>
  <c r="H382" i="2"/>
  <c r="I378" i="2"/>
  <c r="H378" i="2"/>
  <c r="I374" i="2"/>
  <c r="H374" i="2"/>
  <c r="I370" i="2"/>
  <c r="H370" i="2"/>
  <c r="I366" i="2"/>
  <c r="H366" i="2"/>
  <c r="I362" i="2"/>
  <c r="H362" i="2"/>
  <c r="I358" i="2"/>
  <c r="H358" i="2"/>
  <c r="I354" i="2"/>
  <c r="H354" i="2"/>
  <c r="I350" i="2"/>
  <c r="H350" i="2"/>
  <c r="I346" i="2"/>
  <c r="H346" i="2"/>
  <c r="I342" i="2"/>
  <c r="H342" i="2"/>
  <c r="I338" i="2"/>
  <c r="H338" i="2"/>
  <c r="I334" i="2"/>
  <c r="H334" i="2"/>
  <c r="I330" i="2"/>
  <c r="H330" i="2"/>
  <c r="I326" i="2"/>
  <c r="H326" i="2"/>
  <c r="I322" i="2"/>
  <c r="H322" i="2"/>
  <c r="I318" i="2"/>
  <c r="H318" i="2"/>
  <c r="I314" i="2"/>
  <c r="H314" i="2"/>
  <c r="I310" i="2"/>
  <c r="H310" i="2"/>
  <c r="I306" i="2"/>
  <c r="H306" i="2"/>
  <c r="I302" i="2"/>
  <c r="H302" i="2"/>
  <c r="I298" i="2"/>
  <c r="H298" i="2"/>
  <c r="I294" i="2"/>
  <c r="H294" i="2"/>
  <c r="I290" i="2"/>
  <c r="H290" i="2"/>
  <c r="I286" i="2"/>
  <c r="H286" i="2"/>
  <c r="I282" i="2"/>
  <c r="H282" i="2"/>
  <c r="I278" i="2"/>
  <c r="H278" i="2"/>
  <c r="I274" i="2"/>
  <c r="H274" i="2"/>
  <c r="I270" i="2"/>
  <c r="H270" i="2"/>
  <c r="I266" i="2"/>
  <c r="H266" i="2"/>
  <c r="I262" i="2"/>
  <c r="H262" i="2"/>
  <c r="I258" i="2"/>
  <c r="H258" i="2"/>
  <c r="I254" i="2"/>
  <c r="H254" i="2"/>
  <c r="I250" i="2"/>
  <c r="H250" i="2"/>
  <c r="I246" i="2"/>
  <c r="H246" i="2"/>
  <c r="I242" i="2"/>
  <c r="H242" i="2"/>
  <c r="I238" i="2"/>
  <c r="H238" i="2"/>
  <c r="I234" i="2"/>
  <c r="H234" i="2"/>
  <c r="I230" i="2"/>
  <c r="H230" i="2"/>
  <c r="I226" i="2"/>
  <c r="H226" i="2"/>
  <c r="I222" i="2"/>
  <c r="H222" i="2"/>
  <c r="I218" i="2"/>
  <c r="H218" i="2"/>
  <c r="I214" i="2"/>
  <c r="H214" i="2"/>
  <c r="I210" i="2"/>
  <c r="H210" i="2"/>
  <c r="I206" i="2"/>
  <c r="H206" i="2"/>
  <c r="I202" i="2"/>
  <c r="H202" i="2"/>
  <c r="I198" i="2"/>
  <c r="H198" i="2"/>
  <c r="I194" i="2"/>
  <c r="H194" i="2"/>
  <c r="I190" i="2"/>
  <c r="H190" i="2"/>
  <c r="I186" i="2"/>
  <c r="H186" i="2"/>
  <c r="I182" i="2"/>
  <c r="H182" i="2"/>
  <c r="I178" i="2"/>
  <c r="H178" i="2"/>
  <c r="I174" i="2"/>
  <c r="H174" i="2"/>
  <c r="I170" i="2"/>
  <c r="H170" i="2"/>
  <c r="I166" i="2"/>
  <c r="H166" i="2"/>
  <c r="I162" i="2"/>
  <c r="H162" i="2"/>
  <c r="I158" i="2"/>
  <c r="H158" i="2"/>
  <c r="I154" i="2"/>
  <c r="H154" i="2"/>
  <c r="I150" i="2"/>
  <c r="H150" i="2"/>
  <c r="I146" i="2"/>
  <c r="H146" i="2"/>
  <c r="I142" i="2"/>
  <c r="H142" i="2"/>
  <c r="I138" i="2"/>
  <c r="H138" i="2"/>
  <c r="I134" i="2"/>
  <c r="H134" i="2"/>
  <c r="I130" i="2"/>
  <c r="H130" i="2"/>
  <c r="I126" i="2"/>
  <c r="H126" i="2"/>
  <c r="I122" i="2"/>
  <c r="H122" i="2"/>
  <c r="I118" i="2"/>
  <c r="H118" i="2"/>
  <c r="I114" i="2"/>
  <c r="H114" i="2"/>
  <c r="I110" i="2"/>
  <c r="H110" i="2"/>
  <c r="I106" i="2"/>
  <c r="H106" i="2"/>
  <c r="I102" i="2"/>
  <c r="H102" i="2"/>
  <c r="I98" i="2"/>
  <c r="H98" i="2"/>
  <c r="I94" i="2"/>
  <c r="H94" i="2"/>
  <c r="I90" i="2"/>
  <c r="H90" i="2"/>
  <c r="I86" i="2"/>
  <c r="H86" i="2"/>
  <c r="I82" i="2"/>
  <c r="H82" i="2"/>
  <c r="I78" i="2"/>
  <c r="H78" i="2"/>
  <c r="I74" i="2"/>
  <c r="H74" i="2"/>
  <c r="I70" i="2"/>
  <c r="H70" i="2"/>
  <c r="I66" i="2"/>
  <c r="H66" i="2"/>
  <c r="I62" i="2"/>
  <c r="H62" i="2"/>
  <c r="I58" i="2"/>
  <c r="H58" i="2"/>
  <c r="I54" i="2"/>
  <c r="H54" i="2"/>
  <c r="I50" i="2"/>
  <c r="H50" i="2"/>
  <c r="I46" i="2"/>
  <c r="H46" i="2"/>
  <c r="I42" i="2"/>
  <c r="H42" i="2"/>
  <c r="I38" i="2"/>
  <c r="H38" i="2"/>
  <c r="I34" i="2"/>
  <c r="H34" i="2"/>
  <c r="I30" i="2"/>
  <c r="H30" i="2"/>
  <c r="I26" i="2"/>
  <c r="H26" i="2"/>
  <c r="I22" i="2"/>
  <c r="H22" i="2"/>
  <c r="I18" i="2"/>
  <c r="H18" i="2"/>
  <c r="I14" i="2"/>
  <c r="H14" i="2"/>
  <c r="I10" i="2"/>
  <c r="H10" i="2"/>
  <c r="I6" i="2"/>
  <c r="H6" i="2"/>
  <c r="E302" i="2"/>
  <c r="F505" i="2"/>
  <c r="F497" i="2"/>
  <c r="F489" i="2"/>
  <c r="F481" i="2"/>
  <c r="F473" i="2"/>
  <c r="F465" i="2"/>
  <c r="F457" i="2"/>
  <c r="F449" i="2"/>
  <c r="F441" i="2"/>
  <c r="F433" i="2"/>
  <c r="F425" i="2"/>
  <c r="F417" i="2"/>
  <c r="F409" i="2"/>
  <c r="F401" i="2"/>
  <c r="F393" i="2"/>
  <c r="F385" i="2"/>
  <c r="F377" i="2"/>
  <c r="F369" i="2"/>
  <c r="F361" i="2"/>
  <c r="F353" i="2"/>
  <c r="F345" i="2"/>
  <c r="F337" i="2"/>
  <c r="F329" i="2"/>
  <c r="F321" i="2"/>
  <c r="F313" i="2"/>
  <c r="F305" i="2"/>
  <c r="F297" i="2"/>
  <c r="F289" i="2"/>
  <c r="F281" i="2"/>
  <c r="F273" i="2"/>
  <c r="F265" i="2"/>
  <c r="F257" i="2"/>
  <c r="F249" i="2"/>
  <c r="F241" i="2"/>
  <c r="F233" i="2"/>
  <c r="F225" i="2"/>
  <c r="F217" i="2"/>
  <c r="F209" i="2"/>
  <c r="F201" i="2"/>
  <c r="F193" i="2"/>
  <c r="F185" i="2"/>
  <c r="F177" i="2"/>
  <c r="F169" i="2"/>
  <c r="F161" i="2"/>
  <c r="F153" i="2"/>
  <c r="F145" i="2"/>
  <c r="F137" i="2"/>
  <c r="F129" i="2"/>
  <c r="F121" i="2"/>
  <c r="F113" i="2"/>
  <c r="F105" i="2"/>
  <c r="F97" i="2"/>
  <c r="F89" i="2"/>
  <c r="F81" i="2"/>
  <c r="F73" i="2"/>
  <c r="F65" i="2"/>
  <c r="F57" i="2"/>
  <c r="F49" i="2"/>
  <c r="F41" i="2"/>
  <c r="F33" i="2"/>
  <c r="F25" i="2"/>
  <c r="F17" i="2"/>
  <c r="F9" i="2"/>
  <c r="G484" i="2"/>
  <c r="G420" i="2"/>
  <c r="G412" i="2"/>
  <c r="G404" i="2"/>
  <c r="G396" i="2"/>
  <c r="G388" i="2"/>
  <c r="G380" i="2"/>
  <c r="G372" i="2"/>
  <c r="G364" i="2"/>
  <c r="G356" i="2"/>
  <c r="G348" i="2"/>
  <c r="G340" i="2"/>
  <c r="G332" i="2"/>
  <c r="G324" i="2"/>
  <c r="G316" i="2"/>
  <c r="G308" i="2"/>
  <c r="G300" i="2"/>
  <c r="G292" i="2"/>
  <c r="G284" i="2"/>
  <c r="G276" i="2"/>
  <c r="G268" i="2"/>
  <c r="G260" i="2"/>
  <c r="G252" i="2"/>
  <c r="G244" i="2"/>
  <c r="G236" i="2"/>
  <c r="G228" i="2"/>
  <c r="G220" i="2"/>
  <c r="G212" i="2"/>
  <c r="G204" i="2"/>
  <c r="G196" i="2"/>
  <c r="G188" i="2"/>
  <c r="G180" i="2"/>
  <c r="G172" i="2"/>
  <c r="G164" i="2"/>
  <c r="G156" i="2"/>
  <c r="G148" i="2"/>
  <c r="G140" i="2"/>
  <c r="G132" i="2"/>
  <c r="G124" i="2"/>
  <c r="G116" i="2"/>
  <c r="G108" i="2"/>
  <c r="G100" i="2"/>
  <c r="G92" i="2"/>
  <c r="G84" i="2"/>
  <c r="G76" i="2"/>
  <c r="G68" i="2"/>
  <c r="G60" i="2"/>
  <c r="G52" i="2"/>
  <c r="G36" i="2"/>
  <c r="G20" i="2"/>
  <c r="H508" i="2"/>
  <c r="H476" i="2"/>
  <c r="H444" i="2"/>
  <c r="H412" i="2"/>
  <c r="J3" i="2"/>
  <c r="G3" i="2"/>
  <c r="J504" i="2"/>
  <c r="F504" i="2"/>
  <c r="J500" i="2"/>
  <c r="F500" i="2"/>
  <c r="J492" i="2"/>
  <c r="F492" i="2"/>
  <c r="J480" i="2"/>
  <c r="F480" i="2"/>
  <c r="J476" i="2"/>
  <c r="F476" i="2"/>
  <c r="J468" i="2"/>
  <c r="F468" i="2"/>
  <c r="J460" i="2"/>
  <c r="F460" i="2"/>
  <c r="J452" i="2"/>
  <c r="F452" i="2"/>
  <c r="J444" i="2"/>
  <c r="F444" i="2"/>
  <c r="J436" i="2"/>
  <c r="F436" i="2"/>
  <c r="J428" i="2"/>
  <c r="F428" i="2"/>
  <c r="J416" i="2"/>
  <c r="F416" i="2"/>
  <c r="J507" i="2"/>
  <c r="F507" i="2"/>
  <c r="G507" i="2"/>
  <c r="J503" i="2"/>
  <c r="F503" i="2"/>
  <c r="G503" i="2"/>
  <c r="J499" i="2"/>
  <c r="F499" i="2"/>
  <c r="G499" i="2"/>
  <c r="J495" i="2"/>
  <c r="F495" i="2"/>
  <c r="G495" i="2"/>
  <c r="J491" i="2"/>
  <c r="F491" i="2"/>
  <c r="G491" i="2"/>
  <c r="J487" i="2"/>
  <c r="F487" i="2"/>
  <c r="G487" i="2"/>
  <c r="J483" i="2"/>
  <c r="F483" i="2"/>
  <c r="G483" i="2"/>
  <c r="J479" i="2"/>
  <c r="F479" i="2"/>
  <c r="G479" i="2"/>
  <c r="J475" i="2"/>
  <c r="F475" i="2"/>
  <c r="G475" i="2"/>
  <c r="J471" i="2"/>
  <c r="F471" i="2"/>
  <c r="G471" i="2"/>
  <c r="J467" i="2"/>
  <c r="F467" i="2"/>
  <c r="G467" i="2"/>
  <c r="J463" i="2"/>
  <c r="F463" i="2"/>
  <c r="G463" i="2"/>
  <c r="J459" i="2"/>
  <c r="F459" i="2"/>
  <c r="G459" i="2"/>
  <c r="J455" i="2"/>
  <c r="F455" i="2"/>
  <c r="G455" i="2"/>
  <c r="J451" i="2"/>
  <c r="F451" i="2"/>
  <c r="G451" i="2"/>
  <c r="J447" i="2"/>
  <c r="F447" i="2"/>
  <c r="G447" i="2"/>
  <c r="J443" i="2"/>
  <c r="F443" i="2"/>
  <c r="G443" i="2"/>
  <c r="J439" i="2"/>
  <c r="F439" i="2"/>
  <c r="G439" i="2"/>
  <c r="J435" i="2"/>
  <c r="F435" i="2"/>
  <c r="G435" i="2"/>
  <c r="J431" i="2"/>
  <c r="F431" i="2"/>
  <c r="G431" i="2"/>
  <c r="J427" i="2"/>
  <c r="F427" i="2"/>
  <c r="G427" i="2"/>
  <c r="J423" i="2"/>
  <c r="F423" i="2"/>
  <c r="G423" i="2"/>
  <c r="J419" i="2"/>
  <c r="F419" i="2"/>
  <c r="G419" i="2"/>
  <c r="J415" i="2"/>
  <c r="F415" i="2"/>
  <c r="G415" i="2"/>
  <c r="J411" i="2"/>
  <c r="F411" i="2"/>
  <c r="G411" i="2"/>
  <c r="J407" i="2"/>
  <c r="F407" i="2"/>
  <c r="G407" i="2"/>
  <c r="J403" i="2"/>
  <c r="F403" i="2"/>
  <c r="G403" i="2"/>
  <c r="J399" i="2"/>
  <c r="F399" i="2"/>
  <c r="G399" i="2"/>
  <c r="J395" i="2"/>
  <c r="F395" i="2"/>
  <c r="G395" i="2"/>
  <c r="J391" i="2"/>
  <c r="F391" i="2"/>
  <c r="G391" i="2"/>
  <c r="J387" i="2"/>
  <c r="F387" i="2"/>
  <c r="G387" i="2"/>
  <c r="J383" i="2"/>
  <c r="F383" i="2"/>
  <c r="G383" i="2"/>
  <c r="J379" i="2"/>
  <c r="F379" i="2"/>
  <c r="G379" i="2"/>
  <c r="J375" i="2"/>
  <c r="F375" i="2"/>
  <c r="G375" i="2"/>
  <c r="J371" i="2"/>
  <c r="F371" i="2"/>
  <c r="G371" i="2"/>
  <c r="J367" i="2"/>
  <c r="F367" i="2"/>
  <c r="G367" i="2"/>
  <c r="J363" i="2"/>
  <c r="F363" i="2"/>
  <c r="G363" i="2"/>
  <c r="J359" i="2"/>
  <c r="F359" i="2"/>
  <c r="G359" i="2"/>
  <c r="J355" i="2"/>
  <c r="F355" i="2"/>
  <c r="G355" i="2"/>
  <c r="J351" i="2"/>
  <c r="F351" i="2"/>
  <c r="G351" i="2"/>
  <c r="J347" i="2"/>
  <c r="F347" i="2"/>
  <c r="G347" i="2"/>
  <c r="J343" i="2"/>
  <c r="F343" i="2"/>
  <c r="G343" i="2"/>
  <c r="J339" i="2"/>
  <c r="F339" i="2"/>
  <c r="G339" i="2"/>
  <c r="J335" i="2"/>
  <c r="F335" i="2"/>
  <c r="G335" i="2"/>
  <c r="J331" i="2"/>
  <c r="F331" i="2"/>
  <c r="G331" i="2"/>
  <c r="J327" i="2"/>
  <c r="F327" i="2"/>
  <c r="G327" i="2"/>
  <c r="J323" i="2"/>
  <c r="F323" i="2"/>
  <c r="G323" i="2"/>
  <c r="J319" i="2"/>
  <c r="F319" i="2"/>
  <c r="G319" i="2"/>
  <c r="J315" i="2"/>
  <c r="F315" i="2"/>
  <c r="G315" i="2"/>
  <c r="J311" i="2"/>
  <c r="F311" i="2"/>
  <c r="G311" i="2"/>
  <c r="J307" i="2"/>
  <c r="F307" i="2"/>
  <c r="G307" i="2"/>
  <c r="J303" i="2"/>
  <c r="F303" i="2"/>
  <c r="G303" i="2"/>
  <c r="J299" i="2"/>
  <c r="F299" i="2"/>
  <c r="G299" i="2"/>
  <c r="J295" i="2"/>
  <c r="F295" i="2"/>
  <c r="G295" i="2"/>
  <c r="J291" i="2"/>
  <c r="F291" i="2"/>
  <c r="G291" i="2"/>
  <c r="J287" i="2"/>
  <c r="F287" i="2"/>
  <c r="G287" i="2"/>
  <c r="J283" i="2"/>
  <c r="F283" i="2"/>
  <c r="G283" i="2"/>
  <c r="J279" i="2"/>
  <c r="F279" i="2"/>
  <c r="G279" i="2"/>
  <c r="J275" i="2"/>
  <c r="F275" i="2"/>
  <c r="G275" i="2"/>
  <c r="J271" i="2"/>
  <c r="F271" i="2"/>
  <c r="G271" i="2"/>
  <c r="J267" i="2"/>
  <c r="F267" i="2"/>
  <c r="G267" i="2"/>
  <c r="J263" i="2"/>
  <c r="F263" i="2"/>
  <c r="G263" i="2"/>
  <c r="J259" i="2"/>
  <c r="F259" i="2"/>
  <c r="G259" i="2"/>
  <c r="J255" i="2"/>
  <c r="F255" i="2"/>
  <c r="G255" i="2"/>
  <c r="J251" i="2"/>
  <c r="F251" i="2"/>
  <c r="G251" i="2"/>
  <c r="J247" i="2"/>
  <c r="F247" i="2"/>
  <c r="G247" i="2"/>
  <c r="J243" i="2"/>
  <c r="F243" i="2"/>
  <c r="G243" i="2"/>
  <c r="J239" i="2"/>
  <c r="F239" i="2"/>
  <c r="G239" i="2"/>
  <c r="J235" i="2"/>
  <c r="F235" i="2"/>
  <c r="G235" i="2"/>
  <c r="J231" i="2"/>
  <c r="F231" i="2"/>
  <c r="G231" i="2"/>
  <c r="J227" i="2"/>
  <c r="F227" i="2"/>
  <c r="G227" i="2"/>
  <c r="J223" i="2"/>
  <c r="F223" i="2"/>
  <c r="G223" i="2"/>
  <c r="J219" i="2"/>
  <c r="F219" i="2"/>
  <c r="G219" i="2"/>
  <c r="J215" i="2"/>
  <c r="F215" i="2"/>
  <c r="G215" i="2"/>
  <c r="J211" i="2"/>
  <c r="F211" i="2"/>
  <c r="G211" i="2"/>
  <c r="J207" i="2"/>
  <c r="F207" i="2"/>
  <c r="G207" i="2"/>
  <c r="J203" i="2"/>
  <c r="F203" i="2"/>
  <c r="G203" i="2"/>
  <c r="J199" i="2"/>
  <c r="F199" i="2"/>
  <c r="G199" i="2"/>
  <c r="J195" i="2"/>
  <c r="F195" i="2"/>
  <c r="G195" i="2"/>
  <c r="J191" i="2"/>
  <c r="F191" i="2"/>
  <c r="G191" i="2"/>
  <c r="J187" i="2"/>
  <c r="F187" i="2"/>
  <c r="G187" i="2"/>
  <c r="J183" i="2"/>
  <c r="F183" i="2"/>
  <c r="G183" i="2"/>
  <c r="J179" i="2"/>
  <c r="F179" i="2"/>
  <c r="G179" i="2"/>
  <c r="J175" i="2"/>
  <c r="F175" i="2"/>
  <c r="G175" i="2"/>
  <c r="J171" i="2"/>
  <c r="F171" i="2"/>
  <c r="G171" i="2"/>
  <c r="J167" i="2"/>
  <c r="F167" i="2"/>
  <c r="G167" i="2"/>
  <c r="J163" i="2"/>
  <c r="F163" i="2"/>
  <c r="G163" i="2"/>
  <c r="J159" i="2"/>
  <c r="F159" i="2"/>
  <c r="G159" i="2"/>
  <c r="J155" i="2"/>
  <c r="F155" i="2"/>
  <c r="G155" i="2"/>
  <c r="J151" i="2"/>
  <c r="F151" i="2"/>
  <c r="G151" i="2"/>
  <c r="J147" i="2"/>
  <c r="F147" i="2"/>
  <c r="G147" i="2"/>
  <c r="J143" i="2"/>
  <c r="F143" i="2"/>
  <c r="G143" i="2"/>
  <c r="J139" i="2"/>
  <c r="F139" i="2"/>
  <c r="G139" i="2"/>
  <c r="J135" i="2"/>
  <c r="F135" i="2"/>
  <c r="G135" i="2"/>
  <c r="J131" i="2"/>
  <c r="F131" i="2"/>
  <c r="G131" i="2"/>
  <c r="J127" i="2"/>
  <c r="F127" i="2"/>
  <c r="G127" i="2"/>
  <c r="J123" i="2"/>
  <c r="F123" i="2"/>
  <c r="G123" i="2"/>
  <c r="J119" i="2"/>
  <c r="F119" i="2"/>
  <c r="G119" i="2"/>
  <c r="J115" i="2"/>
  <c r="F115" i="2"/>
  <c r="G115" i="2"/>
  <c r="J111" i="2"/>
  <c r="F111" i="2"/>
  <c r="G111" i="2"/>
  <c r="J107" i="2"/>
  <c r="F107" i="2"/>
  <c r="G107" i="2"/>
  <c r="J103" i="2"/>
  <c r="F103" i="2"/>
  <c r="G103" i="2"/>
  <c r="J99" i="2"/>
  <c r="F99" i="2"/>
  <c r="G99" i="2"/>
  <c r="J95" i="2"/>
  <c r="F95" i="2"/>
  <c r="G95" i="2"/>
  <c r="J91" i="2"/>
  <c r="F91" i="2"/>
  <c r="G91" i="2"/>
  <c r="J87" i="2"/>
  <c r="F87" i="2"/>
  <c r="G87" i="2"/>
  <c r="J83" i="2"/>
  <c r="F83" i="2"/>
  <c r="G83" i="2"/>
  <c r="J79" i="2"/>
  <c r="F79" i="2"/>
  <c r="G79" i="2"/>
  <c r="J75" i="2"/>
  <c r="F75" i="2"/>
  <c r="G75" i="2"/>
  <c r="J71" i="2"/>
  <c r="F71" i="2"/>
  <c r="G71" i="2"/>
  <c r="J67" i="2"/>
  <c r="F67" i="2"/>
  <c r="G67" i="2"/>
  <c r="J63" i="2"/>
  <c r="F63" i="2"/>
  <c r="G63" i="2"/>
  <c r="J59" i="2"/>
  <c r="F59" i="2"/>
  <c r="G59" i="2"/>
  <c r="J55" i="2"/>
  <c r="F55" i="2"/>
  <c r="G55" i="2"/>
  <c r="J51" i="2"/>
  <c r="F51" i="2"/>
  <c r="G51" i="2"/>
  <c r="J47" i="2"/>
  <c r="F47" i="2"/>
  <c r="G47" i="2"/>
  <c r="J43" i="2"/>
  <c r="F43" i="2"/>
  <c r="G43" i="2"/>
  <c r="J39" i="2"/>
  <c r="F39" i="2"/>
  <c r="G39" i="2"/>
  <c r="J35" i="2"/>
  <c r="F35" i="2"/>
  <c r="G35" i="2"/>
  <c r="J31" i="2"/>
  <c r="F31" i="2"/>
  <c r="G31" i="2"/>
  <c r="J27" i="2"/>
  <c r="F27" i="2"/>
  <c r="G27" i="2"/>
  <c r="J23" i="2"/>
  <c r="F23" i="2"/>
  <c r="G23" i="2"/>
  <c r="J19" i="2"/>
  <c r="F19" i="2"/>
  <c r="G19" i="2"/>
  <c r="J15" i="2"/>
  <c r="F15" i="2"/>
  <c r="G15" i="2"/>
  <c r="J11" i="2"/>
  <c r="F11" i="2"/>
  <c r="G11" i="2"/>
  <c r="J7" i="2"/>
  <c r="G7" i="2"/>
  <c r="F7" i="2"/>
  <c r="I505" i="2"/>
  <c r="H505" i="2"/>
  <c r="I501" i="2"/>
  <c r="H501" i="2"/>
  <c r="I497" i="2"/>
  <c r="H497" i="2"/>
  <c r="I493" i="2"/>
  <c r="H493" i="2"/>
  <c r="I489" i="2"/>
  <c r="H489" i="2"/>
  <c r="I485" i="2"/>
  <c r="H485" i="2"/>
  <c r="I481" i="2"/>
  <c r="H481" i="2"/>
  <c r="I477" i="2"/>
  <c r="H477" i="2"/>
  <c r="I473" i="2"/>
  <c r="H473" i="2"/>
  <c r="I469" i="2"/>
  <c r="H469" i="2"/>
  <c r="I465" i="2"/>
  <c r="H465" i="2"/>
  <c r="I461" i="2"/>
  <c r="H461" i="2"/>
  <c r="I457" i="2"/>
  <c r="H457" i="2"/>
  <c r="I453" i="2"/>
  <c r="H453" i="2"/>
  <c r="I449" i="2"/>
  <c r="H449" i="2"/>
  <c r="I445" i="2"/>
  <c r="H445" i="2"/>
  <c r="I441" i="2"/>
  <c r="H441" i="2"/>
  <c r="I437" i="2"/>
  <c r="H437" i="2"/>
  <c r="I433" i="2"/>
  <c r="H433" i="2"/>
  <c r="I429" i="2"/>
  <c r="H429" i="2"/>
  <c r="I425" i="2"/>
  <c r="H425" i="2"/>
  <c r="I421" i="2"/>
  <c r="H421" i="2"/>
  <c r="I417" i="2"/>
  <c r="H417" i="2"/>
  <c r="I413" i="2"/>
  <c r="H413" i="2"/>
  <c r="I409" i="2"/>
  <c r="H409" i="2"/>
  <c r="I405" i="2"/>
  <c r="H405" i="2"/>
  <c r="I401" i="2"/>
  <c r="H401" i="2"/>
  <c r="I397" i="2"/>
  <c r="H397" i="2"/>
  <c r="I393" i="2"/>
  <c r="H393" i="2"/>
  <c r="I389" i="2"/>
  <c r="H389" i="2"/>
  <c r="I385" i="2"/>
  <c r="H385" i="2"/>
  <c r="I381" i="2"/>
  <c r="H381" i="2"/>
  <c r="I377" i="2"/>
  <c r="H377" i="2"/>
  <c r="I373" i="2"/>
  <c r="H373" i="2"/>
  <c r="I369" i="2"/>
  <c r="H369" i="2"/>
  <c r="I365" i="2"/>
  <c r="H365" i="2"/>
  <c r="I361" i="2"/>
  <c r="H361" i="2"/>
  <c r="I357" i="2"/>
  <c r="H357" i="2"/>
  <c r="I353" i="2"/>
  <c r="H353" i="2"/>
  <c r="I349" i="2"/>
  <c r="H349" i="2"/>
  <c r="I345" i="2"/>
  <c r="H345" i="2"/>
  <c r="I341" i="2"/>
  <c r="H341" i="2"/>
  <c r="I337" i="2"/>
  <c r="H337" i="2"/>
  <c r="I333" i="2"/>
  <c r="H333" i="2"/>
  <c r="I329" i="2"/>
  <c r="H329" i="2"/>
  <c r="I325" i="2"/>
  <c r="H325" i="2"/>
  <c r="I321" i="2"/>
  <c r="H321" i="2"/>
  <c r="I317" i="2"/>
  <c r="H317" i="2"/>
  <c r="I313" i="2"/>
  <c r="H313" i="2"/>
  <c r="I309" i="2"/>
  <c r="H309" i="2"/>
  <c r="I305" i="2"/>
  <c r="H305" i="2"/>
  <c r="I301" i="2"/>
  <c r="H301" i="2"/>
  <c r="I297" i="2"/>
  <c r="H297" i="2"/>
  <c r="I293" i="2"/>
  <c r="H293" i="2"/>
  <c r="I289" i="2"/>
  <c r="H289" i="2"/>
  <c r="I285" i="2"/>
  <c r="H285" i="2"/>
  <c r="I281" i="2"/>
  <c r="H281" i="2"/>
  <c r="I277" i="2"/>
  <c r="H277" i="2"/>
  <c r="I273" i="2"/>
  <c r="H273" i="2"/>
  <c r="I269" i="2"/>
  <c r="H269" i="2"/>
  <c r="I265" i="2"/>
  <c r="H265" i="2"/>
  <c r="I261" i="2"/>
  <c r="H261" i="2"/>
  <c r="I257" i="2"/>
  <c r="H257" i="2"/>
  <c r="I253" i="2"/>
  <c r="H253" i="2"/>
  <c r="I249" i="2"/>
  <c r="H249" i="2"/>
  <c r="I245" i="2"/>
  <c r="H245" i="2"/>
  <c r="I241" i="2"/>
  <c r="H241" i="2"/>
  <c r="I237" i="2"/>
  <c r="H237" i="2"/>
  <c r="I233" i="2"/>
  <c r="H233" i="2"/>
  <c r="I229" i="2"/>
  <c r="H229" i="2"/>
  <c r="I225" i="2"/>
  <c r="H225" i="2"/>
  <c r="I221" i="2"/>
  <c r="H221" i="2"/>
  <c r="I217" i="2"/>
  <c r="H217" i="2"/>
  <c r="I213" i="2"/>
  <c r="H213" i="2"/>
  <c r="I209" i="2"/>
  <c r="H209" i="2"/>
  <c r="I205" i="2"/>
  <c r="H205" i="2"/>
  <c r="I201" i="2"/>
  <c r="H201" i="2"/>
  <c r="I197" i="2"/>
  <c r="H197" i="2"/>
  <c r="I193" i="2"/>
  <c r="H193" i="2"/>
  <c r="I189" i="2"/>
  <c r="H189" i="2"/>
  <c r="I185" i="2"/>
  <c r="H185" i="2"/>
  <c r="I181" i="2"/>
  <c r="H181" i="2"/>
  <c r="I177" i="2"/>
  <c r="H177" i="2"/>
  <c r="I173" i="2"/>
  <c r="H173" i="2"/>
  <c r="I169" i="2"/>
  <c r="H169" i="2"/>
  <c r="I165" i="2"/>
  <c r="H165" i="2"/>
  <c r="I161" i="2"/>
  <c r="H161" i="2"/>
  <c r="I157" i="2"/>
  <c r="H157" i="2"/>
  <c r="I153" i="2"/>
  <c r="H153" i="2"/>
  <c r="I149" i="2"/>
  <c r="H149" i="2"/>
  <c r="I145" i="2"/>
  <c r="H145" i="2"/>
  <c r="I141" i="2"/>
  <c r="H141" i="2"/>
  <c r="I137" i="2"/>
  <c r="H137" i="2"/>
  <c r="I133" i="2"/>
  <c r="H133" i="2"/>
  <c r="I129" i="2"/>
  <c r="H129" i="2"/>
  <c r="I125" i="2"/>
  <c r="H125" i="2"/>
  <c r="I121" i="2"/>
  <c r="H121" i="2"/>
  <c r="I117" i="2"/>
  <c r="H117" i="2"/>
  <c r="I113" i="2"/>
  <c r="H113" i="2"/>
  <c r="I109" i="2"/>
  <c r="H109" i="2"/>
  <c r="I105" i="2"/>
  <c r="H105" i="2"/>
  <c r="I101" i="2"/>
  <c r="H101" i="2"/>
  <c r="I97" i="2"/>
  <c r="H97" i="2"/>
  <c r="I93" i="2"/>
  <c r="H93" i="2"/>
  <c r="I89" i="2"/>
  <c r="H89" i="2"/>
  <c r="I85" i="2"/>
  <c r="H85" i="2"/>
  <c r="I81" i="2"/>
  <c r="H81" i="2"/>
  <c r="I77" i="2"/>
  <c r="H77" i="2"/>
  <c r="I73" i="2"/>
  <c r="H73" i="2"/>
  <c r="I69" i="2"/>
  <c r="H69" i="2"/>
  <c r="I65" i="2"/>
  <c r="H65" i="2"/>
  <c r="I61" i="2"/>
  <c r="H61" i="2"/>
  <c r="I57" i="2"/>
  <c r="H57" i="2"/>
  <c r="I53" i="2"/>
  <c r="H53" i="2"/>
  <c r="I49" i="2"/>
  <c r="H49" i="2"/>
  <c r="I45" i="2"/>
  <c r="H45" i="2"/>
  <c r="I41" i="2"/>
  <c r="H41" i="2"/>
  <c r="I37" i="2"/>
  <c r="H37" i="2"/>
  <c r="I33" i="2"/>
  <c r="H33" i="2"/>
  <c r="I29" i="2"/>
  <c r="H29" i="2"/>
  <c r="I25" i="2"/>
  <c r="H25" i="2"/>
  <c r="I21" i="2"/>
  <c r="H21" i="2"/>
  <c r="I17" i="2"/>
  <c r="H17" i="2"/>
  <c r="I13" i="2"/>
  <c r="H13" i="2"/>
  <c r="I9" i="2"/>
  <c r="H9" i="2"/>
  <c r="I5" i="2"/>
  <c r="H5" i="2"/>
  <c r="E502" i="2"/>
  <c r="E494" i="2"/>
  <c r="E486" i="2"/>
  <c r="E478" i="2"/>
  <c r="E470" i="2"/>
  <c r="E462" i="2"/>
  <c r="E454" i="2"/>
  <c r="E446" i="2"/>
  <c r="E438" i="2"/>
  <c r="E430" i="2"/>
  <c r="E422" i="2"/>
  <c r="E414" i="2"/>
  <c r="E406" i="2"/>
  <c r="E398" i="2"/>
  <c r="E390" i="2"/>
  <c r="E382" i="2"/>
  <c r="E374" i="2"/>
  <c r="E366" i="2"/>
  <c r="E358" i="2"/>
  <c r="E350" i="2"/>
  <c r="E342" i="2"/>
  <c r="E334" i="2"/>
  <c r="E326" i="2"/>
  <c r="E318" i="2"/>
  <c r="E310" i="2"/>
  <c r="E300" i="2"/>
  <c r="E292" i="2"/>
  <c r="E284" i="2"/>
  <c r="E276" i="2"/>
  <c r="E268" i="2"/>
  <c r="E260" i="2"/>
  <c r="E252" i="2"/>
  <c r="E244" i="2"/>
  <c r="E236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6" i="2"/>
  <c r="E28" i="2"/>
  <c r="E20" i="2"/>
  <c r="E12" i="2"/>
  <c r="E4" i="2"/>
  <c r="G505" i="2"/>
  <c r="G497" i="2"/>
  <c r="G489" i="2"/>
  <c r="G481" i="2"/>
  <c r="G473" i="2"/>
  <c r="G465" i="2"/>
  <c r="G457" i="2"/>
  <c r="G449" i="2"/>
  <c r="G441" i="2"/>
  <c r="G433" i="2"/>
  <c r="G425" i="2"/>
  <c r="G417" i="2"/>
  <c r="G409" i="2"/>
  <c r="G401" i="2"/>
  <c r="G393" i="2"/>
  <c r="G385" i="2"/>
  <c r="G377" i="2"/>
  <c r="G369" i="2"/>
  <c r="G361" i="2"/>
  <c r="G353" i="2"/>
  <c r="G345" i="2"/>
  <c r="G337" i="2"/>
  <c r="G329" i="2"/>
  <c r="G321" i="2"/>
  <c r="G313" i="2"/>
  <c r="G305" i="2"/>
  <c r="G297" i="2"/>
  <c r="G289" i="2"/>
  <c r="G281" i="2"/>
  <c r="G273" i="2"/>
  <c r="G265" i="2"/>
  <c r="G257" i="2"/>
  <c r="G249" i="2"/>
  <c r="G241" i="2"/>
  <c r="G233" i="2"/>
  <c r="G225" i="2"/>
  <c r="G217" i="2"/>
  <c r="G209" i="2"/>
  <c r="G201" i="2"/>
  <c r="G193" i="2"/>
  <c r="G185" i="2"/>
  <c r="G177" i="2"/>
  <c r="G169" i="2"/>
  <c r="G161" i="2"/>
  <c r="G153" i="2"/>
  <c r="G145" i="2"/>
  <c r="G137" i="2"/>
  <c r="G129" i="2"/>
  <c r="G121" i="2"/>
  <c r="G113" i="2"/>
  <c r="G105" i="2"/>
  <c r="G97" i="2"/>
  <c r="G89" i="2"/>
  <c r="G81" i="2"/>
  <c r="G73" i="2"/>
  <c r="G65" i="2"/>
  <c r="G57" i="2"/>
  <c r="G48" i="2"/>
  <c r="G32" i="2"/>
  <c r="G16" i="2"/>
  <c r="H500" i="2"/>
  <c r="H468" i="2"/>
  <c r="H436" i="2"/>
  <c r="H404" i="2"/>
  <c r="J506" i="2"/>
  <c r="G506" i="2"/>
  <c r="J502" i="2"/>
  <c r="G502" i="2"/>
  <c r="J498" i="2"/>
  <c r="G498" i="2"/>
  <c r="J494" i="2"/>
  <c r="G494" i="2"/>
  <c r="J490" i="2"/>
  <c r="G490" i="2"/>
  <c r="J486" i="2"/>
  <c r="G486" i="2"/>
  <c r="J482" i="2"/>
  <c r="G482" i="2"/>
  <c r="J478" i="2"/>
  <c r="G478" i="2"/>
  <c r="J474" i="2"/>
  <c r="G474" i="2"/>
  <c r="J470" i="2"/>
  <c r="G470" i="2"/>
  <c r="J466" i="2"/>
  <c r="G466" i="2"/>
  <c r="J462" i="2"/>
  <c r="G462" i="2"/>
  <c r="J458" i="2"/>
  <c r="G458" i="2"/>
  <c r="J454" i="2"/>
  <c r="G454" i="2"/>
  <c r="J450" i="2"/>
  <c r="G450" i="2"/>
  <c r="J446" i="2"/>
  <c r="G446" i="2"/>
  <c r="J442" i="2"/>
  <c r="G442" i="2"/>
  <c r="J438" i="2"/>
  <c r="G438" i="2"/>
  <c r="J434" i="2"/>
  <c r="G434" i="2"/>
  <c r="J430" i="2"/>
  <c r="G430" i="2"/>
  <c r="J426" i="2"/>
  <c r="G426" i="2"/>
  <c r="J422" i="2"/>
  <c r="G422" i="2"/>
  <c r="J418" i="2"/>
  <c r="G418" i="2"/>
  <c r="J414" i="2"/>
  <c r="G414" i="2"/>
  <c r="J410" i="2"/>
  <c r="G410" i="2"/>
  <c r="J406" i="2"/>
  <c r="G406" i="2"/>
  <c r="J402" i="2"/>
  <c r="G402" i="2"/>
  <c r="J398" i="2"/>
  <c r="G398" i="2"/>
  <c r="J394" i="2"/>
  <c r="G394" i="2"/>
  <c r="J390" i="2"/>
  <c r="G390" i="2"/>
  <c r="J386" i="2"/>
  <c r="G386" i="2"/>
  <c r="J382" i="2"/>
  <c r="G382" i="2"/>
  <c r="J378" i="2"/>
  <c r="G378" i="2"/>
  <c r="J374" i="2"/>
  <c r="G374" i="2"/>
  <c r="J370" i="2"/>
  <c r="G370" i="2"/>
  <c r="J366" i="2"/>
  <c r="G366" i="2"/>
  <c r="J362" i="2"/>
  <c r="G362" i="2"/>
  <c r="J358" i="2"/>
  <c r="G358" i="2"/>
  <c r="J354" i="2"/>
  <c r="G354" i="2"/>
  <c r="J350" i="2"/>
  <c r="G350" i="2"/>
  <c r="J346" i="2"/>
  <c r="G346" i="2"/>
  <c r="J342" i="2"/>
  <c r="G342" i="2"/>
  <c r="J338" i="2"/>
  <c r="G338" i="2"/>
  <c r="J334" i="2"/>
  <c r="G334" i="2"/>
  <c r="J330" i="2"/>
  <c r="G330" i="2"/>
  <c r="J326" i="2"/>
  <c r="G326" i="2"/>
  <c r="J322" i="2"/>
  <c r="G322" i="2"/>
  <c r="J318" i="2"/>
  <c r="G318" i="2"/>
  <c r="J314" i="2"/>
  <c r="G314" i="2"/>
  <c r="J310" i="2"/>
  <c r="G310" i="2"/>
  <c r="J306" i="2"/>
  <c r="G306" i="2"/>
  <c r="J302" i="2"/>
  <c r="G302" i="2"/>
  <c r="J298" i="2"/>
  <c r="G298" i="2"/>
  <c r="E298" i="2"/>
  <c r="J294" i="2"/>
  <c r="G294" i="2"/>
  <c r="E294" i="2"/>
  <c r="J290" i="2"/>
  <c r="G290" i="2"/>
  <c r="E290" i="2"/>
  <c r="J286" i="2"/>
  <c r="G286" i="2"/>
  <c r="E286" i="2"/>
  <c r="J282" i="2"/>
  <c r="G282" i="2"/>
  <c r="E282" i="2"/>
  <c r="J278" i="2"/>
  <c r="G278" i="2"/>
  <c r="E278" i="2"/>
  <c r="J274" i="2"/>
  <c r="G274" i="2"/>
  <c r="E274" i="2"/>
  <c r="J270" i="2"/>
  <c r="G270" i="2"/>
  <c r="E270" i="2"/>
  <c r="J266" i="2"/>
  <c r="G266" i="2"/>
  <c r="E266" i="2"/>
  <c r="J262" i="2"/>
  <c r="G262" i="2"/>
  <c r="E262" i="2"/>
  <c r="J258" i="2"/>
  <c r="G258" i="2"/>
  <c r="E258" i="2"/>
  <c r="J254" i="2"/>
  <c r="G254" i="2"/>
  <c r="E254" i="2"/>
  <c r="J250" i="2"/>
  <c r="G250" i="2"/>
  <c r="E250" i="2"/>
  <c r="J246" i="2"/>
  <c r="G246" i="2"/>
  <c r="E246" i="2"/>
  <c r="J242" i="2"/>
  <c r="G242" i="2"/>
  <c r="E242" i="2"/>
  <c r="J238" i="2"/>
  <c r="G238" i="2"/>
  <c r="E238" i="2"/>
  <c r="J234" i="2"/>
  <c r="G234" i="2"/>
  <c r="E234" i="2"/>
  <c r="J230" i="2"/>
  <c r="G230" i="2"/>
  <c r="E230" i="2"/>
  <c r="J226" i="2"/>
  <c r="G226" i="2"/>
  <c r="E226" i="2"/>
  <c r="J222" i="2"/>
  <c r="G222" i="2"/>
  <c r="E222" i="2"/>
  <c r="J218" i="2"/>
  <c r="G218" i="2"/>
  <c r="E218" i="2"/>
  <c r="J214" i="2"/>
  <c r="G214" i="2"/>
  <c r="E214" i="2"/>
  <c r="J210" i="2"/>
  <c r="G210" i="2"/>
  <c r="E210" i="2"/>
  <c r="J206" i="2"/>
  <c r="G206" i="2"/>
  <c r="E206" i="2"/>
  <c r="J202" i="2"/>
  <c r="G202" i="2"/>
  <c r="E202" i="2"/>
  <c r="J198" i="2"/>
  <c r="G198" i="2"/>
  <c r="E198" i="2"/>
  <c r="J194" i="2"/>
  <c r="G194" i="2"/>
  <c r="E194" i="2"/>
  <c r="J190" i="2"/>
  <c r="G190" i="2"/>
  <c r="E190" i="2"/>
  <c r="J186" i="2"/>
  <c r="G186" i="2"/>
  <c r="E186" i="2"/>
  <c r="J182" i="2"/>
  <c r="G182" i="2"/>
  <c r="E182" i="2"/>
  <c r="J178" i="2"/>
  <c r="G178" i="2"/>
  <c r="E178" i="2"/>
  <c r="J174" i="2"/>
  <c r="G174" i="2"/>
  <c r="E174" i="2"/>
  <c r="J170" i="2"/>
  <c r="G170" i="2"/>
  <c r="E170" i="2"/>
  <c r="J166" i="2"/>
  <c r="G166" i="2"/>
  <c r="E166" i="2"/>
  <c r="J162" i="2"/>
  <c r="G162" i="2"/>
  <c r="E162" i="2"/>
  <c r="J158" i="2"/>
  <c r="G158" i="2"/>
  <c r="E158" i="2"/>
  <c r="J154" i="2"/>
  <c r="G154" i="2"/>
  <c r="E154" i="2"/>
  <c r="J150" i="2"/>
  <c r="G150" i="2"/>
  <c r="E150" i="2"/>
  <c r="J146" i="2"/>
  <c r="G146" i="2"/>
  <c r="E146" i="2"/>
  <c r="J142" i="2"/>
  <c r="G142" i="2"/>
  <c r="E142" i="2"/>
  <c r="J138" i="2"/>
  <c r="G138" i="2"/>
  <c r="E138" i="2"/>
  <c r="J134" i="2"/>
  <c r="G134" i="2"/>
  <c r="E134" i="2"/>
  <c r="J130" i="2"/>
  <c r="G130" i="2"/>
  <c r="E130" i="2"/>
  <c r="J126" i="2"/>
  <c r="G126" i="2"/>
  <c r="E126" i="2"/>
  <c r="J122" i="2"/>
  <c r="G122" i="2"/>
  <c r="E122" i="2"/>
  <c r="J118" i="2"/>
  <c r="G118" i="2"/>
  <c r="E118" i="2"/>
  <c r="J114" i="2"/>
  <c r="G114" i="2"/>
  <c r="E114" i="2"/>
  <c r="J110" i="2"/>
  <c r="G110" i="2"/>
  <c r="E110" i="2"/>
  <c r="J106" i="2"/>
  <c r="G106" i="2"/>
  <c r="E106" i="2"/>
  <c r="J102" i="2"/>
  <c r="G102" i="2"/>
  <c r="E102" i="2"/>
  <c r="J98" i="2"/>
  <c r="G98" i="2"/>
  <c r="E98" i="2"/>
  <c r="J94" i="2"/>
  <c r="G94" i="2"/>
  <c r="E94" i="2"/>
  <c r="J90" i="2"/>
  <c r="G90" i="2"/>
  <c r="E90" i="2"/>
  <c r="J86" i="2"/>
  <c r="G86" i="2"/>
  <c r="E86" i="2"/>
  <c r="J82" i="2"/>
  <c r="G82" i="2"/>
  <c r="E82" i="2"/>
  <c r="J78" i="2"/>
  <c r="G78" i="2"/>
  <c r="E78" i="2"/>
  <c r="J74" i="2"/>
  <c r="G74" i="2"/>
  <c r="E74" i="2"/>
  <c r="J70" i="2"/>
  <c r="G70" i="2"/>
  <c r="E70" i="2"/>
  <c r="J66" i="2"/>
  <c r="G66" i="2"/>
  <c r="E66" i="2"/>
  <c r="J62" i="2"/>
  <c r="G62" i="2"/>
  <c r="E62" i="2"/>
  <c r="J58" i="2"/>
  <c r="G58" i="2"/>
  <c r="E58" i="2"/>
  <c r="J54" i="2"/>
  <c r="G54" i="2"/>
  <c r="E54" i="2"/>
  <c r="J50" i="2"/>
  <c r="G50" i="2"/>
  <c r="E50" i="2"/>
  <c r="J46" i="2"/>
  <c r="G46" i="2"/>
  <c r="E46" i="2"/>
  <c r="J42" i="2"/>
  <c r="G42" i="2"/>
  <c r="E42" i="2"/>
  <c r="J38" i="2"/>
  <c r="G38" i="2"/>
  <c r="E38" i="2"/>
  <c r="J34" i="2"/>
  <c r="G34" i="2"/>
  <c r="E34" i="2"/>
  <c r="J30" i="2"/>
  <c r="G30" i="2"/>
  <c r="E30" i="2"/>
  <c r="J26" i="2"/>
  <c r="G26" i="2"/>
  <c r="E26" i="2"/>
  <c r="J22" i="2"/>
  <c r="G22" i="2"/>
  <c r="E22" i="2"/>
  <c r="J18" i="2"/>
  <c r="G18" i="2"/>
  <c r="E18" i="2"/>
  <c r="J14" i="2"/>
  <c r="G14" i="2"/>
  <c r="E14" i="2"/>
  <c r="J10" i="2"/>
  <c r="G10" i="2"/>
  <c r="E10" i="2"/>
  <c r="J6" i="2"/>
  <c r="G6" i="2"/>
  <c r="E6" i="2"/>
  <c r="I504" i="2"/>
  <c r="H504" i="2"/>
  <c r="I496" i="2"/>
  <c r="H496" i="2"/>
  <c r="I488" i="2"/>
  <c r="H488" i="2"/>
  <c r="I480" i="2"/>
  <c r="H480" i="2"/>
  <c r="I472" i="2"/>
  <c r="H472" i="2"/>
  <c r="I464" i="2"/>
  <c r="H464" i="2"/>
  <c r="I456" i="2"/>
  <c r="H456" i="2"/>
  <c r="I448" i="2"/>
  <c r="H448" i="2"/>
  <c r="I440" i="2"/>
  <c r="H440" i="2"/>
  <c r="I432" i="2"/>
  <c r="H432" i="2"/>
  <c r="I424" i="2"/>
  <c r="H424" i="2"/>
  <c r="I416" i="2"/>
  <c r="H416" i="2"/>
  <c r="I408" i="2"/>
  <c r="H408" i="2"/>
  <c r="I400" i="2"/>
  <c r="H400" i="2"/>
  <c r="I392" i="2"/>
  <c r="H392" i="2"/>
  <c r="I388" i="2"/>
  <c r="H388" i="2"/>
  <c r="I384" i="2"/>
  <c r="H384" i="2"/>
  <c r="I380" i="2"/>
  <c r="H380" i="2"/>
  <c r="I376" i="2"/>
  <c r="H376" i="2"/>
  <c r="I372" i="2"/>
  <c r="H372" i="2"/>
  <c r="I368" i="2"/>
  <c r="H368" i="2"/>
  <c r="I364" i="2"/>
  <c r="H364" i="2"/>
  <c r="I360" i="2"/>
  <c r="H360" i="2"/>
  <c r="I356" i="2"/>
  <c r="H356" i="2"/>
  <c r="I352" i="2"/>
  <c r="H352" i="2"/>
  <c r="I348" i="2"/>
  <c r="H348" i="2"/>
  <c r="I344" i="2"/>
  <c r="H344" i="2"/>
  <c r="I340" i="2"/>
  <c r="H340" i="2"/>
  <c r="I336" i="2"/>
  <c r="H336" i="2"/>
  <c r="I332" i="2"/>
  <c r="H332" i="2"/>
  <c r="I328" i="2"/>
  <c r="H328" i="2"/>
  <c r="I324" i="2"/>
  <c r="H324" i="2"/>
  <c r="I320" i="2"/>
  <c r="H320" i="2"/>
  <c r="I316" i="2"/>
  <c r="H316" i="2"/>
  <c r="I312" i="2"/>
  <c r="H312" i="2"/>
  <c r="I308" i="2"/>
  <c r="H308" i="2"/>
  <c r="I304" i="2"/>
  <c r="H304" i="2"/>
  <c r="I300" i="2"/>
  <c r="H300" i="2"/>
  <c r="I296" i="2"/>
  <c r="H296" i="2"/>
  <c r="I292" i="2"/>
  <c r="H292" i="2"/>
  <c r="I288" i="2"/>
  <c r="H288" i="2"/>
  <c r="I284" i="2"/>
  <c r="H284" i="2"/>
  <c r="I280" i="2"/>
  <c r="H280" i="2"/>
  <c r="I276" i="2"/>
  <c r="H276" i="2"/>
  <c r="I272" i="2"/>
  <c r="H272" i="2"/>
  <c r="I268" i="2"/>
  <c r="H268" i="2"/>
  <c r="I264" i="2"/>
  <c r="H264" i="2"/>
  <c r="I260" i="2"/>
  <c r="H260" i="2"/>
  <c r="I256" i="2"/>
  <c r="H256" i="2"/>
  <c r="I252" i="2"/>
  <c r="H252" i="2"/>
  <c r="I248" i="2"/>
  <c r="H248" i="2"/>
  <c r="I244" i="2"/>
  <c r="H244" i="2"/>
  <c r="I240" i="2"/>
  <c r="H240" i="2"/>
  <c r="I236" i="2"/>
  <c r="H236" i="2"/>
  <c r="I232" i="2"/>
  <c r="H232" i="2"/>
  <c r="I228" i="2"/>
  <c r="H228" i="2"/>
  <c r="I224" i="2"/>
  <c r="H224" i="2"/>
  <c r="I220" i="2"/>
  <c r="H220" i="2"/>
  <c r="I216" i="2"/>
  <c r="H216" i="2"/>
  <c r="I212" i="2"/>
  <c r="H212" i="2"/>
  <c r="I208" i="2"/>
  <c r="H208" i="2"/>
  <c r="I204" i="2"/>
  <c r="H204" i="2"/>
  <c r="I200" i="2"/>
  <c r="H200" i="2"/>
  <c r="I196" i="2"/>
  <c r="H196" i="2"/>
  <c r="I192" i="2"/>
  <c r="H192" i="2"/>
  <c r="I188" i="2"/>
  <c r="H188" i="2"/>
  <c r="I184" i="2"/>
  <c r="H184" i="2"/>
  <c r="I180" i="2"/>
  <c r="H180" i="2"/>
  <c r="I176" i="2"/>
  <c r="H176" i="2"/>
  <c r="I172" i="2"/>
  <c r="H172" i="2"/>
  <c r="I168" i="2"/>
  <c r="H168" i="2"/>
  <c r="I164" i="2"/>
  <c r="H164" i="2"/>
  <c r="I160" i="2"/>
  <c r="H160" i="2"/>
  <c r="I156" i="2"/>
  <c r="H156" i="2"/>
  <c r="I152" i="2"/>
  <c r="H152" i="2"/>
  <c r="I148" i="2"/>
  <c r="H148" i="2"/>
  <c r="I144" i="2"/>
  <c r="H144" i="2"/>
  <c r="I140" i="2"/>
  <c r="H140" i="2"/>
  <c r="I136" i="2"/>
  <c r="H136" i="2"/>
  <c r="I132" i="2"/>
  <c r="H132" i="2"/>
  <c r="I128" i="2"/>
  <c r="H128" i="2"/>
  <c r="I124" i="2"/>
  <c r="H124" i="2"/>
  <c r="I120" i="2"/>
  <c r="H120" i="2"/>
  <c r="I116" i="2"/>
  <c r="H116" i="2"/>
  <c r="I112" i="2"/>
  <c r="H112" i="2"/>
  <c r="I108" i="2"/>
  <c r="H108" i="2"/>
  <c r="I104" i="2"/>
  <c r="H104" i="2"/>
  <c r="I100" i="2"/>
  <c r="H100" i="2"/>
  <c r="I96" i="2"/>
  <c r="H96" i="2"/>
  <c r="I92" i="2"/>
  <c r="H92" i="2"/>
  <c r="I88" i="2"/>
  <c r="H88" i="2"/>
  <c r="I84" i="2"/>
  <c r="H84" i="2"/>
  <c r="I80" i="2"/>
  <c r="H80" i="2"/>
  <c r="I76" i="2"/>
  <c r="H76" i="2"/>
  <c r="I72" i="2"/>
  <c r="H72" i="2"/>
  <c r="I68" i="2"/>
  <c r="H68" i="2"/>
  <c r="I64" i="2"/>
  <c r="H64" i="2"/>
  <c r="I60" i="2"/>
  <c r="H60" i="2"/>
  <c r="I56" i="2"/>
  <c r="H56" i="2"/>
  <c r="I52" i="2"/>
  <c r="H52" i="2"/>
  <c r="I48" i="2"/>
  <c r="H48" i="2"/>
  <c r="I44" i="2"/>
  <c r="H44" i="2"/>
  <c r="I40" i="2"/>
  <c r="H40" i="2"/>
  <c r="I36" i="2"/>
  <c r="H36" i="2"/>
  <c r="I32" i="2"/>
  <c r="H32" i="2"/>
  <c r="I28" i="2"/>
  <c r="H28" i="2"/>
  <c r="I24" i="2"/>
  <c r="H24" i="2"/>
  <c r="I20" i="2"/>
  <c r="H20" i="2"/>
  <c r="I16" i="2"/>
  <c r="H16" i="2"/>
  <c r="I12" i="2"/>
  <c r="H12" i="2"/>
  <c r="I8" i="2"/>
  <c r="H8" i="2"/>
  <c r="I4" i="2"/>
  <c r="H4" i="2"/>
  <c r="E505" i="2"/>
  <c r="E501" i="2"/>
  <c r="E497" i="2"/>
  <c r="E493" i="2"/>
  <c r="E489" i="2"/>
  <c r="E485" i="2"/>
  <c r="E481" i="2"/>
  <c r="E477" i="2"/>
  <c r="E473" i="2"/>
  <c r="E469" i="2"/>
  <c r="E465" i="2"/>
  <c r="E461" i="2"/>
  <c r="E457" i="2"/>
  <c r="E453" i="2"/>
  <c r="E449" i="2"/>
  <c r="E445" i="2"/>
  <c r="E441" i="2"/>
  <c r="E437" i="2"/>
  <c r="E433" i="2"/>
  <c r="E429" i="2"/>
  <c r="E425" i="2"/>
  <c r="E421" i="2"/>
  <c r="E417" i="2"/>
  <c r="E413" i="2"/>
  <c r="E409" i="2"/>
  <c r="E405" i="2"/>
  <c r="E401" i="2"/>
  <c r="E397" i="2"/>
  <c r="E393" i="2"/>
  <c r="E389" i="2"/>
  <c r="E385" i="2"/>
  <c r="E381" i="2"/>
  <c r="E377" i="2"/>
  <c r="E373" i="2"/>
  <c r="E369" i="2"/>
  <c r="E365" i="2"/>
  <c r="E361" i="2"/>
  <c r="E357" i="2"/>
  <c r="E353" i="2"/>
  <c r="E349" i="2"/>
  <c r="E345" i="2"/>
  <c r="E341" i="2"/>
  <c r="E337" i="2"/>
  <c r="E333" i="2"/>
  <c r="E329" i="2"/>
  <c r="E325" i="2"/>
  <c r="E321" i="2"/>
  <c r="E317" i="2"/>
  <c r="E313" i="2"/>
  <c r="E309" i="2"/>
  <c r="E304" i="2"/>
  <c r="E299" i="2"/>
  <c r="E291" i="2"/>
  <c r="E283" i="2"/>
  <c r="E275" i="2"/>
  <c r="E267" i="2"/>
  <c r="E259" i="2"/>
  <c r="E251" i="2"/>
  <c r="E243" i="2"/>
  <c r="E235" i="2"/>
  <c r="E227" i="2"/>
  <c r="E219" i="2"/>
  <c r="E211" i="2"/>
  <c r="E203" i="2"/>
  <c r="E195" i="2"/>
  <c r="E187" i="2"/>
  <c r="E179" i="2"/>
  <c r="E171" i="2"/>
  <c r="E163" i="2"/>
  <c r="E155" i="2"/>
  <c r="E147" i="2"/>
  <c r="E139" i="2"/>
  <c r="E131" i="2"/>
  <c r="E123" i="2"/>
  <c r="E115" i="2"/>
  <c r="E107" i="2"/>
  <c r="E99" i="2"/>
  <c r="E91" i="2"/>
  <c r="E83" i="2"/>
  <c r="E75" i="2"/>
  <c r="E67" i="2"/>
  <c r="E59" i="2"/>
  <c r="E51" i="2"/>
  <c r="E43" i="2"/>
  <c r="E35" i="2"/>
  <c r="E27" i="2"/>
  <c r="E19" i="2"/>
  <c r="E11" i="2"/>
  <c r="F3" i="2"/>
  <c r="F501" i="2"/>
  <c r="F493" i="2"/>
  <c r="F485" i="2"/>
  <c r="F477" i="2"/>
  <c r="F469" i="2"/>
  <c r="F461" i="2"/>
  <c r="F453" i="2"/>
  <c r="F445" i="2"/>
  <c r="F437" i="2"/>
  <c r="F429" i="2"/>
  <c r="F421" i="2"/>
  <c r="F413" i="2"/>
  <c r="F405" i="2"/>
  <c r="F397" i="2"/>
  <c r="F389" i="2"/>
  <c r="F381" i="2"/>
  <c r="F373" i="2"/>
  <c r="F365" i="2"/>
  <c r="F357" i="2"/>
  <c r="F349" i="2"/>
  <c r="F341" i="2"/>
  <c r="F333" i="2"/>
  <c r="F325" i="2"/>
  <c r="F317" i="2"/>
  <c r="F309" i="2"/>
  <c r="F301" i="2"/>
  <c r="F293" i="2"/>
  <c r="F285" i="2"/>
  <c r="F277" i="2"/>
  <c r="F269" i="2"/>
  <c r="F261" i="2"/>
  <c r="F253" i="2"/>
  <c r="F245" i="2"/>
  <c r="F237" i="2"/>
  <c r="F229" i="2"/>
  <c r="F221" i="2"/>
  <c r="F213" i="2"/>
  <c r="F205" i="2"/>
  <c r="F197" i="2"/>
  <c r="F189" i="2"/>
  <c r="F181" i="2"/>
  <c r="F173" i="2"/>
  <c r="F165" i="2"/>
  <c r="F157" i="2"/>
  <c r="F149" i="2"/>
  <c r="F141" i="2"/>
  <c r="F133" i="2"/>
  <c r="F125" i="2"/>
  <c r="F117" i="2"/>
  <c r="F109" i="2"/>
  <c r="F101" i="2"/>
  <c r="F93" i="2"/>
  <c r="F85" i="2"/>
  <c r="F77" i="2"/>
  <c r="F69" i="2"/>
  <c r="F61" i="2"/>
  <c r="F53" i="2"/>
  <c r="F45" i="2"/>
  <c r="F37" i="2"/>
  <c r="F29" i="2"/>
  <c r="F21" i="2"/>
  <c r="F13" i="2"/>
  <c r="F5" i="2"/>
  <c r="G504" i="2"/>
  <c r="G496" i="2"/>
  <c r="G488" i="2"/>
  <c r="G480" i="2"/>
  <c r="G472" i="2"/>
  <c r="G464" i="2"/>
  <c r="G456" i="2"/>
  <c r="G448" i="2"/>
  <c r="G440" i="2"/>
  <c r="G432" i="2"/>
  <c r="G424" i="2"/>
  <c r="G416" i="2"/>
  <c r="G408" i="2"/>
  <c r="G400" i="2"/>
  <c r="G392" i="2"/>
  <c r="G384" i="2"/>
  <c r="G376" i="2"/>
  <c r="G368" i="2"/>
  <c r="G360" i="2"/>
  <c r="G352" i="2"/>
  <c r="G344" i="2"/>
  <c r="G336" i="2"/>
  <c r="G328" i="2"/>
  <c r="G320" i="2"/>
  <c r="G312" i="2"/>
  <c r="G304" i="2"/>
  <c r="G296" i="2"/>
  <c r="G288" i="2"/>
  <c r="G280" i="2"/>
  <c r="G272" i="2"/>
  <c r="G264" i="2"/>
  <c r="G256" i="2"/>
  <c r="G248" i="2"/>
  <c r="G240" i="2"/>
  <c r="G232" i="2"/>
  <c r="G224" i="2"/>
  <c r="G216" i="2"/>
  <c r="G208" i="2"/>
  <c r="G200" i="2"/>
  <c r="G192" i="2"/>
  <c r="G184" i="2"/>
  <c r="G176" i="2"/>
  <c r="G168" i="2"/>
  <c r="G160" i="2"/>
  <c r="G152" i="2"/>
  <c r="G144" i="2"/>
  <c r="G136" i="2"/>
  <c r="G128" i="2"/>
  <c r="G120" i="2"/>
  <c r="G112" i="2"/>
  <c r="G104" i="2"/>
  <c r="G96" i="2"/>
  <c r="G88" i="2"/>
  <c r="G80" i="2"/>
  <c r="G72" i="2"/>
  <c r="G64" i="2"/>
  <c r="G56" i="2"/>
  <c r="G44" i="2"/>
  <c r="G28" i="2"/>
  <c r="G12" i="2"/>
  <c r="H492" i="2"/>
  <c r="H460" i="2"/>
  <c r="H428" i="2"/>
  <c r="H396" i="2"/>
  <c r="F508" i="3"/>
  <c r="H508" i="3"/>
  <c r="G508" i="3"/>
  <c r="H504" i="3"/>
  <c r="F504" i="3"/>
  <c r="G504" i="3"/>
  <c r="H500" i="3"/>
  <c r="F500" i="3"/>
  <c r="G500" i="3"/>
  <c r="H496" i="3"/>
  <c r="F496" i="3"/>
  <c r="G496" i="3"/>
  <c r="H492" i="3"/>
  <c r="F492" i="3"/>
  <c r="G492" i="3"/>
  <c r="H488" i="3"/>
  <c r="F488" i="3"/>
  <c r="G488" i="3"/>
  <c r="H484" i="3"/>
  <c r="G484" i="3"/>
  <c r="F484" i="3"/>
  <c r="H480" i="3"/>
  <c r="G480" i="3"/>
  <c r="F480" i="3"/>
  <c r="H476" i="3"/>
  <c r="G476" i="3"/>
  <c r="F476" i="3"/>
  <c r="H472" i="3"/>
  <c r="G472" i="3"/>
  <c r="F472" i="3"/>
  <c r="H468" i="3"/>
  <c r="G468" i="3"/>
  <c r="F468" i="3"/>
  <c r="H464" i="3"/>
  <c r="G464" i="3"/>
  <c r="F464" i="3"/>
  <c r="H460" i="3"/>
  <c r="G460" i="3"/>
  <c r="F460" i="3"/>
  <c r="H456" i="3"/>
  <c r="G456" i="3"/>
  <c r="F456" i="3"/>
  <c r="H452" i="3"/>
  <c r="G452" i="3"/>
  <c r="F452" i="3"/>
  <c r="G448" i="3"/>
  <c r="H448" i="3"/>
  <c r="F448" i="3"/>
  <c r="H444" i="3"/>
  <c r="G444" i="3"/>
  <c r="F444" i="3"/>
  <c r="H440" i="3"/>
  <c r="G440" i="3"/>
  <c r="F440" i="3"/>
  <c r="H436" i="3"/>
  <c r="G436" i="3"/>
  <c r="F436" i="3"/>
  <c r="G432" i="3"/>
  <c r="H432" i="3"/>
  <c r="F432" i="3"/>
  <c r="H428" i="3"/>
  <c r="G428" i="3"/>
  <c r="F428" i="3"/>
  <c r="H424" i="3"/>
  <c r="G424" i="3"/>
  <c r="F424" i="3"/>
  <c r="H420" i="3"/>
  <c r="G420" i="3"/>
  <c r="F420" i="3"/>
  <c r="G416" i="3"/>
  <c r="H416" i="3"/>
  <c r="F416" i="3"/>
  <c r="H412" i="3"/>
  <c r="G412" i="3"/>
  <c r="F412" i="3"/>
  <c r="H408" i="3"/>
  <c r="G408" i="3"/>
  <c r="F408" i="3"/>
  <c r="H404" i="3"/>
  <c r="G404" i="3"/>
  <c r="F404" i="3"/>
  <c r="G400" i="3"/>
  <c r="H400" i="3"/>
  <c r="F400" i="3"/>
  <c r="H396" i="3"/>
  <c r="G396" i="3"/>
  <c r="F396" i="3"/>
  <c r="H392" i="3"/>
  <c r="G392" i="3"/>
  <c r="F392" i="3"/>
  <c r="H388" i="3"/>
  <c r="G388" i="3"/>
  <c r="F388" i="3"/>
  <c r="G384" i="3"/>
  <c r="H384" i="3"/>
  <c r="F384" i="3"/>
  <c r="H380" i="3"/>
  <c r="G380" i="3"/>
  <c r="F380" i="3"/>
  <c r="H376" i="3"/>
  <c r="G376" i="3"/>
  <c r="F376" i="3"/>
  <c r="H372" i="3"/>
  <c r="G372" i="3"/>
  <c r="F372" i="3"/>
  <c r="G368" i="3"/>
  <c r="H368" i="3"/>
  <c r="F368" i="3"/>
  <c r="H364" i="3"/>
  <c r="G364" i="3"/>
  <c r="F364" i="3"/>
  <c r="H360" i="3"/>
  <c r="G360" i="3"/>
  <c r="F360" i="3"/>
  <c r="H356" i="3"/>
  <c r="G356" i="3"/>
  <c r="F356" i="3"/>
  <c r="G352" i="3"/>
  <c r="H352" i="3"/>
  <c r="F352" i="3"/>
  <c r="H348" i="3"/>
  <c r="G348" i="3"/>
  <c r="F348" i="3"/>
  <c r="H344" i="3"/>
  <c r="G344" i="3"/>
  <c r="F344" i="3"/>
  <c r="H340" i="3"/>
  <c r="G340" i="3"/>
  <c r="F340" i="3"/>
  <c r="G336" i="3"/>
  <c r="H336" i="3"/>
  <c r="F336" i="3"/>
  <c r="H332" i="3"/>
  <c r="G332" i="3"/>
  <c r="F332" i="3"/>
  <c r="H328" i="3"/>
  <c r="G328" i="3"/>
  <c r="F328" i="3"/>
  <c r="H324" i="3"/>
  <c r="G324" i="3"/>
  <c r="F324" i="3"/>
  <c r="H320" i="3"/>
  <c r="G320" i="3"/>
  <c r="F320" i="3"/>
  <c r="H316" i="3"/>
  <c r="G316" i="3"/>
  <c r="F316" i="3"/>
  <c r="H312" i="3"/>
  <c r="G312" i="3"/>
  <c r="F312" i="3"/>
  <c r="H308" i="3"/>
  <c r="G308" i="3"/>
  <c r="F308" i="3"/>
  <c r="H304" i="3"/>
  <c r="G304" i="3"/>
  <c r="F304" i="3"/>
  <c r="H300" i="3"/>
  <c r="G300" i="3"/>
  <c r="F300" i="3"/>
  <c r="H296" i="3"/>
  <c r="G296" i="3"/>
  <c r="F296" i="3"/>
  <c r="H292" i="3"/>
  <c r="G292" i="3"/>
  <c r="F292" i="3"/>
  <c r="H288" i="3"/>
  <c r="G288" i="3"/>
  <c r="F288" i="3"/>
  <c r="H284" i="3"/>
  <c r="G284" i="3"/>
  <c r="F284" i="3"/>
  <c r="H280" i="3"/>
  <c r="G280" i="3"/>
  <c r="F280" i="3"/>
  <c r="H276" i="3"/>
  <c r="G276" i="3"/>
  <c r="F276" i="3"/>
  <c r="H272" i="3"/>
  <c r="G272" i="3"/>
  <c r="F272" i="3"/>
  <c r="H268" i="3"/>
  <c r="G268" i="3"/>
  <c r="F268" i="3"/>
  <c r="H264" i="3"/>
  <c r="G264" i="3"/>
  <c r="F264" i="3"/>
  <c r="H260" i="3"/>
  <c r="G260" i="3"/>
  <c r="F260" i="3"/>
  <c r="H256" i="3"/>
  <c r="G256" i="3"/>
  <c r="F256" i="3"/>
  <c r="H252" i="3"/>
  <c r="G252" i="3"/>
  <c r="F252" i="3"/>
  <c r="H248" i="3"/>
  <c r="G248" i="3"/>
  <c r="F248" i="3"/>
  <c r="H244" i="3"/>
  <c r="G244" i="3"/>
  <c r="F244" i="3"/>
  <c r="H240" i="3"/>
  <c r="G240" i="3"/>
  <c r="F240" i="3"/>
  <c r="H236" i="3"/>
  <c r="G236" i="3"/>
  <c r="F236" i="3"/>
  <c r="H232" i="3"/>
  <c r="G232" i="3"/>
  <c r="F232" i="3"/>
  <c r="H228" i="3"/>
  <c r="G228" i="3"/>
  <c r="F228" i="3"/>
  <c r="H224" i="3"/>
  <c r="G224" i="3"/>
  <c r="F224" i="3"/>
  <c r="H220" i="3"/>
  <c r="G220" i="3"/>
  <c r="F220" i="3"/>
  <c r="H216" i="3"/>
  <c r="G216" i="3"/>
  <c r="F216" i="3"/>
  <c r="H212" i="3"/>
  <c r="G212" i="3"/>
  <c r="F212" i="3"/>
  <c r="H208" i="3"/>
  <c r="G208" i="3"/>
  <c r="F208" i="3"/>
  <c r="H204" i="3"/>
  <c r="G204" i="3"/>
  <c r="F204" i="3"/>
  <c r="H200" i="3"/>
  <c r="G200" i="3"/>
  <c r="F200" i="3"/>
  <c r="H196" i="3"/>
  <c r="G196" i="3"/>
  <c r="F196" i="3"/>
  <c r="H192" i="3"/>
  <c r="G192" i="3"/>
  <c r="F192" i="3"/>
  <c r="H188" i="3"/>
  <c r="G188" i="3"/>
  <c r="F188" i="3"/>
  <c r="H184" i="3"/>
  <c r="G184" i="3"/>
  <c r="F184" i="3"/>
  <c r="H180" i="3"/>
  <c r="G180" i="3"/>
  <c r="F180" i="3"/>
  <c r="H176" i="3"/>
  <c r="G176" i="3"/>
  <c r="F176" i="3"/>
  <c r="H172" i="3"/>
  <c r="G172" i="3"/>
  <c r="F172" i="3"/>
  <c r="H168" i="3"/>
  <c r="G168" i="3"/>
  <c r="F168" i="3"/>
  <c r="H164" i="3"/>
  <c r="G164" i="3"/>
  <c r="F164" i="3"/>
  <c r="H160" i="3"/>
  <c r="G160" i="3"/>
  <c r="F160" i="3"/>
  <c r="H156" i="3"/>
  <c r="G156" i="3"/>
  <c r="F156" i="3"/>
  <c r="H152" i="3"/>
  <c r="G152" i="3"/>
  <c r="F152" i="3"/>
  <c r="H148" i="3"/>
  <c r="G148" i="3"/>
  <c r="F148" i="3"/>
  <c r="H144" i="3"/>
  <c r="G144" i="3"/>
  <c r="F144" i="3"/>
  <c r="H140" i="3"/>
  <c r="G140" i="3"/>
  <c r="F140" i="3"/>
  <c r="H136" i="3"/>
  <c r="G136" i="3"/>
  <c r="F136" i="3"/>
  <c r="H132" i="3"/>
  <c r="G132" i="3"/>
  <c r="F132" i="3"/>
  <c r="H128" i="3"/>
  <c r="G128" i="3"/>
  <c r="F128" i="3"/>
  <c r="H124" i="3"/>
  <c r="G124" i="3"/>
  <c r="F124" i="3"/>
  <c r="H120" i="3"/>
  <c r="G120" i="3"/>
  <c r="F120" i="3"/>
  <c r="H116" i="3"/>
  <c r="G116" i="3"/>
  <c r="F116" i="3"/>
  <c r="H112" i="3"/>
  <c r="G112" i="3"/>
  <c r="F112" i="3"/>
  <c r="H108" i="3"/>
  <c r="G108" i="3"/>
  <c r="F108" i="3"/>
  <c r="H104" i="3"/>
  <c r="G104" i="3"/>
  <c r="F104" i="3"/>
  <c r="H100" i="3"/>
  <c r="G100" i="3"/>
  <c r="F100" i="3"/>
  <c r="H96" i="3"/>
  <c r="G96" i="3"/>
  <c r="F96" i="3"/>
  <c r="H92" i="3"/>
  <c r="G92" i="3"/>
  <c r="F92" i="3"/>
  <c r="H88" i="3"/>
  <c r="G88" i="3"/>
  <c r="F88" i="3"/>
  <c r="H84" i="3"/>
  <c r="G84" i="3"/>
  <c r="F84" i="3"/>
  <c r="H80" i="3"/>
  <c r="G80" i="3"/>
  <c r="F80" i="3"/>
  <c r="H76" i="3"/>
  <c r="G76" i="3"/>
  <c r="F76" i="3"/>
  <c r="H72" i="3"/>
  <c r="G72" i="3"/>
  <c r="F72" i="3"/>
  <c r="H68" i="3"/>
  <c r="G68" i="3"/>
  <c r="F68" i="3"/>
  <c r="H64" i="3"/>
  <c r="G64" i="3"/>
  <c r="F64" i="3"/>
  <c r="H60" i="3"/>
  <c r="G60" i="3"/>
  <c r="F60" i="3"/>
  <c r="H56" i="3"/>
  <c r="G56" i="3"/>
  <c r="F56" i="3"/>
  <c r="H52" i="3"/>
  <c r="G52" i="3"/>
  <c r="F52" i="3"/>
  <c r="H48" i="3"/>
  <c r="G48" i="3"/>
  <c r="F48" i="3"/>
  <c r="H44" i="3"/>
  <c r="G44" i="3"/>
  <c r="F44" i="3"/>
  <c r="H40" i="3"/>
  <c r="G40" i="3"/>
  <c r="F40" i="3"/>
  <c r="H36" i="3"/>
  <c r="G36" i="3"/>
  <c r="F36" i="3"/>
  <c r="H32" i="3"/>
  <c r="G32" i="3"/>
  <c r="F32" i="3"/>
  <c r="H28" i="3"/>
  <c r="G28" i="3"/>
  <c r="F28" i="3"/>
  <c r="H24" i="3"/>
  <c r="G24" i="3"/>
  <c r="F24" i="3"/>
  <c r="H20" i="3"/>
  <c r="G20" i="3"/>
  <c r="F20" i="3"/>
  <c r="H16" i="3"/>
  <c r="G16" i="3"/>
  <c r="F16" i="3"/>
  <c r="H12" i="3"/>
  <c r="G12" i="3"/>
  <c r="F12" i="3"/>
  <c r="H8" i="3"/>
  <c r="G8" i="3"/>
  <c r="F8" i="3"/>
  <c r="H4" i="3"/>
  <c r="G4" i="3"/>
  <c r="F4" i="3"/>
  <c r="E4" i="3"/>
  <c r="E64" i="3"/>
  <c r="E48" i="3"/>
  <c r="E32" i="3"/>
  <c r="E16" i="3"/>
  <c r="H507" i="3"/>
  <c r="G507" i="3"/>
  <c r="H503" i="3"/>
  <c r="G503" i="3"/>
  <c r="H499" i="3"/>
  <c r="G499" i="3"/>
  <c r="H495" i="3"/>
  <c r="G495" i="3"/>
  <c r="H491" i="3"/>
  <c r="G491" i="3"/>
  <c r="H487" i="3"/>
  <c r="G487" i="3"/>
  <c r="H483" i="3"/>
  <c r="G483" i="3"/>
  <c r="H479" i="3"/>
  <c r="G479" i="3"/>
  <c r="H475" i="3"/>
  <c r="G475" i="3"/>
  <c r="H471" i="3"/>
  <c r="G471" i="3"/>
  <c r="H467" i="3"/>
  <c r="G467" i="3"/>
  <c r="H463" i="3"/>
  <c r="G463" i="3"/>
  <c r="H459" i="3"/>
  <c r="G459" i="3"/>
  <c r="H455" i="3"/>
  <c r="G455" i="3"/>
  <c r="H451" i="3"/>
  <c r="G451" i="3"/>
  <c r="H447" i="3"/>
  <c r="G447" i="3"/>
  <c r="H443" i="3"/>
  <c r="G443" i="3"/>
  <c r="H439" i="3"/>
  <c r="G439" i="3"/>
  <c r="H435" i="3"/>
  <c r="G435" i="3"/>
  <c r="H431" i="3"/>
  <c r="G431" i="3"/>
  <c r="H427" i="3"/>
  <c r="G427" i="3"/>
  <c r="H423" i="3"/>
  <c r="G423" i="3"/>
  <c r="H419" i="3"/>
  <c r="G419" i="3"/>
  <c r="H415" i="3"/>
  <c r="G415" i="3"/>
  <c r="H411" i="3"/>
  <c r="G411" i="3"/>
  <c r="F411" i="3"/>
  <c r="H407" i="3"/>
  <c r="F407" i="3"/>
  <c r="G407" i="3"/>
  <c r="H403" i="3"/>
  <c r="G403" i="3"/>
  <c r="F403" i="3"/>
  <c r="H399" i="3"/>
  <c r="F399" i="3"/>
  <c r="G399" i="3"/>
  <c r="H395" i="3"/>
  <c r="G395" i="3"/>
  <c r="F395" i="3"/>
  <c r="H391" i="3"/>
  <c r="F391" i="3"/>
  <c r="G391" i="3"/>
  <c r="H387" i="3"/>
  <c r="G387" i="3"/>
  <c r="F387" i="3"/>
  <c r="H383" i="3"/>
  <c r="F383" i="3"/>
  <c r="G383" i="3"/>
  <c r="H379" i="3"/>
  <c r="G379" i="3"/>
  <c r="F379" i="3"/>
  <c r="H375" i="3"/>
  <c r="F375" i="3"/>
  <c r="G375" i="3"/>
  <c r="H371" i="3"/>
  <c r="G371" i="3"/>
  <c r="F371" i="3"/>
  <c r="H367" i="3"/>
  <c r="F367" i="3"/>
  <c r="G367" i="3"/>
  <c r="H363" i="3"/>
  <c r="G363" i="3"/>
  <c r="F363" i="3"/>
  <c r="H359" i="3"/>
  <c r="F359" i="3"/>
  <c r="G359" i="3"/>
  <c r="H355" i="3"/>
  <c r="G355" i="3"/>
  <c r="F355" i="3"/>
  <c r="H351" i="3"/>
  <c r="F351" i="3"/>
  <c r="G351" i="3"/>
  <c r="H347" i="3"/>
  <c r="G347" i="3"/>
  <c r="F347" i="3"/>
  <c r="H343" i="3"/>
  <c r="F343" i="3"/>
  <c r="G343" i="3"/>
  <c r="H339" i="3"/>
  <c r="G339" i="3"/>
  <c r="F339" i="3"/>
  <c r="H335" i="3"/>
  <c r="F335" i="3"/>
  <c r="G335" i="3"/>
  <c r="H331" i="3"/>
  <c r="G331" i="3"/>
  <c r="F331" i="3"/>
  <c r="H327" i="3"/>
  <c r="F327" i="3"/>
  <c r="G327" i="3"/>
  <c r="H323" i="3"/>
  <c r="G323" i="3"/>
  <c r="F323" i="3"/>
  <c r="H319" i="3"/>
  <c r="F319" i="3"/>
  <c r="G319" i="3"/>
  <c r="H315" i="3"/>
  <c r="G315" i="3"/>
  <c r="F315" i="3"/>
  <c r="H311" i="3"/>
  <c r="F311" i="3"/>
  <c r="G311" i="3"/>
  <c r="H307" i="3"/>
  <c r="G307" i="3"/>
  <c r="F307" i="3"/>
  <c r="H303" i="3"/>
  <c r="F303" i="3"/>
  <c r="G303" i="3"/>
  <c r="H299" i="3"/>
  <c r="G299" i="3"/>
  <c r="F299" i="3"/>
  <c r="H295" i="3"/>
  <c r="F295" i="3"/>
  <c r="G295" i="3"/>
  <c r="H291" i="3"/>
  <c r="G291" i="3"/>
  <c r="F291" i="3"/>
  <c r="H287" i="3"/>
  <c r="F287" i="3"/>
  <c r="G287" i="3"/>
  <c r="H283" i="3"/>
  <c r="G283" i="3"/>
  <c r="F283" i="3"/>
  <c r="H279" i="3"/>
  <c r="F279" i="3"/>
  <c r="G279" i="3"/>
  <c r="H275" i="3"/>
  <c r="G275" i="3"/>
  <c r="F275" i="3"/>
  <c r="H271" i="3"/>
  <c r="F271" i="3"/>
  <c r="G271" i="3"/>
  <c r="H267" i="3"/>
  <c r="G267" i="3"/>
  <c r="F267" i="3"/>
  <c r="H263" i="3"/>
  <c r="F263" i="3"/>
  <c r="G263" i="3"/>
  <c r="H259" i="3"/>
  <c r="G259" i="3"/>
  <c r="F259" i="3"/>
  <c r="H255" i="3"/>
  <c r="F255" i="3"/>
  <c r="G255" i="3"/>
  <c r="H251" i="3"/>
  <c r="G251" i="3"/>
  <c r="F251" i="3"/>
  <c r="H247" i="3"/>
  <c r="F247" i="3"/>
  <c r="G247" i="3"/>
  <c r="H243" i="3"/>
  <c r="G243" i="3"/>
  <c r="F243" i="3"/>
  <c r="H239" i="3"/>
  <c r="F239" i="3"/>
  <c r="G239" i="3"/>
  <c r="H235" i="3"/>
  <c r="G235" i="3"/>
  <c r="F235" i="3"/>
  <c r="H231" i="3"/>
  <c r="F231" i="3"/>
  <c r="G231" i="3"/>
  <c r="H227" i="3"/>
  <c r="G227" i="3"/>
  <c r="F227" i="3"/>
  <c r="H223" i="3"/>
  <c r="F223" i="3"/>
  <c r="G223" i="3"/>
  <c r="H219" i="3"/>
  <c r="G219" i="3"/>
  <c r="F219" i="3"/>
  <c r="H215" i="3"/>
  <c r="F215" i="3"/>
  <c r="G215" i="3"/>
  <c r="H211" i="3"/>
  <c r="G211" i="3"/>
  <c r="F211" i="3"/>
  <c r="H207" i="3"/>
  <c r="F207" i="3"/>
  <c r="G207" i="3"/>
  <c r="H203" i="3"/>
  <c r="G203" i="3"/>
  <c r="F203" i="3"/>
  <c r="H199" i="3"/>
  <c r="F199" i="3"/>
  <c r="G199" i="3"/>
  <c r="H195" i="3"/>
  <c r="G195" i="3"/>
  <c r="F195" i="3"/>
  <c r="H191" i="3"/>
  <c r="F191" i="3"/>
  <c r="G191" i="3"/>
  <c r="H187" i="3"/>
  <c r="G187" i="3"/>
  <c r="F187" i="3"/>
  <c r="H183" i="3"/>
  <c r="F183" i="3"/>
  <c r="G183" i="3"/>
  <c r="H179" i="3"/>
  <c r="G179" i="3"/>
  <c r="F179" i="3"/>
  <c r="H175" i="3"/>
  <c r="F175" i="3"/>
  <c r="G175" i="3"/>
  <c r="H171" i="3"/>
  <c r="G171" i="3"/>
  <c r="F171" i="3"/>
  <c r="H167" i="3"/>
  <c r="F167" i="3"/>
  <c r="G167" i="3"/>
  <c r="H163" i="3"/>
  <c r="G163" i="3"/>
  <c r="F163" i="3"/>
  <c r="H159" i="3"/>
  <c r="F159" i="3"/>
  <c r="G159" i="3"/>
  <c r="H155" i="3"/>
  <c r="G155" i="3"/>
  <c r="F155" i="3"/>
  <c r="H151" i="3"/>
  <c r="F151" i="3"/>
  <c r="G151" i="3"/>
  <c r="H147" i="3"/>
  <c r="G147" i="3"/>
  <c r="F147" i="3"/>
  <c r="H143" i="3"/>
  <c r="F143" i="3"/>
  <c r="G143" i="3"/>
  <c r="H139" i="3"/>
  <c r="G139" i="3"/>
  <c r="F139" i="3"/>
  <c r="H135" i="3"/>
  <c r="F135" i="3"/>
  <c r="G135" i="3"/>
  <c r="H131" i="3"/>
  <c r="G131" i="3"/>
  <c r="F131" i="3"/>
  <c r="H127" i="3"/>
  <c r="F127" i="3"/>
  <c r="G127" i="3"/>
  <c r="H123" i="3"/>
  <c r="G123" i="3"/>
  <c r="F123" i="3"/>
  <c r="H119" i="3"/>
  <c r="F119" i="3"/>
  <c r="G119" i="3"/>
  <c r="H115" i="3"/>
  <c r="G115" i="3"/>
  <c r="F115" i="3"/>
  <c r="H111" i="3"/>
  <c r="F111" i="3"/>
  <c r="G111" i="3"/>
  <c r="H107" i="3"/>
  <c r="G107" i="3"/>
  <c r="F107" i="3"/>
  <c r="H103" i="3"/>
  <c r="F103" i="3"/>
  <c r="G103" i="3"/>
  <c r="H99" i="3"/>
  <c r="G99" i="3"/>
  <c r="F99" i="3"/>
  <c r="H95" i="3"/>
  <c r="F95" i="3"/>
  <c r="G95" i="3"/>
  <c r="H91" i="3"/>
  <c r="G91" i="3"/>
  <c r="F91" i="3"/>
  <c r="H87" i="3"/>
  <c r="F87" i="3"/>
  <c r="G87" i="3"/>
  <c r="H83" i="3"/>
  <c r="G83" i="3"/>
  <c r="F83" i="3"/>
  <c r="H79" i="3"/>
  <c r="F79" i="3"/>
  <c r="G79" i="3"/>
  <c r="H75" i="3"/>
  <c r="G75" i="3"/>
  <c r="F75" i="3"/>
  <c r="H71" i="3"/>
  <c r="F71" i="3"/>
  <c r="G71" i="3"/>
  <c r="H67" i="3"/>
  <c r="G67" i="3"/>
  <c r="F67" i="3"/>
  <c r="H63" i="3"/>
  <c r="F63" i="3"/>
  <c r="G63" i="3"/>
  <c r="H59" i="3"/>
  <c r="G59" i="3"/>
  <c r="F59" i="3"/>
  <c r="H55" i="3"/>
  <c r="F55" i="3"/>
  <c r="G55" i="3"/>
  <c r="H51" i="3"/>
  <c r="G51" i="3"/>
  <c r="F51" i="3"/>
  <c r="H47" i="3"/>
  <c r="F47" i="3"/>
  <c r="G47" i="3"/>
  <c r="H43" i="3"/>
  <c r="G43" i="3"/>
  <c r="F43" i="3"/>
  <c r="H39" i="3"/>
  <c r="F39" i="3"/>
  <c r="G39" i="3"/>
  <c r="H35" i="3"/>
  <c r="G35" i="3"/>
  <c r="F35" i="3"/>
  <c r="H31" i="3"/>
  <c r="F31" i="3"/>
  <c r="G31" i="3"/>
  <c r="H27" i="3"/>
  <c r="G27" i="3"/>
  <c r="F27" i="3"/>
  <c r="H23" i="3"/>
  <c r="F23" i="3"/>
  <c r="G23" i="3"/>
  <c r="H19" i="3"/>
  <c r="G19" i="3"/>
  <c r="F19" i="3"/>
  <c r="H15" i="3"/>
  <c r="F15" i="3"/>
  <c r="G15" i="3"/>
  <c r="H11" i="3"/>
  <c r="G11" i="3"/>
  <c r="F11" i="3"/>
  <c r="H7" i="3"/>
  <c r="F7" i="3"/>
  <c r="G7" i="3"/>
  <c r="E7" i="3"/>
  <c r="E68" i="3"/>
  <c r="E63" i="3"/>
  <c r="E52" i="3"/>
  <c r="E47" i="3"/>
  <c r="E36" i="3"/>
  <c r="E31" i="3"/>
  <c r="E20" i="3"/>
  <c r="E15" i="3"/>
  <c r="F503" i="3"/>
  <c r="F487" i="3"/>
  <c r="F471" i="3"/>
  <c r="F455" i="3"/>
  <c r="F439" i="3"/>
  <c r="F423" i="3"/>
  <c r="H506" i="3"/>
  <c r="G506" i="3"/>
  <c r="F506" i="3"/>
  <c r="H502" i="3"/>
  <c r="G502" i="3"/>
  <c r="F502" i="3"/>
  <c r="H498" i="3"/>
  <c r="G498" i="3"/>
  <c r="F498" i="3"/>
  <c r="H494" i="3"/>
  <c r="G494" i="3"/>
  <c r="F494" i="3"/>
  <c r="H490" i="3"/>
  <c r="G490" i="3"/>
  <c r="F490" i="3"/>
  <c r="H486" i="3"/>
  <c r="G486" i="3"/>
  <c r="F486" i="3"/>
  <c r="H482" i="3"/>
  <c r="G482" i="3"/>
  <c r="F482" i="3"/>
  <c r="H478" i="3"/>
  <c r="G478" i="3"/>
  <c r="F478" i="3"/>
  <c r="H474" i="3"/>
  <c r="G474" i="3"/>
  <c r="F474" i="3"/>
  <c r="H470" i="3"/>
  <c r="G470" i="3"/>
  <c r="F470" i="3"/>
  <c r="H466" i="3"/>
  <c r="G466" i="3"/>
  <c r="F466" i="3"/>
  <c r="H462" i="3"/>
  <c r="G462" i="3"/>
  <c r="F462" i="3"/>
  <c r="H458" i="3"/>
  <c r="G458" i="3"/>
  <c r="F458" i="3"/>
  <c r="H454" i="3"/>
  <c r="G454" i="3"/>
  <c r="F454" i="3"/>
  <c r="H450" i="3"/>
  <c r="G450" i="3"/>
  <c r="F450" i="3"/>
  <c r="H446" i="3"/>
  <c r="G446" i="3"/>
  <c r="F446" i="3"/>
  <c r="H442" i="3"/>
  <c r="G442" i="3"/>
  <c r="F442" i="3"/>
  <c r="H438" i="3"/>
  <c r="G438" i="3"/>
  <c r="F438" i="3"/>
  <c r="H434" i="3"/>
  <c r="G434" i="3"/>
  <c r="F434" i="3"/>
  <c r="H430" i="3"/>
  <c r="G430" i="3"/>
  <c r="F430" i="3"/>
  <c r="H426" i="3"/>
  <c r="G426" i="3"/>
  <c r="F426" i="3"/>
  <c r="H422" i="3"/>
  <c r="G422" i="3"/>
  <c r="F422" i="3"/>
  <c r="H418" i="3"/>
  <c r="G418" i="3"/>
  <c r="F418" i="3"/>
  <c r="H414" i="3"/>
  <c r="G414" i="3"/>
  <c r="F414" i="3"/>
  <c r="H410" i="3"/>
  <c r="G410" i="3"/>
  <c r="F410" i="3"/>
  <c r="H406" i="3"/>
  <c r="G406" i="3"/>
  <c r="F406" i="3"/>
  <c r="H402" i="3"/>
  <c r="G402" i="3"/>
  <c r="F402" i="3"/>
  <c r="H398" i="3"/>
  <c r="G398" i="3"/>
  <c r="F398" i="3"/>
  <c r="H394" i="3"/>
  <c r="G394" i="3"/>
  <c r="F394" i="3"/>
  <c r="H390" i="3"/>
  <c r="G390" i="3"/>
  <c r="F390" i="3"/>
  <c r="H386" i="3"/>
  <c r="G386" i="3"/>
  <c r="F386" i="3"/>
  <c r="H382" i="3"/>
  <c r="G382" i="3"/>
  <c r="F382" i="3"/>
  <c r="H378" i="3"/>
  <c r="G378" i="3"/>
  <c r="F378" i="3"/>
  <c r="H374" i="3"/>
  <c r="G374" i="3"/>
  <c r="F374" i="3"/>
  <c r="H370" i="3"/>
  <c r="G370" i="3"/>
  <c r="F370" i="3"/>
  <c r="H366" i="3"/>
  <c r="G366" i="3"/>
  <c r="F366" i="3"/>
  <c r="H362" i="3"/>
  <c r="G362" i="3"/>
  <c r="F362" i="3"/>
  <c r="H358" i="3"/>
  <c r="G358" i="3"/>
  <c r="F358" i="3"/>
  <c r="H354" i="3"/>
  <c r="G354" i="3"/>
  <c r="F354" i="3"/>
  <c r="H350" i="3"/>
  <c r="G350" i="3"/>
  <c r="F350" i="3"/>
  <c r="H346" i="3"/>
  <c r="G346" i="3"/>
  <c r="F346" i="3"/>
  <c r="H342" i="3"/>
  <c r="G342" i="3"/>
  <c r="F342" i="3"/>
  <c r="H338" i="3"/>
  <c r="G338" i="3"/>
  <c r="F338" i="3"/>
  <c r="H334" i="3"/>
  <c r="G334" i="3"/>
  <c r="F334" i="3"/>
  <c r="H330" i="3"/>
  <c r="G330" i="3"/>
  <c r="F330" i="3"/>
  <c r="H326" i="3"/>
  <c r="G326" i="3"/>
  <c r="F326" i="3"/>
  <c r="H322" i="3"/>
  <c r="G322" i="3"/>
  <c r="F322" i="3"/>
  <c r="H318" i="3"/>
  <c r="G318" i="3"/>
  <c r="F318" i="3"/>
  <c r="H314" i="3"/>
  <c r="G314" i="3"/>
  <c r="F314" i="3"/>
  <c r="H310" i="3"/>
  <c r="G310" i="3"/>
  <c r="F310" i="3"/>
  <c r="H306" i="3"/>
  <c r="G306" i="3"/>
  <c r="F306" i="3"/>
  <c r="H302" i="3"/>
  <c r="G302" i="3"/>
  <c r="F302" i="3"/>
  <c r="H298" i="3"/>
  <c r="G298" i="3"/>
  <c r="F298" i="3"/>
  <c r="H294" i="3"/>
  <c r="G294" i="3"/>
  <c r="F294" i="3"/>
  <c r="H290" i="3"/>
  <c r="G290" i="3"/>
  <c r="F290" i="3"/>
  <c r="H286" i="3"/>
  <c r="G286" i="3"/>
  <c r="F286" i="3"/>
  <c r="H282" i="3"/>
  <c r="G282" i="3"/>
  <c r="F282" i="3"/>
  <c r="H278" i="3"/>
  <c r="G278" i="3"/>
  <c r="F278" i="3"/>
  <c r="H274" i="3"/>
  <c r="G274" i="3"/>
  <c r="F274" i="3"/>
  <c r="H270" i="3"/>
  <c r="G270" i="3"/>
  <c r="F270" i="3"/>
  <c r="H266" i="3"/>
  <c r="G266" i="3"/>
  <c r="F266" i="3"/>
  <c r="H262" i="3"/>
  <c r="G262" i="3"/>
  <c r="F262" i="3"/>
  <c r="H258" i="3"/>
  <c r="G258" i="3"/>
  <c r="F258" i="3"/>
  <c r="H254" i="3"/>
  <c r="G254" i="3"/>
  <c r="F254" i="3"/>
  <c r="H250" i="3"/>
  <c r="G250" i="3"/>
  <c r="F250" i="3"/>
  <c r="H246" i="3"/>
  <c r="G246" i="3"/>
  <c r="F246" i="3"/>
  <c r="H242" i="3"/>
  <c r="G242" i="3"/>
  <c r="F242" i="3"/>
  <c r="H238" i="3"/>
  <c r="G238" i="3"/>
  <c r="F238" i="3"/>
  <c r="H234" i="3"/>
  <c r="G234" i="3"/>
  <c r="F234" i="3"/>
  <c r="H230" i="3"/>
  <c r="G230" i="3"/>
  <c r="F230" i="3"/>
  <c r="H226" i="3"/>
  <c r="G226" i="3"/>
  <c r="F226" i="3"/>
  <c r="H222" i="3"/>
  <c r="G222" i="3"/>
  <c r="F222" i="3"/>
  <c r="H218" i="3"/>
  <c r="G218" i="3"/>
  <c r="F218" i="3"/>
  <c r="H214" i="3"/>
  <c r="G214" i="3"/>
  <c r="F214" i="3"/>
  <c r="H210" i="3"/>
  <c r="G210" i="3"/>
  <c r="F210" i="3"/>
  <c r="H206" i="3"/>
  <c r="G206" i="3"/>
  <c r="F206" i="3"/>
  <c r="H202" i="3"/>
  <c r="G202" i="3"/>
  <c r="F202" i="3"/>
  <c r="H198" i="3"/>
  <c r="G198" i="3"/>
  <c r="F198" i="3"/>
  <c r="H194" i="3"/>
  <c r="G194" i="3"/>
  <c r="F194" i="3"/>
  <c r="H190" i="3"/>
  <c r="G190" i="3"/>
  <c r="F190" i="3"/>
  <c r="H186" i="3"/>
  <c r="G186" i="3"/>
  <c r="F186" i="3"/>
  <c r="H182" i="3"/>
  <c r="G182" i="3"/>
  <c r="F182" i="3"/>
  <c r="H178" i="3"/>
  <c r="G178" i="3"/>
  <c r="F178" i="3"/>
  <c r="H174" i="3"/>
  <c r="G174" i="3"/>
  <c r="F174" i="3"/>
  <c r="H170" i="3"/>
  <c r="G170" i="3"/>
  <c r="F170" i="3"/>
  <c r="H166" i="3"/>
  <c r="G166" i="3"/>
  <c r="F166" i="3"/>
  <c r="H162" i="3"/>
  <c r="G162" i="3"/>
  <c r="F162" i="3"/>
  <c r="H158" i="3"/>
  <c r="G158" i="3"/>
  <c r="F158" i="3"/>
  <c r="H154" i="3"/>
  <c r="G154" i="3"/>
  <c r="F154" i="3"/>
  <c r="H150" i="3"/>
  <c r="G150" i="3"/>
  <c r="F150" i="3"/>
  <c r="H146" i="3"/>
  <c r="G146" i="3"/>
  <c r="F146" i="3"/>
  <c r="H142" i="3"/>
  <c r="G142" i="3"/>
  <c r="F142" i="3"/>
  <c r="H138" i="3"/>
  <c r="G138" i="3"/>
  <c r="F138" i="3"/>
  <c r="H134" i="3"/>
  <c r="G134" i="3"/>
  <c r="F134" i="3"/>
  <c r="H130" i="3"/>
  <c r="G130" i="3"/>
  <c r="F130" i="3"/>
  <c r="H126" i="3"/>
  <c r="G126" i="3"/>
  <c r="F126" i="3"/>
  <c r="H122" i="3"/>
  <c r="G122" i="3"/>
  <c r="F122" i="3"/>
  <c r="H118" i="3"/>
  <c r="G118" i="3"/>
  <c r="F118" i="3"/>
  <c r="H114" i="3"/>
  <c r="G114" i="3"/>
  <c r="F114" i="3"/>
  <c r="H110" i="3"/>
  <c r="G110" i="3"/>
  <c r="F110" i="3"/>
  <c r="H106" i="3"/>
  <c r="G106" i="3"/>
  <c r="F106" i="3"/>
  <c r="H102" i="3"/>
  <c r="G102" i="3"/>
  <c r="F102" i="3"/>
  <c r="H98" i="3"/>
  <c r="G98" i="3"/>
  <c r="F98" i="3"/>
  <c r="H94" i="3"/>
  <c r="G94" i="3"/>
  <c r="F94" i="3"/>
  <c r="H90" i="3"/>
  <c r="G90" i="3"/>
  <c r="F90" i="3"/>
  <c r="H86" i="3"/>
  <c r="G86" i="3"/>
  <c r="F86" i="3"/>
  <c r="H82" i="3"/>
  <c r="G82" i="3"/>
  <c r="F82" i="3"/>
  <c r="H78" i="3"/>
  <c r="G78" i="3"/>
  <c r="F78" i="3"/>
  <c r="H74" i="3"/>
  <c r="G74" i="3"/>
  <c r="F74" i="3"/>
  <c r="H70" i="3"/>
  <c r="G70" i="3"/>
  <c r="E70" i="3"/>
  <c r="F70" i="3"/>
  <c r="H66" i="3"/>
  <c r="E66" i="3"/>
  <c r="G66" i="3"/>
  <c r="F66" i="3"/>
  <c r="H62" i="3"/>
  <c r="G62" i="3"/>
  <c r="E62" i="3"/>
  <c r="F62" i="3"/>
  <c r="H58" i="3"/>
  <c r="E58" i="3"/>
  <c r="G58" i="3"/>
  <c r="F58" i="3"/>
  <c r="H54" i="3"/>
  <c r="G54" i="3"/>
  <c r="E54" i="3"/>
  <c r="F54" i="3"/>
  <c r="H50" i="3"/>
  <c r="E50" i="3"/>
  <c r="G50" i="3"/>
  <c r="F50" i="3"/>
  <c r="H46" i="3"/>
  <c r="G46" i="3"/>
  <c r="E46" i="3"/>
  <c r="F46" i="3"/>
  <c r="H42" i="3"/>
  <c r="E42" i="3"/>
  <c r="G42" i="3"/>
  <c r="F42" i="3"/>
  <c r="H38" i="3"/>
  <c r="G38" i="3"/>
  <c r="E38" i="3"/>
  <c r="F38" i="3"/>
  <c r="H34" i="3"/>
  <c r="E34" i="3"/>
  <c r="G34" i="3"/>
  <c r="F34" i="3"/>
  <c r="H30" i="3"/>
  <c r="G30" i="3"/>
  <c r="E30" i="3"/>
  <c r="F30" i="3"/>
  <c r="H26" i="3"/>
  <c r="E26" i="3"/>
  <c r="G26" i="3"/>
  <c r="F26" i="3"/>
  <c r="H22" i="3"/>
  <c r="G22" i="3"/>
  <c r="E22" i="3"/>
  <c r="F22" i="3"/>
  <c r="H18" i="3"/>
  <c r="E18" i="3"/>
  <c r="G18" i="3"/>
  <c r="F18" i="3"/>
  <c r="H14" i="3"/>
  <c r="G14" i="3"/>
  <c r="E14" i="3"/>
  <c r="F14" i="3"/>
  <c r="H10" i="3"/>
  <c r="E10" i="3"/>
  <c r="G10" i="3"/>
  <c r="F10" i="3"/>
  <c r="H6" i="3"/>
  <c r="G6" i="3"/>
  <c r="E6" i="3"/>
  <c r="F6" i="3"/>
  <c r="E508" i="3"/>
  <c r="E504" i="3"/>
  <c r="E500" i="3"/>
  <c r="E496" i="3"/>
  <c r="E492" i="3"/>
  <c r="E488" i="3"/>
  <c r="E484" i="3"/>
  <c r="E480" i="3"/>
  <c r="E476" i="3"/>
  <c r="E472" i="3"/>
  <c r="E468" i="3"/>
  <c r="E464" i="3"/>
  <c r="E460" i="3"/>
  <c r="E456" i="3"/>
  <c r="E452" i="3"/>
  <c r="E448" i="3"/>
  <c r="E444" i="3"/>
  <c r="E440" i="3"/>
  <c r="E436" i="3"/>
  <c r="E432" i="3"/>
  <c r="E428" i="3"/>
  <c r="E424" i="3"/>
  <c r="E420" i="3"/>
  <c r="E416" i="3"/>
  <c r="E412" i="3"/>
  <c r="E408" i="3"/>
  <c r="E404" i="3"/>
  <c r="E400" i="3"/>
  <c r="E396" i="3"/>
  <c r="E392" i="3"/>
  <c r="E388" i="3"/>
  <c r="E384" i="3"/>
  <c r="E380" i="3"/>
  <c r="E376" i="3"/>
  <c r="E372" i="3"/>
  <c r="E368" i="3"/>
  <c r="E364" i="3"/>
  <c r="E360" i="3"/>
  <c r="E356" i="3"/>
  <c r="E352" i="3"/>
  <c r="E348" i="3"/>
  <c r="E344" i="3"/>
  <c r="E340" i="3"/>
  <c r="E336" i="3"/>
  <c r="E332" i="3"/>
  <c r="E328" i="3"/>
  <c r="E324" i="3"/>
  <c r="E320" i="3"/>
  <c r="E316" i="3"/>
  <c r="E312" i="3"/>
  <c r="E308" i="3"/>
  <c r="E304" i="3"/>
  <c r="E300" i="3"/>
  <c r="E296" i="3"/>
  <c r="E292" i="3"/>
  <c r="E288" i="3"/>
  <c r="E284" i="3"/>
  <c r="E280" i="3"/>
  <c r="E276" i="3"/>
  <c r="E272" i="3"/>
  <c r="E268" i="3"/>
  <c r="E264" i="3"/>
  <c r="E260" i="3"/>
  <c r="E256" i="3"/>
  <c r="E252" i="3"/>
  <c r="E248" i="3"/>
  <c r="E244" i="3"/>
  <c r="E240" i="3"/>
  <c r="E236" i="3"/>
  <c r="E232" i="3"/>
  <c r="E228" i="3"/>
  <c r="E224" i="3"/>
  <c r="E220" i="3"/>
  <c r="E216" i="3"/>
  <c r="E212" i="3"/>
  <c r="E208" i="3"/>
  <c r="E204" i="3"/>
  <c r="E200" i="3"/>
  <c r="E196" i="3"/>
  <c r="E192" i="3"/>
  <c r="E188" i="3"/>
  <c r="E184" i="3"/>
  <c r="E180" i="3"/>
  <c r="E176" i="3"/>
  <c r="E172" i="3"/>
  <c r="E168" i="3"/>
  <c r="E164" i="3"/>
  <c r="E160" i="3"/>
  <c r="E156" i="3"/>
  <c r="E152" i="3"/>
  <c r="E148" i="3"/>
  <c r="E144" i="3"/>
  <c r="E140" i="3"/>
  <c r="E136" i="3"/>
  <c r="E132" i="3"/>
  <c r="E128" i="3"/>
  <c r="E124" i="3"/>
  <c r="E120" i="3"/>
  <c r="E116" i="3"/>
  <c r="E112" i="3"/>
  <c r="E108" i="3"/>
  <c r="E104" i="3"/>
  <c r="E100" i="3"/>
  <c r="E96" i="3"/>
  <c r="E92" i="3"/>
  <c r="E88" i="3"/>
  <c r="E84" i="3"/>
  <c r="E80" i="3"/>
  <c r="E76" i="3"/>
  <c r="E72" i="3"/>
  <c r="E67" i="3"/>
  <c r="E56" i="3"/>
  <c r="E51" i="3"/>
  <c r="E40" i="3"/>
  <c r="E35" i="3"/>
  <c r="E24" i="3"/>
  <c r="E19" i="3"/>
  <c r="E8" i="3"/>
  <c r="F499" i="3"/>
  <c r="F483" i="3"/>
  <c r="F467" i="3"/>
  <c r="F451" i="3"/>
  <c r="F435" i="3"/>
  <c r="F419" i="3"/>
  <c r="H3" i="3"/>
  <c r="G3" i="3"/>
  <c r="F3" i="3"/>
  <c r="G505" i="3"/>
  <c r="H505" i="3"/>
  <c r="F505" i="3"/>
  <c r="H501" i="3"/>
  <c r="G501" i="3"/>
  <c r="F501" i="3"/>
  <c r="H497" i="3"/>
  <c r="G497" i="3"/>
  <c r="F497" i="3"/>
  <c r="H493" i="3"/>
  <c r="G493" i="3"/>
  <c r="F493" i="3"/>
  <c r="H489" i="3"/>
  <c r="G489" i="3"/>
  <c r="F489" i="3"/>
  <c r="H485" i="3"/>
  <c r="G485" i="3"/>
  <c r="F485" i="3"/>
  <c r="H481" i="3"/>
  <c r="G481" i="3"/>
  <c r="F481" i="3"/>
  <c r="H477" i="3"/>
  <c r="G477" i="3"/>
  <c r="F477" i="3"/>
  <c r="H473" i="3"/>
  <c r="G473" i="3"/>
  <c r="F473" i="3"/>
  <c r="H469" i="3"/>
  <c r="G469" i="3"/>
  <c r="F469" i="3"/>
  <c r="H465" i="3"/>
  <c r="G465" i="3"/>
  <c r="F465" i="3"/>
  <c r="H461" i="3"/>
  <c r="G461" i="3"/>
  <c r="F461" i="3"/>
  <c r="H457" i="3"/>
  <c r="G457" i="3"/>
  <c r="F457" i="3"/>
  <c r="H453" i="3"/>
  <c r="G453" i="3"/>
  <c r="F453" i="3"/>
  <c r="H449" i="3"/>
  <c r="G449" i="3"/>
  <c r="F449" i="3"/>
  <c r="H445" i="3"/>
  <c r="G445" i="3"/>
  <c r="F445" i="3"/>
  <c r="H441" i="3"/>
  <c r="G441" i="3"/>
  <c r="F441" i="3"/>
  <c r="H437" i="3"/>
  <c r="G437" i="3"/>
  <c r="F437" i="3"/>
  <c r="H433" i="3"/>
  <c r="G433" i="3"/>
  <c r="F433" i="3"/>
  <c r="H429" i="3"/>
  <c r="G429" i="3"/>
  <c r="F429" i="3"/>
  <c r="H425" i="3"/>
  <c r="G425" i="3"/>
  <c r="F425" i="3"/>
  <c r="H421" i="3"/>
  <c r="G421" i="3"/>
  <c r="F421" i="3"/>
  <c r="H417" i="3"/>
  <c r="G417" i="3"/>
  <c r="F417" i="3"/>
  <c r="H413" i="3"/>
  <c r="G413" i="3"/>
  <c r="F413" i="3"/>
  <c r="H409" i="3"/>
  <c r="G409" i="3"/>
  <c r="F409" i="3"/>
  <c r="H405" i="3"/>
  <c r="G405" i="3"/>
  <c r="F405" i="3"/>
  <c r="H401" i="3"/>
  <c r="G401" i="3"/>
  <c r="F401" i="3"/>
  <c r="H397" i="3"/>
  <c r="G397" i="3"/>
  <c r="F397" i="3"/>
  <c r="H393" i="3"/>
  <c r="G393" i="3"/>
  <c r="F393" i="3"/>
  <c r="H389" i="3"/>
  <c r="G389" i="3"/>
  <c r="F389" i="3"/>
  <c r="H385" i="3"/>
  <c r="G385" i="3"/>
  <c r="F385" i="3"/>
  <c r="H381" i="3"/>
  <c r="G381" i="3"/>
  <c r="F381" i="3"/>
  <c r="H377" i="3"/>
  <c r="G377" i="3"/>
  <c r="F377" i="3"/>
  <c r="H373" i="3"/>
  <c r="G373" i="3"/>
  <c r="F373" i="3"/>
  <c r="H369" i="3"/>
  <c r="G369" i="3"/>
  <c r="F369" i="3"/>
  <c r="H365" i="3"/>
  <c r="G365" i="3"/>
  <c r="F365" i="3"/>
  <c r="H361" i="3"/>
  <c r="G361" i="3"/>
  <c r="F361" i="3"/>
  <c r="H357" i="3"/>
  <c r="G357" i="3"/>
  <c r="F357" i="3"/>
  <c r="H353" i="3"/>
  <c r="G353" i="3"/>
  <c r="F353" i="3"/>
  <c r="H349" i="3"/>
  <c r="G349" i="3"/>
  <c r="F349" i="3"/>
  <c r="H345" i="3"/>
  <c r="G345" i="3"/>
  <c r="F345" i="3"/>
  <c r="H341" i="3"/>
  <c r="G341" i="3"/>
  <c r="F341" i="3"/>
  <c r="H337" i="3"/>
  <c r="G337" i="3"/>
  <c r="F337" i="3"/>
  <c r="H333" i="3"/>
  <c r="G333" i="3"/>
  <c r="F333" i="3"/>
  <c r="H329" i="3"/>
  <c r="G329" i="3"/>
  <c r="F329" i="3"/>
  <c r="H325" i="3"/>
  <c r="G325" i="3"/>
  <c r="F325" i="3"/>
  <c r="H321" i="3"/>
  <c r="G321" i="3"/>
  <c r="F321" i="3"/>
  <c r="H317" i="3"/>
  <c r="G317" i="3"/>
  <c r="F317" i="3"/>
  <c r="H313" i="3"/>
  <c r="G313" i="3"/>
  <c r="F313" i="3"/>
  <c r="H309" i="3"/>
  <c r="G309" i="3"/>
  <c r="F309" i="3"/>
  <c r="H305" i="3"/>
  <c r="G305" i="3"/>
  <c r="F305" i="3"/>
  <c r="H301" i="3"/>
  <c r="G301" i="3"/>
  <c r="F301" i="3"/>
  <c r="H297" i="3"/>
  <c r="G297" i="3"/>
  <c r="F297" i="3"/>
  <c r="H293" i="3"/>
  <c r="G293" i="3"/>
  <c r="F293" i="3"/>
  <c r="H289" i="3"/>
  <c r="G289" i="3"/>
  <c r="F289" i="3"/>
  <c r="H285" i="3"/>
  <c r="G285" i="3"/>
  <c r="F285" i="3"/>
  <c r="H281" i="3"/>
  <c r="G281" i="3"/>
  <c r="F281" i="3"/>
  <c r="H277" i="3"/>
  <c r="G277" i="3"/>
  <c r="F277" i="3"/>
  <c r="H273" i="3"/>
  <c r="G273" i="3"/>
  <c r="F273" i="3"/>
  <c r="H269" i="3"/>
  <c r="G269" i="3"/>
  <c r="F269" i="3"/>
  <c r="H265" i="3"/>
  <c r="G265" i="3"/>
  <c r="F265" i="3"/>
  <c r="H261" i="3"/>
  <c r="G261" i="3"/>
  <c r="F261" i="3"/>
  <c r="H257" i="3"/>
  <c r="G257" i="3"/>
  <c r="F257" i="3"/>
  <c r="H253" i="3"/>
  <c r="G253" i="3"/>
  <c r="F253" i="3"/>
  <c r="H249" i="3"/>
  <c r="G249" i="3"/>
  <c r="F249" i="3"/>
  <c r="H245" i="3"/>
  <c r="G245" i="3"/>
  <c r="F245" i="3"/>
  <c r="H241" i="3"/>
  <c r="G241" i="3"/>
  <c r="F241" i="3"/>
  <c r="H237" i="3"/>
  <c r="G237" i="3"/>
  <c r="F237" i="3"/>
  <c r="H233" i="3"/>
  <c r="G233" i="3"/>
  <c r="F233" i="3"/>
  <c r="H229" i="3"/>
  <c r="G229" i="3"/>
  <c r="F229" i="3"/>
  <c r="H225" i="3"/>
  <c r="G225" i="3"/>
  <c r="F225" i="3"/>
  <c r="H221" i="3"/>
  <c r="G221" i="3"/>
  <c r="F221" i="3"/>
  <c r="H217" i="3"/>
  <c r="G217" i="3"/>
  <c r="F217" i="3"/>
  <c r="H213" i="3"/>
  <c r="G213" i="3"/>
  <c r="F213" i="3"/>
  <c r="H209" i="3"/>
  <c r="G209" i="3"/>
  <c r="F209" i="3"/>
  <c r="H205" i="3"/>
  <c r="G205" i="3"/>
  <c r="F205" i="3"/>
  <c r="H201" i="3"/>
  <c r="G201" i="3"/>
  <c r="F201" i="3"/>
  <c r="H197" i="3"/>
  <c r="G197" i="3"/>
  <c r="F197" i="3"/>
  <c r="H193" i="3"/>
  <c r="G193" i="3"/>
  <c r="F193" i="3"/>
  <c r="H189" i="3"/>
  <c r="G189" i="3"/>
  <c r="F189" i="3"/>
  <c r="H185" i="3"/>
  <c r="G185" i="3"/>
  <c r="F185" i="3"/>
  <c r="H181" i="3"/>
  <c r="G181" i="3"/>
  <c r="F181" i="3"/>
  <c r="H177" i="3"/>
  <c r="G177" i="3"/>
  <c r="F177" i="3"/>
  <c r="H173" i="3"/>
  <c r="G173" i="3"/>
  <c r="F173" i="3"/>
  <c r="H169" i="3"/>
  <c r="G169" i="3"/>
  <c r="F169" i="3"/>
  <c r="H165" i="3"/>
  <c r="G165" i="3"/>
  <c r="F165" i="3"/>
  <c r="H161" i="3"/>
  <c r="G161" i="3"/>
  <c r="F161" i="3"/>
  <c r="H157" i="3"/>
  <c r="G157" i="3"/>
  <c r="F157" i="3"/>
  <c r="H153" i="3"/>
  <c r="G153" i="3"/>
  <c r="F153" i="3"/>
  <c r="H149" i="3"/>
  <c r="G149" i="3"/>
  <c r="F149" i="3"/>
  <c r="H145" i="3"/>
  <c r="G145" i="3"/>
  <c r="F145" i="3"/>
  <c r="H141" i="3"/>
  <c r="G141" i="3"/>
  <c r="F141" i="3"/>
  <c r="H137" i="3"/>
  <c r="G137" i="3"/>
  <c r="F137" i="3"/>
  <c r="H133" i="3"/>
  <c r="G133" i="3"/>
  <c r="F133" i="3"/>
  <c r="H129" i="3"/>
  <c r="G129" i="3"/>
  <c r="F129" i="3"/>
  <c r="H125" i="3"/>
  <c r="G125" i="3"/>
  <c r="F125" i="3"/>
  <c r="H121" i="3"/>
  <c r="G121" i="3"/>
  <c r="F121" i="3"/>
  <c r="H117" i="3"/>
  <c r="G117" i="3"/>
  <c r="F117" i="3"/>
  <c r="H113" i="3"/>
  <c r="G113" i="3"/>
  <c r="F113" i="3"/>
  <c r="H109" i="3"/>
  <c r="G109" i="3"/>
  <c r="F109" i="3"/>
  <c r="H105" i="3"/>
  <c r="G105" i="3"/>
  <c r="F105" i="3"/>
  <c r="H101" i="3"/>
  <c r="G101" i="3"/>
  <c r="F101" i="3"/>
  <c r="H97" i="3"/>
  <c r="G97" i="3"/>
  <c r="F97" i="3"/>
  <c r="H93" i="3"/>
  <c r="G93" i="3"/>
  <c r="F93" i="3"/>
  <c r="H89" i="3"/>
  <c r="G89" i="3"/>
  <c r="F89" i="3"/>
  <c r="H85" i="3"/>
  <c r="G85" i="3"/>
  <c r="F85" i="3"/>
  <c r="H81" i="3"/>
  <c r="G81" i="3"/>
  <c r="F81" i="3"/>
  <c r="H77" i="3"/>
  <c r="G77" i="3"/>
  <c r="F77" i="3"/>
  <c r="H73" i="3"/>
  <c r="G73" i="3"/>
  <c r="F73" i="3"/>
  <c r="H69" i="3"/>
  <c r="G69" i="3"/>
  <c r="F69" i="3"/>
  <c r="H65" i="3"/>
  <c r="G65" i="3"/>
  <c r="F65" i="3"/>
  <c r="H61" i="3"/>
  <c r="G61" i="3"/>
  <c r="F61" i="3"/>
  <c r="H57" i="3"/>
  <c r="G57" i="3"/>
  <c r="F57" i="3"/>
  <c r="H53" i="3"/>
  <c r="G53" i="3"/>
  <c r="F53" i="3"/>
  <c r="H49" i="3"/>
  <c r="G49" i="3"/>
  <c r="F49" i="3"/>
  <c r="H45" i="3"/>
  <c r="G45" i="3"/>
  <c r="F45" i="3"/>
  <c r="H41" i="3"/>
  <c r="G41" i="3"/>
  <c r="F41" i="3"/>
  <c r="H37" i="3"/>
  <c r="G37" i="3"/>
  <c r="F37" i="3"/>
  <c r="H33" i="3"/>
  <c r="G33" i="3"/>
  <c r="F33" i="3"/>
  <c r="H29" i="3"/>
  <c r="G29" i="3"/>
  <c r="F29" i="3"/>
  <c r="H25" i="3"/>
  <c r="G25" i="3"/>
  <c r="F25" i="3"/>
  <c r="H21" i="3"/>
  <c r="G21" i="3"/>
  <c r="F21" i="3"/>
  <c r="H17" i="3"/>
  <c r="G17" i="3"/>
  <c r="F17" i="3"/>
  <c r="H13" i="3"/>
  <c r="G13" i="3"/>
  <c r="F13" i="3"/>
  <c r="H9" i="3"/>
  <c r="G9" i="3"/>
  <c r="F9" i="3"/>
  <c r="H5" i="3"/>
  <c r="G5" i="3"/>
  <c r="F5" i="3"/>
  <c r="E507" i="3"/>
  <c r="E503" i="3"/>
  <c r="E499" i="3"/>
  <c r="E495" i="3"/>
  <c r="E491" i="3"/>
  <c r="E487" i="3"/>
  <c r="E483" i="3"/>
  <c r="E479" i="3"/>
  <c r="E475" i="3"/>
  <c r="E471" i="3"/>
  <c r="E467" i="3"/>
  <c r="E463" i="3"/>
  <c r="E459" i="3"/>
  <c r="E455" i="3"/>
  <c r="E451" i="3"/>
  <c r="E447" i="3"/>
  <c r="E443" i="3"/>
  <c r="E439" i="3"/>
  <c r="E435" i="3"/>
  <c r="E431" i="3"/>
  <c r="E427" i="3"/>
  <c r="E423" i="3"/>
  <c r="E419" i="3"/>
  <c r="E415" i="3"/>
  <c r="E411" i="3"/>
  <c r="E407" i="3"/>
  <c r="E403" i="3"/>
  <c r="E399" i="3"/>
  <c r="E395" i="3"/>
  <c r="E391" i="3"/>
  <c r="E387" i="3"/>
  <c r="E383" i="3"/>
  <c r="E379" i="3"/>
  <c r="E375" i="3"/>
  <c r="E371" i="3"/>
  <c r="E367" i="3"/>
  <c r="E363" i="3"/>
  <c r="E359" i="3"/>
  <c r="E355" i="3"/>
  <c r="E351" i="3"/>
  <c r="E347" i="3"/>
  <c r="E343" i="3"/>
  <c r="E339" i="3"/>
  <c r="E335" i="3"/>
  <c r="E331" i="3"/>
  <c r="E327" i="3"/>
  <c r="E323" i="3"/>
  <c r="E319" i="3"/>
  <c r="E315" i="3"/>
  <c r="E311" i="3"/>
  <c r="E307" i="3"/>
  <c r="E303" i="3"/>
  <c r="E299" i="3"/>
  <c r="E295" i="3"/>
  <c r="E291" i="3"/>
  <c r="E287" i="3"/>
  <c r="E283" i="3"/>
  <c r="E279" i="3"/>
  <c r="E275" i="3"/>
  <c r="E271" i="3"/>
  <c r="E267" i="3"/>
  <c r="E263" i="3"/>
  <c r="E259" i="3"/>
  <c r="E255" i="3"/>
  <c r="E251" i="3"/>
  <c r="E247" i="3"/>
  <c r="E243" i="3"/>
  <c r="E239" i="3"/>
  <c r="E235" i="3"/>
  <c r="E231" i="3"/>
  <c r="E227" i="3"/>
  <c r="E223" i="3"/>
  <c r="E219" i="3"/>
  <c r="E215" i="3"/>
  <c r="E211" i="3"/>
  <c r="E207" i="3"/>
  <c r="E203" i="3"/>
  <c r="E199" i="3"/>
  <c r="E195" i="3"/>
  <c r="E191" i="3"/>
  <c r="E187" i="3"/>
  <c r="E183" i="3"/>
  <c r="E179" i="3"/>
  <c r="E175" i="3"/>
  <c r="E171" i="3"/>
  <c r="E167" i="3"/>
  <c r="E163" i="3"/>
  <c r="E159" i="3"/>
  <c r="E155" i="3"/>
  <c r="E151" i="3"/>
  <c r="E147" i="3"/>
  <c r="E143" i="3"/>
  <c r="E139" i="3"/>
  <c r="E135" i="3"/>
  <c r="E131" i="3"/>
  <c r="E127" i="3"/>
  <c r="E123" i="3"/>
  <c r="E119" i="3"/>
  <c r="E115" i="3"/>
  <c r="E111" i="3"/>
  <c r="E107" i="3"/>
  <c r="E103" i="3"/>
  <c r="E99" i="3"/>
  <c r="E95" i="3"/>
  <c r="E91" i="3"/>
  <c r="E87" i="3"/>
  <c r="E83" i="3"/>
  <c r="E79" i="3"/>
  <c r="E75" i="3"/>
  <c r="E71" i="3"/>
  <c r="E65" i="3"/>
  <c r="E60" i="3"/>
  <c r="E55" i="3"/>
  <c r="E49" i="3"/>
  <c r="E44" i="3"/>
  <c r="E39" i="3"/>
  <c r="E33" i="3"/>
  <c r="E28" i="3"/>
  <c r="E23" i="3"/>
  <c r="E17" i="3"/>
  <c r="E12" i="3"/>
  <c r="E5" i="3"/>
  <c r="F495" i="3"/>
  <c r="F479" i="3"/>
  <c r="F463" i="3"/>
  <c r="F447" i="3"/>
  <c r="F431" i="3"/>
  <c r="F41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<sst xmlns="http://schemas.openxmlformats.org/spreadsheetml/2006/main" count="131" uniqueCount="119">
  <si>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</si>
  <si>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</si>
  <si>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</si>
  <si>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</si>
  <si>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</si>
  <si>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</si>
  <si>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</si>
  <si>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</si>
  <si>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</si>
  <si>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</si>
  <si>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</si>
  <si>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</si>
  <si>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</si>
  <si>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PRICE</t>
  </si>
  <si>
    <t>Boston House Prediction Dataset — Raw Data</t>
  </si>
  <si>
    <t>Crime Rate</t>
  </si>
  <si>
    <t>Residential Zone %</t>
  </si>
  <si>
    <t>Industrial Area %</t>
  </si>
  <si>
    <t>Charles River (1=Yes)</t>
  </si>
  <si>
    <t>NOX Conc.</t>
  </si>
  <si>
    <t>Avg Rooms</t>
  </si>
  <si>
    <t>Age %</t>
  </si>
  <si>
    <t>Distance to Jobs</t>
  </si>
  <si>
    <t>Highway Access</t>
  </si>
  <si>
    <t>Tax Rate</t>
  </si>
  <si>
    <t>Pupil-Teacher Ratio</t>
  </si>
  <si>
    <t>B Index</t>
  </si>
  <si>
    <t>Lower Status %</t>
  </si>
  <si>
    <t>Price ($000s)</t>
  </si>
  <si>
    <t>Task 1 : Logical &amp; Conditional Functions - House Price Analysis</t>
  </si>
  <si>
    <t>Row#</t>
  </si>
  <si>
    <t>IF: Price Category</t>
  </si>
  <si>
    <t>IFS:Detailed Tier</t>
  </si>
  <si>
    <t>AND: Affordable &amp; Spacious</t>
  </si>
  <si>
    <t>OR :Desirable Location</t>
  </si>
  <si>
    <t>NOT: High Crime?</t>
  </si>
  <si>
    <t>Nested IF: Investment Grade</t>
  </si>
  <si>
    <t>Task 1 : CHOOSE, ISERROR, ISBLANK, ISNUMBER -  House Data Validation</t>
  </si>
  <si>
    <t>Price($000s)</t>
  </si>
  <si>
    <t>RAD Index</t>
  </si>
  <si>
    <t>Price Band</t>
  </si>
  <si>
    <t>ISNUMBER: Price Valid?</t>
  </si>
  <si>
    <t>ISBLANK: Missing?</t>
  </si>
  <si>
    <t>CHOOSE:      Highway Category</t>
  </si>
  <si>
    <t>ISERROR:      Safe Division</t>
  </si>
  <si>
    <t>Task 1 Summary - All Logical &amp; Conditional Functions Applied</t>
  </si>
  <si>
    <t>FUNCTION</t>
  </si>
  <si>
    <t>FORMULA USED</t>
  </si>
  <si>
    <t>BUSINESS PURPOSE</t>
  </si>
  <si>
    <t>IF</t>
  </si>
  <si>
    <t>'=IF(price&lt;=15,"Low",IF(price&lt;=25,"Medium","High"))</t>
  </si>
  <si>
    <t>Categorises prices into 3 tiers: Low / Medium / High</t>
  </si>
  <si>
    <t>Nested IF (IFS)</t>
  </si>
  <si>
    <t>'=IF(p&lt;=10,"Very Low",IF(p&lt;=20,"Low",IF(p&lt;=30,"Medium",...)))</t>
  </si>
  <si>
    <t>5-tier classification (Very Low to Very High)</t>
  </si>
  <si>
    <t>AND</t>
  </si>
  <si>
    <t>'=IF(AND(price&lt;=22,rooms&gt;=6),"Affordable &amp; Spacious","No")</t>
  </si>
  <si>
    <t>Flags houses meeting BOTH affordability AND space criteria</t>
  </si>
  <si>
    <t>OR</t>
  </si>
  <si>
    <t>'=IF(OR(chas=1,crimerate&lt;0.1),"Desirable","No")</t>
  </si>
  <si>
    <t>Marks houses near river OR in low-crime areas</t>
  </si>
  <si>
    <t>NOT</t>
  </si>
  <si>
    <t>'=IF(NOT(crimerate&gt;=1),"Safe Area","High Crime")</t>
  </si>
  <si>
    <t>Inverts high-crime flag to identify safe areas</t>
  </si>
  <si>
    <t>Nested IF (Investment)</t>
  </si>
  <si>
    <t>'=IF(p&gt;=35,IF(crime&lt;0.5,"Grade A","Grade B"),...)</t>
  </si>
  <si>
    <t>Grades houses A-D based on price and crime combination</t>
  </si>
  <si>
    <t>CHOOSE</t>
  </si>
  <si>
    <t>'=CHOOSE(MIN(5,MAX(1,INT(rad/5)+1)),"Very Low",...,"Very High")</t>
  </si>
  <si>
    <t>Converts numeric highway index into readable category</t>
  </si>
  <si>
    <t>IF (Price Band)</t>
  </si>
  <si>
    <t>'=IF(p&lt;15,"Under 15k",IF(p&lt;25,"15-25k",...))</t>
  </si>
  <si>
    <t>Maps price to labelled band (SWITCH equivalent)</t>
  </si>
  <si>
    <t>ISNUMBER</t>
  </si>
  <si>
    <t>'=IF(ISNUMBER(price),"Valid Number","Not a Number")</t>
  </si>
  <si>
    <t>Validates that price column contains numeric data</t>
  </si>
  <si>
    <t>ISBLANK</t>
  </si>
  <si>
    <t>'=IF(ISBLANK(price),"Missing","Data Present")</t>
  </si>
  <si>
    <t>Detects empty/missing cells in the dataset</t>
  </si>
  <si>
    <t>IFERROR</t>
  </si>
  <si>
    <t>'=IFERROR(price/crimerate,"Error: Div by Zero")</t>
  </si>
  <si>
    <t>Prevents crash when dividing by zero crime rate</t>
  </si>
  <si>
    <t>Dataset: Boston House Prediction  |  506 rows × 14 columns  |  Codveda Advanced Excel Internship — Level 1, Task 1</t>
  </si>
  <si>
    <t>Task 2 : Advanced Lookup &amp; Reference Functions - House Price Analysis</t>
  </si>
  <si>
    <t>XLOOKUP: Crime by Price</t>
  </si>
  <si>
    <t>VLOOKUP:  Price by Row</t>
  </si>
  <si>
    <t>INDEX-MATCH: Crime at Max Price</t>
  </si>
  <si>
    <t>INDEX-MATCH:Rooms at Min Price</t>
  </si>
  <si>
    <t>Tak 2: INDIRECT,OFFSET &amp; HLOOKUP - Dynamic Referencing</t>
  </si>
  <si>
    <t>HLOOKUP: Column Header</t>
  </si>
  <si>
    <t>INDIRECT: Dynamic Reference</t>
  </si>
  <si>
    <t>OFFSET: Next Row Price</t>
  </si>
  <si>
    <t>OFFSET: Previous Row Price</t>
  </si>
  <si>
    <t>Task 2 Summary - Advanced Lookup &amp; Reference Functions</t>
  </si>
  <si>
    <t>VLOOKUP</t>
  </si>
  <si>
    <t>=VLOOKUP(CrimeRate,'Raw Data'!A$4:N$508,14,FALSE)</t>
  </si>
  <si>
    <t>Looks up crime rate and returns corresponding house price</t>
  </si>
  <si>
    <t>XLOOKUP</t>
  </si>
  <si>
    <t>=XLOOKUP(Price,N$4:N509,A4:A$508,"Not Found"</t>
  </si>
  <si>
    <t>Searches price column and returns crime rate -------cleaner than VLOOKUP</t>
  </si>
  <si>
    <t>INDEX-MATCH               (MAX)</t>
  </si>
  <si>
    <t>=INDEX(A$4:A508,MATCH(MAX(N4:N509),N4:N$509,0))</t>
  </si>
  <si>
    <t>Finds crime rate of the most expensive house in dataset</t>
  </si>
  <si>
    <t>INDEX-MATCH               (MIN)</t>
  </si>
  <si>
    <t>=INDEX(F$4:F509,MATCH(MIN(N4:N509),N4:N$509,0))</t>
  </si>
  <si>
    <t>Finds average rooms of the cheapest house in dataset</t>
  </si>
  <si>
    <t>HLOOKUP</t>
  </si>
  <si>
    <t>=HLOOKUP(ColNumber,'Raw Data'!A$2:N$3,2,FALSE)</t>
  </si>
  <si>
    <t>Searches across header row and returns column description</t>
  </si>
  <si>
    <t>INDIRECT</t>
  </si>
  <si>
    <t>=INDIRECT("'Raw Data'!N"&amp;(A3+3)</t>
  </si>
  <si>
    <t>Builds cell adress dynamically as text and fetches its value.</t>
  </si>
  <si>
    <t>=IF(A3=506,"End of Data",OFFSET($N$4,A3,0))</t>
  </si>
  <si>
    <t>Returns price of next house ---- shows End of Data at last row.</t>
  </si>
  <si>
    <t>OFFSET                        (Next)</t>
  </si>
  <si>
    <t>OFFSET                        (Previous)</t>
  </si>
  <si>
    <t>=IF(A3=1,"Start of Data",OFFSET($N$4,A3-2,0))</t>
  </si>
  <si>
    <t>Returns price of previous house ----- shows start of Data at first row</t>
  </si>
  <si>
    <t>Dataset: Boston House Prediction  |  506 rows × 14 columns  |  Codveda Advanced Excel Internship — Level 1, Task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</si>
</sst>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3" tint="0.499984740745262"/>
      <name val="Arial"/>
      <family val="2"/>
    </font>
    <font>
      <b/>
      <sz val="11"/>
      <color theme="0"/>
      <name val="Arial Black"/>
      <family val="2"/>
    </font>
    <font>
      <b/>
      <sz val="11"/>
      <color theme="0"/>
      <name val="Arial"/>
      <family val="2"/>
    </font>
    <font>
      <b/>
      <sz val="14"/>
      <color rgb="FF1F4E79"/>
      <name val="Arial"/>
      <family val="2"/>
    </font>
    <font>
      <sz val="14"/>
      <color theme="1"/>
      <name val="Arial"/>
      <family val="2"/>
    </font>
    <font>
      <b/>
      <sz val="14"/>
      <color rgb="FF1F4E79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sz val="14"/>
      <color rgb="FF1F4E79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EBF3FB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9" fillId="0" borderId="0" xfId="0" applyFont="1" applyAlignment="1">
      <alignment horizontal="center"/>
    </xf>
    <xf numFmtId="0" fontId="20" fillId="0" borderId="0" xfId="0" applyFont="1"/>
    <xf numFmtId="0" fontId="19" fillId="34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0" fillId="37" borderId="12" xfId="0" applyFont="1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0" xfId="0" applyAlignment="1">
      <alignment horizontal="center"/>
    </xf>
    <xf numFmtId="43" fontId="0" fillId="0" borderId="10" xfId="0" applyNumberFormat="1" applyBorder="1"/>
    <xf numFmtId="0" fontId="20" fillId="37" borderId="0" xfId="0" applyFont="1" applyFill="1" applyAlignment="1">
      <alignment horizontal="center"/>
    </xf>
    <xf numFmtId="0" fontId="24" fillId="39" borderId="10" xfId="0" applyFont="1" applyFill="1" applyBorder="1" applyAlignment="1">
      <alignment horizontal="left" vertical="center" wrapText="1"/>
    </xf>
    <xf numFmtId="0" fontId="25" fillId="39" borderId="10" xfId="0" applyFont="1" applyFill="1" applyBorder="1" applyAlignment="1">
      <alignment horizontal="left" vertical="center" wrapText="1"/>
    </xf>
    <xf numFmtId="0" fontId="24" fillId="40" borderId="10" xfId="0" applyFont="1" applyFill="1" applyBorder="1" applyAlignment="1">
      <alignment horizontal="left" vertical="center" wrapText="1"/>
    </xf>
    <xf numFmtId="0" fontId="25" fillId="40" borderId="10" xfId="0" applyFont="1" applyFill="1" applyBorder="1" applyAlignment="1">
      <alignment horizontal="left" vertical="center" wrapText="1"/>
    </xf>
    <xf numFmtId="0" fontId="20" fillId="37" borderId="11" xfId="0" applyFont="1" applyFill="1" applyBorder="1" applyAlignment="1">
      <alignment horizontal="center"/>
    </xf>
    <xf numFmtId="0" fontId="20" fillId="37" borderId="12" xfId="0" applyFont="1" applyFill="1" applyBorder="1" applyAlignment="1">
      <alignment horizontal="center"/>
    </xf>
    <xf numFmtId="0" fontId="0" fillId="0" borderId="10" xfId="0" applyBorder="1"/>
    <xf numFmtId="0" fontId="21" fillId="0" borderId="11" xfId="0" applyFon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21" fillId="36" borderId="0" xfId="0" applyFont="1" applyFill="1" applyAlignment="1">
      <alignment horizontal="center"/>
    </xf>
    <xf numFmtId="0" fontId="22" fillId="38" borderId="0" xfId="0" applyFont="1" applyFill="1" applyAlignment="1">
      <alignment horizontal="center"/>
    </xf>
    <xf numFmtId="0" fontId="23" fillId="36" borderId="0" xfId="0" applyFont="1" applyFill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36" borderId="0" xfId="0" applyFont="1" applyFill="1" applyAlignment="1">
      <alignment horizontal="center"/>
    </xf>
    <xf numFmtId="0" fontId="20" fillId="37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quotePrefix="1"/>
    <xf numFmtId="0" fontId="0" fillId="0" borderId="10" xfId="0" quotePrefix="1" applyBorder="1" applyAlignment="1">
      <alignment horizontal="center"/>
    </xf>
    <xf numFmtId="0" fontId="25" fillId="39" borderId="10" xfId="0" quotePrefix="1" applyFont="1" applyFill="1" applyBorder="1" applyAlignment="1">
      <alignment horizontal="left" vertical="center" wrapText="1"/>
    </xf>
    <xf numFmtId="0" fontId="25" fillId="40" borderId="10" xfId="0" quotePrefix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border>
        <left style="thin">
          <color rgb="FFD6E4F0"/>
        </left>
        <right style="thin">
          <color rgb="FFD6E4F0"/>
        </right>
        <top style="thin">
          <color rgb="FFD6E4F0"/>
        </top>
        <bottom style="thin">
          <color rgb="FFD6E4F0"/>
        </bottom>
        <vertical/>
        <horizontal/>
      </border>
    </dxf>
    <dxf>
      <fill>
        <patternFill>
          <bgColor rgb="FFD6E4F0"/>
        </patternFill>
      </fill>
      <border>
        <vertical/>
        <horizontal/>
      </border>
    </dxf>
    <dxf>
      <fill>
        <patternFill>
          <bgColor rgb="FFD6E4F0"/>
        </patternFill>
      </fill>
    </dxf>
    <dxf>
      <fill>
        <patternFill>
          <bgColor rgb="FFD6E4F0"/>
        </patternFill>
      </fill>
    </dxf>
    <dxf>
      <fill>
        <patternFill>
          <bgColor rgb="FFD6E4F0"/>
        </patternFill>
      </fill>
    </dxf>
    <dxf>
      <fill>
        <patternFill>
          <bgColor rgb="FFD6E4F0"/>
        </patternFill>
      </fill>
    </dxf>
    <dxf>
      <border>
        <left style="thin">
          <color rgb="FFD6E4F0"/>
        </left>
        <right style="thin">
          <color rgb="FFD6E4F0"/>
        </right>
        <top style="thin">
          <color rgb="FFD6E4F0"/>
        </top>
        <bottom style="thin">
          <color rgb="FFD6E4F0"/>
        </bottom>
        <vertical/>
        <horizontal/>
      </border>
    </dxf>
  </dxfs>
  <tableStyles count="0" defaultTableStyle="TableStyleMedium2" defaultPivotStyle="PivotStyleLight16"/>
  <colors>
    <mruColors>
      <color rgb="FFBFBFBF"/>
      <color rgb="FFD6E4F0"/>
      <color rgb="FF1F4E79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9E1B9-6681-463A-9CDE-570D690D3C7E}">
  <dimension ref="A1:N509"/>
  <sheetViews>
    <sheetView workbookViewId="0">
      <pane ySplit="3" topLeftCell="A4" activePane="bottomLeft" state="frozen"/>
      <selection activeCell="C1" sqref="C1"/>
      <selection pane="bottomLeft" activeCell="B4" sqref="B4"/>
    </sheetView>
  </sheetViews>
  <sheetFormatPr defaultRowHeight="15" x14ac:dyDescent="0.25"/>
  <cols>
    <col min="1" max="1" width="12.28515625" bestFit="1" customWidth="1"/>
    <col min="2" max="2" width="20.7109375" bestFit="1" customWidth="1"/>
    <col min="3" max="3" width="18.28515625" bestFit="1" customWidth="1"/>
    <col min="4" max="4" width="23.7109375" bestFit="1" customWidth="1"/>
    <col min="5" max="5" width="12.140625" bestFit="1" customWidth="1"/>
    <col min="6" max="6" width="12.42578125" bestFit="1" customWidth="1"/>
    <col min="7" max="7" width="7.28515625" bestFit="1" customWidth="1"/>
    <col min="8" max="8" width="18.140625" bestFit="1" customWidth="1"/>
    <col min="9" max="9" width="17.42578125" bestFit="1" customWidth="1"/>
    <col min="10" max="10" width="10" bestFit="1" customWidth="1"/>
    <col min="11" max="11" width="21.5703125" bestFit="1" customWidth="1"/>
    <col min="12" max="12" width="8.7109375" bestFit="1" customWidth="1"/>
    <col min="13" max="13" width="16.85546875" bestFit="1" customWidth="1"/>
    <col min="14" max="14" width="14.140625" bestFit="1" customWidth="1"/>
  </cols>
  <sheetData>
    <row r="1" spans="1:14" ht="18" x14ac:dyDescent="0.25">
      <c r="A1" s="20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s="1" customFormat="1" ht="18.75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</row>
    <row r="3" spans="1:14" s="2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</row>
    <row r="4" spans="1:14" x14ac:dyDescent="0.25">
      <c r="A4" s="5">
        <v>6.3200000000000001E-3</v>
      </c>
      <c r="B4" s="5">
        <v>18</v>
      </c>
      <c r="C4" s="5">
        <v>2.31</v>
      </c>
      <c r="D4" s="5">
        <v>0</v>
      </c>
      <c r="E4" s="5">
        <v>0.53800000000000003</v>
      </c>
      <c r="F4" s="5">
        <v>6.5750000000000002</v>
      </c>
      <c r="G4" s="5">
        <v>65.2</v>
      </c>
      <c r="H4" s="5">
        <v>4.09</v>
      </c>
      <c r="I4" s="5">
        <v>1</v>
      </c>
      <c r="J4" s="5">
        <v>296</v>
      </c>
      <c r="K4" s="5">
        <v>15.3</v>
      </c>
      <c r="L4" s="5">
        <v>396.9</v>
      </c>
      <c r="M4" s="5">
        <v>4.9800000000000004</v>
      </c>
      <c r="N4" s="5">
        <v>24</v>
      </c>
    </row>
    <row r="5" spans="1:14" x14ac:dyDescent="0.25">
      <c r="A5" s="5">
        <v>2.7310000000000001E-2</v>
      </c>
      <c r="B5" s="5">
        <v>0</v>
      </c>
      <c r="C5" s="5">
        <v>7.07</v>
      </c>
      <c r="D5" s="5">
        <v>0</v>
      </c>
      <c r="E5" s="5">
        <v>0.46899999999999997</v>
      </c>
      <c r="F5" s="5">
        <v>6.4210000000000003</v>
      </c>
      <c r="G5" s="5">
        <v>78.900000000000006</v>
      </c>
      <c r="H5" s="5">
        <v>4.9671000000000003</v>
      </c>
      <c r="I5" s="5">
        <v>2</v>
      </c>
      <c r="J5" s="5">
        <v>242</v>
      </c>
      <c r="K5" s="5">
        <v>17.8</v>
      </c>
      <c r="L5" s="5">
        <v>396.9</v>
      </c>
      <c r="M5" s="5">
        <v>9.14</v>
      </c>
      <c r="N5" s="5">
        <v>21.6</v>
      </c>
    </row>
    <row r="6" spans="1:14" x14ac:dyDescent="0.25">
      <c r="A6" s="5">
        <v>2.7289999999999998E-2</v>
      </c>
      <c r="B6" s="5">
        <v>0</v>
      </c>
      <c r="C6" s="5">
        <v>7.07</v>
      </c>
      <c r="D6" s="5">
        <v>0</v>
      </c>
      <c r="E6" s="5">
        <v>0.46899999999999997</v>
      </c>
      <c r="F6" s="5">
        <v>7.1849999999999996</v>
      </c>
      <c r="G6" s="5">
        <v>61.1</v>
      </c>
      <c r="H6" s="5">
        <v>4.9671000000000003</v>
      </c>
      <c r="I6" s="5">
        <v>2</v>
      </c>
      <c r="J6" s="5">
        <v>242</v>
      </c>
      <c r="K6" s="5">
        <v>17.8</v>
      </c>
      <c r="L6" s="5">
        <v>392.83</v>
      </c>
      <c r="M6" s="5">
        <v>4.03</v>
      </c>
      <c r="N6" s="5">
        <v>34.700000000000003</v>
      </c>
    </row>
    <row r="7" spans="1:14" x14ac:dyDescent="0.25">
      <c r="A7" s="5">
        <v>3.2370000000000003E-2</v>
      </c>
      <c r="B7" s="5">
        <v>0</v>
      </c>
      <c r="C7" s="5">
        <v>2.1800000000000002</v>
      </c>
      <c r="D7" s="5">
        <v>0</v>
      </c>
      <c r="E7" s="5">
        <v>0.45800000000000002</v>
      </c>
      <c r="F7" s="5">
        <v>6.9980000000000002</v>
      </c>
      <c r="G7" s="5">
        <v>45.8</v>
      </c>
      <c r="H7" s="5">
        <v>6.0621999999999998</v>
      </c>
      <c r="I7" s="5">
        <v>3</v>
      </c>
      <c r="J7" s="5">
        <v>222</v>
      </c>
      <c r="K7" s="5">
        <v>18.7</v>
      </c>
      <c r="L7" s="5">
        <v>394.63</v>
      </c>
      <c r="M7" s="5">
        <v>2.94</v>
      </c>
      <c r="N7" s="5">
        <v>33.4</v>
      </c>
    </row>
    <row r="8" spans="1:14" x14ac:dyDescent="0.25">
      <c r="A8" s="5">
        <v>6.905E-2</v>
      </c>
      <c r="B8" s="5">
        <v>0</v>
      </c>
      <c r="C8" s="5">
        <v>2.1800000000000002</v>
      </c>
      <c r="D8" s="5">
        <v>0</v>
      </c>
      <c r="E8" s="5">
        <v>0.45800000000000002</v>
      </c>
      <c r="F8" s="5">
        <v>7.1470000000000002</v>
      </c>
      <c r="G8" s="5">
        <v>54.2</v>
      </c>
      <c r="H8" s="5">
        <v>6.0621999999999998</v>
      </c>
      <c r="I8" s="5">
        <v>3</v>
      </c>
      <c r="J8" s="5">
        <v>222</v>
      </c>
      <c r="K8" s="5">
        <v>18.7</v>
      </c>
      <c r="L8" s="5">
        <v>396.9</v>
      </c>
      <c r="M8" s="5">
        <v>5.33</v>
      </c>
      <c r="N8" s="5">
        <v>36.200000000000003</v>
      </c>
    </row>
    <row r="9" spans="1:14" x14ac:dyDescent="0.25">
      <c r="A9" s="5">
        <v>2.9850000000000002E-2</v>
      </c>
      <c r="B9" s="5">
        <v>0</v>
      </c>
      <c r="C9" s="5">
        <v>2.1800000000000002</v>
      </c>
      <c r="D9" s="5">
        <v>0</v>
      </c>
      <c r="E9" s="5">
        <v>0.45800000000000002</v>
      </c>
      <c r="F9" s="5">
        <v>6.43</v>
      </c>
      <c r="G9" s="5">
        <v>58.7</v>
      </c>
      <c r="H9" s="5">
        <v>6.0621999999999998</v>
      </c>
      <c r="I9" s="5">
        <v>3</v>
      </c>
      <c r="J9" s="5">
        <v>222</v>
      </c>
      <c r="K9" s="5">
        <v>18.7</v>
      </c>
      <c r="L9" s="5">
        <v>394.12</v>
      </c>
      <c r="M9" s="5">
        <v>5.21</v>
      </c>
      <c r="N9" s="5">
        <v>28.7</v>
      </c>
    </row>
    <row r="10" spans="1:14" x14ac:dyDescent="0.25">
      <c r="A10" s="5">
        <v>8.8289999999999993E-2</v>
      </c>
      <c r="B10" s="5">
        <v>12.5</v>
      </c>
      <c r="C10" s="5">
        <v>7.87</v>
      </c>
      <c r="D10" s="5">
        <v>0</v>
      </c>
      <c r="E10" s="5">
        <v>0.52400000000000002</v>
      </c>
      <c r="F10" s="5">
        <v>6.0119999999999996</v>
      </c>
      <c r="G10" s="5">
        <v>66.599999999999994</v>
      </c>
      <c r="H10" s="5">
        <v>5.5605000000000002</v>
      </c>
      <c r="I10" s="5">
        <v>5</v>
      </c>
      <c r="J10" s="5">
        <v>311</v>
      </c>
      <c r="K10" s="5">
        <v>15.2</v>
      </c>
      <c r="L10" s="5">
        <v>395.6</v>
      </c>
      <c r="M10" s="5">
        <v>12.43</v>
      </c>
      <c r="N10" s="5">
        <v>22.9</v>
      </c>
    </row>
    <row r="11" spans="1:14" x14ac:dyDescent="0.25">
      <c r="A11" s="5">
        <v>0.14455000000000001</v>
      </c>
      <c r="B11" s="5">
        <v>12.5</v>
      </c>
      <c r="C11" s="5">
        <v>7.87</v>
      </c>
      <c r="D11" s="5">
        <v>0</v>
      </c>
      <c r="E11" s="5">
        <v>0.52400000000000002</v>
      </c>
      <c r="F11" s="5">
        <v>6.1719999999999997</v>
      </c>
      <c r="G11" s="5">
        <v>96.1</v>
      </c>
      <c r="H11" s="5">
        <v>5.9504999999999999</v>
      </c>
      <c r="I11" s="5">
        <v>5</v>
      </c>
      <c r="J11" s="5">
        <v>311</v>
      </c>
      <c r="K11" s="5">
        <v>15.2</v>
      </c>
      <c r="L11" s="5">
        <v>396.9</v>
      </c>
      <c r="M11" s="5">
        <v>19.149999999999999</v>
      </c>
      <c r="N11" s="5">
        <v>27.1</v>
      </c>
    </row>
    <row r="12" spans="1:14" x14ac:dyDescent="0.25">
      <c r="A12" s="5">
        <v>0.21124000000000001</v>
      </c>
      <c r="B12" s="5">
        <v>12.5</v>
      </c>
      <c r="C12" s="5">
        <v>7.87</v>
      </c>
      <c r="D12" s="5">
        <v>0</v>
      </c>
      <c r="E12" s="5">
        <v>0.52400000000000002</v>
      </c>
      <c r="F12" s="5">
        <v>5.6310000000000002</v>
      </c>
      <c r="G12" s="5">
        <v>100</v>
      </c>
      <c r="H12" s="5">
        <v>6.0820999999999996</v>
      </c>
      <c r="I12" s="5">
        <v>5</v>
      </c>
      <c r="J12" s="5">
        <v>311</v>
      </c>
      <c r="K12" s="5">
        <v>15.2</v>
      </c>
      <c r="L12" s="5">
        <v>386.63</v>
      </c>
      <c r="M12" s="5">
        <v>29.93</v>
      </c>
      <c r="N12" s="5">
        <v>16.5</v>
      </c>
    </row>
    <row r="13" spans="1:14" x14ac:dyDescent="0.25">
      <c r="A13" s="5">
        <v>0.17004</v>
      </c>
      <c r="B13" s="5">
        <v>12.5</v>
      </c>
      <c r="C13" s="5">
        <v>7.87</v>
      </c>
      <c r="D13" s="5">
        <v>0</v>
      </c>
      <c r="E13" s="5">
        <v>0.52400000000000002</v>
      </c>
      <c r="F13" s="5">
        <v>6.0039999999999996</v>
      </c>
      <c r="G13" s="5">
        <v>85.9</v>
      </c>
      <c r="H13" s="5">
        <v>6.5921000000000003</v>
      </c>
      <c r="I13" s="5">
        <v>5</v>
      </c>
      <c r="J13" s="5">
        <v>311</v>
      </c>
      <c r="K13" s="5">
        <v>15.2</v>
      </c>
      <c r="L13" s="5">
        <v>386.71</v>
      </c>
      <c r="M13" s="5">
        <v>17.100000000000001</v>
      </c>
      <c r="N13" s="5">
        <v>18.899999999999999</v>
      </c>
    </row>
    <row r="14" spans="1:14" x14ac:dyDescent="0.25">
      <c r="A14" s="5">
        <v>0.22489000000000001</v>
      </c>
      <c r="B14" s="5">
        <v>12.5</v>
      </c>
      <c r="C14" s="5">
        <v>7.87</v>
      </c>
      <c r="D14" s="5">
        <v>0</v>
      </c>
      <c r="E14" s="5">
        <v>0.52400000000000002</v>
      </c>
      <c r="F14" s="5">
        <v>6.3769999999999998</v>
      </c>
      <c r="G14" s="5">
        <v>94.3</v>
      </c>
      <c r="H14" s="5">
        <v>6.3467000000000002</v>
      </c>
      <c r="I14" s="5">
        <v>5</v>
      </c>
      <c r="J14" s="5">
        <v>311</v>
      </c>
      <c r="K14" s="5">
        <v>15.2</v>
      </c>
      <c r="L14" s="5">
        <v>392.52</v>
      </c>
      <c r="M14" s="5">
        <v>20.45</v>
      </c>
      <c r="N14" s="5">
        <v>15</v>
      </c>
    </row>
    <row r="15" spans="1:14" x14ac:dyDescent="0.25">
      <c r="A15" s="5">
        <v>0.11747</v>
      </c>
      <c r="B15" s="5">
        <v>12.5</v>
      </c>
      <c r="C15" s="5">
        <v>7.87</v>
      </c>
      <c r="D15" s="5">
        <v>0</v>
      </c>
      <c r="E15" s="5">
        <v>0.52400000000000002</v>
      </c>
      <c r="F15" s="5">
        <v>6.0090000000000003</v>
      </c>
      <c r="G15" s="5">
        <v>82.9</v>
      </c>
      <c r="H15" s="5">
        <v>6.2267000000000001</v>
      </c>
      <c r="I15" s="5">
        <v>5</v>
      </c>
      <c r="J15" s="5">
        <v>311</v>
      </c>
      <c r="K15" s="5">
        <v>15.2</v>
      </c>
      <c r="L15" s="5">
        <v>396.9</v>
      </c>
      <c r="M15" s="5">
        <v>13.27</v>
      </c>
      <c r="N15" s="5">
        <v>18.899999999999999</v>
      </c>
    </row>
    <row r="16" spans="1:14" x14ac:dyDescent="0.25">
      <c r="A16" s="5">
        <v>9.3780000000000002E-2</v>
      </c>
      <c r="B16" s="5">
        <v>12.5</v>
      </c>
      <c r="C16" s="5">
        <v>7.87</v>
      </c>
      <c r="D16" s="5">
        <v>0</v>
      </c>
      <c r="E16" s="5">
        <v>0.52400000000000002</v>
      </c>
      <c r="F16" s="5">
        <v>5.8890000000000002</v>
      </c>
      <c r="G16" s="5">
        <v>39</v>
      </c>
      <c r="H16" s="5">
        <v>5.4508999999999999</v>
      </c>
      <c r="I16" s="5">
        <v>5</v>
      </c>
      <c r="J16" s="5">
        <v>311</v>
      </c>
      <c r="K16" s="5">
        <v>15.2</v>
      </c>
      <c r="L16" s="5">
        <v>390.5</v>
      </c>
      <c r="M16" s="5">
        <v>15.71</v>
      </c>
      <c r="N16" s="5">
        <v>21.7</v>
      </c>
    </row>
    <row r="17" spans="1:14" x14ac:dyDescent="0.25">
      <c r="A17" s="5">
        <v>0.62975999999999999</v>
      </c>
      <c r="B17" s="5">
        <v>0</v>
      </c>
      <c r="C17" s="5">
        <v>8.14</v>
      </c>
      <c r="D17" s="5">
        <v>0</v>
      </c>
      <c r="E17" s="5">
        <v>0.53800000000000003</v>
      </c>
      <c r="F17" s="5">
        <v>5.9489999999999998</v>
      </c>
      <c r="G17" s="5">
        <v>61.8</v>
      </c>
      <c r="H17" s="5">
        <v>4.7074999999999996</v>
      </c>
      <c r="I17" s="5">
        <v>4</v>
      </c>
      <c r="J17" s="5">
        <v>307</v>
      </c>
      <c r="K17" s="5">
        <v>21</v>
      </c>
      <c r="L17" s="5">
        <v>396.9</v>
      </c>
      <c r="M17" s="5">
        <v>8.26</v>
      </c>
      <c r="N17" s="5">
        <v>20.399999999999999</v>
      </c>
    </row>
    <row r="18" spans="1:14" x14ac:dyDescent="0.25">
      <c r="A18" s="5">
        <v>0.63795999999999997</v>
      </c>
      <c r="B18" s="5">
        <v>0</v>
      </c>
      <c r="C18" s="5">
        <v>8.14</v>
      </c>
      <c r="D18" s="5">
        <v>0</v>
      </c>
      <c r="E18" s="5">
        <v>0.53800000000000003</v>
      </c>
      <c r="F18" s="5">
        <v>6.0960000000000001</v>
      </c>
      <c r="G18" s="5">
        <v>84.5</v>
      </c>
      <c r="H18" s="5">
        <v>4.4619</v>
      </c>
      <c r="I18" s="5">
        <v>4</v>
      </c>
      <c r="J18" s="5">
        <v>307</v>
      </c>
      <c r="K18" s="5">
        <v>21</v>
      </c>
      <c r="L18" s="5">
        <v>380.02</v>
      </c>
      <c r="M18" s="5">
        <v>10.26</v>
      </c>
      <c r="N18" s="5">
        <v>18.2</v>
      </c>
    </row>
    <row r="19" spans="1:14" x14ac:dyDescent="0.25">
      <c r="A19" s="5">
        <v>0.62739</v>
      </c>
      <c r="B19" s="5">
        <v>0</v>
      </c>
      <c r="C19" s="5">
        <v>8.14</v>
      </c>
      <c r="D19" s="5">
        <v>0</v>
      </c>
      <c r="E19" s="5">
        <v>0.53800000000000003</v>
      </c>
      <c r="F19" s="5">
        <v>5.8339999999999996</v>
      </c>
      <c r="G19" s="5">
        <v>56.5</v>
      </c>
      <c r="H19" s="5">
        <v>4.4985999999999997</v>
      </c>
      <c r="I19" s="5">
        <v>4</v>
      </c>
      <c r="J19" s="5">
        <v>307</v>
      </c>
      <c r="K19" s="5">
        <v>21</v>
      </c>
      <c r="L19" s="5">
        <v>395.62</v>
      </c>
      <c r="M19" s="5">
        <v>8.4700000000000006</v>
      </c>
      <c r="N19" s="5">
        <v>19.899999999999999</v>
      </c>
    </row>
    <row r="20" spans="1:14" x14ac:dyDescent="0.25">
      <c r="A20" s="5">
        <v>1.05393</v>
      </c>
      <c r="B20" s="5">
        <v>0</v>
      </c>
      <c r="C20" s="5">
        <v>8.14</v>
      </c>
      <c r="D20" s="5">
        <v>0</v>
      </c>
      <c r="E20" s="5">
        <v>0.53800000000000003</v>
      </c>
      <c r="F20" s="5">
        <v>5.9349999999999996</v>
      </c>
      <c r="G20" s="5">
        <v>29.3</v>
      </c>
      <c r="H20" s="5">
        <v>4.4985999999999997</v>
      </c>
      <c r="I20" s="5">
        <v>4</v>
      </c>
      <c r="J20" s="5">
        <v>307</v>
      </c>
      <c r="K20" s="5">
        <v>21</v>
      </c>
      <c r="L20" s="5">
        <v>386.85</v>
      </c>
      <c r="M20" s="5">
        <v>6.58</v>
      </c>
      <c r="N20" s="5">
        <v>23.1</v>
      </c>
    </row>
    <row r="21" spans="1:14" x14ac:dyDescent="0.25">
      <c r="A21" s="5">
        <v>0.78420000000000001</v>
      </c>
      <c r="B21" s="5">
        <v>0</v>
      </c>
      <c r="C21" s="5">
        <v>8.14</v>
      </c>
      <c r="D21" s="5">
        <v>0</v>
      </c>
      <c r="E21" s="5">
        <v>0.53800000000000003</v>
      </c>
      <c r="F21" s="5">
        <v>5.99</v>
      </c>
      <c r="G21" s="5">
        <v>81.7</v>
      </c>
      <c r="H21" s="5">
        <v>4.2579000000000002</v>
      </c>
      <c r="I21" s="5">
        <v>4</v>
      </c>
      <c r="J21" s="5">
        <v>307</v>
      </c>
      <c r="K21" s="5">
        <v>21</v>
      </c>
      <c r="L21" s="5">
        <v>386.75</v>
      </c>
      <c r="M21" s="5">
        <v>14.67</v>
      </c>
      <c r="N21" s="5">
        <v>17.5</v>
      </c>
    </row>
    <row r="22" spans="1:14" x14ac:dyDescent="0.25">
      <c r="A22" s="5">
        <v>0.80271000000000003</v>
      </c>
      <c r="B22" s="5">
        <v>0</v>
      </c>
      <c r="C22" s="5">
        <v>8.14</v>
      </c>
      <c r="D22" s="5">
        <v>0</v>
      </c>
      <c r="E22" s="5">
        <v>0.53800000000000003</v>
      </c>
      <c r="F22" s="5">
        <v>5.4560000000000004</v>
      </c>
      <c r="G22" s="5">
        <v>36.6</v>
      </c>
      <c r="H22" s="5">
        <v>3.7965</v>
      </c>
      <c r="I22" s="5">
        <v>4</v>
      </c>
      <c r="J22" s="5">
        <v>307</v>
      </c>
      <c r="K22" s="5">
        <v>21</v>
      </c>
      <c r="L22" s="5">
        <v>288.99</v>
      </c>
      <c r="M22" s="5">
        <v>11.69</v>
      </c>
      <c r="N22" s="5">
        <v>20.2</v>
      </c>
    </row>
    <row r="23" spans="1:14" x14ac:dyDescent="0.25">
      <c r="A23" s="5">
        <v>0.7258</v>
      </c>
      <c r="B23" s="5">
        <v>0</v>
      </c>
      <c r="C23" s="5">
        <v>8.14</v>
      </c>
      <c r="D23" s="5">
        <v>0</v>
      </c>
      <c r="E23" s="5">
        <v>0.53800000000000003</v>
      </c>
      <c r="F23" s="5">
        <v>5.7270000000000003</v>
      </c>
      <c r="G23" s="5">
        <v>69.5</v>
      </c>
      <c r="H23" s="5">
        <v>3.7965</v>
      </c>
      <c r="I23" s="5">
        <v>4</v>
      </c>
      <c r="J23" s="5">
        <v>307</v>
      </c>
      <c r="K23" s="5">
        <v>21</v>
      </c>
      <c r="L23" s="5">
        <v>390.95</v>
      </c>
      <c r="M23" s="5">
        <v>11.28</v>
      </c>
      <c r="N23" s="5">
        <v>18.2</v>
      </c>
    </row>
    <row r="24" spans="1:14" x14ac:dyDescent="0.25">
      <c r="A24" s="5">
        <v>1.25179</v>
      </c>
      <c r="B24" s="5">
        <v>0</v>
      </c>
      <c r="C24" s="5">
        <v>8.14</v>
      </c>
      <c r="D24" s="5">
        <v>0</v>
      </c>
      <c r="E24" s="5">
        <v>0.53800000000000003</v>
      </c>
      <c r="F24" s="5">
        <v>5.57</v>
      </c>
      <c r="G24" s="5">
        <v>98.1</v>
      </c>
      <c r="H24" s="5">
        <v>3.7978999999999998</v>
      </c>
      <c r="I24" s="5">
        <v>4</v>
      </c>
      <c r="J24" s="5">
        <v>307</v>
      </c>
      <c r="K24" s="5">
        <v>21</v>
      </c>
      <c r="L24" s="5">
        <v>376.57</v>
      </c>
      <c r="M24" s="5">
        <v>21.02</v>
      </c>
      <c r="N24" s="5">
        <v>13.6</v>
      </c>
    </row>
    <row r="25" spans="1:14" x14ac:dyDescent="0.25">
      <c r="A25" s="5">
        <v>0.85204000000000002</v>
      </c>
      <c r="B25" s="5">
        <v>0</v>
      </c>
      <c r="C25" s="5">
        <v>8.14</v>
      </c>
      <c r="D25" s="5">
        <v>0</v>
      </c>
      <c r="E25" s="5">
        <v>0.53800000000000003</v>
      </c>
      <c r="F25" s="5">
        <v>5.9649999999999999</v>
      </c>
      <c r="G25" s="5">
        <v>89.2</v>
      </c>
      <c r="H25" s="5">
        <v>4.0122999999999998</v>
      </c>
      <c r="I25" s="5">
        <v>4</v>
      </c>
      <c r="J25" s="5">
        <v>307</v>
      </c>
      <c r="K25" s="5">
        <v>21</v>
      </c>
      <c r="L25" s="5">
        <v>392.53</v>
      </c>
      <c r="M25" s="5">
        <v>13.83</v>
      </c>
      <c r="N25" s="5">
        <v>19.600000000000001</v>
      </c>
    </row>
    <row r="26" spans="1:14" x14ac:dyDescent="0.25">
      <c r="A26" s="5">
        <v>1.23247</v>
      </c>
      <c r="B26" s="5">
        <v>0</v>
      </c>
      <c r="C26" s="5">
        <v>8.14</v>
      </c>
      <c r="D26" s="5">
        <v>0</v>
      </c>
      <c r="E26" s="5">
        <v>0.53800000000000003</v>
      </c>
      <c r="F26" s="5">
        <v>6.1420000000000003</v>
      </c>
      <c r="G26" s="5">
        <v>91.7</v>
      </c>
      <c r="H26" s="5">
        <v>3.9769000000000001</v>
      </c>
      <c r="I26" s="5">
        <v>4</v>
      </c>
      <c r="J26" s="5">
        <v>307</v>
      </c>
      <c r="K26" s="5">
        <v>21</v>
      </c>
      <c r="L26" s="5">
        <v>396.9</v>
      </c>
      <c r="M26" s="5">
        <v>18.72</v>
      </c>
      <c r="N26" s="5">
        <v>15.2</v>
      </c>
    </row>
    <row r="27" spans="1:14" x14ac:dyDescent="0.25">
      <c r="A27" s="5">
        <v>0.98843000000000003</v>
      </c>
      <c r="B27" s="5">
        <v>0</v>
      </c>
      <c r="C27" s="5">
        <v>8.14</v>
      </c>
      <c r="D27" s="5">
        <v>0</v>
      </c>
      <c r="E27" s="5">
        <v>0.53800000000000003</v>
      </c>
      <c r="F27" s="5">
        <v>5.8129999999999997</v>
      </c>
      <c r="G27" s="5">
        <v>100</v>
      </c>
      <c r="H27" s="5">
        <v>4.0952000000000002</v>
      </c>
      <c r="I27" s="5">
        <v>4</v>
      </c>
      <c r="J27" s="5">
        <v>307</v>
      </c>
      <c r="K27" s="5">
        <v>21</v>
      </c>
      <c r="L27" s="5">
        <v>394.54</v>
      </c>
      <c r="M27" s="5">
        <v>19.88</v>
      </c>
      <c r="N27" s="5">
        <v>14.5</v>
      </c>
    </row>
    <row r="28" spans="1:14" x14ac:dyDescent="0.25">
      <c r="A28" s="5">
        <v>0.75026000000000004</v>
      </c>
      <c r="B28" s="5">
        <v>0</v>
      </c>
      <c r="C28" s="5">
        <v>8.14</v>
      </c>
      <c r="D28" s="5">
        <v>0</v>
      </c>
      <c r="E28" s="5">
        <v>0.53800000000000003</v>
      </c>
      <c r="F28" s="5">
        <v>5.9240000000000004</v>
      </c>
      <c r="G28" s="5">
        <v>94.1</v>
      </c>
      <c r="H28" s="5">
        <v>4.3996000000000004</v>
      </c>
      <c r="I28" s="5">
        <v>4</v>
      </c>
      <c r="J28" s="5">
        <v>307</v>
      </c>
      <c r="K28" s="5">
        <v>21</v>
      </c>
      <c r="L28" s="5">
        <v>394.33</v>
      </c>
      <c r="M28" s="5">
        <v>16.3</v>
      </c>
      <c r="N28" s="5">
        <v>15.6</v>
      </c>
    </row>
    <row r="29" spans="1:14" x14ac:dyDescent="0.25">
      <c r="A29" s="5">
        <v>0.84053999999999995</v>
      </c>
      <c r="B29" s="5">
        <v>0</v>
      </c>
      <c r="C29" s="5">
        <v>8.14</v>
      </c>
      <c r="D29" s="5">
        <v>0</v>
      </c>
      <c r="E29" s="5">
        <v>0.53800000000000003</v>
      </c>
      <c r="F29" s="5">
        <v>5.5990000000000002</v>
      </c>
      <c r="G29" s="5">
        <v>85.7</v>
      </c>
      <c r="H29" s="5">
        <v>4.4546000000000001</v>
      </c>
      <c r="I29" s="5">
        <v>4</v>
      </c>
      <c r="J29" s="5">
        <v>307</v>
      </c>
      <c r="K29" s="5">
        <v>21</v>
      </c>
      <c r="L29" s="5">
        <v>303.42</v>
      </c>
      <c r="M29" s="5">
        <v>16.510000000000002</v>
      </c>
      <c r="N29" s="5">
        <v>13.9</v>
      </c>
    </row>
    <row r="30" spans="1:14" x14ac:dyDescent="0.25">
      <c r="A30" s="5">
        <v>0.67191000000000001</v>
      </c>
      <c r="B30" s="5">
        <v>0</v>
      </c>
      <c r="C30" s="5">
        <v>8.14</v>
      </c>
      <c r="D30" s="5">
        <v>0</v>
      </c>
      <c r="E30" s="5">
        <v>0.53800000000000003</v>
      </c>
      <c r="F30" s="5">
        <v>5.8129999999999997</v>
      </c>
      <c r="G30" s="5">
        <v>90.3</v>
      </c>
      <c r="H30" s="5">
        <v>4.6820000000000004</v>
      </c>
      <c r="I30" s="5">
        <v>4</v>
      </c>
      <c r="J30" s="5">
        <v>307</v>
      </c>
      <c r="K30" s="5">
        <v>21</v>
      </c>
      <c r="L30" s="5">
        <v>376.88</v>
      </c>
      <c r="M30" s="5">
        <v>14.81</v>
      </c>
      <c r="N30" s="5">
        <v>16.600000000000001</v>
      </c>
    </row>
    <row r="31" spans="1:14" x14ac:dyDescent="0.25">
      <c r="A31" s="5">
        <v>0.95577000000000001</v>
      </c>
      <c r="B31" s="5">
        <v>0</v>
      </c>
      <c r="C31" s="5">
        <v>8.14</v>
      </c>
      <c r="D31" s="5">
        <v>0</v>
      </c>
      <c r="E31" s="5">
        <v>0.53800000000000003</v>
      </c>
      <c r="F31" s="5">
        <v>6.0469999999999997</v>
      </c>
      <c r="G31" s="5">
        <v>88.8</v>
      </c>
      <c r="H31" s="5">
        <v>4.4534000000000002</v>
      </c>
      <c r="I31" s="5">
        <v>4</v>
      </c>
      <c r="J31" s="5">
        <v>307</v>
      </c>
      <c r="K31" s="5">
        <v>21</v>
      </c>
      <c r="L31" s="5">
        <v>306.38</v>
      </c>
      <c r="M31" s="5">
        <v>17.28</v>
      </c>
      <c r="N31" s="5">
        <v>14.8</v>
      </c>
    </row>
    <row r="32" spans="1:14" x14ac:dyDescent="0.25">
      <c r="A32" s="5">
        <v>0.77298999999999995</v>
      </c>
      <c r="B32" s="5">
        <v>0</v>
      </c>
      <c r="C32" s="5">
        <v>8.14</v>
      </c>
      <c r="D32" s="5">
        <v>0</v>
      </c>
      <c r="E32" s="5">
        <v>0.53800000000000003</v>
      </c>
      <c r="F32" s="5">
        <v>6.4950000000000001</v>
      </c>
      <c r="G32" s="5">
        <v>94.4</v>
      </c>
      <c r="H32" s="5">
        <v>4.4546999999999999</v>
      </c>
      <c r="I32" s="5">
        <v>4</v>
      </c>
      <c r="J32" s="5">
        <v>307</v>
      </c>
      <c r="K32" s="5">
        <v>21</v>
      </c>
      <c r="L32" s="5">
        <v>387.94</v>
      </c>
      <c r="M32" s="5">
        <v>12.8</v>
      </c>
      <c r="N32" s="5">
        <v>18.399999999999999</v>
      </c>
    </row>
    <row r="33" spans="1:14" x14ac:dyDescent="0.25">
      <c r="A33" s="5">
        <v>1.0024500000000001</v>
      </c>
      <c r="B33" s="5">
        <v>0</v>
      </c>
      <c r="C33" s="5">
        <v>8.14</v>
      </c>
      <c r="D33" s="5">
        <v>0</v>
      </c>
      <c r="E33" s="5">
        <v>0.53800000000000003</v>
      </c>
      <c r="F33" s="5">
        <v>6.6740000000000004</v>
      </c>
      <c r="G33" s="5">
        <v>87.3</v>
      </c>
      <c r="H33" s="5">
        <v>4.2389999999999999</v>
      </c>
      <c r="I33" s="5">
        <v>4</v>
      </c>
      <c r="J33" s="5">
        <v>307</v>
      </c>
      <c r="K33" s="5">
        <v>21</v>
      </c>
      <c r="L33" s="5">
        <v>380.23</v>
      </c>
      <c r="M33" s="5">
        <v>11.98</v>
      </c>
      <c r="N33" s="5">
        <v>21</v>
      </c>
    </row>
    <row r="34" spans="1:14" x14ac:dyDescent="0.25">
      <c r="A34" s="5">
        <v>1.1308100000000001</v>
      </c>
      <c r="B34" s="5">
        <v>0</v>
      </c>
      <c r="C34" s="5">
        <v>8.14</v>
      </c>
      <c r="D34" s="5">
        <v>0</v>
      </c>
      <c r="E34" s="5">
        <v>0.53800000000000003</v>
      </c>
      <c r="F34" s="5">
        <v>5.7130000000000001</v>
      </c>
      <c r="G34" s="5">
        <v>94.1</v>
      </c>
      <c r="H34" s="5">
        <v>4.2329999999999997</v>
      </c>
      <c r="I34" s="5">
        <v>4</v>
      </c>
      <c r="J34" s="5">
        <v>307</v>
      </c>
      <c r="K34" s="5">
        <v>21</v>
      </c>
      <c r="L34" s="5">
        <v>360.17</v>
      </c>
      <c r="M34" s="5">
        <v>22.6</v>
      </c>
      <c r="N34" s="5">
        <v>12.7</v>
      </c>
    </row>
    <row r="35" spans="1:14" x14ac:dyDescent="0.25">
      <c r="A35" s="5">
        <v>1.3547199999999999</v>
      </c>
      <c r="B35" s="5">
        <v>0</v>
      </c>
      <c r="C35" s="5">
        <v>8.14</v>
      </c>
      <c r="D35" s="5">
        <v>0</v>
      </c>
      <c r="E35" s="5">
        <v>0.53800000000000003</v>
      </c>
      <c r="F35" s="5">
        <v>6.0720000000000001</v>
      </c>
      <c r="G35" s="5">
        <v>100</v>
      </c>
      <c r="H35" s="5">
        <v>4.1749999999999998</v>
      </c>
      <c r="I35" s="5">
        <v>4</v>
      </c>
      <c r="J35" s="5">
        <v>307</v>
      </c>
      <c r="K35" s="5">
        <v>21</v>
      </c>
      <c r="L35" s="5">
        <v>376.73</v>
      </c>
      <c r="M35" s="5">
        <v>13.04</v>
      </c>
      <c r="N35" s="5">
        <v>14.5</v>
      </c>
    </row>
    <row r="36" spans="1:14" x14ac:dyDescent="0.25">
      <c r="A36" s="5">
        <v>1.3879900000000001</v>
      </c>
      <c r="B36" s="5">
        <v>0</v>
      </c>
      <c r="C36" s="5">
        <v>8.14</v>
      </c>
      <c r="D36" s="5">
        <v>0</v>
      </c>
      <c r="E36" s="5">
        <v>0.53800000000000003</v>
      </c>
      <c r="F36" s="5">
        <v>5.95</v>
      </c>
      <c r="G36" s="5">
        <v>82</v>
      </c>
      <c r="H36" s="5">
        <v>3.99</v>
      </c>
      <c r="I36" s="5">
        <v>4</v>
      </c>
      <c r="J36" s="5">
        <v>307</v>
      </c>
      <c r="K36" s="5">
        <v>21</v>
      </c>
      <c r="L36" s="5">
        <v>232.6</v>
      </c>
      <c r="M36" s="5">
        <v>27.71</v>
      </c>
      <c r="N36" s="5">
        <v>13.2</v>
      </c>
    </row>
    <row r="37" spans="1:14" x14ac:dyDescent="0.25">
      <c r="A37" s="5">
        <v>1.1517200000000001</v>
      </c>
      <c r="B37" s="5">
        <v>0</v>
      </c>
      <c r="C37" s="5">
        <v>8.14</v>
      </c>
      <c r="D37" s="5">
        <v>0</v>
      </c>
      <c r="E37" s="5">
        <v>0.53800000000000003</v>
      </c>
      <c r="F37" s="5">
        <v>5.7009999999999996</v>
      </c>
      <c r="G37" s="5">
        <v>95</v>
      </c>
      <c r="H37" s="5">
        <v>3.7871999999999999</v>
      </c>
      <c r="I37" s="5">
        <v>4</v>
      </c>
      <c r="J37" s="5">
        <v>307</v>
      </c>
      <c r="K37" s="5">
        <v>21</v>
      </c>
      <c r="L37" s="5">
        <v>358.77</v>
      </c>
      <c r="M37" s="5">
        <v>18.350000000000001</v>
      </c>
      <c r="N37" s="5">
        <v>13.1</v>
      </c>
    </row>
    <row r="38" spans="1:14" x14ac:dyDescent="0.25">
      <c r="A38" s="5">
        <v>1.6128199999999999</v>
      </c>
      <c r="B38" s="5">
        <v>0</v>
      </c>
      <c r="C38" s="5">
        <v>8.14</v>
      </c>
      <c r="D38" s="5">
        <v>0</v>
      </c>
      <c r="E38" s="5">
        <v>0.53800000000000003</v>
      </c>
      <c r="F38" s="5">
        <v>6.0960000000000001</v>
      </c>
      <c r="G38" s="5">
        <v>96.9</v>
      </c>
      <c r="H38" s="5">
        <v>3.7597999999999998</v>
      </c>
      <c r="I38" s="5">
        <v>4</v>
      </c>
      <c r="J38" s="5">
        <v>307</v>
      </c>
      <c r="K38" s="5">
        <v>21</v>
      </c>
      <c r="L38" s="5">
        <v>248.31</v>
      </c>
      <c r="M38" s="5">
        <v>20.34</v>
      </c>
      <c r="N38" s="5">
        <v>13.5</v>
      </c>
    </row>
    <row r="39" spans="1:14" x14ac:dyDescent="0.25">
      <c r="A39" s="5">
        <v>6.4170000000000005E-2</v>
      </c>
      <c r="B39" s="5">
        <v>0</v>
      </c>
      <c r="C39" s="5">
        <v>5.96</v>
      </c>
      <c r="D39" s="5">
        <v>0</v>
      </c>
      <c r="E39" s="5">
        <v>0.499</v>
      </c>
      <c r="F39" s="5">
        <v>5.9329999999999998</v>
      </c>
      <c r="G39" s="5">
        <v>68.2</v>
      </c>
      <c r="H39" s="5">
        <v>3.3603000000000001</v>
      </c>
      <c r="I39" s="5">
        <v>5</v>
      </c>
      <c r="J39" s="5">
        <v>279</v>
      </c>
      <c r="K39" s="5">
        <v>19.2</v>
      </c>
      <c r="L39" s="5">
        <v>396.9</v>
      </c>
      <c r="M39" s="5">
        <v>9.68</v>
      </c>
      <c r="N39" s="5">
        <v>18.899999999999999</v>
      </c>
    </row>
    <row r="40" spans="1:14" x14ac:dyDescent="0.25">
      <c r="A40" s="5">
        <v>9.7439999999999999E-2</v>
      </c>
      <c r="B40" s="5">
        <v>0</v>
      </c>
      <c r="C40" s="5">
        <v>5.96</v>
      </c>
      <c r="D40" s="5">
        <v>0</v>
      </c>
      <c r="E40" s="5">
        <v>0.499</v>
      </c>
      <c r="F40" s="5">
        <v>5.8410000000000002</v>
      </c>
      <c r="G40" s="5">
        <v>61.4</v>
      </c>
      <c r="H40" s="5">
        <v>3.3778999999999999</v>
      </c>
      <c r="I40" s="5">
        <v>5</v>
      </c>
      <c r="J40" s="5">
        <v>279</v>
      </c>
      <c r="K40" s="5">
        <v>19.2</v>
      </c>
      <c r="L40" s="5">
        <v>377.56</v>
      </c>
      <c r="M40" s="5">
        <v>11.41</v>
      </c>
      <c r="N40" s="5">
        <v>20</v>
      </c>
    </row>
    <row r="41" spans="1:14" x14ac:dyDescent="0.25">
      <c r="A41" s="5">
        <v>8.0140000000000003E-2</v>
      </c>
      <c r="B41" s="5">
        <v>0</v>
      </c>
      <c r="C41" s="5">
        <v>5.96</v>
      </c>
      <c r="D41" s="5">
        <v>0</v>
      </c>
      <c r="E41" s="5">
        <v>0.499</v>
      </c>
      <c r="F41" s="5">
        <v>5.85</v>
      </c>
      <c r="G41" s="5">
        <v>41.5</v>
      </c>
      <c r="H41" s="5">
        <v>3.9342000000000001</v>
      </c>
      <c r="I41" s="5">
        <v>5</v>
      </c>
      <c r="J41" s="5">
        <v>279</v>
      </c>
      <c r="K41" s="5">
        <v>19.2</v>
      </c>
      <c r="L41" s="5">
        <v>396.9</v>
      </c>
      <c r="M41" s="5">
        <v>8.77</v>
      </c>
      <c r="N41" s="5">
        <v>21</v>
      </c>
    </row>
    <row r="42" spans="1:14" x14ac:dyDescent="0.25">
      <c r="A42" s="5">
        <v>0.17505000000000001</v>
      </c>
      <c r="B42" s="5">
        <v>0</v>
      </c>
      <c r="C42" s="5">
        <v>5.96</v>
      </c>
      <c r="D42" s="5">
        <v>0</v>
      </c>
      <c r="E42" s="5">
        <v>0.499</v>
      </c>
      <c r="F42" s="5">
        <v>5.9660000000000002</v>
      </c>
      <c r="G42" s="5">
        <v>30.2</v>
      </c>
      <c r="H42" s="5">
        <v>3.8473000000000002</v>
      </c>
      <c r="I42" s="5">
        <v>5</v>
      </c>
      <c r="J42" s="5">
        <v>279</v>
      </c>
      <c r="K42" s="5">
        <v>19.2</v>
      </c>
      <c r="L42" s="5">
        <v>393.43</v>
      </c>
      <c r="M42" s="5">
        <v>10.130000000000001</v>
      </c>
      <c r="N42" s="5">
        <v>24.7</v>
      </c>
    </row>
    <row r="43" spans="1:14" x14ac:dyDescent="0.25">
      <c r="A43" s="5">
        <v>2.7629999999999998E-2</v>
      </c>
      <c r="B43" s="5">
        <v>75</v>
      </c>
      <c r="C43" s="5">
        <v>2.95</v>
      </c>
      <c r="D43" s="5">
        <v>0</v>
      </c>
      <c r="E43" s="5">
        <v>0.42799999999999999</v>
      </c>
      <c r="F43" s="5">
        <v>6.5949999999999998</v>
      </c>
      <c r="G43" s="5">
        <v>21.8</v>
      </c>
      <c r="H43" s="5">
        <v>5.4010999999999996</v>
      </c>
      <c r="I43" s="5">
        <v>3</v>
      </c>
      <c r="J43" s="5">
        <v>252</v>
      </c>
      <c r="K43" s="5">
        <v>18.3</v>
      </c>
      <c r="L43" s="5">
        <v>395.63</v>
      </c>
      <c r="M43" s="5">
        <v>4.32</v>
      </c>
      <c r="N43" s="5">
        <v>30.8</v>
      </c>
    </row>
    <row r="44" spans="1:14" x14ac:dyDescent="0.25">
      <c r="A44" s="5">
        <v>3.3590000000000002E-2</v>
      </c>
      <c r="B44" s="5">
        <v>75</v>
      </c>
      <c r="C44" s="5">
        <v>2.95</v>
      </c>
      <c r="D44" s="5">
        <v>0</v>
      </c>
      <c r="E44" s="5">
        <v>0.42799999999999999</v>
      </c>
      <c r="F44" s="5">
        <v>7.024</v>
      </c>
      <c r="G44" s="5">
        <v>15.8</v>
      </c>
      <c r="H44" s="5">
        <v>5.4010999999999996</v>
      </c>
      <c r="I44" s="5">
        <v>3</v>
      </c>
      <c r="J44" s="5">
        <v>252</v>
      </c>
      <c r="K44" s="5">
        <v>18.3</v>
      </c>
      <c r="L44" s="5">
        <v>395.62</v>
      </c>
      <c r="M44" s="5">
        <v>1.98</v>
      </c>
      <c r="N44" s="5">
        <v>34.9</v>
      </c>
    </row>
    <row r="45" spans="1:14" x14ac:dyDescent="0.25">
      <c r="A45" s="5">
        <v>0.12744</v>
      </c>
      <c r="B45" s="5">
        <v>0</v>
      </c>
      <c r="C45" s="5">
        <v>6.91</v>
      </c>
      <c r="D45" s="5">
        <v>0</v>
      </c>
      <c r="E45" s="5">
        <v>0.44800000000000001</v>
      </c>
      <c r="F45" s="5">
        <v>6.77</v>
      </c>
      <c r="G45" s="5">
        <v>2.9</v>
      </c>
      <c r="H45" s="5">
        <v>5.7209000000000003</v>
      </c>
      <c r="I45" s="5">
        <v>3</v>
      </c>
      <c r="J45" s="5">
        <v>233</v>
      </c>
      <c r="K45" s="5">
        <v>17.899999999999999</v>
      </c>
      <c r="L45" s="5">
        <v>385.41</v>
      </c>
      <c r="M45" s="5">
        <v>4.84</v>
      </c>
      <c r="N45" s="5">
        <v>26.6</v>
      </c>
    </row>
    <row r="46" spans="1:14" x14ac:dyDescent="0.25">
      <c r="A46" s="5">
        <v>0.14149999999999999</v>
      </c>
      <c r="B46" s="5">
        <v>0</v>
      </c>
      <c r="C46" s="5">
        <v>6.91</v>
      </c>
      <c r="D46" s="5">
        <v>0</v>
      </c>
      <c r="E46" s="5">
        <v>0.44800000000000001</v>
      </c>
      <c r="F46" s="5">
        <v>6.1689999999999996</v>
      </c>
      <c r="G46" s="5">
        <v>6.6</v>
      </c>
      <c r="H46" s="5">
        <v>5.7209000000000003</v>
      </c>
      <c r="I46" s="5">
        <v>3</v>
      </c>
      <c r="J46" s="5">
        <v>233</v>
      </c>
      <c r="K46" s="5">
        <v>17.899999999999999</v>
      </c>
      <c r="L46" s="5">
        <v>383.37</v>
      </c>
      <c r="M46" s="5">
        <v>5.81</v>
      </c>
      <c r="N46" s="5">
        <v>25.3</v>
      </c>
    </row>
    <row r="47" spans="1:14" x14ac:dyDescent="0.25">
      <c r="A47" s="5">
        <v>0.15936</v>
      </c>
      <c r="B47" s="5">
        <v>0</v>
      </c>
      <c r="C47" s="5">
        <v>6.91</v>
      </c>
      <c r="D47" s="5">
        <v>0</v>
      </c>
      <c r="E47" s="5">
        <v>0.44800000000000001</v>
      </c>
      <c r="F47" s="5">
        <v>6.2110000000000003</v>
      </c>
      <c r="G47" s="5">
        <v>6.5</v>
      </c>
      <c r="H47" s="5">
        <v>5.7209000000000003</v>
      </c>
      <c r="I47" s="5">
        <v>3</v>
      </c>
      <c r="J47" s="5">
        <v>233</v>
      </c>
      <c r="K47" s="5">
        <v>17.899999999999999</v>
      </c>
      <c r="L47" s="5">
        <v>394.46</v>
      </c>
      <c r="M47" s="5">
        <v>7.44</v>
      </c>
      <c r="N47" s="5">
        <v>24.7</v>
      </c>
    </row>
    <row r="48" spans="1:14" x14ac:dyDescent="0.25">
      <c r="A48" s="5">
        <v>0.12268999999999999</v>
      </c>
      <c r="B48" s="5">
        <v>0</v>
      </c>
      <c r="C48" s="5">
        <v>6.91</v>
      </c>
      <c r="D48" s="5">
        <v>0</v>
      </c>
      <c r="E48" s="5">
        <v>0.44800000000000001</v>
      </c>
      <c r="F48" s="5">
        <v>6.069</v>
      </c>
      <c r="G48" s="5">
        <v>40</v>
      </c>
      <c r="H48" s="5">
        <v>5.7209000000000003</v>
      </c>
      <c r="I48" s="5">
        <v>3</v>
      </c>
      <c r="J48" s="5">
        <v>233</v>
      </c>
      <c r="K48" s="5">
        <v>17.899999999999999</v>
      </c>
      <c r="L48" s="5">
        <v>389.39</v>
      </c>
      <c r="M48" s="5">
        <v>9.5500000000000007</v>
      </c>
      <c r="N48" s="5">
        <v>21.2</v>
      </c>
    </row>
    <row r="49" spans="1:14" x14ac:dyDescent="0.25">
      <c r="A49" s="5">
        <v>0.17141999999999999</v>
      </c>
      <c r="B49" s="5">
        <v>0</v>
      </c>
      <c r="C49" s="5">
        <v>6.91</v>
      </c>
      <c r="D49" s="5">
        <v>0</v>
      </c>
      <c r="E49" s="5">
        <v>0.44800000000000001</v>
      </c>
      <c r="F49" s="5">
        <v>5.6820000000000004</v>
      </c>
      <c r="G49" s="5">
        <v>33.799999999999997</v>
      </c>
      <c r="H49" s="5">
        <v>5.1003999999999996</v>
      </c>
      <c r="I49" s="5">
        <v>3</v>
      </c>
      <c r="J49" s="5">
        <v>233</v>
      </c>
      <c r="K49" s="5">
        <v>17.899999999999999</v>
      </c>
      <c r="L49" s="5">
        <v>396.9</v>
      </c>
      <c r="M49" s="5">
        <v>10.210000000000001</v>
      </c>
      <c r="N49" s="5">
        <v>19.3</v>
      </c>
    </row>
    <row r="50" spans="1:14" x14ac:dyDescent="0.25">
      <c r="A50" s="5">
        <v>0.18836</v>
      </c>
      <c r="B50" s="5">
        <v>0</v>
      </c>
      <c r="C50" s="5">
        <v>6.91</v>
      </c>
      <c r="D50" s="5">
        <v>0</v>
      </c>
      <c r="E50" s="5">
        <v>0.44800000000000001</v>
      </c>
      <c r="F50" s="5">
        <v>5.7859999999999996</v>
      </c>
      <c r="G50" s="5">
        <v>33.299999999999997</v>
      </c>
      <c r="H50" s="5">
        <v>5.1003999999999996</v>
      </c>
      <c r="I50" s="5">
        <v>3</v>
      </c>
      <c r="J50" s="5">
        <v>233</v>
      </c>
      <c r="K50" s="5">
        <v>17.899999999999999</v>
      </c>
      <c r="L50" s="5">
        <v>396.9</v>
      </c>
      <c r="M50" s="5">
        <v>14.15</v>
      </c>
      <c r="N50" s="5">
        <v>20</v>
      </c>
    </row>
    <row r="51" spans="1:14" x14ac:dyDescent="0.25">
      <c r="A51" s="5">
        <v>0.22927</v>
      </c>
      <c r="B51" s="5">
        <v>0</v>
      </c>
      <c r="C51" s="5">
        <v>6.91</v>
      </c>
      <c r="D51" s="5">
        <v>0</v>
      </c>
      <c r="E51" s="5">
        <v>0.44800000000000001</v>
      </c>
      <c r="F51" s="5">
        <v>6.03</v>
      </c>
      <c r="G51" s="5">
        <v>85.5</v>
      </c>
      <c r="H51" s="5">
        <v>5.6894</v>
      </c>
      <c r="I51" s="5">
        <v>3</v>
      </c>
      <c r="J51" s="5">
        <v>233</v>
      </c>
      <c r="K51" s="5">
        <v>17.899999999999999</v>
      </c>
      <c r="L51" s="5">
        <v>392.74</v>
      </c>
      <c r="M51" s="5">
        <v>18.8</v>
      </c>
      <c r="N51" s="5">
        <v>16.600000000000001</v>
      </c>
    </row>
    <row r="52" spans="1:14" x14ac:dyDescent="0.25">
      <c r="A52" s="5">
        <v>0.25386999999999998</v>
      </c>
      <c r="B52" s="5">
        <v>0</v>
      </c>
      <c r="C52" s="5">
        <v>6.91</v>
      </c>
      <c r="D52" s="5">
        <v>0</v>
      </c>
      <c r="E52" s="5">
        <v>0.44800000000000001</v>
      </c>
      <c r="F52" s="5">
        <v>5.399</v>
      </c>
      <c r="G52" s="5">
        <v>95.3</v>
      </c>
      <c r="H52" s="5">
        <v>5.87</v>
      </c>
      <c r="I52" s="5">
        <v>3</v>
      </c>
      <c r="J52" s="5">
        <v>233</v>
      </c>
      <c r="K52" s="5">
        <v>17.899999999999999</v>
      </c>
      <c r="L52" s="5">
        <v>396.9</v>
      </c>
      <c r="M52" s="5">
        <v>30.81</v>
      </c>
      <c r="N52" s="5">
        <v>14.4</v>
      </c>
    </row>
    <row r="53" spans="1:14" x14ac:dyDescent="0.25">
      <c r="A53" s="5">
        <v>0.21976999999999999</v>
      </c>
      <c r="B53" s="5">
        <v>0</v>
      </c>
      <c r="C53" s="5">
        <v>6.91</v>
      </c>
      <c r="D53" s="5">
        <v>0</v>
      </c>
      <c r="E53" s="5">
        <v>0.44800000000000001</v>
      </c>
      <c r="F53" s="5">
        <v>5.6020000000000003</v>
      </c>
      <c r="G53" s="5">
        <v>62</v>
      </c>
      <c r="H53" s="5">
        <v>6.0876999999999999</v>
      </c>
      <c r="I53" s="5">
        <v>3</v>
      </c>
      <c r="J53" s="5">
        <v>233</v>
      </c>
      <c r="K53" s="5">
        <v>17.899999999999999</v>
      </c>
      <c r="L53" s="5">
        <v>396.9</v>
      </c>
      <c r="M53" s="5">
        <v>16.2</v>
      </c>
      <c r="N53" s="5">
        <v>19.399999999999999</v>
      </c>
    </row>
    <row r="54" spans="1:14" x14ac:dyDescent="0.25">
      <c r="A54" s="5">
        <v>8.8730000000000003E-2</v>
      </c>
      <c r="B54" s="5">
        <v>21</v>
      </c>
      <c r="C54" s="5">
        <v>5.64</v>
      </c>
      <c r="D54" s="5">
        <v>0</v>
      </c>
      <c r="E54" s="5">
        <v>0.439</v>
      </c>
      <c r="F54" s="5">
        <v>5.9630000000000001</v>
      </c>
      <c r="G54" s="5">
        <v>45.7</v>
      </c>
      <c r="H54" s="5">
        <v>6.8147000000000002</v>
      </c>
      <c r="I54" s="5">
        <v>4</v>
      </c>
      <c r="J54" s="5">
        <v>243</v>
      </c>
      <c r="K54" s="5">
        <v>16.8</v>
      </c>
      <c r="L54" s="5">
        <v>395.56</v>
      </c>
      <c r="M54" s="5">
        <v>13.45</v>
      </c>
      <c r="N54" s="5">
        <v>19.7</v>
      </c>
    </row>
    <row r="55" spans="1:14" x14ac:dyDescent="0.25">
      <c r="A55" s="5">
        <v>4.3369999999999999E-2</v>
      </c>
      <c r="B55" s="5">
        <v>21</v>
      </c>
      <c r="C55" s="5">
        <v>5.64</v>
      </c>
      <c r="D55" s="5">
        <v>0</v>
      </c>
      <c r="E55" s="5">
        <v>0.439</v>
      </c>
      <c r="F55" s="5">
        <v>6.1150000000000002</v>
      </c>
      <c r="G55" s="5">
        <v>63</v>
      </c>
      <c r="H55" s="5">
        <v>6.8147000000000002</v>
      </c>
      <c r="I55" s="5">
        <v>4</v>
      </c>
      <c r="J55" s="5">
        <v>243</v>
      </c>
      <c r="K55" s="5">
        <v>16.8</v>
      </c>
      <c r="L55" s="5">
        <v>393.97</v>
      </c>
      <c r="M55" s="5">
        <v>9.43</v>
      </c>
      <c r="N55" s="5">
        <v>20.5</v>
      </c>
    </row>
    <row r="56" spans="1:14" x14ac:dyDescent="0.25">
      <c r="A56" s="5">
        <v>5.3600000000000002E-2</v>
      </c>
      <c r="B56" s="5">
        <v>21</v>
      </c>
      <c r="C56" s="5">
        <v>5.64</v>
      </c>
      <c r="D56" s="5">
        <v>0</v>
      </c>
      <c r="E56" s="5">
        <v>0.439</v>
      </c>
      <c r="F56" s="5">
        <v>6.5110000000000001</v>
      </c>
      <c r="G56" s="5">
        <v>21.1</v>
      </c>
      <c r="H56" s="5">
        <v>6.8147000000000002</v>
      </c>
      <c r="I56" s="5">
        <v>4</v>
      </c>
      <c r="J56" s="5">
        <v>243</v>
      </c>
      <c r="K56" s="5">
        <v>16.8</v>
      </c>
      <c r="L56" s="5">
        <v>396.9</v>
      </c>
      <c r="M56" s="5">
        <v>5.28</v>
      </c>
      <c r="N56" s="5">
        <v>25</v>
      </c>
    </row>
    <row r="57" spans="1:14" x14ac:dyDescent="0.25">
      <c r="A57" s="5">
        <v>4.981E-2</v>
      </c>
      <c r="B57" s="5">
        <v>21</v>
      </c>
      <c r="C57" s="5">
        <v>5.64</v>
      </c>
      <c r="D57" s="5">
        <v>0</v>
      </c>
      <c r="E57" s="5">
        <v>0.439</v>
      </c>
      <c r="F57" s="5">
        <v>5.9980000000000002</v>
      </c>
      <c r="G57" s="5">
        <v>21.4</v>
      </c>
      <c r="H57" s="5">
        <v>6.8147000000000002</v>
      </c>
      <c r="I57" s="5">
        <v>4</v>
      </c>
      <c r="J57" s="5">
        <v>243</v>
      </c>
      <c r="K57" s="5">
        <v>16.8</v>
      </c>
      <c r="L57" s="5">
        <v>396.9</v>
      </c>
      <c r="M57" s="5">
        <v>8.43</v>
      </c>
      <c r="N57" s="5">
        <v>23.4</v>
      </c>
    </row>
    <row r="58" spans="1:14" x14ac:dyDescent="0.25">
      <c r="A58" s="5">
        <v>1.3599999999999999E-2</v>
      </c>
      <c r="B58" s="5">
        <v>75</v>
      </c>
      <c r="C58" s="5">
        <v>4</v>
      </c>
      <c r="D58" s="5">
        <v>0</v>
      </c>
      <c r="E58" s="5">
        <v>0.41</v>
      </c>
      <c r="F58" s="5">
        <v>5.8879999999999999</v>
      </c>
      <c r="G58" s="5">
        <v>47.6</v>
      </c>
      <c r="H58" s="5">
        <v>7.3197000000000001</v>
      </c>
      <c r="I58" s="5">
        <v>3</v>
      </c>
      <c r="J58" s="5">
        <v>469</v>
      </c>
      <c r="K58" s="5">
        <v>21.1</v>
      </c>
      <c r="L58" s="5">
        <v>396.9</v>
      </c>
      <c r="M58" s="5">
        <v>14.8</v>
      </c>
      <c r="N58" s="5">
        <v>18.899999999999999</v>
      </c>
    </row>
    <row r="59" spans="1:14" x14ac:dyDescent="0.25">
      <c r="A59" s="5">
        <v>1.311E-2</v>
      </c>
      <c r="B59" s="5">
        <v>90</v>
      </c>
      <c r="C59" s="5">
        <v>1.22</v>
      </c>
      <c r="D59" s="5">
        <v>0</v>
      </c>
      <c r="E59" s="5">
        <v>0.40300000000000002</v>
      </c>
      <c r="F59" s="5">
        <v>7.2489999999999997</v>
      </c>
      <c r="G59" s="5">
        <v>21.9</v>
      </c>
      <c r="H59" s="5">
        <v>8.6966000000000001</v>
      </c>
      <c r="I59" s="5">
        <v>5</v>
      </c>
      <c r="J59" s="5">
        <v>226</v>
      </c>
      <c r="K59" s="5">
        <v>17.899999999999999</v>
      </c>
      <c r="L59" s="5">
        <v>395.93</v>
      </c>
      <c r="M59" s="5">
        <v>4.8099999999999996</v>
      </c>
      <c r="N59" s="5">
        <v>35.4</v>
      </c>
    </row>
    <row r="60" spans="1:14" x14ac:dyDescent="0.25">
      <c r="A60" s="5">
        <v>2.0549999999999999E-2</v>
      </c>
      <c r="B60" s="5">
        <v>85</v>
      </c>
      <c r="C60" s="5">
        <v>0.74</v>
      </c>
      <c r="D60" s="5">
        <v>0</v>
      </c>
      <c r="E60" s="5">
        <v>0.41</v>
      </c>
      <c r="F60" s="5">
        <v>6.383</v>
      </c>
      <c r="G60" s="5">
        <v>35.700000000000003</v>
      </c>
      <c r="H60" s="5">
        <v>9.1875999999999998</v>
      </c>
      <c r="I60" s="5">
        <v>2</v>
      </c>
      <c r="J60" s="5">
        <v>313</v>
      </c>
      <c r="K60" s="5">
        <v>17.3</v>
      </c>
      <c r="L60" s="5">
        <v>396.9</v>
      </c>
      <c r="M60" s="5">
        <v>5.77</v>
      </c>
      <c r="N60" s="5">
        <v>24.7</v>
      </c>
    </row>
    <row r="61" spans="1:14" x14ac:dyDescent="0.25">
      <c r="A61" s="5">
        <v>1.4319999999999999E-2</v>
      </c>
      <c r="B61" s="5">
        <v>100</v>
      </c>
      <c r="C61" s="5">
        <v>1.32</v>
      </c>
      <c r="D61" s="5">
        <v>0</v>
      </c>
      <c r="E61" s="5">
        <v>0.41099999999999998</v>
      </c>
      <c r="F61" s="5">
        <v>6.8159999999999998</v>
      </c>
      <c r="G61" s="5">
        <v>40.5</v>
      </c>
      <c r="H61" s="5">
        <v>8.3247999999999998</v>
      </c>
      <c r="I61" s="5">
        <v>5</v>
      </c>
      <c r="J61" s="5">
        <v>256</v>
      </c>
      <c r="K61" s="5">
        <v>15.1</v>
      </c>
      <c r="L61" s="5">
        <v>392.9</v>
      </c>
      <c r="M61" s="5">
        <v>3.95</v>
      </c>
      <c r="N61" s="5">
        <v>31.6</v>
      </c>
    </row>
    <row r="62" spans="1:14" x14ac:dyDescent="0.25">
      <c r="A62" s="5">
        <v>0.15445</v>
      </c>
      <c r="B62" s="5">
        <v>25</v>
      </c>
      <c r="C62" s="5">
        <v>5.13</v>
      </c>
      <c r="D62" s="5">
        <v>0</v>
      </c>
      <c r="E62" s="5">
        <v>0.45300000000000001</v>
      </c>
      <c r="F62" s="5">
        <v>6.1449999999999996</v>
      </c>
      <c r="G62" s="5">
        <v>29.2</v>
      </c>
      <c r="H62" s="5">
        <v>7.8148</v>
      </c>
      <c r="I62" s="5">
        <v>8</v>
      </c>
      <c r="J62" s="5">
        <v>284</v>
      </c>
      <c r="K62" s="5">
        <v>19.7</v>
      </c>
      <c r="L62" s="5">
        <v>390.68</v>
      </c>
      <c r="M62" s="5">
        <v>6.86</v>
      </c>
      <c r="N62" s="5">
        <v>23.3</v>
      </c>
    </row>
    <row r="63" spans="1:14" x14ac:dyDescent="0.25">
      <c r="A63" s="5">
        <v>0.10328</v>
      </c>
      <c r="B63" s="5">
        <v>25</v>
      </c>
      <c r="C63" s="5">
        <v>5.13</v>
      </c>
      <c r="D63" s="5">
        <v>0</v>
      </c>
      <c r="E63" s="5">
        <v>0.45300000000000001</v>
      </c>
      <c r="F63" s="5">
        <v>5.9269999999999996</v>
      </c>
      <c r="G63" s="5">
        <v>47.2</v>
      </c>
      <c r="H63" s="5">
        <v>6.9320000000000004</v>
      </c>
      <c r="I63" s="5">
        <v>8</v>
      </c>
      <c r="J63" s="5">
        <v>284</v>
      </c>
      <c r="K63" s="5">
        <v>19.7</v>
      </c>
      <c r="L63" s="5">
        <v>396.9</v>
      </c>
      <c r="M63" s="5">
        <v>9.2200000000000006</v>
      </c>
      <c r="N63" s="5">
        <v>19.600000000000001</v>
      </c>
    </row>
    <row r="64" spans="1:14" x14ac:dyDescent="0.25">
      <c r="A64" s="5">
        <v>0.14932000000000001</v>
      </c>
      <c r="B64" s="5">
        <v>25</v>
      </c>
      <c r="C64" s="5">
        <v>5.13</v>
      </c>
      <c r="D64" s="5">
        <v>0</v>
      </c>
      <c r="E64" s="5">
        <v>0.45300000000000001</v>
      </c>
      <c r="F64" s="5">
        <v>5.7409999999999997</v>
      </c>
      <c r="G64" s="5">
        <v>66.2</v>
      </c>
      <c r="H64" s="5">
        <v>7.2253999999999996</v>
      </c>
      <c r="I64" s="5">
        <v>8</v>
      </c>
      <c r="J64" s="5">
        <v>284</v>
      </c>
      <c r="K64" s="5">
        <v>19.7</v>
      </c>
      <c r="L64" s="5">
        <v>395.11</v>
      </c>
      <c r="M64" s="5">
        <v>13.15</v>
      </c>
      <c r="N64" s="5">
        <v>18.7</v>
      </c>
    </row>
    <row r="65" spans="1:14" x14ac:dyDescent="0.25">
      <c r="A65" s="5">
        <v>0.17171</v>
      </c>
      <c r="B65" s="5">
        <v>25</v>
      </c>
      <c r="C65" s="5">
        <v>5.13</v>
      </c>
      <c r="D65" s="5">
        <v>0</v>
      </c>
      <c r="E65" s="5">
        <v>0.45300000000000001</v>
      </c>
      <c r="F65" s="5">
        <v>5.9660000000000002</v>
      </c>
      <c r="G65" s="5">
        <v>93.4</v>
      </c>
      <c r="H65" s="5">
        <v>6.8185000000000002</v>
      </c>
      <c r="I65" s="5">
        <v>8</v>
      </c>
      <c r="J65" s="5">
        <v>284</v>
      </c>
      <c r="K65" s="5">
        <v>19.7</v>
      </c>
      <c r="L65" s="5">
        <v>378.08</v>
      </c>
      <c r="M65" s="5">
        <v>14.44</v>
      </c>
      <c r="N65" s="5">
        <v>16</v>
      </c>
    </row>
    <row r="66" spans="1:14" x14ac:dyDescent="0.25">
      <c r="A66" s="5">
        <v>0.11027000000000001</v>
      </c>
      <c r="B66" s="5">
        <v>25</v>
      </c>
      <c r="C66" s="5">
        <v>5.13</v>
      </c>
      <c r="D66" s="5">
        <v>0</v>
      </c>
      <c r="E66" s="5">
        <v>0.45300000000000001</v>
      </c>
      <c r="F66" s="5">
        <v>6.4560000000000004</v>
      </c>
      <c r="G66" s="5">
        <v>67.8</v>
      </c>
      <c r="H66" s="5">
        <v>7.2255000000000003</v>
      </c>
      <c r="I66" s="5">
        <v>8</v>
      </c>
      <c r="J66" s="5">
        <v>284</v>
      </c>
      <c r="K66" s="5">
        <v>19.7</v>
      </c>
      <c r="L66" s="5">
        <v>396.9</v>
      </c>
      <c r="M66" s="5">
        <v>6.73</v>
      </c>
      <c r="N66" s="5">
        <v>22.2</v>
      </c>
    </row>
    <row r="67" spans="1:14" x14ac:dyDescent="0.25">
      <c r="A67" s="5">
        <v>0.1265</v>
      </c>
      <c r="B67" s="5">
        <v>25</v>
      </c>
      <c r="C67" s="5">
        <v>5.13</v>
      </c>
      <c r="D67" s="5">
        <v>0</v>
      </c>
      <c r="E67" s="5">
        <v>0.45300000000000001</v>
      </c>
      <c r="F67" s="5">
        <v>6.7619999999999996</v>
      </c>
      <c r="G67" s="5">
        <v>43.4</v>
      </c>
      <c r="H67" s="5">
        <v>7.9809000000000001</v>
      </c>
      <c r="I67" s="5">
        <v>8</v>
      </c>
      <c r="J67" s="5">
        <v>284</v>
      </c>
      <c r="K67" s="5">
        <v>19.7</v>
      </c>
      <c r="L67" s="5">
        <v>395.58</v>
      </c>
      <c r="M67" s="5">
        <v>9.5</v>
      </c>
      <c r="N67" s="5">
        <v>25</v>
      </c>
    </row>
    <row r="68" spans="1:14" x14ac:dyDescent="0.25">
      <c r="A68" s="5">
        <v>1.951E-2</v>
      </c>
      <c r="B68" s="5">
        <v>17.5</v>
      </c>
      <c r="C68" s="5">
        <v>1.38</v>
      </c>
      <c r="D68" s="5">
        <v>0</v>
      </c>
      <c r="E68" s="5">
        <v>0.41610000000000003</v>
      </c>
      <c r="F68" s="5">
        <v>7.1040000000000001</v>
      </c>
      <c r="G68" s="5">
        <v>59.5</v>
      </c>
      <c r="H68" s="5">
        <v>9.2228999999999992</v>
      </c>
      <c r="I68" s="5">
        <v>3</v>
      </c>
      <c r="J68" s="5">
        <v>216</v>
      </c>
      <c r="K68" s="5">
        <v>18.600000000000001</v>
      </c>
      <c r="L68" s="5">
        <v>393.24</v>
      </c>
      <c r="M68" s="5">
        <v>8.0500000000000007</v>
      </c>
      <c r="N68" s="5">
        <v>33</v>
      </c>
    </row>
    <row r="69" spans="1:14" x14ac:dyDescent="0.25">
      <c r="A69" s="5">
        <v>3.5839999999999997E-2</v>
      </c>
      <c r="B69" s="5">
        <v>80</v>
      </c>
      <c r="C69" s="5">
        <v>3.37</v>
      </c>
      <c r="D69" s="5">
        <v>0</v>
      </c>
      <c r="E69" s="5">
        <v>0.39800000000000002</v>
      </c>
      <c r="F69" s="5">
        <v>6.29</v>
      </c>
      <c r="G69" s="5">
        <v>17.8</v>
      </c>
      <c r="H69" s="5">
        <v>6.6115000000000004</v>
      </c>
      <c r="I69" s="5">
        <v>4</v>
      </c>
      <c r="J69" s="5">
        <v>337</v>
      </c>
      <c r="K69" s="5">
        <v>16.100000000000001</v>
      </c>
      <c r="L69" s="5">
        <v>396.9</v>
      </c>
      <c r="M69" s="5">
        <v>4.67</v>
      </c>
      <c r="N69" s="5">
        <v>23.5</v>
      </c>
    </row>
    <row r="70" spans="1:14" x14ac:dyDescent="0.25">
      <c r="A70" s="5">
        <v>4.3790000000000003E-2</v>
      </c>
      <c r="B70" s="5">
        <v>80</v>
      </c>
      <c r="C70" s="5">
        <v>3.37</v>
      </c>
      <c r="D70" s="5">
        <v>0</v>
      </c>
      <c r="E70" s="5">
        <v>0.39800000000000002</v>
      </c>
      <c r="F70" s="5">
        <v>5.7869999999999999</v>
      </c>
      <c r="G70" s="5">
        <v>31.1</v>
      </c>
      <c r="H70" s="5">
        <v>6.6115000000000004</v>
      </c>
      <c r="I70" s="5">
        <v>4</v>
      </c>
      <c r="J70" s="5">
        <v>337</v>
      </c>
      <c r="K70" s="5">
        <v>16.100000000000001</v>
      </c>
      <c r="L70" s="5">
        <v>396.9</v>
      </c>
      <c r="M70" s="5">
        <v>10.24</v>
      </c>
      <c r="N70" s="5">
        <v>19.399999999999999</v>
      </c>
    </row>
    <row r="71" spans="1:14" x14ac:dyDescent="0.25">
      <c r="A71" s="5">
        <v>5.7889999999999997E-2</v>
      </c>
      <c r="B71" s="5">
        <v>12.5</v>
      </c>
      <c r="C71" s="5">
        <v>6.07</v>
      </c>
      <c r="D71" s="5">
        <v>0</v>
      </c>
      <c r="E71" s="5">
        <v>0.40899999999999997</v>
      </c>
      <c r="F71" s="5">
        <v>5.8780000000000001</v>
      </c>
      <c r="G71" s="5">
        <v>21.4</v>
      </c>
      <c r="H71" s="5">
        <v>6.4980000000000002</v>
      </c>
      <c r="I71" s="5">
        <v>4</v>
      </c>
      <c r="J71" s="5">
        <v>345</v>
      </c>
      <c r="K71" s="5">
        <v>18.899999999999999</v>
      </c>
      <c r="L71" s="5">
        <v>396.21</v>
      </c>
      <c r="M71" s="5">
        <v>8.1</v>
      </c>
      <c r="N71" s="5">
        <v>22</v>
      </c>
    </row>
    <row r="72" spans="1:14" x14ac:dyDescent="0.25">
      <c r="A72" s="5">
        <v>0.13553999999999999</v>
      </c>
      <c r="B72" s="5">
        <v>12.5</v>
      </c>
      <c r="C72" s="5">
        <v>6.07</v>
      </c>
      <c r="D72" s="5">
        <v>0</v>
      </c>
      <c r="E72" s="5">
        <v>0.40899999999999997</v>
      </c>
      <c r="F72" s="5">
        <v>5.5940000000000003</v>
      </c>
      <c r="G72" s="5">
        <v>36.799999999999997</v>
      </c>
      <c r="H72" s="5">
        <v>6.4980000000000002</v>
      </c>
      <c r="I72" s="5">
        <v>4</v>
      </c>
      <c r="J72" s="5">
        <v>345</v>
      </c>
      <c r="K72" s="5">
        <v>18.899999999999999</v>
      </c>
      <c r="L72" s="5">
        <v>396.9</v>
      </c>
      <c r="M72" s="5">
        <v>13.09</v>
      </c>
      <c r="N72" s="5">
        <v>17.399999999999999</v>
      </c>
    </row>
    <row r="73" spans="1:14" x14ac:dyDescent="0.25">
      <c r="A73" s="5">
        <v>0.12816</v>
      </c>
      <c r="B73" s="5">
        <v>12.5</v>
      </c>
      <c r="C73" s="5">
        <v>6.07</v>
      </c>
      <c r="D73" s="5">
        <v>0</v>
      </c>
      <c r="E73" s="5">
        <v>0.40899999999999997</v>
      </c>
      <c r="F73" s="5">
        <v>5.8849999999999998</v>
      </c>
      <c r="G73" s="5">
        <v>33</v>
      </c>
      <c r="H73" s="5">
        <v>6.4980000000000002</v>
      </c>
      <c r="I73" s="5">
        <v>4</v>
      </c>
      <c r="J73" s="5">
        <v>345</v>
      </c>
      <c r="K73" s="5">
        <v>18.899999999999999</v>
      </c>
      <c r="L73" s="5">
        <v>396.9</v>
      </c>
      <c r="M73" s="5">
        <v>8.7899999999999991</v>
      </c>
      <c r="N73" s="5">
        <v>20.9</v>
      </c>
    </row>
    <row r="74" spans="1:14" x14ac:dyDescent="0.25">
      <c r="A74" s="5">
        <v>8.8260000000000005E-2</v>
      </c>
      <c r="B74" s="5">
        <v>0</v>
      </c>
      <c r="C74" s="5">
        <v>10.81</v>
      </c>
      <c r="D74" s="5">
        <v>0</v>
      </c>
      <c r="E74" s="5">
        <v>0.41299999999999998</v>
      </c>
      <c r="F74" s="5">
        <v>6.4169999999999998</v>
      </c>
      <c r="G74" s="5">
        <v>6.6</v>
      </c>
      <c r="H74" s="5">
        <v>5.2873000000000001</v>
      </c>
      <c r="I74" s="5">
        <v>4</v>
      </c>
      <c r="J74" s="5">
        <v>305</v>
      </c>
      <c r="K74" s="5">
        <v>19.2</v>
      </c>
      <c r="L74" s="5">
        <v>383.73</v>
      </c>
      <c r="M74" s="5">
        <v>6.72</v>
      </c>
      <c r="N74" s="5">
        <v>24.2</v>
      </c>
    </row>
    <row r="75" spans="1:14" x14ac:dyDescent="0.25">
      <c r="A75" s="5">
        <v>0.15876000000000001</v>
      </c>
      <c r="B75" s="5">
        <v>0</v>
      </c>
      <c r="C75" s="5">
        <v>10.81</v>
      </c>
      <c r="D75" s="5">
        <v>0</v>
      </c>
      <c r="E75" s="5">
        <v>0.41299999999999998</v>
      </c>
      <c r="F75" s="5">
        <v>5.9610000000000003</v>
      </c>
      <c r="G75" s="5">
        <v>17.5</v>
      </c>
      <c r="H75" s="5">
        <v>5.2873000000000001</v>
      </c>
      <c r="I75" s="5">
        <v>4</v>
      </c>
      <c r="J75" s="5">
        <v>305</v>
      </c>
      <c r="K75" s="5">
        <v>19.2</v>
      </c>
      <c r="L75" s="5">
        <v>376.94</v>
      </c>
      <c r="M75" s="5">
        <v>9.8800000000000008</v>
      </c>
      <c r="N75" s="5">
        <v>21.7</v>
      </c>
    </row>
    <row r="76" spans="1:14" x14ac:dyDescent="0.25">
      <c r="A76" s="5">
        <v>9.1639999999999999E-2</v>
      </c>
      <c r="B76" s="5">
        <v>0</v>
      </c>
      <c r="C76" s="5">
        <v>10.81</v>
      </c>
      <c r="D76" s="5">
        <v>0</v>
      </c>
      <c r="E76" s="5">
        <v>0.41299999999999998</v>
      </c>
      <c r="F76" s="5">
        <v>6.0650000000000004</v>
      </c>
      <c r="G76" s="5">
        <v>7.8</v>
      </c>
      <c r="H76" s="5">
        <v>5.2873000000000001</v>
      </c>
      <c r="I76" s="5">
        <v>4</v>
      </c>
      <c r="J76" s="5">
        <v>305</v>
      </c>
      <c r="K76" s="5">
        <v>19.2</v>
      </c>
      <c r="L76" s="5">
        <v>390.91</v>
      </c>
      <c r="M76" s="5">
        <v>5.52</v>
      </c>
      <c r="N76" s="5">
        <v>22.8</v>
      </c>
    </row>
    <row r="77" spans="1:14" x14ac:dyDescent="0.25">
      <c r="A77" s="5">
        <v>0.19539000000000001</v>
      </c>
      <c r="B77" s="5">
        <v>0</v>
      </c>
      <c r="C77" s="5">
        <v>10.81</v>
      </c>
      <c r="D77" s="5">
        <v>0</v>
      </c>
      <c r="E77" s="5">
        <v>0.41299999999999998</v>
      </c>
      <c r="F77" s="5">
        <v>6.2450000000000001</v>
      </c>
      <c r="G77" s="5">
        <v>6.2</v>
      </c>
      <c r="H77" s="5">
        <v>5.2873000000000001</v>
      </c>
      <c r="I77" s="5">
        <v>4</v>
      </c>
      <c r="J77" s="5">
        <v>305</v>
      </c>
      <c r="K77" s="5">
        <v>19.2</v>
      </c>
      <c r="L77" s="5">
        <v>377.17</v>
      </c>
      <c r="M77" s="5">
        <v>7.54</v>
      </c>
      <c r="N77" s="5">
        <v>23.4</v>
      </c>
    </row>
    <row r="78" spans="1:14" x14ac:dyDescent="0.25">
      <c r="A78" s="5">
        <v>7.8960000000000002E-2</v>
      </c>
      <c r="B78" s="5">
        <v>0</v>
      </c>
      <c r="C78" s="5">
        <v>12.83</v>
      </c>
      <c r="D78" s="5">
        <v>0</v>
      </c>
      <c r="E78" s="5">
        <v>0.437</v>
      </c>
      <c r="F78" s="5">
        <v>6.2729999999999997</v>
      </c>
      <c r="G78" s="5">
        <v>6</v>
      </c>
      <c r="H78" s="5">
        <v>4.2515000000000001</v>
      </c>
      <c r="I78" s="5">
        <v>5</v>
      </c>
      <c r="J78" s="5">
        <v>398</v>
      </c>
      <c r="K78" s="5">
        <v>18.7</v>
      </c>
      <c r="L78" s="5">
        <v>394.92</v>
      </c>
      <c r="M78" s="5">
        <v>6.78</v>
      </c>
      <c r="N78" s="5">
        <v>24.1</v>
      </c>
    </row>
    <row r="79" spans="1:14" x14ac:dyDescent="0.25">
      <c r="A79" s="5">
        <v>9.5119999999999996E-2</v>
      </c>
      <c r="B79" s="5">
        <v>0</v>
      </c>
      <c r="C79" s="5">
        <v>12.83</v>
      </c>
      <c r="D79" s="5">
        <v>0</v>
      </c>
      <c r="E79" s="5">
        <v>0.437</v>
      </c>
      <c r="F79" s="5">
        <v>6.2859999999999996</v>
      </c>
      <c r="G79" s="5">
        <v>45</v>
      </c>
      <c r="H79" s="5">
        <v>4.5026000000000002</v>
      </c>
      <c r="I79" s="5">
        <v>5</v>
      </c>
      <c r="J79" s="5">
        <v>398</v>
      </c>
      <c r="K79" s="5">
        <v>18.7</v>
      </c>
      <c r="L79" s="5">
        <v>383.23</v>
      </c>
      <c r="M79" s="5">
        <v>8.94</v>
      </c>
      <c r="N79" s="5">
        <v>21.4</v>
      </c>
    </row>
    <row r="80" spans="1:14" x14ac:dyDescent="0.25">
      <c r="A80" s="5">
        <v>0.10153</v>
      </c>
      <c r="B80" s="5">
        <v>0</v>
      </c>
      <c r="C80" s="5">
        <v>12.83</v>
      </c>
      <c r="D80" s="5">
        <v>0</v>
      </c>
      <c r="E80" s="5">
        <v>0.437</v>
      </c>
      <c r="F80" s="5">
        <v>6.2789999999999999</v>
      </c>
      <c r="G80" s="5">
        <v>74.5</v>
      </c>
      <c r="H80" s="5">
        <v>4.0522</v>
      </c>
      <c r="I80" s="5">
        <v>5</v>
      </c>
      <c r="J80" s="5">
        <v>398</v>
      </c>
      <c r="K80" s="5">
        <v>18.7</v>
      </c>
      <c r="L80" s="5">
        <v>373.66</v>
      </c>
      <c r="M80" s="5">
        <v>11.97</v>
      </c>
      <c r="N80" s="5">
        <v>20</v>
      </c>
    </row>
    <row r="81" spans="1:14" x14ac:dyDescent="0.25">
      <c r="A81" s="5">
        <v>8.7069999999999995E-2</v>
      </c>
      <c r="B81" s="5">
        <v>0</v>
      </c>
      <c r="C81" s="5">
        <v>12.83</v>
      </c>
      <c r="D81" s="5">
        <v>0</v>
      </c>
      <c r="E81" s="5">
        <v>0.437</v>
      </c>
      <c r="F81" s="5">
        <v>6.14</v>
      </c>
      <c r="G81" s="5">
        <v>45.8</v>
      </c>
      <c r="H81" s="5">
        <v>4.0904999999999996</v>
      </c>
      <c r="I81" s="5">
        <v>5</v>
      </c>
      <c r="J81" s="5">
        <v>398</v>
      </c>
      <c r="K81" s="5">
        <v>18.7</v>
      </c>
      <c r="L81" s="5">
        <v>386.96</v>
      </c>
      <c r="M81" s="5">
        <v>10.27</v>
      </c>
      <c r="N81" s="5">
        <v>20.8</v>
      </c>
    </row>
    <row r="82" spans="1:14" x14ac:dyDescent="0.25">
      <c r="A82" s="5">
        <v>5.6460000000000003E-2</v>
      </c>
      <c r="B82" s="5">
        <v>0</v>
      </c>
      <c r="C82" s="5">
        <v>12.83</v>
      </c>
      <c r="D82" s="5">
        <v>0</v>
      </c>
      <c r="E82" s="5">
        <v>0.437</v>
      </c>
      <c r="F82" s="5">
        <v>6.2320000000000002</v>
      </c>
      <c r="G82" s="5">
        <v>53.7</v>
      </c>
      <c r="H82" s="5">
        <v>5.0141</v>
      </c>
      <c r="I82" s="5">
        <v>5</v>
      </c>
      <c r="J82" s="5">
        <v>398</v>
      </c>
      <c r="K82" s="5">
        <v>18.7</v>
      </c>
      <c r="L82" s="5">
        <v>386.4</v>
      </c>
      <c r="M82" s="5">
        <v>12.34</v>
      </c>
      <c r="N82" s="5">
        <v>21.2</v>
      </c>
    </row>
    <row r="83" spans="1:14" x14ac:dyDescent="0.25">
      <c r="A83" s="5">
        <v>8.387E-2</v>
      </c>
      <c r="B83" s="5">
        <v>0</v>
      </c>
      <c r="C83" s="5">
        <v>12.83</v>
      </c>
      <c r="D83" s="5">
        <v>0</v>
      </c>
      <c r="E83" s="5">
        <v>0.437</v>
      </c>
      <c r="F83" s="5">
        <v>5.8739999999999997</v>
      </c>
      <c r="G83" s="5">
        <v>36.6</v>
      </c>
      <c r="H83" s="5">
        <v>4.5026000000000002</v>
      </c>
      <c r="I83" s="5">
        <v>5</v>
      </c>
      <c r="J83" s="5">
        <v>398</v>
      </c>
      <c r="K83" s="5">
        <v>18.7</v>
      </c>
      <c r="L83" s="5">
        <v>396.06</v>
      </c>
      <c r="M83" s="5">
        <v>9.1</v>
      </c>
      <c r="N83" s="5">
        <v>20.3</v>
      </c>
    </row>
    <row r="84" spans="1:14" x14ac:dyDescent="0.25">
      <c r="A84" s="5">
        <v>4.113E-2</v>
      </c>
      <c r="B84" s="5">
        <v>25</v>
      </c>
      <c r="C84" s="5">
        <v>4.8600000000000003</v>
      </c>
      <c r="D84" s="5">
        <v>0</v>
      </c>
      <c r="E84" s="5">
        <v>0.42599999999999999</v>
      </c>
      <c r="F84" s="5">
        <v>6.7270000000000003</v>
      </c>
      <c r="G84" s="5">
        <v>33.5</v>
      </c>
      <c r="H84" s="5">
        <v>5.4006999999999996</v>
      </c>
      <c r="I84" s="5">
        <v>4</v>
      </c>
      <c r="J84" s="5">
        <v>281</v>
      </c>
      <c r="K84" s="5">
        <v>19</v>
      </c>
      <c r="L84" s="5">
        <v>396.9</v>
      </c>
      <c r="M84" s="5">
        <v>5.29</v>
      </c>
      <c r="N84" s="5">
        <v>28</v>
      </c>
    </row>
    <row r="85" spans="1:14" x14ac:dyDescent="0.25">
      <c r="A85" s="5">
        <v>4.462E-2</v>
      </c>
      <c r="B85" s="5">
        <v>25</v>
      </c>
      <c r="C85" s="5">
        <v>4.8600000000000003</v>
      </c>
      <c r="D85" s="5">
        <v>0</v>
      </c>
      <c r="E85" s="5">
        <v>0.42599999999999999</v>
      </c>
      <c r="F85" s="5">
        <v>6.6189999999999998</v>
      </c>
      <c r="G85" s="5">
        <v>70.400000000000006</v>
      </c>
      <c r="H85" s="5">
        <v>5.4006999999999996</v>
      </c>
      <c r="I85" s="5">
        <v>4</v>
      </c>
      <c r="J85" s="5">
        <v>281</v>
      </c>
      <c r="K85" s="5">
        <v>19</v>
      </c>
      <c r="L85" s="5">
        <v>395.63</v>
      </c>
      <c r="M85" s="5">
        <v>7.22</v>
      </c>
      <c r="N85" s="5">
        <v>23.9</v>
      </c>
    </row>
    <row r="86" spans="1:14" x14ac:dyDescent="0.25">
      <c r="A86" s="5">
        <v>3.6589999999999998E-2</v>
      </c>
      <c r="B86" s="5">
        <v>25</v>
      </c>
      <c r="C86" s="5">
        <v>4.8600000000000003</v>
      </c>
      <c r="D86" s="5">
        <v>0</v>
      </c>
      <c r="E86" s="5">
        <v>0.42599999999999999</v>
      </c>
      <c r="F86" s="5">
        <v>6.3019999999999996</v>
      </c>
      <c r="G86" s="5">
        <v>32.200000000000003</v>
      </c>
      <c r="H86" s="5">
        <v>5.4006999999999996</v>
      </c>
      <c r="I86" s="5">
        <v>4</v>
      </c>
      <c r="J86" s="5">
        <v>281</v>
      </c>
      <c r="K86" s="5">
        <v>19</v>
      </c>
      <c r="L86" s="5">
        <v>396.9</v>
      </c>
      <c r="M86" s="5">
        <v>6.72</v>
      </c>
      <c r="N86" s="5">
        <v>24.8</v>
      </c>
    </row>
    <row r="87" spans="1:14" x14ac:dyDescent="0.25">
      <c r="A87" s="5">
        <v>3.551E-2</v>
      </c>
      <c r="B87" s="5">
        <v>25</v>
      </c>
      <c r="C87" s="5">
        <v>4.8600000000000003</v>
      </c>
      <c r="D87" s="5">
        <v>0</v>
      </c>
      <c r="E87" s="5">
        <v>0.42599999999999999</v>
      </c>
      <c r="F87" s="5">
        <v>6.1669999999999998</v>
      </c>
      <c r="G87" s="5">
        <v>46.7</v>
      </c>
      <c r="H87" s="5">
        <v>5.4006999999999996</v>
      </c>
      <c r="I87" s="5">
        <v>4</v>
      </c>
      <c r="J87" s="5">
        <v>281</v>
      </c>
      <c r="K87" s="5">
        <v>19</v>
      </c>
      <c r="L87" s="5">
        <v>390.64</v>
      </c>
      <c r="M87" s="5">
        <v>7.51</v>
      </c>
      <c r="N87" s="5">
        <v>22.9</v>
      </c>
    </row>
    <row r="88" spans="1:14" x14ac:dyDescent="0.25">
      <c r="A88" s="5">
        <v>5.0590000000000003E-2</v>
      </c>
      <c r="B88" s="5">
        <v>0</v>
      </c>
      <c r="C88" s="5">
        <v>4.49</v>
      </c>
      <c r="D88" s="5">
        <v>0</v>
      </c>
      <c r="E88" s="5">
        <v>0.44900000000000001</v>
      </c>
      <c r="F88" s="5">
        <v>6.3890000000000002</v>
      </c>
      <c r="G88" s="5">
        <v>48</v>
      </c>
      <c r="H88" s="5">
        <v>4.7793999999999999</v>
      </c>
      <c r="I88" s="5">
        <v>3</v>
      </c>
      <c r="J88" s="5">
        <v>247</v>
      </c>
      <c r="K88" s="5">
        <v>18.5</v>
      </c>
      <c r="L88" s="5">
        <v>396.9</v>
      </c>
      <c r="M88" s="5">
        <v>9.6199999999999992</v>
      </c>
      <c r="N88" s="5">
        <v>23.9</v>
      </c>
    </row>
    <row r="89" spans="1:14" x14ac:dyDescent="0.25">
      <c r="A89" s="5">
        <v>5.7349999999999998E-2</v>
      </c>
      <c r="B89" s="5">
        <v>0</v>
      </c>
      <c r="C89" s="5">
        <v>4.49</v>
      </c>
      <c r="D89" s="5">
        <v>0</v>
      </c>
      <c r="E89" s="5">
        <v>0.44900000000000001</v>
      </c>
      <c r="F89" s="5">
        <v>6.63</v>
      </c>
      <c r="G89" s="5">
        <v>56.1</v>
      </c>
      <c r="H89" s="5">
        <v>4.4377000000000004</v>
      </c>
      <c r="I89" s="5">
        <v>3</v>
      </c>
      <c r="J89" s="5">
        <v>247</v>
      </c>
      <c r="K89" s="5">
        <v>18.5</v>
      </c>
      <c r="L89" s="5">
        <v>392.3</v>
      </c>
      <c r="M89" s="5">
        <v>6.53</v>
      </c>
      <c r="N89" s="5">
        <v>26.6</v>
      </c>
    </row>
    <row r="90" spans="1:14" x14ac:dyDescent="0.25">
      <c r="A90" s="5">
        <v>5.1880000000000003E-2</v>
      </c>
      <c r="B90" s="5">
        <v>0</v>
      </c>
      <c r="C90" s="5">
        <v>4.49</v>
      </c>
      <c r="D90" s="5">
        <v>0</v>
      </c>
      <c r="E90" s="5">
        <v>0.44900000000000001</v>
      </c>
      <c r="F90" s="5">
        <v>6.0149999999999997</v>
      </c>
      <c r="G90" s="5">
        <v>45.1</v>
      </c>
      <c r="H90" s="5">
        <v>4.4272</v>
      </c>
      <c r="I90" s="5">
        <v>3</v>
      </c>
      <c r="J90" s="5">
        <v>247</v>
      </c>
      <c r="K90" s="5">
        <v>18.5</v>
      </c>
      <c r="L90" s="5">
        <v>395.99</v>
      </c>
      <c r="M90" s="5">
        <v>12.86</v>
      </c>
      <c r="N90" s="5">
        <v>22.5</v>
      </c>
    </row>
    <row r="91" spans="1:14" x14ac:dyDescent="0.25">
      <c r="A91" s="5">
        <v>7.1510000000000004E-2</v>
      </c>
      <c r="B91" s="5">
        <v>0</v>
      </c>
      <c r="C91" s="5">
        <v>4.49</v>
      </c>
      <c r="D91" s="5">
        <v>0</v>
      </c>
      <c r="E91" s="5">
        <v>0.44900000000000001</v>
      </c>
      <c r="F91" s="5">
        <v>6.1210000000000004</v>
      </c>
      <c r="G91" s="5">
        <v>56.8</v>
      </c>
      <c r="H91" s="5">
        <v>3.7475999999999998</v>
      </c>
      <c r="I91" s="5">
        <v>3</v>
      </c>
      <c r="J91" s="5">
        <v>247</v>
      </c>
      <c r="K91" s="5">
        <v>18.5</v>
      </c>
      <c r="L91" s="5">
        <v>395.15</v>
      </c>
      <c r="M91" s="5">
        <v>8.44</v>
      </c>
      <c r="N91" s="5">
        <v>22.2</v>
      </c>
    </row>
    <row r="92" spans="1:14" x14ac:dyDescent="0.25">
      <c r="A92" s="5">
        <v>5.6599999999999998E-2</v>
      </c>
      <c r="B92" s="5">
        <v>0</v>
      </c>
      <c r="C92" s="5">
        <v>3.41</v>
      </c>
      <c r="D92" s="5">
        <v>0</v>
      </c>
      <c r="E92" s="5">
        <v>0.48899999999999999</v>
      </c>
      <c r="F92" s="5">
        <v>7.0069999999999997</v>
      </c>
      <c r="G92" s="5">
        <v>86.3</v>
      </c>
      <c r="H92" s="5">
        <v>3.4217</v>
      </c>
      <c r="I92" s="5">
        <v>2</v>
      </c>
      <c r="J92" s="5">
        <v>270</v>
      </c>
      <c r="K92" s="5">
        <v>17.8</v>
      </c>
      <c r="L92" s="5">
        <v>396.9</v>
      </c>
      <c r="M92" s="5">
        <v>5.5</v>
      </c>
      <c r="N92" s="5">
        <v>23.6</v>
      </c>
    </row>
    <row r="93" spans="1:14" x14ac:dyDescent="0.25">
      <c r="A93" s="5">
        <v>5.3019999999999998E-2</v>
      </c>
      <c r="B93" s="5">
        <v>0</v>
      </c>
      <c r="C93" s="5">
        <v>3.41</v>
      </c>
      <c r="D93" s="5">
        <v>0</v>
      </c>
      <c r="E93" s="5">
        <v>0.48899999999999999</v>
      </c>
      <c r="F93" s="5">
        <v>7.0789999999999997</v>
      </c>
      <c r="G93" s="5">
        <v>63.1</v>
      </c>
      <c r="H93" s="5">
        <v>3.4144999999999999</v>
      </c>
      <c r="I93" s="5">
        <v>2</v>
      </c>
      <c r="J93" s="5">
        <v>270</v>
      </c>
      <c r="K93" s="5">
        <v>17.8</v>
      </c>
      <c r="L93" s="5">
        <v>396.06</v>
      </c>
      <c r="M93" s="5">
        <v>5.7</v>
      </c>
      <c r="N93" s="5">
        <v>28.7</v>
      </c>
    </row>
    <row r="94" spans="1:14" x14ac:dyDescent="0.25">
      <c r="A94" s="5">
        <v>4.684E-2</v>
      </c>
      <c r="B94" s="5">
        <v>0</v>
      </c>
      <c r="C94" s="5">
        <v>3.41</v>
      </c>
      <c r="D94" s="5">
        <v>0</v>
      </c>
      <c r="E94" s="5">
        <v>0.48899999999999999</v>
      </c>
      <c r="F94" s="5">
        <v>6.4169999999999998</v>
      </c>
      <c r="G94" s="5">
        <v>66.099999999999994</v>
      </c>
      <c r="H94" s="5">
        <v>3.0922999999999998</v>
      </c>
      <c r="I94" s="5">
        <v>2</v>
      </c>
      <c r="J94" s="5">
        <v>270</v>
      </c>
      <c r="K94" s="5">
        <v>17.8</v>
      </c>
      <c r="L94" s="5">
        <v>392.18</v>
      </c>
      <c r="M94" s="5">
        <v>8.81</v>
      </c>
      <c r="N94" s="5">
        <v>22.6</v>
      </c>
    </row>
    <row r="95" spans="1:14" x14ac:dyDescent="0.25">
      <c r="A95" s="5">
        <v>3.9320000000000001E-2</v>
      </c>
      <c r="B95" s="5">
        <v>0</v>
      </c>
      <c r="C95" s="5">
        <v>3.41</v>
      </c>
      <c r="D95" s="5">
        <v>0</v>
      </c>
      <c r="E95" s="5">
        <v>0.48899999999999999</v>
      </c>
      <c r="F95" s="5">
        <v>6.4050000000000002</v>
      </c>
      <c r="G95" s="5">
        <v>73.900000000000006</v>
      </c>
      <c r="H95" s="5">
        <v>3.0920999999999998</v>
      </c>
      <c r="I95" s="5">
        <v>2</v>
      </c>
      <c r="J95" s="5">
        <v>270</v>
      </c>
      <c r="K95" s="5">
        <v>17.8</v>
      </c>
      <c r="L95" s="5">
        <v>393.55</v>
      </c>
      <c r="M95" s="5">
        <v>8.1999999999999993</v>
      </c>
      <c r="N95" s="5">
        <v>22</v>
      </c>
    </row>
    <row r="96" spans="1:14" x14ac:dyDescent="0.25">
      <c r="A96" s="5">
        <v>4.2029999999999998E-2</v>
      </c>
      <c r="B96" s="5">
        <v>28</v>
      </c>
      <c r="C96" s="5">
        <v>15.04</v>
      </c>
      <c r="D96" s="5">
        <v>0</v>
      </c>
      <c r="E96" s="5">
        <v>0.46400000000000002</v>
      </c>
      <c r="F96" s="5">
        <v>6.4420000000000002</v>
      </c>
      <c r="G96" s="5">
        <v>53.6</v>
      </c>
      <c r="H96" s="5">
        <v>3.6659000000000002</v>
      </c>
      <c r="I96" s="5">
        <v>4</v>
      </c>
      <c r="J96" s="5">
        <v>270</v>
      </c>
      <c r="K96" s="5">
        <v>18.2</v>
      </c>
      <c r="L96" s="5">
        <v>395.01</v>
      </c>
      <c r="M96" s="5">
        <v>8.16</v>
      </c>
      <c r="N96" s="5">
        <v>22.9</v>
      </c>
    </row>
    <row r="97" spans="1:14" x14ac:dyDescent="0.25">
      <c r="A97" s="5">
        <v>2.8750000000000001E-2</v>
      </c>
      <c r="B97" s="5">
        <v>28</v>
      </c>
      <c r="C97" s="5">
        <v>15.04</v>
      </c>
      <c r="D97" s="5">
        <v>0</v>
      </c>
      <c r="E97" s="5">
        <v>0.46400000000000002</v>
      </c>
      <c r="F97" s="5">
        <v>6.2110000000000003</v>
      </c>
      <c r="G97" s="5">
        <v>28.9</v>
      </c>
      <c r="H97" s="5">
        <v>3.6659000000000002</v>
      </c>
      <c r="I97" s="5">
        <v>4</v>
      </c>
      <c r="J97" s="5">
        <v>270</v>
      </c>
      <c r="K97" s="5">
        <v>18.2</v>
      </c>
      <c r="L97" s="5">
        <v>396.33</v>
      </c>
      <c r="M97" s="5">
        <v>6.21</v>
      </c>
      <c r="N97" s="5">
        <v>25</v>
      </c>
    </row>
    <row r="98" spans="1:14" x14ac:dyDescent="0.25">
      <c r="A98" s="5">
        <v>4.2939999999999999E-2</v>
      </c>
      <c r="B98" s="5">
        <v>28</v>
      </c>
      <c r="C98" s="5">
        <v>15.04</v>
      </c>
      <c r="D98" s="5">
        <v>0</v>
      </c>
      <c r="E98" s="5">
        <v>0.46400000000000002</v>
      </c>
      <c r="F98" s="5">
        <v>6.2489999999999997</v>
      </c>
      <c r="G98" s="5">
        <v>77.3</v>
      </c>
      <c r="H98" s="5">
        <v>3.6150000000000002</v>
      </c>
      <c r="I98" s="5">
        <v>4</v>
      </c>
      <c r="J98" s="5">
        <v>270</v>
      </c>
      <c r="K98" s="5">
        <v>18.2</v>
      </c>
      <c r="L98" s="5">
        <v>396.9</v>
      </c>
      <c r="M98" s="5">
        <v>10.59</v>
      </c>
      <c r="N98" s="5">
        <v>20.6</v>
      </c>
    </row>
    <row r="99" spans="1:14" x14ac:dyDescent="0.25">
      <c r="A99" s="5">
        <v>0.12204</v>
      </c>
      <c r="B99" s="5">
        <v>0</v>
      </c>
      <c r="C99" s="5">
        <v>2.89</v>
      </c>
      <c r="D99" s="5">
        <v>0</v>
      </c>
      <c r="E99" s="5">
        <v>0.44500000000000001</v>
      </c>
      <c r="F99" s="5">
        <v>6.625</v>
      </c>
      <c r="G99" s="5">
        <v>57.8</v>
      </c>
      <c r="H99" s="5">
        <v>3.4952000000000001</v>
      </c>
      <c r="I99" s="5">
        <v>2</v>
      </c>
      <c r="J99" s="5">
        <v>276</v>
      </c>
      <c r="K99" s="5">
        <v>18</v>
      </c>
      <c r="L99" s="5">
        <v>357.98</v>
      </c>
      <c r="M99" s="5">
        <v>6.65</v>
      </c>
      <c r="N99" s="5">
        <v>28.4</v>
      </c>
    </row>
    <row r="100" spans="1:14" x14ac:dyDescent="0.25">
      <c r="A100" s="5">
        <v>0.11504</v>
      </c>
      <c r="B100" s="5">
        <v>0</v>
      </c>
      <c r="C100" s="5">
        <v>2.89</v>
      </c>
      <c r="D100" s="5">
        <v>0</v>
      </c>
      <c r="E100" s="5">
        <v>0.44500000000000001</v>
      </c>
      <c r="F100" s="5">
        <v>6.1630000000000003</v>
      </c>
      <c r="G100" s="5">
        <v>69.599999999999994</v>
      </c>
      <c r="H100" s="5">
        <v>3.4952000000000001</v>
      </c>
      <c r="I100" s="5">
        <v>2</v>
      </c>
      <c r="J100" s="5">
        <v>276</v>
      </c>
      <c r="K100" s="5">
        <v>18</v>
      </c>
      <c r="L100" s="5">
        <v>391.83</v>
      </c>
      <c r="M100" s="5">
        <v>11.34</v>
      </c>
      <c r="N100" s="5">
        <v>21.4</v>
      </c>
    </row>
    <row r="101" spans="1:14" x14ac:dyDescent="0.25">
      <c r="A101" s="5">
        <v>0.12083000000000001</v>
      </c>
      <c r="B101" s="5">
        <v>0</v>
      </c>
      <c r="C101" s="5">
        <v>2.89</v>
      </c>
      <c r="D101" s="5">
        <v>0</v>
      </c>
      <c r="E101" s="5">
        <v>0.44500000000000001</v>
      </c>
      <c r="F101" s="5">
        <v>8.0690000000000008</v>
      </c>
      <c r="G101" s="5">
        <v>76</v>
      </c>
      <c r="H101" s="5">
        <v>3.4952000000000001</v>
      </c>
      <c r="I101" s="5">
        <v>2</v>
      </c>
      <c r="J101" s="5">
        <v>276</v>
      </c>
      <c r="K101" s="5">
        <v>18</v>
      </c>
      <c r="L101" s="5">
        <v>396.9</v>
      </c>
      <c r="M101" s="5">
        <v>4.21</v>
      </c>
      <c r="N101" s="5">
        <v>38.700000000000003</v>
      </c>
    </row>
    <row r="102" spans="1:14" x14ac:dyDescent="0.25">
      <c r="A102" s="5">
        <v>8.1869999999999998E-2</v>
      </c>
      <c r="B102" s="5">
        <v>0</v>
      </c>
      <c r="C102" s="5">
        <v>2.89</v>
      </c>
      <c r="D102" s="5">
        <v>0</v>
      </c>
      <c r="E102" s="5">
        <v>0.44500000000000001</v>
      </c>
      <c r="F102" s="5">
        <v>7.82</v>
      </c>
      <c r="G102" s="5">
        <v>36.9</v>
      </c>
      <c r="H102" s="5">
        <v>3.4952000000000001</v>
      </c>
      <c r="I102" s="5">
        <v>2</v>
      </c>
      <c r="J102" s="5">
        <v>276</v>
      </c>
      <c r="K102" s="5">
        <v>18</v>
      </c>
      <c r="L102" s="5">
        <v>393.53</v>
      </c>
      <c r="M102" s="5">
        <v>3.57</v>
      </c>
      <c r="N102" s="5">
        <v>43.8</v>
      </c>
    </row>
    <row r="103" spans="1:14" x14ac:dyDescent="0.25">
      <c r="A103" s="5">
        <v>6.8599999999999994E-2</v>
      </c>
      <c r="B103" s="5">
        <v>0</v>
      </c>
      <c r="C103" s="5">
        <v>2.89</v>
      </c>
      <c r="D103" s="5">
        <v>0</v>
      </c>
      <c r="E103" s="5">
        <v>0.44500000000000001</v>
      </c>
      <c r="F103" s="5">
        <v>7.4160000000000004</v>
      </c>
      <c r="G103" s="5">
        <v>62.5</v>
      </c>
      <c r="H103" s="5">
        <v>3.4952000000000001</v>
      </c>
      <c r="I103" s="5">
        <v>2</v>
      </c>
      <c r="J103" s="5">
        <v>276</v>
      </c>
      <c r="K103" s="5">
        <v>18</v>
      </c>
      <c r="L103" s="5">
        <v>396.9</v>
      </c>
      <c r="M103" s="5">
        <v>6.19</v>
      </c>
      <c r="N103" s="5">
        <v>33.200000000000003</v>
      </c>
    </row>
    <row r="104" spans="1:14" x14ac:dyDescent="0.25">
      <c r="A104" s="5">
        <v>0.14865999999999999</v>
      </c>
      <c r="B104" s="5">
        <v>0</v>
      </c>
      <c r="C104" s="5">
        <v>8.56</v>
      </c>
      <c r="D104" s="5">
        <v>0</v>
      </c>
      <c r="E104" s="5">
        <v>0.52</v>
      </c>
      <c r="F104" s="5">
        <v>6.7270000000000003</v>
      </c>
      <c r="G104" s="5">
        <v>79.900000000000006</v>
      </c>
      <c r="H104" s="5">
        <v>2.7778</v>
      </c>
      <c r="I104" s="5">
        <v>5</v>
      </c>
      <c r="J104" s="5">
        <v>384</v>
      </c>
      <c r="K104" s="5">
        <v>20.9</v>
      </c>
      <c r="L104" s="5">
        <v>394.76</v>
      </c>
      <c r="M104" s="5">
        <v>9.42</v>
      </c>
      <c r="N104" s="5">
        <v>27.5</v>
      </c>
    </row>
    <row r="105" spans="1:14" x14ac:dyDescent="0.25">
      <c r="A105" s="5">
        <v>0.11432</v>
      </c>
      <c r="B105" s="5">
        <v>0</v>
      </c>
      <c r="C105" s="5">
        <v>8.56</v>
      </c>
      <c r="D105" s="5">
        <v>0</v>
      </c>
      <c r="E105" s="5">
        <v>0.52</v>
      </c>
      <c r="F105" s="5">
        <v>6.7809999999999997</v>
      </c>
      <c r="G105" s="5">
        <v>71.3</v>
      </c>
      <c r="H105" s="5">
        <v>2.8561000000000001</v>
      </c>
      <c r="I105" s="5">
        <v>5</v>
      </c>
      <c r="J105" s="5">
        <v>384</v>
      </c>
      <c r="K105" s="5">
        <v>20.9</v>
      </c>
      <c r="L105" s="5">
        <v>395.58</v>
      </c>
      <c r="M105" s="5">
        <v>7.67</v>
      </c>
      <c r="N105" s="5">
        <v>26.5</v>
      </c>
    </row>
    <row r="106" spans="1:14" x14ac:dyDescent="0.25">
      <c r="A106" s="5">
        <v>0.22875999999999999</v>
      </c>
      <c r="B106" s="5">
        <v>0</v>
      </c>
      <c r="C106" s="5">
        <v>8.56</v>
      </c>
      <c r="D106" s="5">
        <v>0</v>
      </c>
      <c r="E106" s="5">
        <v>0.52</v>
      </c>
      <c r="F106" s="5">
        <v>6.4050000000000002</v>
      </c>
      <c r="G106" s="5">
        <v>85.4</v>
      </c>
      <c r="H106" s="5">
        <v>2.7147000000000001</v>
      </c>
      <c r="I106" s="5">
        <v>5</v>
      </c>
      <c r="J106" s="5">
        <v>384</v>
      </c>
      <c r="K106" s="5">
        <v>20.9</v>
      </c>
      <c r="L106" s="5">
        <v>70.8</v>
      </c>
      <c r="M106" s="5">
        <v>10.63</v>
      </c>
      <c r="N106" s="5">
        <v>18.600000000000001</v>
      </c>
    </row>
    <row r="107" spans="1:14" x14ac:dyDescent="0.25">
      <c r="A107" s="5">
        <v>0.21160999999999999</v>
      </c>
      <c r="B107" s="5">
        <v>0</v>
      </c>
      <c r="C107" s="5">
        <v>8.56</v>
      </c>
      <c r="D107" s="5">
        <v>0</v>
      </c>
      <c r="E107" s="5">
        <v>0.52</v>
      </c>
      <c r="F107" s="5">
        <v>6.1369999999999996</v>
      </c>
      <c r="G107" s="5">
        <v>87.4</v>
      </c>
      <c r="H107" s="5">
        <v>2.7147000000000001</v>
      </c>
      <c r="I107" s="5">
        <v>5</v>
      </c>
      <c r="J107" s="5">
        <v>384</v>
      </c>
      <c r="K107" s="5">
        <v>20.9</v>
      </c>
      <c r="L107" s="5">
        <v>394.47</v>
      </c>
      <c r="M107" s="5">
        <v>13.44</v>
      </c>
      <c r="N107" s="5">
        <v>19.3</v>
      </c>
    </row>
    <row r="108" spans="1:14" x14ac:dyDescent="0.25">
      <c r="A108" s="5">
        <v>0.1396</v>
      </c>
      <c r="B108" s="5">
        <v>0</v>
      </c>
      <c r="C108" s="5">
        <v>8.56</v>
      </c>
      <c r="D108" s="5">
        <v>0</v>
      </c>
      <c r="E108" s="5">
        <v>0.52</v>
      </c>
      <c r="F108" s="5">
        <v>6.1669999999999998</v>
      </c>
      <c r="G108" s="5">
        <v>90</v>
      </c>
      <c r="H108" s="5">
        <v>2.4209999999999998</v>
      </c>
      <c r="I108" s="5">
        <v>5</v>
      </c>
      <c r="J108" s="5">
        <v>384</v>
      </c>
      <c r="K108" s="5">
        <v>20.9</v>
      </c>
      <c r="L108" s="5">
        <v>392.69</v>
      </c>
      <c r="M108" s="5">
        <v>12.33</v>
      </c>
      <c r="N108" s="5">
        <v>20.100000000000001</v>
      </c>
    </row>
    <row r="109" spans="1:14" x14ac:dyDescent="0.25">
      <c r="A109" s="5">
        <v>0.13261999999999999</v>
      </c>
      <c r="B109" s="5">
        <v>0</v>
      </c>
      <c r="C109" s="5">
        <v>8.56</v>
      </c>
      <c r="D109" s="5">
        <v>0</v>
      </c>
      <c r="E109" s="5">
        <v>0.52</v>
      </c>
      <c r="F109" s="5">
        <v>5.851</v>
      </c>
      <c r="G109" s="5">
        <v>96.7</v>
      </c>
      <c r="H109" s="5">
        <v>2.1069</v>
      </c>
      <c r="I109" s="5">
        <v>5</v>
      </c>
      <c r="J109" s="5">
        <v>384</v>
      </c>
      <c r="K109" s="5">
        <v>20.9</v>
      </c>
      <c r="L109" s="5">
        <v>394.05</v>
      </c>
      <c r="M109" s="5">
        <v>16.47</v>
      </c>
      <c r="N109" s="5">
        <v>19.5</v>
      </c>
    </row>
    <row r="110" spans="1:14" x14ac:dyDescent="0.25">
      <c r="A110" s="5">
        <v>0.17119999999999999</v>
      </c>
      <c r="B110" s="5">
        <v>0</v>
      </c>
      <c r="C110" s="5">
        <v>8.56</v>
      </c>
      <c r="D110" s="5">
        <v>0</v>
      </c>
      <c r="E110" s="5">
        <v>0.52</v>
      </c>
      <c r="F110" s="5">
        <v>5.8360000000000003</v>
      </c>
      <c r="G110" s="5">
        <v>91.9</v>
      </c>
      <c r="H110" s="5">
        <v>2.2109999999999999</v>
      </c>
      <c r="I110" s="5">
        <v>5</v>
      </c>
      <c r="J110" s="5">
        <v>384</v>
      </c>
      <c r="K110" s="5">
        <v>20.9</v>
      </c>
      <c r="L110" s="5">
        <v>395.67</v>
      </c>
      <c r="M110" s="5">
        <v>18.66</v>
      </c>
      <c r="N110" s="5">
        <v>19.5</v>
      </c>
    </row>
    <row r="111" spans="1:14" x14ac:dyDescent="0.25">
      <c r="A111" s="5">
        <v>0.13117000000000001</v>
      </c>
      <c r="B111" s="5">
        <v>0</v>
      </c>
      <c r="C111" s="5">
        <v>8.56</v>
      </c>
      <c r="D111" s="5">
        <v>0</v>
      </c>
      <c r="E111" s="5">
        <v>0.52</v>
      </c>
      <c r="F111" s="5">
        <v>6.1269999999999998</v>
      </c>
      <c r="G111" s="5">
        <v>85.2</v>
      </c>
      <c r="H111" s="5">
        <v>2.1223999999999998</v>
      </c>
      <c r="I111" s="5">
        <v>5</v>
      </c>
      <c r="J111" s="5">
        <v>384</v>
      </c>
      <c r="K111" s="5">
        <v>20.9</v>
      </c>
      <c r="L111" s="5">
        <v>387.69</v>
      </c>
      <c r="M111" s="5">
        <v>14.09</v>
      </c>
      <c r="N111" s="5">
        <v>20.399999999999999</v>
      </c>
    </row>
    <row r="112" spans="1:14" x14ac:dyDescent="0.25">
      <c r="A112" s="5">
        <v>0.12801999999999999</v>
      </c>
      <c r="B112" s="5">
        <v>0</v>
      </c>
      <c r="C112" s="5">
        <v>8.56</v>
      </c>
      <c r="D112" s="5">
        <v>0</v>
      </c>
      <c r="E112" s="5">
        <v>0.52</v>
      </c>
      <c r="F112" s="5">
        <v>6.4740000000000002</v>
      </c>
      <c r="G112" s="5">
        <v>97.1</v>
      </c>
      <c r="H112" s="5">
        <v>2.4329000000000001</v>
      </c>
      <c r="I112" s="5">
        <v>5</v>
      </c>
      <c r="J112" s="5">
        <v>384</v>
      </c>
      <c r="K112" s="5">
        <v>20.9</v>
      </c>
      <c r="L112" s="5">
        <v>395.24</v>
      </c>
      <c r="M112" s="5">
        <v>12.27</v>
      </c>
      <c r="N112" s="5">
        <v>19.8</v>
      </c>
    </row>
    <row r="113" spans="1:14" x14ac:dyDescent="0.25">
      <c r="A113" s="5">
        <v>0.26362999999999998</v>
      </c>
      <c r="B113" s="5">
        <v>0</v>
      </c>
      <c r="C113" s="5">
        <v>8.56</v>
      </c>
      <c r="D113" s="5">
        <v>0</v>
      </c>
      <c r="E113" s="5">
        <v>0.52</v>
      </c>
      <c r="F113" s="5">
        <v>6.2290000000000001</v>
      </c>
      <c r="G113" s="5">
        <v>91.2</v>
      </c>
      <c r="H113" s="5">
        <v>2.5451000000000001</v>
      </c>
      <c r="I113" s="5">
        <v>5</v>
      </c>
      <c r="J113" s="5">
        <v>384</v>
      </c>
      <c r="K113" s="5">
        <v>20.9</v>
      </c>
      <c r="L113" s="5">
        <v>391.23</v>
      </c>
      <c r="M113" s="5">
        <v>15.55</v>
      </c>
      <c r="N113" s="5">
        <v>19.399999999999999</v>
      </c>
    </row>
    <row r="114" spans="1:14" x14ac:dyDescent="0.25">
      <c r="A114" s="5">
        <v>0.10793</v>
      </c>
      <c r="B114" s="5">
        <v>0</v>
      </c>
      <c r="C114" s="5">
        <v>8.56</v>
      </c>
      <c r="D114" s="5">
        <v>0</v>
      </c>
      <c r="E114" s="5">
        <v>0.52</v>
      </c>
      <c r="F114" s="5">
        <v>6.1950000000000003</v>
      </c>
      <c r="G114" s="5">
        <v>54.4</v>
      </c>
      <c r="H114" s="5">
        <v>2.7778</v>
      </c>
      <c r="I114" s="5">
        <v>5</v>
      </c>
      <c r="J114" s="5">
        <v>384</v>
      </c>
      <c r="K114" s="5">
        <v>20.9</v>
      </c>
      <c r="L114" s="5">
        <v>393.49</v>
      </c>
      <c r="M114" s="5">
        <v>13</v>
      </c>
      <c r="N114" s="5">
        <v>21.7</v>
      </c>
    </row>
    <row r="115" spans="1:14" x14ac:dyDescent="0.25">
      <c r="A115" s="5">
        <v>0.10084</v>
      </c>
      <c r="B115" s="5">
        <v>0</v>
      </c>
      <c r="C115" s="5">
        <v>10.01</v>
      </c>
      <c r="D115" s="5">
        <v>0</v>
      </c>
      <c r="E115" s="5">
        <v>0.54700000000000004</v>
      </c>
      <c r="F115" s="5">
        <v>6.7149999999999999</v>
      </c>
      <c r="G115" s="5">
        <v>81.599999999999994</v>
      </c>
      <c r="H115" s="5">
        <v>2.6775000000000002</v>
      </c>
      <c r="I115" s="5">
        <v>6</v>
      </c>
      <c r="J115" s="5">
        <v>432</v>
      </c>
      <c r="K115" s="5">
        <v>17.8</v>
      </c>
      <c r="L115" s="5">
        <v>395.59</v>
      </c>
      <c r="M115" s="5">
        <v>10.16</v>
      </c>
      <c r="N115" s="5">
        <v>22.8</v>
      </c>
    </row>
    <row r="116" spans="1:14" x14ac:dyDescent="0.25">
      <c r="A116" s="5">
        <v>0.12329</v>
      </c>
      <c r="B116" s="5">
        <v>0</v>
      </c>
      <c r="C116" s="5">
        <v>10.01</v>
      </c>
      <c r="D116" s="5">
        <v>0</v>
      </c>
      <c r="E116" s="5">
        <v>0.54700000000000004</v>
      </c>
      <c r="F116" s="5">
        <v>5.9130000000000003</v>
      </c>
      <c r="G116" s="5">
        <v>92.9</v>
      </c>
      <c r="H116" s="5">
        <v>2.3534000000000002</v>
      </c>
      <c r="I116" s="5">
        <v>6</v>
      </c>
      <c r="J116" s="5">
        <v>432</v>
      </c>
      <c r="K116" s="5">
        <v>17.8</v>
      </c>
      <c r="L116" s="5">
        <v>394.95</v>
      </c>
      <c r="M116" s="5">
        <v>16.21</v>
      </c>
      <c r="N116" s="5">
        <v>18.8</v>
      </c>
    </row>
    <row r="117" spans="1:14" x14ac:dyDescent="0.25">
      <c r="A117" s="5">
        <v>0.22212000000000001</v>
      </c>
      <c r="B117" s="5">
        <v>0</v>
      </c>
      <c r="C117" s="5">
        <v>10.01</v>
      </c>
      <c r="D117" s="5">
        <v>0</v>
      </c>
      <c r="E117" s="5">
        <v>0.54700000000000004</v>
      </c>
      <c r="F117" s="5">
        <v>6.0919999999999996</v>
      </c>
      <c r="G117" s="5">
        <v>95.4</v>
      </c>
      <c r="H117" s="5">
        <v>2.548</v>
      </c>
      <c r="I117" s="5">
        <v>6</v>
      </c>
      <c r="J117" s="5">
        <v>432</v>
      </c>
      <c r="K117" s="5">
        <v>17.8</v>
      </c>
      <c r="L117" s="5">
        <v>396.9</v>
      </c>
      <c r="M117" s="5">
        <v>17.09</v>
      </c>
      <c r="N117" s="5">
        <v>18.7</v>
      </c>
    </row>
    <row r="118" spans="1:14" x14ac:dyDescent="0.25">
      <c r="A118" s="5">
        <v>0.14230999999999999</v>
      </c>
      <c r="B118" s="5">
        <v>0</v>
      </c>
      <c r="C118" s="5">
        <v>10.01</v>
      </c>
      <c r="D118" s="5">
        <v>0</v>
      </c>
      <c r="E118" s="5">
        <v>0.54700000000000004</v>
      </c>
      <c r="F118" s="5">
        <v>6.2539999999999996</v>
      </c>
      <c r="G118" s="5">
        <v>84.2</v>
      </c>
      <c r="H118" s="5">
        <v>2.2565</v>
      </c>
      <c r="I118" s="5">
        <v>6</v>
      </c>
      <c r="J118" s="5">
        <v>432</v>
      </c>
      <c r="K118" s="5">
        <v>17.8</v>
      </c>
      <c r="L118" s="5">
        <v>388.74</v>
      </c>
      <c r="M118" s="5">
        <v>10.45</v>
      </c>
      <c r="N118" s="5">
        <v>18.5</v>
      </c>
    </row>
    <row r="119" spans="1:14" x14ac:dyDescent="0.25">
      <c r="A119" s="5">
        <v>0.17133999999999999</v>
      </c>
      <c r="B119" s="5">
        <v>0</v>
      </c>
      <c r="C119" s="5">
        <v>10.01</v>
      </c>
      <c r="D119" s="5">
        <v>0</v>
      </c>
      <c r="E119" s="5">
        <v>0.54700000000000004</v>
      </c>
      <c r="F119" s="5">
        <v>5.9279999999999999</v>
      </c>
      <c r="G119" s="5">
        <v>88.2</v>
      </c>
      <c r="H119" s="5">
        <v>2.4630999999999998</v>
      </c>
      <c r="I119" s="5">
        <v>6</v>
      </c>
      <c r="J119" s="5">
        <v>432</v>
      </c>
      <c r="K119" s="5">
        <v>17.8</v>
      </c>
      <c r="L119" s="5">
        <v>344.91</v>
      </c>
      <c r="M119" s="5">
        <v>15.76</v>
      </c>
      <c r="N119" s="5">
        <v>18.3</v>
      </c>
    </row>
    <row r="120" spans="1:14" x14ac:dyDescent="0.25">
      <c r="A120" s="5">
        <v>0.13158</v>
      </c>
      <c r="B120" s="5">
        <v>0</v>
      </c>
      <c r="C120" s="5">
        <v>10.01</v>
      </c>
      <c r="D120" s="5">
        <v>0</v>
      </c>
      <c r="E120" s="5">
        <v>0.54700000000000004</v>
      </c>
      <c r="F120" s="5">
        <v>6.1760000000000002</v>
      </c>
      <c r="G120" s="5">
        <v>72.5</v>
      </c>
      <c r="H120" s="5">
        <v>2.7301000000000002</v>
      </c>
      <c r="I120" s="5">
        <v>6</v>
      </c>
      <c r="J120" s="5">
        <v>432</v>
      </c>
      <c r="K120" s="5">
        <v>17.8</v>
      </c>
      <c r="L120" s="5">
        <v>393.3</v>
      </c>
      <c r="M120" s="5">
        <v>12.04</v>
      </c>
      <c r="N120" s="5">
        <v>21.2</v>
      </c>
    </row>
    <row r="121" spans="1:14" x14ac:dyDescent="0.25">
      <c r="A121" s="5">
        <v>0.15098</v>
      </c>
      <c r="B121" s="5">
        <v>0</v>
      </c>
      <c r="C121" s="5">
        <v>10.01</v>
      </c>
      <c r="D121" s="5">
        <v>0</v>
      </c>
      <c r="E121" s="5">
        <v>0.54700000000000004</v>
      </c>
      <c r="F121" s="5">
        <v>6.0209999999999999</v>
      </c>
      <c r="G121" s="5">
        <v>82.6</v>
      </c>
      <c r="H121" s="5">
        <v>2.7473999999999998</v>
      </c>
      <c r="I121" s="5">
        <v>6</v>
      </c>
      <c r="J121" s="5">
        <v>432</v>
      </c>
      <c r="K121" s="5">
        <v>17.8</v>
      </c>
      <c r="L121" s="5">
        <v>394.51</v>
      </c>
      <c r="M121" s="5">
        <v>10.3</v>
      </c>
      <c r="N121" s="5">
        <v>19.2</v>
      </c>
    </row>
    <row r="122" spans="1:14" x14ac:dyDescent="0.25">
      <c r="A122" s="5">
        <v>0.13058</v>
      </c>
      <c r="B122" s="5">
        <v>0</v>
      </c>
      <c r="C122" s="5">
        <v>10.01</v>
      </c>
      <c r="D122" s="5">
        <v>0</v>
      </c>
      <c r="E122" s="5">
        <v>0.54700000000000004</v>
      </c>
      <c r="F122" s="5">
        <v>5.8719999999999999</v>
      </c>
      <c r="G122" s="5">
        <v>73.099999999999994</v>
      </c>
      <c r="H122" s="5">
        <v>2.4775</v>
      </c>
      <c r="I122" s="5">
        <v>6</v>
      </c>
      <c r="J122" s="5">
        <v>432</v>
      </c>
      <c r="K122" s="5">
        <v>17.8</v>
      </c>
      <c r="L122" s="5">
        <v>338.63</v>
      </c>
      <c r="M122" s="5">
        <v>15.37</v>
      </c>
      <c r="N122" s="5">
        <v>20.399999999999999</v>
      </c>
    </row>
    <row r="123" spans="1:14" x14ac:dyDescent="0.25">
      <c r="A123" s="5">
        <v>0.14476</v>
      </c>
      <c r="B123" s="5">
        <v>0</v>
      </c>
      <c r="C123" s="5">
        <v>10.01</v>
      </c>
      <c r="D123" s="5">
        <v>0</v>
      </c>
      <c r="E123" s="5">
        <v>0.54700000000000004</v>
      </c>
      <c r="F123" s="5">
        <v>5.7309999999999999</v>
      </c>
      <c r="G123" s="5">
        <v>65.2</v>
      </c>
      <c r="H123" s="5">
        <v>2.7591999999999999</v>
      </c>
      <c r="I123" s="5">
        <v>6</v>
      </c>
      <c r="J123" s="5">
        <v>432</v>
      </c>
      <c r="K123" s="5">
        <v>17.8</v>
      </c>
      <c r="L123" s="5">
        <v>391.5</v>
      </c>
      <c r="M123" s="5">
        <v>13.61</v>
      </c>
      <c r="N123" s="5">
        <v>19.3</v>
      </c>
    </row>
    <row r="124" spans="1:14" x14ac:dyDescent="0.25">
      <c r="A124" s="5">
        <v>6.8989999999999996E-2</v>
      </c>
      <c r="B124" s="5">
        <v>0</v>
      </c>
      <c r="C124" s="5">
        <v>25.65</v>
      </c>
      <c r="D124" s="5">
        <v>0</v>
      </c>
      <c r="E124" s="5">
        <v>0.58099999999999996</v>
      </c>
      <c r="F124" s="5">
        <v>5.87</v>
      </c>
      <c r="G124" s="5">
        <v>69.7</v>
      </c>
      <c r="H124" s="5">
        <v>2.2576999999999998</v>
      </c>
      <c r="I124" s="5">
        <v>2</v>
      </c>
      <c r="J124" s="5">
        <v>188</v>
      </c>
      <c r="K124" s="5">
        <v>19.100000000000001</v>
      </c>
      <c r="L124" s="5">
        <v>389.15</v>
      </c>
      <c r="M124" s="5">
        <v>14.37</v>
      </c>
      <c r="N124" s="5">
        <v>22</v>
      </c>
    </row>
    <row r="125" spans="1:14" x14ac:dyDescent="0.25">
      <c r="A125" s="5">
        <v>7.1650000000000005E-2</v>
      </c>
      <c r="B125" s="5">
        <v>0</v>
      </c>
      <c r="C125" s="5">
        <v>25.65</v>
      </c>
      <c r="D125" s="5">
        <v>0</v>
      </c>
      <c r="E125" s="5">
        <v>0.58099999999999996</v>
      </c>
      <c r="F125" s="5">
        <v>6.0039999999999996</v>
      </c>
      <c r="G125" s="5">
        <v>84.1</v>
      </c>
      <c r="H125" s="5">
        <v>2.1974</v>
      </c>
      <c r="I125" s="5">
        <v>2</v>
      </c>
      <c r="J125" s="5">
        <v>188</v>
      </c>
      <c r="K125" s="5">
        <v>19.100000000000001</v>
      </c>
      <c r="L125" s="5">
        <v>377.67</v>
      </c>
      <c r="M125" s="5">
        <v>14.27</v>
      </c>
      <c r="N125" s="5">
        <v>20.3</v>
      </c>
    </row>
    <row r="126" spans="1:14" x14ac:dyDescent="0.25">
      <c r="A126" s="5">
        <v>9.2990000000000003E-2</v>
      </c>
      <c r="B126" s="5">
        <v>0</v>
      </c>
      <c r="C126" s="5">
        <v>25.65</v>
      </c>
      <c r="D126" s="5">
        <v>0</v>
      </c>
      <c r="E126" s="5">
        <v>0.58099999999999996</v>
      </c>
      <c r="F126" s="5">
        <v>5.9610000000000003</v>
      </c>
      <c r="G126" s="5">
        <v>92.9</v>
      </c>
      <c r="H126" s="5">
        <v>2.0869</v>
      </c>
      <c r="I126" s="5">
        <v>2</v>
      </c>
      <c r="J126" s="5">
        <v>188</v>
      </c>
      <c r="K126" s="5">
        <v>19.100000000000001</v>
      </c>
      <c r="L126" s="5">
        <v>378.09</v>
      </c>
      <c r="M126" s="5">
        <v>17.93</v>
      </c>
      <c r="N126" s="5">
        <v>20.5</v>
      </c>
    </row>
    <row r="127" spans="1:14" x14ac:dyDescent="0.25">
      <c r="A127" s="5">
        <v>0.15038000000000001</v>
      </c>
      <c r="B127" s="5">
        <v>0</v>
      </c>
      <c r="C127" s="5">
        <v>25.65</v>
      </c>
      <c r="D127" s="5">
        <v>0</v>
      </c>
      <c r="E127" s="5">
        <v>0.58099999999999996</v>
      </c>
      <c r="F127" s="5">
        <v>5.8559999999999999</v>
      </c>
      <c r="G127" s="5">
        <v>97</v>
      </c>
      <c r="H127" s="5">
        <v>1.9443999999999999</v>
      </c>
      <c r="I127" s="5">
        <v>2</v>
      </c>
      <c r="J127" s="5">
        <v>188</v>
      </c>
      <c r="K127" s="5">
        <v>19.100000000000001</v>
      </c>
      <c r="L127" s="5">
        <v>370.31</v>
      </c>
      <c r="M127" s="5">
        <v>25.41</v>
      </c>
      <c r="N127" s="5">
        <v>17.3</v>
      </c>
    </row>
    <row r="128" spans="1:14" x14ac:dyDescent="0.25">
      <c r="A128" s="5">
        <v>9.8489999999999994E-2</v>
      </c>
      <c r="B128" s="5">
        <v>0</v>
      </c>
      <c r="C128" s="5">
        <v>25.65</v>
      </c>
      <c r="D128" s="5">
        <v>0</v>
      </c>
      <c r="E128" s="5">
        <v>0.58099999999999996</v>
      </c>
      <c r="F128" s="5">
        <v>5.8789999999999996</v>
      </c>
      <c r="G128" s="5">
        <v>95.8</v>
      </c>
      <c r="H128" s="5">
        <v>2.0063</v>
      </c>
      <c r="I128" s="5">
        <v>2</v>
      </c>
      <c r="J128" s="5">
        <v>188</v>
      </c>
      <c r="K128" s="5">
        <v>19.100000000000001</v>
      </c>
      <c r="L128" s="5">
        <v>379.38</v>
      </c>
      <c r="M128" s="5">
        <v>17.579999999999998</v>
      </c>
      <c r="N128" s="5">
        <v>18.8</v>
      </c>
    </row>
    <row r="129" spans="1:14" x14ac:dyDescent="0.25">
      <c r="A129" s="5">
        <v>0.16902</v>
      </c>
      <c r="B129" s="5">
        <v>0</v>
      </c>
      <c r="C129" s="5">
        <v>25.65</v>
      </c>
      <c r="D129" s="5">
        <v>0</v>
      </c>
      <c r="E129" s="5">
        <v>0.58099999999999996</v>
      </c>
      <c r="F129" s="5">
        <v>5.9859999999999998</v>
      </c>
      <c r="G129" s="5">
        <v>88.4</v>
      </c>
      <c r="H129" s="5">
        <v>1.9928999999999999</v>
      </c>
      <c r="I129" s="5">
        <v>2</v>
      </c>
      <c r="J129" s="5">
        <v>188</v>
      </c>
      <c r="K129" s="5">
        <v>19.100000000000001</v>
      </c>
      <c r="L129" s="5">
        <v>385.02</v>
      </c>
      <c r="M129" s="5">
        <v>14.81</v>
      </c>
      <c r="N129" s="5">
        <v>21.4</v>
      </c>
    </row>
    <row r="130" spans="1:14" x14ac:dyDescent="0.25">
      <c r="A130" s="5">
        <v>0.38735000000000003</v>
      </c>
      <c r="B130" s="5">
        <v>0</v>
      </c>
      <c r="C130" s="5">
        <v>25.65</v>
      </c>
      <c r="D130" s="5">
        <v>0</v>
      </c>
      <c r="E130" s="5">
        <v>0.58099999999999996</v>
      </c>
      <c r="F130" s="5">
        <v>5.6130000000000004</v>
      </c>
      <c r="G130" s="5">
        <v>95.6</v>
      </c>
      <c r="H130" s="5">
        <v>1.7572000000000001</v>
      </c>
      <c r="I130" s="5">
        <v>2</v>
      </c>
      <c r="J130" s="5">
        <v>188</v>
      </c>
      <c r="K130" s="5">
        <v>19.100000000000001</v>
      </c>
      <c r="L130" s="5">
        <v>359.29</v>
      </c>
      <c r="M130" s="5">
        <v>27.26</v>
      </c>
      <c r="N130" s="5">
        <v>15.7</v>
      </c>
    </row>
    <row r="131" spans="1:14" x14ac:dyDescent="0.25">
      <c r="A131" s="5">
        <v>0.25914999999999999</v>
      </c>
      <c r="B131" s="5">
        <v>0</v>
      </c>
      <c r="C131" s="5">
        <v>21.89</v>
      </c>
      <c r="D131" s="5">
        <v>0</v>
      </c>
      <c r="E131" s="5">
        <v>0.624</v>
      </c>
      <c r="F131" s="5">
        <v>5.6929999999999996</v>
      </c>
      <c r="G131" s="5">
        <v>96</v>
      </c>
      <c r="H131" s="5">
        <v>1.7883</v>
      </c>
      <c r="I131" s="5">
        <v>4</v>
      </c>
      <c r="J131" s="5">
        <v>437</v>
      </c>
      <c r="K131" s="5">
        <v>21.2</v>
      </c>
      <c r="L131" s="5">
        <v>392.11</v>
      </c>
      <c r="M131" s="5">
        <v>17.190000000000001</v>
      </c>
      <c r="N131" s="5">
        <v>16.2</v>
      </c>
    </row>
    <row r="132" spans="1:14" x14ac:dyDescent="0.25">
      <c r="A132" s="5">
        <v>0.32543</v>
      </c>
      <c r="B132" s="5">
        <v>0</v>
      </c>
      <c r="C132" s="5">
        <v>21.89</v>
      </c>
      <c r="D132" s="5">
        <v>0</v>
      </c>
      <c r="E132" s="5">
        <v>0.624</v>
      </c>
      <c r="F132" s="5">
        <v>6.431</v>
      </c>
      <c r="G132" s="5">
        <v>98.8</v>
      </c>
      <c r="H132" s="5">
        <v>1.8125</v>
      </c>
      <c r="I132" s="5">
        <v>4</v>
      </c>
      <c r="J132" s="5">
        <v>437</v>
      </c>
      <c r="K132" s="5">
        <v>21.2</v>
      </c>
      <c r="L132" s="5">
        <v>396.9</v>
      </c>
      <c r="M132" s="5">
        <v>15.39</v>
      </c>
      <c r="N132" s="5">
        <v>18</v>
      </c>
    </row>
    <row r="133" spans="1:14" x14ac:dyDescent="0.25">
      <c r="A133" s="5">
        <v>0.88124999999999998</v>
      </c>
      <c r="B133" s="5">
        <v>0</v>
      </c>
      <c r="C133" s="5">
        <v>21.89</v>
      </c>
      <c r="D133" s="5">
        <v>0</v>
      </c>
      <c r="E133" s="5">
        <v>0.624</v>
      </c>
      <c r="F133" s="5">
        <v>5.6369999999999996</v>
      </c>
      <c r="G133" s="5">
        <v>94.7</v>
      </c>
      <c r="H133" s="5">
        <v>1.9799</v>
      </c>
      <c r="I133" s="5">
        <v>4</v>
      </c>
      <c r="J133" s="5">
        <v>437</v>
      </c>
      <c r="K133" s="5">
        <v>21.2</v>
      </c>
      <c r="L133" s="5">
        <v>396.9</v>
      </c>
      <c r="M133" s="5">
        <v>18.34</v>
      </c>
      <c r="N133" s="5">
        <v>14.3</v>
      </c>
    </row>
    <row r="134" spans="1:14" x14ac:dyDescent="0.25">
      <c r="A134" s="5">
        <v>0.34005999999999997</v>
      </c>
      <c r="B134" s="5">
        <v>0</v>
      </c>
      <c r="C134" s="5">
        <v>21.89</v>
      </c>
      <c r="D134" s="5">
        <v>0</v>
      </c>
      <c r="E134" s="5">
        <v>0.624</v>
      </c>
      <c r="F134" s="5">
        <v>6.4580000000000002</v>
      </c>
      <c r="G134" s="5">
        <v>98.9</v>
      </c>
      <c r="H134" s="5">
        <v>2.1185</v>
      </c>
      <c r="I134" s="5">
        <v>4</v>
      </c>
      <c r="J134" s="5">
        <v>437</v>
      </c>
      <c r="K134" s="5">
        <v>21.2</v>
      </c>
      <c r="L134" s="5">
        <v>395.04</v>
      </c>
      <c r="M134" s="5">
        <v>12.6</v>
      </c>
      <c r="N134" s="5">
        <v>19.2</v>
      </c>
    </row>
    <row r="135" spans="1:14" x14ac:dyDescent="0.25">
      <c r="A135" s="5">
        <v>1.1929399999999999</v>
      </c>
      <c r="B135" s="5">
        <v>0</v>
      </c>
      <c r="C135" s="5">
        <v>21.89</v>
      </c>
      <c r="D135" s="5">
        <v>0</v>
      </c>
      <c r="E135" s="5">
        <v>0.624</v>
      </c>
      <c r="F135" s="5">
        <v>6.3259999999999996</v>
      </c>
      <c r="G135" s="5">
        <v>97.7</v>
      </c>
      <c r="H135" s="5">
        <v>2.2709999999999999</v>
      </c>
      <c r="I135" s="5">
        <v>4</v>
      </c>
      <c r="J135" s="5">
        <v>437</v>
      </c>
      <c r="K135" s="5">
        <v>21.2</v>
      </c>
      <c r="L135" s="5">
        <v>396.9</v>
      </c>
      <c r="M135" s="5">
        <v>12.26</v>
      </c>
      <c r="N135" s="5">
        <v>19.600000000000001</v>
      </c>
    </row>
    <row r="136" spans="1:14" x14ac:dyDescent="0.25">
      <c r="A136" s="5">
        <v>0.59004999999999996</v>
      </c>
      <c r="B136" s="5">
        <v>0</v>
      </c>
      <c r="C136" s="5">
        <v>21.89</v>
      </c>
      <c r="D136" s="5">
        <v>0</v>
      </c>
      <c r="E136" s="5">
        <v>0.624</v>
      </c>
      <c r="F136" s="5">
        <v>6.3719999999999999</v>
      </c>
      <c r="G136" s="5">
        <v>97.9</v>
      </c>
      <c r="H136" s="5">
        <v>2.3273999999999999</v>
      </c>
      <c r="I136" s="5">
        <v>4</v>
      </c>
      <c r="J136" s="5">
        <v>437</v>
      </c>
      <c r="K136" s="5">
        <v>21.2</v>
      </c>
      <c r="L136" s="5">
        <v>385.76</v>
      </c>
      <c r="M136" s="5">
        <v>11.12</v>
      </c>
      <c r="N136" s="5">
        <v>23</v>
      </c>
    </row>
    <row r="137" spans="1:14" x14ac:dyDescent="0.25">
      <c r="A137" s="5">
        <v>0.32982</v>
      </c>
      <c r="B137" s="5">
        <v>0</v>
      </c>
      <c r="C137" s="5">
        <v>21.89</v>
      </c>
      <c r="D137" s="5">
        <v>0</v>
      </c>
      <c r="E137" s="5">
        <v>0.624</v>
      </c>
      <c r="F137" s="5">
        <v>5.8220000000000001</v>
      </c>
      <c r="G137" s="5">
        <v>95.4</v>
      </c>
      <c r="H137" s="5">
        <v>2.4699</v>
      </c>
      <c r="I137" s="5">
        <v>4</v>
      </c>
      <c r="J137" s="5">
        <v>437</v>
      </c>
      <c r="K137" s="5">
        <v>21.2</v>
      </c>
      <c r="L137" s="5">
        <v>388.69</v>
      </c>
      <c r="M137" s="5">
        <v>15.03</v>
      </c>
      <c r="N137" s="5">
        <v>18.399999999999999</v>
      </c>
    </row>
    <row r="138" spans="1:14" x14ac:dyDescent="0.25">
      <c r="A138" s="5">
        <v>0.97616999999999998</v>
      </c>
      <c r="B138" s="5">
        <v>0</v>
      </c>
      <c r="C138" s="5">
        <v>21.89</v>
      </c>
      <c r="D138" s="5">
        <v>0</v>
      </c>
      <c r="E138" s="5">
        <v>0.624</v>
      </c>
      <c r="F138" s="5">
        <v>5.7569999999999997</v>
      </c>
      <c r="G138" s="5">
        <v>98.4</v>
      </c>
      <c r="H138" s="5">
        <v>2.3460000000000001</v>
      </c>
      <c r="I138" s="5">
        <v>4</v>
      </c>
      <c r="J138" s="5">
        <v>437</v>
      </c>
      <c r="K138" s="5">
        <v>21.2</v>
      </c>
      <c r="L138" s="5">
        <v>262.76</v>
      </c>
      <c r="M138" s="5">
        <v>17.309999999999999</v>
      </c>
      <c r="N138" s="5">
        <v>15.6</v>
      </c>
    </row>
    <row r="139" spans="1:14" x14ac:dyDescent="0.25">
      <c r="A139" s="5">
        <v>0.55778000000000005</v>
      </c>
      <c r="B139" s="5">
        <v>0</v>
      </c>
      <c r="C139" s="5">
        <v>21.89</v>
      </c>
      <c r="D139" s="5">
        <v>0</v>
      </c>
      <c r="E139" s="5">
        <v>0.624</v>
      </c>
      <c r="F139" s="5">
        <v>6.335</v>
      </c>
      <c r="G139" s="5">
        <v>98.2</v>
      </c>
      <c r="H139" s="5">
        <v>2.1107</v>
      </c>
      <c r="I139" s="5">
        <v>4</v>
      </c>
      <c r="J139" s="5">
        <v>437</v>
      </c>
      <c r="K139" s="5">
        <v>21.2</v>
      </c>
      <c r="L139" s="5">
        <v>394.67</v>
      </c>
      <c r="M139" s="5">
        <v>16.96</v>
      </c>
      <c r="N139" s="5">
        <v>18.100000000000001</v>
      </c>
    </row>
    <row r="140" spans="1:14" x14ac:dyDescent="0.25">
      <c r="A140" s="5">
        <v>0.32263999999999998</v>
      </c>
      <c r="B140" s="5">
        <v>0</v>
      </c>
      <c r="C140" s="5">
        <v>21.89</v>
      </c>
      <c r="D140" s="5">
        <v>0</v>
      </c>
      <c r="E140" s="5">
        <v>0.624</v>
      </c>
      <c r="F140" s="5">
        <v>5.9420000000000002</v>
      </c>
      <c r="G140" s="5">
        <v>93.5</v>
      </c>
      <c r="H140" s="5">
        <v>1.9669000000000001</v>
      </c>
      <c r="I140" s="5">
        <v>4</v>
      </c>
      <c r="J140" s="5">
        <v>437</v>
      </c>
      <c r="K140" s="5">
        <v>21.2</v>
      </c>
      <c r="L140" s="5">
        <v>378.25</v>
      </c>
      <c r="M140" s="5">
        <v>16.899999999999999</v>
      </c>
      <c r="N140" s="5">
        <v>17.399999999999999</v>
      </c>
    </row>
    <row r="141" spans="1:14" x14ac:dyDescent="0.25">
      <c r="A141" s="5">
        <v>0.35232999999999998</v>
      </c>
      <c r="B141" s="5">
        <v>0</v>
      </c>
      <c r="C141" s="5">
        <v>21.89</v>
      </c>
      <c r="D141" s="5">
        <v>0</v>
      </c>
      <c r="E141" s="5">
        <v>0.624</v>
      </c>
      <c r="F141" s="5">
        <v>6.4539999999999997</v>
      </c>
      <c r="G141" s="5">
        <v>98.4</v>
      </c>
      <c r="H141" s="5">
        <v>1.8498000000000001</v>
      </c>
      <c r="I141" s="5">
        <v>4</v>
      </c>
      <c r="J141" s="5">
        <v>437</v>
      </c>
      <c r="K141" s="5">
        <v>21.2</v>
      </c>
      <c r="L141" s="5">
        <v>394.08</v>
      </c>
      <c r="M141" s="5">
        <v>14.59</v>
      </c>
      <c r="N141" s="5">
        <v>17.100000000000001</v>
      </c>
    </row>
    <row r="142" spans="1:14" x14ac:dyDescent="0.25">
      <c r="A142" s="5">
        <v>0.24979999999999999</v>
      </c>
      <c r="B142" s="5">
        <v>0</v>
      </c>
      <c r="C142" s="5">
        <v>21.89</v>
      </c>
      <c r="D142" s="5">
        <v>0</v>
      </c>
      <c r="E142" s="5">
        <v>0.624</v>
      </c>
      <c r="F142" s="5">
        <v>5.8570000000000002</v>
      </c>
      <c r="G142" s="5">
        <v>98.2</v>
      </c>
      <c r="H142" s="5">
        <v>1.6686000000000001</v>
      </c>
      <c r="I142" s="5">
        <v>4</v>
      </c>
      <c r="J142" s="5">
        <v>437</v>
      </c>
      <c r="K142" s="5">
        <v>21.2</v>
      </c>
      <c r="L142" s="5">
        <v>392.04</v>
      </c>
      <c r="M142" s="5">
        <v>21.32</v>
      </c>
      <c r="N142" s="5">
        <v>13.3</v>
      </c>
    </row>
    <row r="143" spans="1:14" x14ac:dyDescent="0.25">
      <c r="A143" s="5">
        <v>0.54452</v>
      </c>
      <c r="B143" s="5">
        <v>0</v>
      </c>
      <c r="C143" s="5">
        <v>21.89</v>
      </c>
      <c r="D143" s="5">
        <v>0</v>
      </c>
      <c r="E143" s="5">
        <v>0.624</v>
      </c>
      <c r="F143" s="5">
        <v>6.1509999999999998</v>
      </c>
      <c r="G143" s="5">
        <v>97.9</v>
      </c>
      <c r="H143" s="5">
        <v>1.6687000000000001</v>
      </c>
      <c r="I143" s="5">
        <v>4</v>
      </c>
      <c r="J143" s="5">
        <v>437</v>
      </c>
      <c r="K143" s="5">
        <v>21.2</v>
      </c>
      <c r="L143" s="5">
        <v>396.9</v>
      </c>
      <c r="M143" s="5">
        <v>18.46</v>
      </c>
      <c r="N143" s="5">
        <v>17.8</v>
      </c>
    </row>
    <row r="144" spans="1:14" x14ac:dyDescent="0.25">
      <c r="A144" s="5">
        <v>0.29089999999999999</v>
      </c>
      <c r="B144" s="5">
        <v>0</v>
      </c>
      <c r="C144" s="5">
        <v>21.89</v>
      </c>
      <c r="D144" s="5">
        <v>0</v>
      </c>
      <c r="E144" s="5">
        <v>0.624</v>
      </c>
      <c r="F144" s="5">
        <v>6.1740000000000004</v>
      </c>
      <c r="G144" s="5">
        <v>93.6</v>
      </c>
      <c r="H144" s="5">
        <v>1.6119000000000001</v>
      </c>
      <c r="I144" s="5">
        <v>4</v>
      </c>
      <c r="J144" s="5">
        <v>437</v>
      </c>
      <c r="K144" s="5">
        <v>21.2</v>
      </c>
      <c r="L144" s="5">
        <v>388.08</v>
      </c>
      <c r="M144" s="5">
        <v>24.16</v>
      </c>
      <c r="N144" s="5">
        <v>14</v>
      </c>
    </row>
    <row r="145" spans="1:14" x14ac:dyDescent="0.25">
      <c r="A145" s="5">
        <v>1.6286400000000001</v>
      </c>
      <c r="B145" s="5">
        <v>0</v>
      </c>
      <c r="C145" s="5">
        <v>21.89</v>
      </c>
      <c r="D145" s="5">
        <v>0</v>
      </c>
      <c r="E145" s="5">
        <v>0.624</v>
      </c>
      <c r="F145" s="5">
        <v>5.0190000000000001</v>
      </c>
      <c r="G145" s="5">
        <v>100</v>
      </c>
      <c r="H145" s="5">
        <v>1.4394</v>
      </c>
      <c r="I145" s="5">
        <v>4</v>
      </c>
      <c r="J145" s="5">
        <v>437</v>
      </c>
      <c r="K145" s="5">
        <v>21.2</v>
      </c>
      <c r="L145" s="5">
        <v>396.9</v>
      </c>
      <c r="M145" s="5">
        <v>34.409999999999997</v>
      </c>
      <c r="N145" s="5">
        <v>14.4</v>
      </c>
    </row>
    <row r="146" spans="1:14" x14ac:dyDescent="0.25">
      <c r="A146" s="5">
        <v>3.3210500000000001</v>
      </c>
      <c r="B146" s="5">
        <v>0</v>
      </c>
      <c r="C146" s="5">
        <v>19.579999999999998</v>
      </c>
      <c r="D146" s="5">
        <v>1</v>
      </c>
      <c r="E146" s="5">
        <v>0.871</v>
      </c>
      <c r="F146" s="5">
        <v>5.4029999999999996</v>
      </c>
      <c r="G146" s="5">
        <v>100</v>
      </c>
      <c r="H146" s="5">
        <v>1.3216000000000001</v>
      </c>
      <c r="I146" s="5">
        <v>5</v>
      </c>
      <c r="J146" s="5">
        <v>403</v>
      </c>
      <c r="K146" s="5">
        <v>14.7</v>
      </c>
      <c r="L146" s="5">
        <v>396.9</v>
      </c>
      <c r="M146" s="5">
        <v>26.82</v>
      </c>
      <c r="N146" s="5">
        <v>13.4</v>
      </c>
    </row>
    <row r="147" spans="1:14" x14ac:dyDescent="0.25">
      <c r="A147" s="5">
        <v>4.0974000000000004</v>
      </c>
      <c r="B147" s="5">
        <v>0</v>
      </c>
      <c r="C147" s="5">
        <v>19.579999999999998</v>
      </c>
      <c r="D147" s="5">
        <v>0</v>
      </c>
      <c r="E147" s="5">
        <v>0.871</v>
      </c>
      <c r="F147" s="5">
        <v>5.468</v>
      </c>
      <c r="G147" s="5">
        <v>100</v>
      </c>
      <c r="H147" s="5">
        <v>1.4117999999999999</v>
      </c>
      <c r="I147" s="5">
        <v>5</v>
      </c>
      <c r="J147" s="5">
        <v>403</v>
      </c>
      <c r="K147" s="5">
        <v>14.7</v>
      </c>
      <c r="L147" s="5">
        <v>396.9</v>
      </c>
      <c r="M147" s="5">
        <v>26.42</v>
      </c>
      <c r="N147" s="5">
        <v>15.6</v>
      </c>
    </row>
    <row r="148" spans="1:14" x14ac:dyDescent="0.25">
      <c r="A148" s="5">
        <v>2.7797399999999999</v>
      </c>
      <c r="B148" s="5">
        <v>0</v>
      </c>
      <c r="C148" s="5">
        <v>19.579999999999998</v>
      </c>
      <c r="D148" s="5">
        <v>0</v>
      </c>
      <c r="E148" s="5">
        <v>0.871</v>
      </c>
      <c r="F148" s="5">
        <v>4.9029999999999996</v>
      </c>
      <c r="G148" s="5">
        <v>97.8</v>
      </c>
      <c r="H148" s="5">
        <v>1.3459000000000001</v>
      </c>
      <c r="I148" s="5">
        <v>5</v>
      </c>
      <c r="J148" s="5">
        <v>403</v>
      </c>
      <c r="K148" s="5">
        <v>14.7</v>
      </c>
      <c r="L148" s="5">
        <v>396.9</v>
      </c>
      <c r="M148" s="5">
        <v>29.29</v>
      </c>
      <c r="N148" s="5">
        <v>11.8</v>
      </c>
    </row>
    <row r="149" spans="1:14" x14ac:dyDescent="0.25">
      <c r="A149" s="5">
        <v>2.37934</v>
      </c>
      <c r="B149" s="5">
        <v>0</v>
      </c>
      <c r="C149" s="5">
        <v>19.579999999999998</v>
      </c>
      <c r="D149" s="5">
        <v>0</v>
      </c>
      <c r="E149" s="5">
        <v>0.871</v>
      </c>
      <c r="F149" s="5">
        <v>6.13</v>
      </c>
      <c r="G149" s="5">
        <v>100</v>
      </c>
      <c r="H149" s="5">
        <v>1.4191</v>
      </c>
      <c r="I149" s="5">
        <v>5</v>
      </c>
      <c r="J149" s="5">
        <v>403</v>
      </c>
      <c r="K149" s="5">
        <v>14.7</v>
      </c>
      <c r="L149" s="5">
        <v>172.91</v>
      </c>
      <c r="M149" s="5">
        <v>27.8</v>
      </c>
      <c r="N149" s="5">
        <v>13.8</v>
      </c>
    </row>
    <row r="150" spans="1:14" x14ac:dyDescent="0.25">
      <c r="A150" s="5">
        <v>2.1550500000000001</v>
      </c>
      <c r="B150" s="5">
        <v>0</v>
      </c>
      <c r="C150" s="5">
        <v>19.579999999999998</v>
      </c>
      <c r="D150" s="5">
        <v>0</v>
      </c>
      <c r="E150" s="5">
        <v>0.871</v>
      </c>
      <c r="F150" s="5">
        <v>5.6280000000000001</v>
      </c>
      <c r="G150" s="5">
        <v>100</v>
      </c>
      <c r="H150" s="5">
        <v>1.5165999999999999</v>
      </c>
      <c r="I150" s="5">
        <v>5</v>
      </c>
      <c r="J150" s="5">
        <v>403</v>
      </c>
      <c r="K150" s="5">
        <v>14.7</v>
      </c>
      <c r="L150" s="5">
        <v>169.27</v>
      </c>
      <c r="M150" s="5">
        <v>16.649999999999999</v>
      </c>
      <c r="N150" s="5">
        <v>15.6</v>
      </c>
    </row>
    <row r="151" spans="1:14" x14ac:dyDescent="0.25">
      <c r="A151" s="5">
        <v>2.3686199999999999</v>
      </c>
      <c r="B151" s="5">
        <v>0</v>
      </c>
      <c r="C151" s="5">
        <v>19.579999999999998</v>
      </c>
      <c r="D151" s="5">
        <v>0</v>
      </c>
      <c r="E151" s="5">
        <v>0.871</v>
      </c>
      <c r="F151" s="5">
        <v>4.9260000000000002</v>
      </c>
      <c r="G151" s="5">
        <v>95.7</v>
      </c>
      <c r="H151" s="5">
        <v>1.4608000000000001</v>
      </c>
      <c r="I151" s="5">
        <v>5</v>
      </c>
      <c r="J151" s="5">
        <v>403</v>
      </c>
      <c r="K151" s="5">
        <v>14.7</v>
      </c>
      <c r="L151" s="5">
        <v>391.71</v>
      </c>
      <c r="M151" s="5">
        <v>29.53</v>
      </c>
      <c r="N151" s="5">
        <v>14.6</v>
      </c>
    </row>
    <row r="152" spans="1:14" x14ac:dyDescent="0.25">
      <c r="A152" s="5">
        <v>2.3309899999999999</v>
      </c>
      <c r="B152" s="5">
        <v>0</v>
      </c>
      <c r="C152" s="5">
        <v>19.579999999999998</v>
      </c>
      <c r="D152" s="5">
        <v>0</v>
      </c>
      <c r="E152" s="5">
        <v>0.871</v>
      </c>
      <c r="F152" s="5">
        <v>5.1859999999999999</v>
      </c>
      <c r="G152" s="5">
        <v>93.8</v>
      </c>
      <c r="H152" s="5">
        <v>1.5296000000000001</v>
      </c>
      <c r="I152" s="5">
        <v>5</v>
      </c>
      <c r="J152" s="5">
        <v>403</v>
      </c>
      <c r="K152" s="5">
        <v>14.7</v>
      </c>
      <c r="L152" s="5">
        <v>356.99</v>
      </c>
      <c r="M152" s="5">
        <v>28.32</v>
      </c>
      <c r="N152" s="5">
        <v>17.8</v>
      </c>
    </row>
    <row r="153" spans="1:14" x14ac:dyDescent="0.25">
      <c r="A153" s="5">
        <v>2.7339699999999998</v>
      </c>
      <c r="B153" s="5">
        <v>0</v>
      </c>
      <c r="C153" s="5">
        <v>19.579999999999998</v>
      </c>
      <c r="D153" s="5">
        <v>0</v>
      </c>
      <c r="E153" s="5">
        <v>0.871</v>
      </c>
      <c r="F153" s="5">
        <v>5.5970000000000004</v>
      </c>
      <c r="G153" s="5">
        <v>94.9</v>
      </c>
      <c r="H153" s="5">
        <v>1.5257000000000001</v>
      </c>
      <c r="I153" s="5">
        <v>5</v>
      </c>
      <c r="J153" s="5">
        <v>403</v>
      </c>
      <c r="K153" s="5">
        <v>14.7</v>
      </c>
      <c r="L153" s="5">
        <v>351.85</v>
      </c>
      <c r="M153" s="5">
        <v>21.45</v>
      </c>
      <c r="N153" s="5">
        <v>15.4</v>
      </c>
    </row>
    <row r="154" spans="1:14" x14ac:dyDescent="0.25">
      <c r="A154" s="5">
        <v>1.6566000000000001</v>
      </c>
      <c r="B154" s="5">
        <v>0</v>
      </c>
      <c r="C154" s="5">
        <v>19.579999999999998</v>
      </c>
      <c r="D154" s="5">
        <v>0</v>
      </c>
      <c r="E154" s="5">
        <v>0.871</v>
      </c>
      <c r="F154" s="5">
        <v>6.1219999999999999</v>
      </c>
      <c r="G154" s="5">
        <v>97.3</v>
      </c>
      <c r="H154" s="5">
        <v>1.6180000000000001</v>
      </c>
      <c r="I154" s="5">
        <v>5</v>
      </c>
      <c r="J154" s="5">
        <v>403</v>
      </c>
      <c r="K154" s="5">
        <v>14.7</v>
      </c>
      <c r="L154" s="5">
        <v>372.8</v>
      </c>
      <c r="M154" s="5">
        <v>14.1</v>
      </c>
      <c r="N154" s="5">
        <v>21.5</v>
      </c>
    </row>
    <row r="155" spans="1:14" x14ac:dyDescent="0.25">
      <c r="A155" s="5">
        <v>1.4963200000000001</v>
      </c>
      <c r="B155" s="5">
        <v>0</v>
      </c>
      <c r="C155" s="5">
        <v>19.579999999999998</v>
      </c>
      <c r="D155" s="5">
        <v>0</v>
      </c>
      <c r="E155" s="5">
        <v>0.871</v>
      </c>
      <c r="F155" s="5">
        <v>5.4039999999999999</v>
      </c>
      <c r="G155" s="5">
        <v>100</v>
      </c>
      <c r="H155" s="5">
        <v>1.5915999999999999</v>
      </c>
      <c r="I155" s="5">
        <v>5</v>
      </c>
      <c r="J155" s="5">
        <v>403</v>
      </c>
      <c r="K155" s="5">
        <v>14.7</v>
      </c>
      <c r="L155" s="5">
        <v>341.6</v>
      </c>
      <c r="M155" s="5">
        <v>13.28</v>
      </c>
      <c r="N155" s="5">
        <v>19.600000000000001</v>
      </c>
    </row>
    <row r="156" spans="1:14" x14ac:dyDescent="0.25">
      <c r="A156" s="5">
        <v>1.1265799999999999</v>
      </c>
      <c r="B156" s="5">
        <v>0</v>
      </c>
      <c r="C156" s="5">
        <v>19.579999999999998</v>
      </c>
      <c r="D156" s="5">
        <v>1</v>
      </c>
      <c r="E156" s="5">
        <v>0.871</v>
      </c>
      <c r="F156" s="5">
        <v>5.0119999999999996</v>
      </c>
      <c r="G156" s="5">
        <v>88</v>
      </c>
      <c r="H156" s="5">
        <v>1.6102000000000001</v>
      </c>
      <c r="I156" s="5">
        <v>5</v>
      </c>
      <c r="J156" s="5">
        <v>403</v>
      </c>
      <c r="K156" s="5">
        <v>14.7</v>
      </c>
      <c r="L156" s="5">
        <v>343.28</v>
      </c>
      <c r="M156" s="5">
        <v>12.12</v>
      </c>
      <c r="N156" s="5">
        <v>15.3</v>
      </c>
    </row>
    <row r="157" spans="1:14" x14ac:dyDescent="0.25">
      <c r="A157" s="5">
        <v>2.1491799999999999</v>
      </c>
      <c r="B157" s="5">
        <v>0</v>
      </c>
      <c r="C157" s="5">
        <v>19.579999999999998</v>
      </c>
      <c r="D157" s="5">
        <v>0</v>
      </c>
      <c r="E157" s="5">
        <v>0.871</v>
      </c>
      <c r="F157" s="5">
        <v>5.7089999999999996</v>
      </c>
      <c r="G157" s="5">
        <v>98.5</v>
      </c>
      <c r="H157" s="5">
        <v>1.6232</v>
      </c>
      <c r="I157" s="5">
        <v>5</v>
      </c>
      <c r="J157" s="5">
        <v>403</v>
      </c>
      <c r="K157" s="5">
        <v>14.7</v>
      </c>
      <c r="L157" s="5">
        <v>261.95</v>
      </c>
      <c r="M157" s="5">
        <v>15.79</v>
      </c>
      <c r="N157" s="5">
        <v>19.399999999999999</v>
      </c>
    </row>
    <row r="158" spans="1:14" x14ac:dyDescent="0.25">
      <c r="A158" s="5">
        <v>1.4138500000000001</v>
      </c>
      <c r="B158" s="5">
        <v>0</v>
      </c>
      <c r="C158" s="5">
        <v>19.579999999999998</v>
      </c>
      <c r="D158" s="5">
        <v>1</v>
      </c>
      <c r="E158" s="5">
        <v>0.871</v>
      </c>
      <c r="F158" s="5">
        <v>6.1289999999999996</v>
      </c>
      <c r="G158" s="5">
        <v>96</v>
      </c>
      <c r="H158" s="5">
        <v>1.7494000000000001</v>
      </c>
      <c r="I158" s="5">
        <v>5</v>
      </c>
      <c r="J158" s="5">
        <v>403</v>
      </c>
      <c r="K158" s="5">
        <v>14.7</v>
      </c>
      <c r="L158" s="5">
        <v>321.02</v>
      </c>
      <c r="M158" s="5">
        <v>15.12</v>
      </c>
      <c r="N158" s="5">
        <v>17</v>
      </c>
    </row>
    <row r="159" spans="1:14" x14ac:dyDescent="0.25">
      <c r="A159" s="5">
        <v>3.5350100000000002</v>
      </c>
      <c r="B159" s="5">
        <v>0</v>
      </c>
      <c r="C159" s="5">
        <v>19.579999999999998</v>
      </c>
      <c r="D159" s="5">
        <v>1</v>
      </c>
      <c r="E159" s="5">
        <v>0.871</v>
      </c>
      <c r="F159" s="5">
        <v>6.1520000000000001</v>
      </c>
      <c r="G159" s="5">
        <v>82.6</v>
      </c>
      <c r="H159" s="5">
        <v>1.7455000000000001</v>
      </c>
      <c r="I159" s="5">
        <v>5</v>
      </c>
      <c r="J159" s="5">
        <v>403</v>
      </c>
      <c r="K159" s="5">
        <v>14.7</v>
      </c>
      <c r="L159" s="5">
        <v>88.01</v>
      </c>
      <c r="M159" s="5">
        <v>15.02</v>
      </c>
      <c r="N159" s="5">
        <v>15.6</v>
      </c>
    </row>
    <row r="160" spans="1:14" x14ac:dyDescent="0.25">
      <c r="A160" s="5">
        <v>2.4466800000000002</v>
      </c>
      <c r="B160" s="5">
        <v>0</v>
      </c>
      <c r="C160" s="5">
        <v>19.579999999999998</v>
      </c>
      <c r="D160" s="5">
        <v>0</v>
      </c>
      <c r="E160" s="5">
        <v>0.871</v>
      </c>
      <c r="F160" s="5">
        <v>5.2720000000000002</v>
      </c>
      <c r="G160" s="5">
        <v>94</v>
      </c>
      <c r="H160" s="5">
        <v>1.7363999999999999</v>
      </c>
      <c r="I160" s="5">
        <v>5</v>
      </c>
      <c r="J160" s="5">
        <v>403</v>
      </c>
      <c r="K160" s="5">
        <v>14.7</v>
      </c>
      <c r="L160" s="5">
        <v>88.63</v>
      </c>
      <c r="M160" s="5">
        <v>16.14</v>
      </c>
      <c r="N160" s="5">
        <v>13.1</v>
      </c>
    </row>
    <row r="161" spans="1:14" x14ac:dyDescent="0.25">
      <c r="A161" s="5">
        <v>1.2235799999999999</v>
      </c>
      <c r="B161" s="5">
        <v>0</v>
      </c>
      <c r="C161" s="5">
        <v>19.579999999999998</v>
      </c>
      <c r="D161" s="5">
        <v>0</v>
      </c>
      <c r="E161" s="5">
        <v>0.60499999999999998</v>
      </c>
      <c r="F161" s="5">
        <v>6.9429999999999996</v>
      </c>
      <c r="G161" s="5">
        <v>97.4</v>
      </c>
      <c r="H161" s="5">
        <v>1.8773</v>
      </c>
      <c r="I161" s="5">
        <v>5</v>
      </c>
      <c r="J161" s="5">
        <v>403</v>
      </c>
      <c r="K161" s="5">
        <v>14.7</v>
      </c>
      <c r="L161" s="5">
        <v>363.43</v>
      </c>
      <c r="M161" s="5">
        <v>4.59</v>
      </c>
      <c r="N161" s="5">
        <v>41.3</v>
      </c>
    </row>
    <row r="162" spans="1:14" x14ac:dyDescent="0.25">
      <c r="A162" s="5">
        <v>1.34284</v>
      </c>
      <c r="B162" s="5">
        <v>0</v>
      </c>
      <c r="C162" s="5">
        <v>19.579999999999998</v>
      </c>
      <c r="D162" s="5">
        <v>0</v>
      </c>
      <c r="E162" s="5">
        <v>0.60499999999999998</v>
      </c>
      <c r="F162" s="5">
        <v>6.0659999999999998</v>
      </c>
      <c r="G162" s="5">
        <v>100</v>
      </c>
      <c r="H162" s="5">
        <v>1.7573000000000001</v>
      </c>
      <c r="I162" s="5">
        <v>5</v>
      </c>
      <c r="J162" s="5">
        <v>403</v>
      </c>
      <c r="K162" s="5">
        <v>14.7</v>
      </c>
      <c r="L162" s="5">
        <v>353.89</v>
      </c>
      <c r="M162" s="5">
        <v>6.43</v>
      </c>
      <c r="N162" s="5">
        <v>24.3</v>
      </c>
    </row>
    <row r="163" spans="1:14" x14ac:dyDescent="0.25">
      <c r="A163" s="5">
        <v>1.42502</v>
      </c>
      <c r="B163" s="5">
        <v>0</v>
      </c>
      <c r="C163" s="5">
        <v>19.579999999999998</v>
      </c>
      <c r="D163" s="5">
        <v>0</v>
      </c>
      <c r="E163" s="5">
        <v>0.871</v>
      </c>
      <c r="F163" s="5">
        <v>6.51</v>
      </c>
      <c r="G163" s="5">
        <v>100</v>
      </c>
      <c r="H163" s="5">
        <v>1.7659</v>
      </c>
      <c r="I163" s="5">
        <v>5</v>
      </c>
      <c r="J163" s="5">
        <v>403</v>
      </c>
      <c r="K163" s="5">
        <v>14.7</v>
      </c>
      <c r="L163" s="5">
        <v>364.31</v>
      </c>
      <c r="M163" s="5">
        <v>7.39</v>
      </c>
      <c r="N163" s="5">
        <v>23.3</v>
      </c>
    </row>
    <row r="164" spans="1:14" x14ac:dyDescent="0.25">
      <c r="A164" s="5">
        <v>1.27346</v>
      </c>
      <c r="B164" s="5">
        <v>0</v>
      </c>
      <c r="C164" s="5">
        <v>19.579999999999998</v>
      </c>
      <c r="D164" s="5">
        <v>1</v>
      </c>
      <c r="E164" s="5">
        <v>0.60499999999999998</v>
      </c>
      <c r="F164" s="5">
        <v>6.25</v>
      </c>
      <c r="G164" s="5">
        <v>92.6</v>
      </c>
      <c r="H164" s="5">
        <v>1.7984</v>
      </c>
      <c r="I164" s="5">
        <v>5</v>
      </c>
      <c r="J164" s="5">
        <v>403</v>
      </c>
      <c r="K164" s="5">
        <v>14.7</v>
      </c>
      <c r="L164" s="5">
        <v>338.92</v>
      </c>
      <c r="M164" s="5">
        <v>5.5</v>
      </c>
      <c r="N164" s="5">
        <v>27</v>
      </c>
    </row>
    <row r="165" spans="1:14" x14ac:dyDescent="0.25">
      <c r="A165" s="5">
        <v>1.46336</v>
      </c>
      <c r="B165" s="5">
        <v>0</v>
      </c>
      <c r="C165" s="5">
        <v>19.579999999999998</v>
      </c>
      <c r="D165" s="5">
        <v>0</v>
      </c>
      <c r="E165" s="5">
        <v>0.60499999999999998</v>
      </c>
      <c r="F165" s="5">
        <v>7.4889999999999999</v>
      </c>
      <c r="G165" s="5">
        <v>90.8</v>
      </c>
      <c r="H165" s="5">
        <v>1.9709000000000001</v>
      </c>
      <c r="I165" s="5">
        <v>5</v>
      </c>
      <c r="J165" s="5">
        <v>403</v>
      </c>
      <c r="K165" s="5">
        <v>14.7</v>
      </c>
      <c r="L165" s="5">
        <v>374.43</v>
      </c>
      <c r="M165" s="5">
        <v>1.73</v>
      </c>
      <c r="N165" s="5">
        <v>50</v>
      </c>
    </row>
    <row r="166" spans="1:14" x14ac:dyDescent="0.25">
      <c r="A166" s="5">
        <v>1.8337699999999999</v>
      </c>
      <c r="B166" s="5">
        <v>0</v>
      </c>
      <c r="C166" s="5">
        <v>19.579999999999998</v>
      </c>
      <c r="D166" s="5">
        <v>1</v>
      </c>
      <c r="E166" s="5">
        <v>0.60499999999999998</v>
      </c>
      <c r="F166" s="5">
        <v>7.8019999999999996</v>
      </c>
      <c r="G166" s="5">
        <v>98.2</v>
      </c>
      <c r="H166" s="5">
        <v>2.0407000000000002</v>
      </c>
      <c r="I166" s="5">
        <v>5</v>
      </c>
      <c r="J166" s="5">
        <v>403</v>
      </c>
      <c r="K166" s="5">
        <v>14.7</v>
      </c>
      <c r="L166" s="5">
        <v>389.61</v>
      </c>
      <c r="M166" s="5">
        <v>1.92</v>
      </c>
      <c r="N166" s="5">
        <v>50</v>
      </c>
    </row>
    <row r="167" spans="1:14" x14ac:dyDescent="0.25">
      <c r="A167" s="5">
        <v>1.51902</v>
      </c>
      <c r="B167" s="5">
        <v>0</v>
      </c>
      <c r="C167" s="5">
        <v>19.579999999999998</v>
      </c>
      <c r="D167" s="5">
        <v>1</v>
      </c>
      <c r="E167" s="5">
        <v>0.60499999999999998</v>
      </c>
      <c r="F167" s="5">
        <v>8.375</v>
      </c>
      <c r="G167" s="5">
        <v>93.9</v>
      </c>
      <c r="H167" s="5">
        <v>2.1619999999999999</v>
      </c>
      <c r="I167" s="5">
        <v>5</v>
      </c>
      <c r="J167" s="5">
        <v>403</v>
      </c>
      <c r="K167" s="5">
        <v>14.7</v>
      </c>
      <c r="L167" s="5">
        <v>388.45</v>
      </c>
      <c r="M167" s="5">
        <v>3.32</v>
      </c>
      <c r="N167" s="5">
        <v>50</v>
      </c>
    </row>
    <row r="168" spans="1:14" x14ac:dyDescent="0.25">
      <c r="A168" s="5">
        <v>2.2423600000000001</v>
      </c>
      <c r="B168" s="5">
        <v>0</v>
      </c>
      <c r="C168" s="5">
        <v>19.579999999999998</v>
      </c>
      <c r="D168" s="5">
        <v>0</v>
      </c>
      <c r="E168" s="5">
        <v>0.60499999999999998</v>
      </c>
      <c r="F168" s="5">
        <v>5.8540000000000001</v>
      </c>
      <c r="G168" s="5">
        <v>91.8</v>
      </c>
      <c r="H168" s="5">
        <v>2.4220000000000002</v>
      </c>
      <c r="I168" s="5">
        <v>5</v>
      </c>
      <c r="J168" s="5">
        <v>403</v>
      </c>
      <c r="K168" s="5">
        <v>14.7</v>
      </c>
      <c r="L168" s="5">
        <v>395.11</v>
      </c>
      <c r="M168" s="5">
        <v>11.64</v>
      </c>
      <c r="N168" s="5">
        <v>22.7</v>
      </c>
    </row>
    <row r="169" spans="1:14" x14ac:dyDescent="0.25">
      <c r="A169" s="5">
        <v>2.9239999999999999</v>
      </c>
      <c r="B169" s="5">
        <v>0</v>
      </c>
      <c r="C169" s="5">
        <v>19.579999999999998</v>
      </c>
      <c r="D169" s="5">
        <v>0</v>
      </c>
      <c r="E169" s="5">
        <v>0.60499999999999998</v>
      </c>
      <c r="F169" s="5">
        <v>6.101</v>
      </c>
      <c r="G169" s="5">
        <v>93</v>
      </c>
      <c r="H169" s="5">
        <v>2.2833999999999999</v>
      </c>
      <c r="I169" s="5">
        <v>5</v>
      </c>
      <c r="J169" s="5">
        <v>403</v>
      </c>
      <c r="K169" s="5">
        <v>14.7</v>
      </c>
      <c r="L169" s="5">
        <v>240.16</v>
      </c>
      <c r="M169" s="5">
        <v>9.81</v>
      </c>
      <c r="N169" s="5">
        <v>25</v>
      </c>
    </row>
    <row r="170" spans="1:14" x14ac:dyDescent="0.25">
      <c r="A170" s="5">
        <v>2.0101900000000001</v>
      </c>
      <c r="B170" s="5">
        <v>0</v>
      </c>
      <c r="C170" s="5">
        <v>19.579999999999998</v>
      </c>
      <c r="D170" s="5">
        <v>0</v>
      </c>
      <c r="E170" s="5">
        <v>0.60499999999999998</v>
      </c>
      <c r="F170" s="5">
        <v>7.9290000000000003</v>
      </c>
      <c r="G170" s="5">
        <v>96.2</v>
      </c>
      <c r="H170" s="5">
        <v>2.0459000000000001</v>
      </c>
      <c r="I170" s="5">
        <v>5</v>
      </c>
      <c r="J170" s="5">
        <v>403</v>
      </c>
      <c r="K170" s="5">
        <v>14.7</v>
      </c>
      <c r="L170" s="5">
        <v>369.3</v>
      </c>
      <c r="M170" s="5">
        <v>3.7</v>
      </c>
      <c r="N170" s="5">
        <v>50</v>
      </c>
    </row>
    <row r="171" spans="1:14" x14ac:dyDescent="0.25">
      <c r="A171" s="5">
        <v>1.8002800000000001</v>
      </c>
      <c r="B171" s="5">
        <v>0</v>
      </c>
      <c r="C171" s="5">
        <v>19.579999999999998</v>
      </c>
      <c r="D171" s="5">
        <v>0</v>
      </c>
      <c r="E171" s="5">
        <v>0.60499999999999998</v>
      </c>
      <c r="F171" s="5">
        <v>5.8769999999999998</v>
      </c>
      <c r="G171" s="5">
        <v>79.2</v>
      </c>
      <c r="H171" s="5">
        <v>2.4258999999999999</v>
      </c>
      <c r="I171" s="5">
        <v>5</v>
      </c>
      <c r="J171" s="5">
        <v>403</v>
      </c>
      <c r="K171" s="5">
        <v>14.7</v>
      </c>
      <c r="L171" s="5">
        <v>227.61</v>
      </c>
      <c r="M171" s="5">
        <v>12.14</v>
      </c>
      <c r="N171" s="5">
        <v>23.8</v>
      </c>
    </row>
    <row r="172" spans="1:14" x14ac:dyDescent="0.25">
      <c r="A172" s="5">
        <v>2.3003999999999998</v>
      </c>
      <c r="B172" s="5">
        <v>0</v>
      </c>
      <c r="C172" s="5">
        <v>19.579999999999998</v>
      </c>
      <c r="D172" s="5">
        <v>0</v>
      </c>
      <c r="E172" s="5">
        <v>0.60499999999999998</v>
      </c>
      <c r="F172" s="5">
        <v>6.319</v>
      </c>
      <c r="G172" s="5">
        <v>96.1</v>
      </c>
      <c r="H172" s="5">
        <v>2.1</v>
      </c>
      <c r="I172" s="5">
        <v>5</v>
      </c>
      <c r="J172" s="5">
        <v>403</v>
      </c>
      <c r="K172" s="5">
        <v>14.7</v>
      </c>
      <c r="L172" s="5">
        <v>297.08999999999997</v>
      </c>
      <c r="M172" s="5">
        <v>11.1</v>
      </c>
      <c r="N172" s="5">
        <v>23.8</v>
      </c>
    </row>
    <row r="173" spans="1:14" x14ac:dyDescent="0.25">
      <c r="A173" s="5">
        <v>2.4495300000000002</v>
      </c>
      <c r="B173" s="5">
        <v>0</v>
      </c>
      <c r="C173" s="5">
        <v>19.579999999999998</v>
      </c>
      <c r="D173" s="5">
        <v>0</v>
      </c>
      <c r="E173" s="5">
        <v>0.60499999999999998</v>
      </c>
      <c r="F173" s="5">
        <v>6.4020000000000001</v>
      </c>
      <c r="G173" s="5">
        <v>95.2</v>
      </c>
      <c r="H173" s="5">
        <v>2.2625000000000002</v>
      </c>
      <c r="I173" s="5">
        <v>5</v>
      </c>
      <c r="J173" s="5">
        <v>403</v>
      </c>
      <c r="K173" s="5">
        <v>14.7</v>
      </c>
      <c r="L173" s="5">
        <v>330.04</v>
      </c>
      <c r="M173" s="5">
        <v>11.32</v>
      </c>
      <c r="N173" s="5">
        <v>22.3</v>
      </c>
    </row>
    <row r="174" spans="1:14" x14ac:dyDescent="0.25">
      <c r="A174" s="5">
        <v>1.2074199999999999</v>
      </c>
      <c r="B174" s="5">
        <v>0</v>
      </c>
      <c r="C174" s="5">
        <v>19.579999999999998</v>
      </c>
      <c r="D174" s="5">
        <v>0</v>
      </c>
      <c r="E174" s="5">
        <v>0.60499999999999998</v>
      </c>
      <c r="F174" s="5">
        <v>5.875</v>
      </c>
      <c r="G174" s="5">
        <v>94.6</v>
      </c>
      <c r="H174" s="5">
        <v>2.4258999999999999</v>
      </c>
      <c r="I174" s="5">
        <v>5</v>
      </c>
      <c r="J174" s="5">
        <v>403</v>
      </c>
      <c r="K174" s="5">
        <v>14.7</v>
      </c>
      <c r="L174" s="5">
        <v>292.29000000000002</v>
      </c>
      <c r="M174" s="5">
        <v>14.43</v>
      </c>
      <c r="N174" s="5">
        <v>17.399999999999999</v>
      </c>
    </row>
    <row r="175" spans="1:14" x14ac:dyDescent="0.25">
      <c r="A175" s="5">
        <v>2.3138999999999998</v>
      </c>
      <c r="B175" s="5">
        <v>0</v>
      </c>
      <c r="C175" s="5">
        <v>19.579999999999998</v>
      </c>
      <c r="D175" s="5">
        <v>0</v>
      </c>
      <c r="E175" s="5">
        <v>0.60499999999999998</v>
      </c>
      <c r="F175" s="5">
        <v>5.88</v>
      </c>
      <c r="G175" s="5">
        <v>97.3</v>
      </c>
      <c r="H175" s="5">
        <v>2.3887</v>
      </c>
      <c r="I175" s="5">
        <v>5</v>
      </c>
      <c r="J175" s="5">
        <v>403</v>
      </c>
      <c r="K175" s="5">
        <v>14.7</v>
      </c>
      <c r="L175" s="5">
        <v>348.13</v>
      </c>
      <c r="M175" s="5">
        <v>12.03</v>
      </c>
      <c r="N175" s="5">
        <v>19.100000000000001</v>
      </c>
    </row>
    <row r="176" spans="1:14" x14ac:dyDescent="0.25">
      <c r="A176" s="5">
        <v>0.13914000000000001</v>
      </c>
      <c r="B176" s="5">
        <v>0</v>
      </c>
      <c r="C176" s="5">
        <v>4.05</v>
      </c>
      <c r="D176" s="5">
        <v>0</v>
      </c>
      <c r="E176" s="5">
        <v>0.51</v>
      </c>
      <c r="F176" s="5">
        <v>5.5720000000000001</v>
      </c>
      <c r="G176" s="5">
        <v>88.5</v>
      </c>
      <c r="H176" s="5">
        <v>2.5960999999999999</v>
      </c>
      <c r="I176" s="5">
        <v>5</v>
      </c>
      <c r="J176" s="5">
        <v>296</v>
      </c>
      <c r="K176" s="5">
        <v>16.600000000000001</v>
      </c>
      <c r="L176" s="5">
        <v>396.9</v>
      </c>
      <c r="M176" s="5">
        <v>14.69</v>
      </c>
      <c r="N176" s="5">
        <v>23.1</v>
      </c>
    </row>
    <row r="177" spans="1:14" x14ac:dyDescent="0.25">
      <c r="A177" s="5">
        <v>9.178E-2</v>
      </c>
      <c r="B177" s="5">
        <v>0</v>
      </c>
      <c r="C177" s="5">
        <v>4.05</v>
      </c>
      <c r="D177" s="5">
        <v>0</v>
      </c>
      <c r="E177" s="5">
        <v>0.51</v>
      </c>
      <c r="F177" s="5">
        <v>6.4160000000000004</v>
      </c>
      <c r="G177" s="5">
        <v>84.1</v>
      </c>
      <c r="H177" s="5">
        <v>2.6463000000000001</v>
      </c>
      <c r="I177" s="5">
        <v>5</v>
      </c>
      <c r="J177" s="5">
        <v>296</v>
      </c>
      <c r="K177" s="5">
        <v>16.600000000000001</v>
      </c>
      <c r="L177" s="5">
        <v>395.5</v>
      </c>
      <c r="M177" s="5">
        <v>9.0399999999999991</v>
      </c>
      <c r="N177" s="5">
        <v>23.6</v>
      </c>
    </row>
    <row r="178" spans="1:14" x14ac:dyDescent="0.25">
      <c r="A178" s="5">
        <v>8.4470000000000003E-2</v>
      </c>
      <c r="B178" s="5">
        <v>0</v>
      </c>
      <c r="C178" s="5">
        <v>4.05</v>
      </c>
      <c r="D178" s="5">
        <v>0</v>
      </c>
      <c r="E178" s="5">
        <v>0.51</v>
      </c>
      <c r="F178" s="5">
        <v>5.859</v>
      </c>
      <c r="G178" s="5">
        <v>68.7</v>
      </c>
      <c r="H178" s="5">
        <v>2.7019000000000002</v>
      </c>
      <c r="I178" s="5">
        <v>5</v>
      </c>
      <c r="J178" s="5">
        <v>296</v>
      </c>
      <c r="K178" s="5">
        <v>16.600000000000001</v>
      </c>
      <c r="L178" s="5">
        <v>393.23</v>
      </c>
      <c r="M178" s="5">
        <v>9.64</v>
      </c>
      <c r="N178" s="5">
        <v>22.6</v>
      </c>
    </row>
    <row r="179" spans="1:14" x14ac:dyDescent="0.25">
      <c r="A179" s="5">
        <v>6.6640000000000005E-2</v>
      </c>
      <c r="B179" s="5">
        <v>0</v>
      </c>
      <c r="C179" s="5">
        <v>4.05</v>
      </c>
      <c r="D179" s="5">
        <v>0</v>
      </c>
      <c r="E179" s="5">
        <v>0.51</v>
      </c>
      <c r="F179" s="5">
        <v>6.5460000000000003</v>
      </c>
      <c r="G179" s="5">
        <v>33.1</v>
      </c>
      <c r="H179" s="5">
        <v>3.1322999999999999</v>
      </c>
      <c r="I179" s="5">
        <v>5</v>
      </c>
      <c r="J179" s="5">
        <v>296</v>
      </c>
      <c r="K179" s="5">
        <v>16.600000000000001</v>
      </c>
      <c r="L179" s="5">
        <v>390.96</v>
      </c>
      <c r="M179" s="5">
        <v>5.33</v>
      </c>
      <c r="N179" s="5">
        <v>29.4</v>
      </c>
    </row>
    <row r="180" spans="1:14" x14ac:dyDescent="0.25">
      <c r="A180" s="5">
        <v>7.0220000000000005E-2</v>
      </c>
      <c r="B180" s="5">
        <v>0</v>
      </c>
      <c r="C180" s="5">
        <v>4.05</v>
      </c>
      <c r="D180" s="5">
        <v>0</v>
      </c>
      <c r="E180" s="5">
        <v>0.51</v>
      </c>
      <c r="F180" s="5">
        <v>6.02</v>
      </c>
      <c r="G180" s="5">
        <v>47.2</v>
      </c>
      <c r="H180" s="5">
        <v>3.5548999999999999</v>
      </c>
      <c r="I180" s="5">
        <v>5</v>
      </c>
      <c r="J180" s="5">
        <v>296</v>
      </c>
      <c r="K180" s="5">
        <v>16.600000000000001</v>
      </c>
      <c r="L180" s="5">
        <v>393.23</v>
      </c>
      <c r="M180" s="5">
        <v>10.11</v>
      </c>
      <c r="N180" s="5">
        <v>23.2</v>
      </c>
    </row>
    <row r="181" spans="1:14" x14ac:dyDescent="0.25">
      <c r="A181" s="5">
        <v>5.425E-2</v>
      </c>
      <c r="B181" s="5">
        <v>0</v>
      </c>
      <c r="C181" s="5">
        <v>4.05</v>
      </c>
      <c r="D181" s="5">
        <v>0</v>
      </c>
      <c r="E181" s="5">
        <v>0.51</v>
      </c>
      <c r="F181" s="5">
        <v>6.3150000000000004</v>
      </c>
      <c r="G181" s="5">
        <v>73.400000000000006</v>
      </c>
      <c r="H181" s="5">
        <v>3.3174999999999999</v>
      </c>
      <c r="I181" s="5">
        <v>5</v>
      </c>
      <c r="J181" s="5">
        <v>296</v>
      </c>
      <c r="K181" s="5">
        <v>16.600000000000001</v>
      </c>
      <c r="L181" s="5">
        <v>395.6</v>
      </c>
      <c r="M181" s="5">
        <v>6.29</v>
      </c>
      <c r="N181" s="5">
        <v>24.6</v>
      </c>
    </row>
    <row r="182" spans="1:14" x14ac:dyDescent="0.25">
      <c r="A182" s="5">
        <v>6.6420000000000007E-2</v>
      </c>
      <c r="B182" s="5">
        <v>0</v>
      </c>
      <c r="C182" s="5">
        <v>4.05</v>
      </c>
      <c r="D182" s="5">
        <v>0</v>
      </c>
      <c r="E182" s="5">
        <v>0.51</v>
      </c>
      <c r="F182" s="5">
        <v>6.86</v>
      </c>
      <c r="G182" s="5">
        <v>74.400000000000006</v>
      </c>
      <c r="H182" s="5">
        <v>2.9152999999999998</v>
      </c>
      <c r="I182" s="5">
        <v>5</v>
      </c>
      <c r="J182" s="5">
        <v>296</v>
      </c>
      <c r="K182" s="5">
        <v>16.600000000000001</v>
      </c>
      <c r="L182" s="5">
        <v>391.27</v>
      </c>
      <c r="M182" s="5">
        <v>6.92</v>
      </c>
      <c r="N182" s="5">
        <v>29.9</v>
      </c>
    </row>
    <row r="183" spans="1:14" x14ac:dyDescent="0.25">
      <c r="A183" s="5">
        <v>5.7799999999999997E-2</v>
      </c>
      <c r="B183" s="5">
        <v>0</v>
      </c>
      <c r="C183" s="5">
        <v>2.46</v>
      </c>
      <c r="D183" s="5">
        <v>0</v>
      </c>
      <c r="E183" s="5">
        <v>0.48799999999999999</v>
      </c>
      <c r="F183" s="5">
        <v>6.98</v>
      </c>
      <c r="G183" s="5">
        <v>58.4</v>
      </c>
      <c r="H183" s="5">
        <v>2.8290000000000002</v>
      </c>
      <c r="I183" s="5">
        <v>3</v>
      </c>
      <c r="J183" s="5">
        <v>193</v>
      </c>
      <c r="K183" s="5">
        <v>17.8</v>
      </c>
      <c r="L183" s="5">
        <v>396.9</v>
      </c>
      <c r="M183" s="5">
        <v>5.04</v>
      </c>
      <c r="N183" s="5">
        <v>37.200000000000003</v>
      </c>
    </row>
    <row r="184" spans="1:14" x14ac:dyDescent="0.25">
      <c r="A184" s="5">
        <v>6.5879999999999994E-2</v>
      </c>
      <c r="B184" s="5">
        <v>0</v>
      </c>
      <c r="C184" s="5">
        <v>2.46</v>
      </c>
      <c r="D184" s="5">
        <v>0</v>
      </c>
      <c r="E184" s="5">
        <v>0.48799999999999999</v>
      </c>
      <c r="F184" s="5">
        <v>7.7649999999999997</v>
      </c>
      <c r="G184" s="5">
        <v>83.3</v>
      </c>
      <c r="H184" s="5">
        <v>2.7410000000000001</v>
      </c>
      <c r="I184" s="5">
        <v>3</v>
      </c>
      <c r="J184" s="5">
        <v>193</v>
      </c>
      <c r="K184" s="5">
        <v>17.8</v>
      </c>
      <c r="L184" s="5">
        <v>395.56</v>
      </c>
      <c r="M184" s="5">
        <v>7.56</v>
      </c>
      <c r="N184" s="5">
        <v>39.799999999999997</v>
      </c>
    </row>
    <row r="185" spans="1:14" x14ac:dyDescent="0.25">
      <c r="A185" s="5">
        <v>6.8879999999999997E-2</v>
      </c>
      <c r="B185" s="5">
        <v>0</v>
      </c>
      <c r="C185" s="5">
        <v>2.46</v>
      </c>
      <c r="D185" s="5">
        <v>0</v>
      </c>
      <c r="E185" s="5">
        <v>0.48799999999999999</v>
      </c>
      <c r="F185" s="5">
        <v>6.1440000000000001</v>
      </c>
      <c r="G185" s="5">
        <v>62.2</v>
      </c>
      <c r="H185" s="5">
        <v>2.5979000000000001</v>
      </c>
      <c r="I185" s="5">
        <v>3</v>
      </c>
      <c r="J185" s="5">
        <v>193</v>
      </c>
      <c r="K185" s="5">
        <v>17.8</v>
      </c>
      <c r="L185" s="5">
        <v>396.9</v>
      </c>
      <c r="M185" s="5">
        <v>9.4499999999999993</v>
      </c>
      <c r="N185" s="5">
        <v>36.200000000000003</v>
      </c>
    </row>
    <row r="186" spans="1:14" x14ac:dyDescent="0.25">
      <c r="A186" s="5">
        <v>9.103E-2</v>
      </c>
      <c r="B186" s="5">
        <v>0</v>
      </c>
      <c r="C186" s="5">
        <v>2.46</v>
      </c>
      <c r="D186" s="5">
        <v>0</v>
      </c>
      <c r="E186" s="5">
        <v>0.48799999999999999</v>
      </c>
      <c r="F186" s="5">
        <v>7.1550000000000002</v>
      </c>
      <c r="G186" s="5">
        <v>92.2</v>
      </c>
      <c r="H186" s="5">
        <v>2.7006000000000001</v>
      </c>
      <c r="I186" s="5">
        <v>3</v>
      </c>
      <c r="J186" s="5">
        <v>193</v>
      </c>
      <c r="K186" s="5">
        <v>17.8</v>
      </c>
      <c r="L186" s="5">
        <v>394.12</v>
      </c>
      <c r="M186" s="5">
        <v>4.82</v>
      </c>
      <c r="N186" s="5">
        <v>37.9</v>
      </c>
    </row>
    <row r="187" spans="1:14" x14ac:dyDescent="0.25">
      <c r="A187" s="5">
        <v>0.10008</v>
      </c>
      <c r="B187" s="5">
        <v>0</v>
      </c>
      <c r="C187" s="5">
        <v>2.46</v>
      </c>
      <c r="D187" s="5">
        <v>0</v>
      </c>
      <c r="E187" s="5">
        <v>0.48799999999999999</v>
      </c>
      <c r="F187" s="5">
        <v>6.5629999999999997</v>
      </c>
      <c r="G187" s="5">
        <v>95.6</v>
      </c>
      <c r="H187" s="5">
        <v>2.847</v>
      </c>
      <c r="I187" s="5">
        <v>3</v>
      </c>
      <c r="J187" s="5">
        <v>193</v>
      </c>
      <c r="K187" s="5">
        <v>17.8</v>
      </c>
      <c r="L187" s="5">
        <v>396.9</v>
      </c>
      <c r="M187" s="5">
        <v>5.68</v>
      </c>
      <c r="N187" s="5">
        <v>32.5</v>
      </c>
    </row>
    <row r="188" spans="1:14" x14ac:dyDescent="0.25">
      <c r="A188" s="5">
        <v>8.3080000000000001E-2</v>
      </c>
      <c r="B188" s="5">
        <v>0</v>
      </c>
      <c r="C188" s="5">
        <v>2.46</v>
      </c>
      <c r="D188" s="5">
        <v>0</v>
      </c>
      <c r="E188" s="5">
        <v>0.48799999999999999</v>
      </c>
      <c r="F188" s="5">
        <v>5.6040000000000001</v>
      </c>
      <c r="G188" s="5">
        <v>89.8</v>
      </c>
      <c r="H188" s="5">
        <v>2.9878999999999998</v>
      </c>
      <c r="I188" s="5">
        <v>3</v>
      </c>
      <c r="J188" s="5">
        <v>193</v>
      </c>
      <c r="K188" s="5">
        <v>17.8</v>
      </c>
      <c r="L188" s="5">
        <v>391</v>
      </c>
      <c r="M188" s="5">
        <v>13.98</v>
      </c>
      <c r="N188" s="5">
        <v>26.4</v>
      </c>
    </row>
    <row r="189" spans="1:14" x14ac:dyDescent="0.25">
      <c r="A189" s="5">
        <v>6.0470000000000003E-2</v>
      </c>
      <c r="B189" s="5">
        <v>0</v>
      </c>
      <c r="C189" s="5">
        <v>2.46</v>
      </c>
      <c r="D189" s="5">
        <v>0</v>
      </c>
      <c r="E189" s="5">
        <v>0.48799999999999999</v>
      </c>
      <c r="F189" s="5">
        <v>6.1529999999999996</v>
      </c>
      <c r="G189" s="5">
        <v>68.8</v>
      </c>
      <c r="H189" s="5">
        <v>3.2797000000000001</v>
      </c>
      <c r="I189" s="5">
        <v>3</v>
      </c>
      <c r="J189" s="5">
        <v>193</v>
      </c>
      <c r="K189" s="5">
        <v>17.8</v>
      </c>
      <c r="L189" s="5">
        <v>387.11</v>
      </c>
      <c r="M189" s="5">
        <v>13.15</v>
      </c>
      <c r="N189" s="5">
        <v>29.6</v>
      </c>
    </row>
    <row r="190" spans="1:14" x14ac:dyDescent="0.25">
      <c r="A190" s="5">
        <v>5.602E-2</v>
      </c>
      <c r="B190" s="5">
        <v>0</v>
      </c>
      <c r="C190" s="5">
        <v>2.46</v>
      </c>
      <c r="D190" s="5">
        <v>0</v>
      </c>
      <c r="E190" s="5">
        <v>0.48799999999999999</v>
      </c>
      <c r="F190" s="5">
        <v>7.8310000000000004</v>
      </c>
      <c r="G190" s="5">
        <v>53.6</v>
      </c>
      <c r="H190" s="5">
        <v>3.1991999999999998</v>
      </c>
      <c r="I190" s="5">
        <v>3</v>
      </c>
      <c r="J190" s="5">
        <v>193</v>
      </c>
      <c r="K190" s="5">
        <v>17.8</v>
      </c>
      <c r="L190" s="5">
        <v>392.63</v>
      </c>
      <c r="M190" s="5">
        <v>4.45</v>
      </c>
      <c r="N190" s="5">
        <v>50</v>
      </c>
    </row>
    <row r="191" spans="1:14" x14ac:dyDescent="0.25">
      <c r="A191" s="5">
        <v>7.8750000000000001E-2</v>
      </c>
      <c r="B191" s="5">
        <v>45</v>
      </c>
      <c r="C191" s="5">
        <v>3.44</v>
      </c>
      <c r="D191" s="5">
        <v>0</v>
      </c>
      <c r="E191" s="5">
        <v>0.437</v>
      </c>
      <c r="F191" s="5">
        <v>6.782</v>
      </c>
      <c r="G191" s="5">
        <v>41.1</v>
      </c>
      <c r="H191" s="5">
        <v>3.7886000000000002</v>
      </c>
      <c r="I191" s="5">
        <v>5</v>
      </c>
      <c r="J191" s="5">
        <v>398</v>
      </c>
      <c r="K191" s="5">
        <v>15.2</v>
      </c>
      <c r="L191" s="5">
        <v>393.87</v>
      </c>
      <c r="M191" s="5">
        <v>6.68</v>
      </c>
      <c r="N191" s="5">
        <v>32</v>
      </c>
    </row>
    <row r="192" spans="1:14" x14ac:dyDescent="0.25">
      <c r="A192" s="5">
        <v>0.12579000000000001</v>
      </c>
      <c r="B192" s="5">
        <v>45</v>
      </c>
      <c r="C192" s="5">
        <v>3.44</v>
      </c>
      <c r="D192" s="5">
        <v>0</v>
      </c>
      <c r="E192" s="5">
        <v>0.437</v>
      </c>
      <c r="F192" s="5">
        <v>6.556</v>
      </c>
      <c r="G192" s="5">
        <v>29.1</v>
      </c>
      <c r="H192" s="5">
        <v>4.5667</v>
      </c>
      <c r="I192" s="5">
        <v>5</v>
      </c>
      <c r="J192" s="5">
        <v>398</v>
      </c>
      <c r="K192" s="5">
        <v>15.2</v>
      </c>
      <c r="L192" s="5">
        <v>382.84</v>
      </c>
      <c r="M192" s="5">
        <v>4.5599999999999996</v>
      </c>
      <c r="N192" s="5">
        <v>29.8</v>
      </c>
    </row>
    <row r="193" spans="1:14" x14ac:dyDescent="0.25">
      <c r="A193" s="5">
        <v>8.3699999999999997E-2</v>
      </c>
      <c r="B193" s="5">
        <v>45</v>
      </c>
      <c r="C193" s="5">
        <v>3.44</v>
      </c>
      <c r="D193" s="5">
        <v>0</v>
      </c>
      <c r="E193" s="5">
        <v>0.437</v>
      </c>
      <c r="F193" s="5">
        <v>7.1849999999999996</v>
      </c>
      <c r="G193" s="5">
        <v>38.9</v>
      </c>
      <c r="H193" s="5">
        <v>4.5667</v>
      </c>
      <c r="I193" s="5">
        <v>5</v>
      </c>
      <c r="J193" s="5">
        <v>398</v>
      </c>
      <c r="K193" s="5">
        <v>15.2</v>
      </c>
      <c r="L193" s="5">
        <v>396.9</v>
      </c>
      <c r="M193" s="5">
        <v>5.39</v>
      </c>
      <c r="N193" s="5">
        <v>34.9</v>
      </c>
    </row>
    <row r="194" spans="1:14" x14ac:dyDescent="0.25">
      <c r="A194" s="5">
        <v>9.0679999999999997E-2</v>
      </c>
      <c r="B194" s="5">
        <v>45</v>
      </c>
      <c r="C194" s="5">
        <v>3.44</v>
      </c>
      <c r="D194" s="5">
        <v>0</v>
      </c>
      <c r="E194" s="5">
        <v>0.437</v>
      </c>
      <c r="F194" s="5">
        <v>6.9509999999999996</v>
      </c>
      <c r="G194" s="5">
        <v>21.5</v>
      </c>
      <c r="H194" s="5">
        <v>6.4798</v>
      </c>
      <c r="I194" s="5">
        <v>5</v>
      </c>
      <c r="J194" s="5">
        <v>398</v>
      </c>
      <c r="K194" s="5">
        <v>15.2</v>
      </c>
      <c r="L194" s="5">
        <v>377.68</v>
      </c>
      <c r="M194" s="5">
        <v>5.0999999999999996</v>
      </c>
      <c r="N194" s="5">
        <v>37</v>
      </c>
    </row>
    <row r="195" spans="1:14" x14ac:dyDescent="0.25">
      <c r="A195" s="5">
        <v>6.9110000000000005E-2</v>
      </c>
      <c r="B195" s="5">
        <v>45</v>
      </c>
      <c r="C195" s="5">
        <v>3.44</v>
      </c>
      <c r="D195" s="5">
        <v>0</v>
      </c>
      <c r="E195" s="5">
        <v>0.437</v>
      </c>
      <c r="F195" s="5">
        <v>6.7389999999999999</v>
      </c>
      <c r="G195" s="5">
        <v>30.8</v>
      </c>
      <c r="H195" s="5">
        <v>6.4798</v>
      </c>
      <c r="I195" s="5">
        <v>5</v>
      </c>
      <c r="J195" s="5">
        <v>398</v>
      </c>
      <c r="K195" s="5">
        <v>15.2</v>
      </c>
      <c r="L195" s="5">
        <v>389.71</v>
      </c>
      <c r="M195" s="5">
        <v>4.6900000000000004</v>
      </c>
      <c r="N195" s="5">
        <v>30.5</v>
      </c>
    </row>
    <row r="196" spans="1:14" x14ac:dyDescent="0.25">
      <c r="A196" s="5">
        <v>8.6639999999999995E-2</v>
      </c>
      <c r="B196" s="5">
        <v>45</v>
      </c>
      <c r="C196" s="5">
        <v>3.44</v>
      </c>
      <c r="D196" s="5">
        <v>0</v>
      </c>
      <c r="E196" s="5">
        <v>0.437</v>
      </c>
      <c r="F196" s="5">
        <v>7.1779999999999999</v>
      </c>
      <c r="G196" s="5">
        <v>26.3</v>
      </c>
      <c r="H196" s="5">
        <v>6.4798</v>
      </c>
      <c r="I196" s="5">
        <v>5</v>
      </c>
      <c r="J196" s="5">
        <v>398</v>
      </c>
      <c r="K196" s="5">
        <v>15.2</v>
      </c>
      <c r="L196" s="5">
        <v>390.49</v>
      </c>
      <c r="M196" s="5">
        <v>2.87</v>
      </c>
      <c r="N196" s="5">
        <v>36.4</v>
      </c>
    </row>
    <row r="197" spans="1:14" x14ac:dyDescent="0.25">
      <c r="A197" s="5">
        <v>2.1870000000000001E-2</v>
      </c>
      <c r="B197" s="5">
        <v>60</v>
      </c>
      <c r="C197" s="5">
        <v>2.93</v>
      </c>
      <c r="D197" s="5">
        <v>0</v>
      </c>
      <c r="E197" s="5">
        <v>0.40100000000000002</v>
      </c>
      <c r="F197" s="5">
        <v>6.8</v>
      </c>
      <c r="G197" s="5">
        <v>9.9</v>
      </c>
      <c r="H197" s="5">
        <v>6.2195999999999998</v>
      </c>
      <c r="I197" s="5">
        <v>1</v>
      </c>
      <c r="J197" s="5">
        <v>265</v>
      </c>
      <c r="K197" s="5">
        <v>15.6</v>
      </c>
      <c r="L197" s="5">
        <v>393.37</v>
      </c>
      <c r="M197" s="5">
        <v>5.03</v>
      </c>
      <c r="N197" s="5">
        <v>31.1</v>
      </c>
    </row>
    <row r="198" spans="1:14" x14ac:dyDescent="0.25">
      <c r="A198" s="5">
        <v>1.439E-2</v>
      </c>
      <c r="B198" s="5">
        <v>60</v>
      </c>
      <c r="C198" s="5">
        <v>2.93</v>
      </c>
      <c r="D198" s="5">
        <v>0</v>
      </c>
      <c r="E198" s="5">
        <v>0.40100000000000002</v>
      </c>
      <c r="F198" s="5">
        <v>6.6040000000000001</v>
      </c>
      <c r="G198" s="5">
        <v>18.8</v>
      </c>
      <c r="H198" s="5">
        <v>6.2195999999999998</v>
      </c>
      <c r="I198" s="5">
        <v>1</v>
      </c>
      <c r="J198" s="5">
        <v>265</v>
      </c>
      <c r="K198" s="5">
        <v>15.6</v>
      </c>
      <c r="L198" s="5">
        <v>376.7</v>
      </c>
      <c r="M198" s="5">
        <v>4.38</v>
      </c>
      <c r="N198" s="5">
        <v>29.1</v>
      </c>
    </row>
    <row r="199" spans="1:14" x14ac:dyDescent="0.25">
      <c r="A199" s="5">
        <v>1.3809999999999999E-2</v>
      </c>
      <c r="B199" s="5">
        <v>80</v>
      </c>
      <c r="C199" s="5">
        <v>0.46</v>
      </c>
      <c r="D199" s="5">
        <v>0</v>
      </c>
      <c r="E199" s="5">
        <v>0.42199999999999999</v>
      </c>
      <c r="F199" s="5">
        <v>7.875</v>
      </c>
      <c r="G199" s="5">
        <v>32</v>
      </c>
      <c r="H199" s="5">
        <v>5.6483999999999996</v>
      </c>
      <c r="I199" s="5">
        <v>4</v>
      </c>
      <c r="J199" s="5">
        <v>255</v>
      </c>
      <c r="K199" s="5">
        <v>14.4</v>
      </c>
      <c r="L199" s="5">
        <v>394.23</v>
      </c>
      <c r="M199" s="5">
        <v>2.97</v>
      </c>
      <c r="N199" s="5">
        <v>50</v>
      </c>
    </row>
    <row r="200" spans="1:14" x14ac:dyDescent="0.25">
      <c r="A200" s="5">
        <v>4.011E-2</v>
      </c>
      <c r="B200" s="5">
        <v>80</v>
      </c>
      <c r="C200" s="5">
        <v>1.52</v>
      </c>
      <c r="D200" s="5">
        <v>0</v>
      </c>
      <c r="E200" s="5">
        <v>0.40400000000000003</v>
      </c>
      <c r="F200" s="5">
        <v>7.2869999999999999</v>
      </c>
      <c r="G200" s="5">
        <v>34.1</v>
      </c>
      <c r="H200" s="5">
        <v>7.3090000000000002</v>
      </c>
      <c r="I200" s="5">
        <v>2</v>
      </c>
      <c r="J200" s="5">
        <v>329</v>
      </c>
      <c r="K200" s="5">
        <v>12.6</v>
      </c>
      <c r="L200" s="5">
        <v>396.9</v>
      </c>
      <c r="M200" s="5">
        <v>4.08</v>
      </c>
      <c r="N200" s="5">
        <v>33.299999999999997</v>
      </c>
    </row>
    <row r="201" spans="1:14" x14ac:dyDescent="0.25">
      <c r="A201" s="5">
        <v>4.666E-2</v>
      </c>
      <c r="B201" s="5">
        <v>80</v>
      </c>
      <c r="C201" s="5">
        <v>1.52</v>
      </c>
      <c r="D201" s="5">
        <v>0</v>
      </c>
      <c r="E201" s="5">
        <v>0.40400000000000003</v>
      </c>
      <c r="F201" s="5">
        <v>7.1070000000000002</v>
      </c>
      <c r="G201" s="5">
        <v>36.6</v>
      </c>
      <c r="H201" s="5">
        <v>7.3090000000000002</v>
      </c>
      <c r="I201" s="5">
        <v>2</v>
      </c>
      <c r="J201" s="5">
        <v>329</v>
      </c>
      <c r="K201" s="5">
        <v>12.6</v>
      </c>
      <c r="L201" s="5">
        <v>354.31</v>
      </c>
      <c r="M201" s="5">
        <v>8.61</v>
      </c>
      <c r="N201" s="5">
        <v>30.3</v>
      </c>
    </row>
    <row r="202" spans="1:14" x14ac:dyDescent="0.25">
      <c r="A202" s="5">
        <v>3.7679999999999998E-2</v>
      </c>
      <c r="B202" s="5">
        <v>80</v>
      </c>
      <c r="C202" s="5">
        <v>1.52</v>
      </c>
      <c r="D202" s="5">
        <v>0</v>
      </c>
      <c r="E202" s="5">
        <v>0.40400000000000003</v>
      </c>
      <c r="F202" s="5">
        <v>7.274</v>
      </c>
      <c r="G202" s="5">
        <v>38.299999999999997</v>
      </c>
      <c r="H202" s="5">
        <v>7.3090000000000002</v>
      </c>
      <c r="I202" s="5">
        <v>2</v>
      </c>
      <c r="J202" s="5">
        <v>329</v>
      </c>
      <c r="K202" s="5">
        <v>12.6</v>
      </c>
      <c r="L202" s="5">
        <v>392.2</v>
      </c>
      <c r="M202" s="5">
        <v>6.62</v>
      </c>
      <c r="N202" s="5">
        <v>34.6</v>
      </c>
    </row>
    <row r="203" spans="1:14" x14ac:dyDescent="0.25">
      <c r="A203" s="5">
        <v>3.15E-2</v>
      </c>
      <c r="B203" s="5">
        <v>95</v>
      </c>
      <c r="C203" s="5">
        <v>1.47</v>
      </c>
      <c r="D203" s="5">
        <v>0</v>
      </c>
      <c r="E203" s="5">
        <v>0.40300000000000002</v>
      </c>
      <c r="F203" s="5">
        <v>6.9749999999999996</v>
      </c>
      <c r="G203" s="5">
        <v>15.3</v>
      </c>
      <c r="H203" s="5">
        <v>7.6534000000000004</v>
      </c>
      <c r="I203" s="5">
        <v>3</v>
      </c>
      <c r="J203" s="5">
        <v>402</v>
      </c>
      <c r="K203" s="5">
        <v>17</v>
      </c>
      <c r="L203" s="5">
        <v>396.9</v>
      </c>
      <c r="M203" s="5">
        <v>4.5599999999999996</v>
      </c>
      <c r="N203" s="5">
        <v>34.9</v>
      </c>
    </row>
    <row r="204" spans="1:14" x14ac:dyDescent="0.25">
      <c r="A204" s="5">
        <v>1.7780000000000001E-2</v>
      </c>
      <c r="B204" s="5">
        <v>95</v>
      </c>
      <c r="C204" s="5">
        <v>1.47</v>
      </c>
      <c r="D204" s="5">
        <v>0</v>
      </c>
      <c r="E204" s="5">
        <v>0.40300000000000002</v>
      </c>
      <c r="F204" s="5">
        <v>7.1349999999999998</v>
      </c>
      <c r="G204" s="5">
        <v>13.9</v>
      </c>
      <c r="H204" s="5">
        <v>7.6534000000000004</v>
      </c>
      <c r="I204" s="5">
        <v>3</v>
      </c>
      <c r="J204" s="5">
        <v>402</v>
      </c>
      <c r="K204" s="5">
        <v>17</v>
      </c>
      <c r="L204" s="5">
        <v>384.3</v>
      </c>
      <c r="M204" s="5">
        <v>4.45</v>
      </c>
      <c r="N204" s="5">
        <v>32.9</v>
      </c>
    </row>
    <row r="205" spans="1:14" x14ac:dyDescent="0.25">
      <c r="A205" s="5">
        <v>3.4450000000000001E-2</v>
      </c>
      <c r="B205" s="5">
        <v>82.5</v>
      </c>
      <c r="C205" s="5">
        <v>2.0299999999999998</v>
      </c>
      <c r="D205" s="5">
        <v>0</v>
      </c>
      <c r="E205" s="5">
        <v>0.41499999999999998</v>
      </c>
      <c r="F205" s="5">
        <v>6.1619999999999999</v>
      </c>
      <c r="G205" s="5">
        <v>38.4</v>
      </c>
      <c r="H205" s="5">
        <v>6.27</v>
      </c>
      <c r="I205" s="5">
        <v>2</v>
      </c>
      <c r="J205" s="5">
        <v>348</v>
      </c>
      <c r="K205" s="5">
        <v>14.7</v>
      </c>
      <c r="L205" s="5">
        <v>393.77</v>
      </c>
      <c r="M205" s="5">
        <v>7.43</v>
      </c>
      <c r="N205" s="5">
        <v>24.1</v>
      </c>
    </row>
    <row r="206" spans="1:14" x14ac:dyDescent="0.25">
      <c r="A206" s="5">
        <v>2.1770000000000001E-2</v>
      </c>
      <c r="B206" s="5">
        <v>82.5</v>
      </c>
      <c r="C206" s="5">
        <v>2.0299999999999998</v>
      </c>
      <c r="D206" s="5">
        <v>0</v>
      </c>
      <c r="E206" s="5">
        <v>0.41499999999999998</v>
      </c>
      <c r="F206" s="5">
        <v>7.61</v>
      </c>
      <c r="G206" s="5">
        <v>15.7</v>
      </c>
      <c r="H206" s="5">
        <v>6.27</v>
      </c>
      <c r="I206" s="5">
        <v>2</v>
      </c>
      <c r="J206" s="5">
        <v>348</v>
      </c>
      <c r="K206" s="5">
        <v>14.7</v>
      </c>
      <c r="L206" s="5">
        <v>395.38</v>
      </c>
      <c r="M206" s="5">
        <v>3.11</v>
      </c>
      <c r="N206" s="5">
        <v>42.3</v>
      </c>
    </row>
    <row r="207" spans="1:14" x14ac:dyDescent="0.25">
      <c r="A207" s="5">
        <v>3.5099999999999999E-2</v>
      </c>
      <c r="B207" s="5">
        <v>95</v>
      </c>
      <c r="C207" s="5">
        <v>2.68</v>
      </c>
      <c r="D207" s="5">
        <v>0</v>
      </c>
      <c r="E207" s="5">
        <v>0.41610000000000003</v>
      </c>
      <c r="F207" s="5">
        <v>7.8529999999999998</v>
      </c>
      <c r="G207" s="5">
        <v>33.200000000000003</v>
      </c>
      <c r="H207" s="5">
        <v>5.1180000000000003</v>
      </c>
      <c r="I207" s="5">
        <v>4</v>
      </c>
      <c r="J207" s="5">
        <v>224</v>
      </c>
      <c r="K207" s="5">
        <v>14.7</v>
      </c>
      <c r="L207" s="5">
        <v>392.78</v>
      </c>
      <c r="M207" s="5">
        <v>3.81</v>
      </c>
      <c r="N207" s="5">
        <v>48.5</v>
      </c>
    </row>
    <row r="208" spans="1:14" x14ac:dyDescent="0.25">
      <c r="A208" s="5">
        <v>2.009E-2</v>
      </c>
      <c r="B208" s="5">
        <v>95</v>
      </c>
      <c r="C208" s="5">
        <v>2.68</v>
      </c>
      <c r="D208" s="5">
        <v>0</v>
      </c>
      <c r="E208" s="5">
        <v>0.41610000000000003</v>
      </c>
      <c r="F208" s="5">
        <v>8.0340000000000007</v>
      </c>
      <c r="G208" s="5">
        <v>31.9</v>
      </c>
      <c r="H208" s="5">
        <v>5.1180000000000003</v>
      </c>
      <c r="I208" s="5">
        <v>4</v>
      </c>
      <c r="J208" s="5">
        <v>224</v>
      </c>
      <c r="K208" s="5">
        <v>14.7</v>
      </c>
      <c r="L208" s="5">
        <v>390.55</v>
      </c>
      <c r="M208" s="5">
        <v>2.88</v>
      </c>
      <c r="N208" s="5">
        <v>50</v>
      </c>
    </row>
    <row r="209" spans="1:14" x14ac:dyDescent="0.25">
      <c r="A209" s="5">
        <v>0.13642000000000001</v>
      </c>
      <c r="B209" s="5">
        <v>0</v>
      </c>
      <c r="C209" s="5">
        <v>10.59</v>
      </c>
      <c r="D209" s="5">
        <v>0</v>
      </c>
      <c r="E209" s="5">
        <v>0.48899999999999999</v>
      </c>
      <c r="F209" s="5">
        <v>5.891</v>
      </c>
      <c r="G209" s="5">
        <v>22.3</v>
      </c>
      <c r="H209" s="5">
        <v>3.9453999999999998</v>
      </c>
      <c r="I209" s="5">
        <v>4</v>
      </c>
      <c r="J209" s="5">
        <v>277</v>
      </c>
      <c r="K209" s="5">
        <v>18.600000000000001</v>
      </c>
      <c r="L209" s="5">
        <v>396.9</v>
      </c>
      <c r="M209" s="5">
        <v>10.87</v>
      </c>
      <c r="N209" s="5">
        <v>22.6</v>
      </c>
    </row>
    <row r="210" spans="1:14" x14ac:dyDescent="0.25">
      <c r="A210" s="5">
        <v>0.22969000000000001</v>
      </c>
      <c r="B210" s="5">
        <v>0</v>
      </c>
      <c r="C210" s="5">
        <v>10.59</v>
      </c>
      <c r="D210" s="5">
        <v>0</v>
      </c>
      <c r="E210" s="5">
        <v>0.48899999999999999</v>
      </c>
      <c r="F210" s="5">
        <v>6.3259999999999996</v>
      </c>
      <c r="G210" s="5">
        <v>52.5</v>
      </c>
      <c r="H210" s="5">
        <v>4.3548999999999998</v>
      </c>
      <c r="I210" s="5">
        <v>4</v>
      </c>
      <c r="J210" s="5">
        <v>277</v>
      </c>
      <c r="K210" s="5">
        <v>18.600000000000001</v>
      </c>
      <c r="L210" s="5">
        <v>394.87</v>
      </c>
      <c r="M210" s="5">
        <v>10.97</v>
      </c>
      <c r="N210" s="5">
        <v>24.4</v>
      </c>
    </row>
    <row r="211" spans="1:14" x14ac:dyDescent="0.25">
      <c r="A211" s="5">
        <v>0.25198999999999999</v>
      </c>
      <c r="B211" s="5">
        <v>0</v>
      </c>
      <c r="C211" s="5">
        <v>10.59</v>
      </c>
      <c r="D211" s="5">
        <v>0</v>
      </c>
      <c r="E211" s="5">
        <v>0.48899999999999999</v>
      </c>
      <c r="F211" s="5">
        <v>5.7830000000000004</v>
      </c>
      <c r="G211" s="5">
        <v>72.7</v>
      </c>
      <c r="H211" s="5">
        <v>4.3548999999999998</v>
      </c>
      <c r="I211" s="5">
        <v>4</v>
      </c>
      <c r="J211" s="5">
        <v>277</v>
      </c>
      <c r="K211" s="5">
        <v>18.600000000000001</v>
      </c>
      <c r="L211" s="5">
        <v>389.43</v>
      </c>
      <c r="M211" s="5">
        <v>18.059999999999999</v>
      </c>
      <c r="N211" s="5">
        <v>22.5</v>
      </c>
    </row>
    <row r="212" spans="1:14" x14ac:dyDescent="0.25">
      <c r="A212" s="5">
        <v>0.13586999999999999</v>
      </c>
      <c r="B212" s="5">
        <v>0</v>
      </c>
      <c r="C212" s="5">
        <v>10.59</v>
      </c>
      <c r="D212" s="5">
        <v>1</v>
      </c>
      <c r="E212" s="5">
        <v>0.48899999999999999</v>
      </c>
      <c r="F212" s="5">
        <v>6.0640000000000001</v>
      </c>
      <c r="G212" s="5">
        <v>59.1</v>
      </c>
      <c r="H212" s="5">
        <v>4.2392000000000003</v>
      </c>
      <c r="I212" s="5">
        <v>4</v>
      </c>
      <c r="J212" s="5">
        <v>277</v>
      </c>
      <c r="K212" s="5">
        <v>18.600000000000001</v>
      </c>
      <c r="L212" s="5">
        <v>381.32</v>
      </c>
      <c r="M212" s="5">
        <v>14.66</v>
      </c>
      <c r="N212" s="5">
        <v>24.4</v>
      </c>
    </row>
    <row r="213" spans="1:14" x14ac:dyDescent="0.25">
      <c r="A213" s="5">
        <v>0.43570999999999999</v>
      </c>
      <c r="B213" s="5">
        <v>0</v>
      </c>
      <c r="C213" s="5">
        <v>10.59</v>
      </c>
      <c r="D213" s="5">
        <v>1</v>
      </c>
      <c r="E213" s="5">
        <v>0.48899999999999999</v>
      </c>
      <c r="F213" s="5">
        <v>5.3440000000000003</v>
      </c>
      <c r="G213" s="5">
        <v>100</v>
      </c>
      <c r="H213" s="5">
        <v>3.875</v>
      </c>
      <c r="I213" s="5">
        <v>4</v>
      </c>
      <c r="J213" s="5">
        <v>277</v>
      </c>
      <c r="K213" s="5">
        <v>18.600000000000001</v>
      </c>
      <c r="L213" s="5">
        <v>396.9</v>
      </c>
      <c r="M213" s="5">
        <v>23.09</v>
      </c>
      <c r="N213" s="5">
        <v>20</v>
      </c>
    </row>
    <row r="214" spans="1:14" x14ac:dyDescent="0.25">
      <c r="A214" s="5">
        <v>0.17446</v>
      </c>
      <c r="B214" s="5">
        <v>0</v>
      </c>
      <c r="C214" s="5">
        <v>10.59</v>
      </c>
      <c r="D214" s="5">
        <v>1</v>
      </c>
      <c r="E214" s="5">
        <v>0.48899999999999999</v>
      </c>
      <c r="F214" s="5">
        <v>5.96</v>
      </c>
      <c r="G214" s="5">
        <v>92.1</v>
      </c>
      <c r="H214" s="5">
        <v>3.8771</v>
      </c>
      <c r="I214" s="5">
        <v>4</v>
      </c>
      <c r="J214" s="5">
        <v>277</v>
      </c>
      <c r="K214" s="5">
        <v>18.600000000000001</v>
      </c>
      <c r="L214" s="5">
        <v>393.25</v>
      </c>
      <c r="M214" s="5">
        <v>17.27</v>
      </c>
      <c r="N214" s="5">
        <v>21.7</v>
      </c>
    </row>
    <row r="215" spans="1:14" x14ac:dyDescent="0.25">
      <c r="A215" s="5">
        <v>0.37578</v>
      </c>
      <c r="B215" s="5">
        <v>0</v>
      </c>
      <c r="C215" s="5">
        <v>10.59</v>
      </c>
      <c r="D215" s="5">
        <v>1</v>
      </c>
      <c r="E215" s="5">
        <v>0.48899999999999999</v>
      </c>
      <c r="F215" s="5">
        <v>5.4039999999999999</v>
      </c>
      <c r="G215" s="5">
        <v>88.6</v>
      </c>
      <c r="H215" s="5">
        <v>3.665</v>
      </c>
      <c r="I215" s="5">
        <v>4</v>
      </c>
      <c r="J215" s="5">
        <v>277</v>
      </c>
      <c r="K215" s="5">
        <v>18.600000000000001</v>
      </c>
      <c r="L215" s="5">
        <v>395.24</v>
      </c>
      <c r="M215" s="5">
        <v>23.98</v>
      </c>
      <c r="N215" s="5">
        <v>19.3</v>
      </c>
    </row>
    <row r="216" spans="1:14" x14ac:dyDescent="0.25">
      <c r="A216" s="5">
        <v>0.21718999999999999</v>
      </c>
      <c r="B216" s="5">
        <v>0</v>
      </c>
      <c r="C216" s="5">
        <v>10.59</v>
      </c>
      <c r="D216" s="5">
        <v>1</v>
      </c>
      <c r="E216" s="5">
        <v>0.48899999999999999</v>
      </c>
      <c r="F216" s="5">
        <v>5.8070000000000004</v>
      </c>
      <c r="G216" s="5">
        <v>53.8</v>
      </c>
      <c r="H216" s="5">
        <v>3.6526000000000001</v>
      </c>
      <c r="I216" s="5">
        <v>4</v>
      </c>
      <c r="J216" s="5">
        <v>277</v>
      </c>
      <c r="K216" s="5">
        <v>18.600000000000001</v>
      </c>
      <c r="L216" s="5">
        <v>390.94</v>
      </c>
      <c r="M216" s="5">
        <v>16.03</v>
      </c>
      <c r="N216" s="5">
        <v>22.4</v>
      </c>
    </row>
    <row r="217" spans="1:14" x14ac:dyDescent="0.25">
      <c r="A217" s="5">
        <v>0.14052000000000001</v>
      </c>
      <c r="B217" s="5">
        <v>0</v>
      </c>
      <c r="C217" s="5">
        <v>10.59</v>
      </c>
      <c r="D217" s="5">
        <v>0</v>
      </c>
      <c r="E217" s="5">
        <v>0.48899999999999999</v>
      </c>
      <c r="F217" s="5">
        <v>6.375</v>
      </c>
      <c r="G217" s="5">
        <v>32.299999999999997</v>
      </c>
      <c r="H217" s="5">
        <v>3.9453999999999998</v>
      </c>
      <c r="I217" s="5">
        <v>4</v>
      </c>
      <c r="J217" s="5">
        <v>277</v>
      </c>
      <c r="K217" s="5">
        <v>18.600000000000001</v>
      </c>
      <c r="L217" s="5">
        <v>385.81</v>
      </c>
      <c r="M217" s="5">
        <v>9.3800000000000008</v>
      </c>
      <c r="N217" s="5">
        <v>28.1</v>
      </c>
    </row>
    <row r="218" spans="1:14" x14ac:dyDescent="0.25">
      <c r="A218" s="5">
        <v>0.28954999999999997</v>
      </c>
      <c r="B218" s="5">
        <v>0</v>
      </c>
      <c r="C218" s="5">
        <v>10.59</v>
      </c>
      <c r="D218" s="5">
        <v>0</v>
      </c>
      <c r="E218" s="5">
        <v>0.48899999999999999</v>
      </c>
      <c r="F218" s="5">
        <v>5.4119999999999999</v>
      </c>
      <c r="G218" s="5">
        <v>9.8000000000000007</v>
      </c>
      <c r="H218" s="5">
        <v>3.5874999999999999</v>
      </c>
      <c r="I218" s="5">
        <v>4</v>
      </c>
      <c r="J218" s="5">
        <v>277</v>
      </c>
      <c r="K218" s="5">
        <v>18.600000000000001</v>
      </c>
      <c r="L218" s="5">
        <v>348.93</v>
      </c>
      <c r="M218" s="5">
        <v>29.55</v>
      </c>
      <c r="N218" s="5">
        <v>23.7</v>
      </c>
    </row>
    <row r="219" spans="1:14" x14ac:dyDescent="0.25">
      <c r="A219" s="5">
        <v>0.19802</v>
      </c>
      <c r="B219" s="5">
        <v>0</v>
      </c>
      <c r="C219" s="5">
        <v>10.59</v>
      </c>
      <c r="D219" s="5">
        <v>0</v>
      </c>
      <c r="E219" s="5">
        <v>0.48899999999999999</v>
      </c>
      <c r="F219" s="5">
        <v>6.1820000000000004</v>
      </c>
      <c r="G219" s="5">
        <v>42.4</v>
      </c>
      <c r="H219" s="5">
        <v>3.9453999999999998</v>
      </c>
      <c r="I219" s="5">
        <v>4</v>
      </c>
      <c r="J219" s="5">
        <v>277</v>
      </c>
      <c r="K219" s="5">
        <v>18.600000000000001</v>
      </c>
      <c r="L219" s="5">
        <v>393.63</v>
      </c>
      <c r="M219" s="5">
        <v>9.4700000000000006</v>
      </c>
      <c r="N219" s="5">
        <v>25</v>
      </c>
    </row>
    <row r="220" spans="1:14" x14ac:dyDescent="0.25">
      <c r="A220" s="5">
        <v>4.5600000000000002E-2</v>
      </c>
      <c r="B220" s="5">
        <v>0</v>
      </c>
      <c r="C220" s="5">
        <v>13.89</v>
      </c>
      <c r="D220" s="5">
        <v>1</v>
      </c>
      <c r="E220" s="5">
        <v>0.55000000000000004</v>
      </c>
      <c r="F220" s="5">
        <v>5.8879999999999999</v>
      </c>
      <c r="G220" s="5">
        <v>56</v>
      </c>
      <c r="H220" s="5">
        <v>3.1120999999999999</v>
      </c>
      <c r="I220" s="5">
        <v>5</v>
      </c>
      <c r="J220" s="5">
        <v>276</v>
      </c>
      <c r="K220" s="5">
        <v>16.399999999999999</v>
      </c>
      <c r="L220" s="5">
        <v>392.8</v>
      </c>
      <c r="M220" s="5">
        <v>13.51</v>
      </c>
      <c r="N220" s="5">
        <v>23.3</v>
      </c>
    </row>
    <row r="221" spans="1:14" x14ac:dyDescent="0.25">
      <c r="A221" s="5">
        <v>7.0129999999999998E-2</v>
      </c>
      <c r="B221" s="5">
        <v>0</v>
      </c>
      <c r="C221" s="5">
        <v>13.89</v>
      </c>
      <c r="D221" s="5">
        <v>0</v>
      </c>
      <c r="E221" s="5">
        <v>0.55000000000000004</v>
      </c>
      <c r="F221" s="5">
        <v>6.6420000000000003</v>
      </c>
      <c r="G221" s="5">
        <v>85.1</v>
      </c>
      <c r="H221" s="5">
        <v>3.4211</v>
      </c>
      <c r="I221" s="5">
        <v>5</v>
      </c>
      <c r="J221" s="5">
        <v>276</v>
      </c>
      <c r="K221" s="5">
        <v>16.399999999999999</v>
      </c>
      <c r="L221" s="5">
        <v>392.78</v>
      </c>
      <c r="M221" s="5">
        <v>9.69</v>
      </c>
      <c r="N221" s="5">
        <v>28.7</v>
      </c>
    </row>
    <row r="222" spans="1:14" x14ac:dyDescent="0.25">
      <c r="A222" s="5">
        <v>0.11069</v>
      </c>
      <c r="B222" s="5">
        <v>0</v>
      </c>
      <c r="C222" s="5">
        <v>13.89</v>
      </c>
      <c r="D222" s="5">
        <v>1</v>
      </c>
      <c r="E222" s="5">
        <v>0.55000000000000004</v>
      </c>
      <c r="F222" s="5">
        <v>5.9509999999999996</v>
      </c>
      <c r="G222" s="5">
        <v>93.8</v>
      </c>
      <c r="H222" s="5">
        <v>2.8893</v>
      </c>
      <c r="I222" s="5">
        <v>5</v>
      </c>
      <c r="J222" s="5">
        <v>276</v>
      </c>
      <c r="K222" s="5">
        <v>16.399999999999999</v>
      </c>
      <c r="L222" s="5">
        <v>396.9</v>
      </c>
      <c r="M222" s="5">
        <v>17.920000000000002</v>
      </c>
      <c r="N222" s="5">
        <v>21.5</v>
      </c>
    </row>
    <row r="223" spans="1:14" x14ac:dyDescent="0.25">
      <c r="A223" s="5">
        <v>0.11425</v>
      </c>
      <c r="B223" s="5">
        <v>0</v>
      </c>
      <c r="C223" s="5">
        <v>13.89</v>
      </c>
      <c r="D223" s="5">
        <v>1</v>
      </c>
      <c r="E223" s="5">
        <v>0.55000000000000004</v>
      </c>
      <c r="F223" s="5">
        <v>6.3730000000000002</v>
      </c>
      <c r="G223" s="5">
        <v>92.4</v>
      </c>
      <c r="H223" s="5">
        <v>3.3633000000000002</v>
      </c>
      <c r="I223" s="5">
        <v>5</v>
      </c>
      <c r="J223" s="5">
        <v>276</v>
      </c>
      <c r="K223" s="5">
        <v>16.399999999999999</v>
      </c>
      <c r="L223" s="5">
        <v>393.74</v>
      </c>
      <c r="M223" s="5">
        <v>10.5</v>
      </c>
      <c r="N223" s="5">
        <v>23</v>
      </c>
    </row>
    <row r="224" spans="1:14" x14ac:dyDescent="0.25">
      <c r="A224" s="5">
        <v>0.35809000000000002</v>
      </c>
      <c r="B224" s="5">
        <v>0</v>
      </c>
      <c r="C224" s="5">
        <v>6.2</v>
      </c>
      <c r="D224" s="5">
        <v>1</v>
      </c>
      <c r="E224" s="5">
        <v>0.50700000000000001</v>
      </c>
      <c r="F224" s="5">
        <v>6.9509999999999996</v>
      </c>
      <c r="G224" s="5">
        <v>88.5</v>
      </c>
      <c r="H224" s="5">
        <v>2.8616999999999999</v>
      </c>
      <c r="I224" s="5">
        <v>8</v>
      </c>
      <c r="J224" s="5">
        <v>307</v>
      </c>
      <c r="K224" s="5">
        <v>17.399999999999999</v>
      </c>
      <c r="L224" s="5">
        <v>391.7</v>
      </c>
      <c r="M224" s="5">
        <v>9.7100000000000009</v>
      </c>
      <c r="N224" s="5">
        <v>26.7</v>
      </c>
    </row>
    <row r="225" spans="1:14" x14ac:dyDescent="0.25">
      <c r="A225" s="5">
        <v>0.40771000000000002</v>
      </c>
      <c r="B225" s="5">
        <v>0</v>
      </c>
      <c r="C225" s="5">
        <v>6.2</v>
      </c>
      <c r="D225" s="5">
        <v>1</v>
      </c>
      <c r="E225" s="5">
        <v>0.50700000000000001</v>
      </c>
      <c r="F225" s="5">
        <v>6.1639999999999997</v>
      </c>
      <c r="G225" s="5">
        <v>91.3</v>
      </c>
      <c r="H225" s="5">
        <v>3.048</v>
      </c>
      <c r="I225" s="5">
        <v>8</v>
      </c>
      <c r="J225" s="5">
        <v>307</v>
      </c>
      <c r="K225" s="5">
        <v>17.399999999999999</v>
      </c>
      <c r="L225" s="5">
        <v>395.24</v>
      </c>
      <c r="M225" s="5">
        <v>21.46</v>
      </c>
      <c r="N225" s="5">
        <v>21.7</v>
      </c>
    </row>
    <row r="226" spans="1:14" x14ac:dyDescent="0.25">
      <c r="A226" s="5">
        <v>0.62356</v>
      </c>
      <c r="B226" s="5">
        <v>0</v>
      </c>
      <c r="C226" s="5">
        <v>6.2</v>
      </c>
      <c r="D226" s="5">
        <v>1</v>
      </c>
      <c r="E226" s="5">
        <v>0.50700000000000001</v>
      </c>
      <c r="F226" s="5">
        <v>6.8789999999999996</v>
      </c>
      <c r="G226" s="5">
        <v>77.7</v>
      </c>
      <c r="H226" s="5">
        <v>3.2721</v>
      </c>
      <c r="I226" s="5">
        <v>8</v>
      </c>
      <c r="J226" s="5">
        <v>307</v>
      </c>
      <c r="K226" s="5">
        <v>17.399999999999999</v>
      </c>
      <c r="L226" s="5">
        <v>390.39</v>
      </c>
      <c r="M226" s="5">
        <v>9.93</v>
      </c>
      <c r="N226" s="5">
        <v>27.5</v>
      </c>
    </row>
    <row r="227" spans="1:14" x14ac:dyDescent="0.25">
      <c r="A227" s="5">
        <v>0.61470000000000002</v>
      </c>
      <c r="B227" s="5">
        <v>0</v>
      </c>
      <c r="C227" s="5">
        <v>6.2</v>
      </c>
      <c r="D227" s="5">
        <v>0</v>
      </c>
      <c r="E227" s="5">
        <v>0.50700000000000001</v>
      </c>
      <c r="F227" s="5">
        <v>6.6180000000000003</v>
      </c>
      <c r="G227" s="5">
        <v>80.8</v>
      </c>
      <c r="H227" s="5">
        <v>3.2721</v>
      </c>
      <c r="I227" s="5">
        <v>8</v>
      </c>
      <c r="J227" s="5">
        <v>307</v>
      </c>
      <c r="K227" s="5">
        <v>17.399999999999999</v>
      </c>
      <c r="L227" s="5">
        <v>396.9</v>
      </c>
      <c r="M227" s="5">
        <v>7.6</v>
      </c>
      <c r="N227" s="5">
        <v>30.1</v>
      </c>
    </row>
    <row r="228" spans="1:14" x14ac:dyDescent="0.25">
      <c r="A228" s="5">
        <v>0.31533</v>
      </c>
      <c r="B228" s="5">
        <v>0</v>
      </c>
      <c r="C228" s="5">
        <v>6.2</v>
      </c>
      <c r="D228" s="5">
        <v>0</v>
      </c>
      <c r="E228" s="5">
        <v>0.504</v>
      </c>
      <c r="F228" s="5">
        <v>8.266</v>
      </c>
      <c r="G228" s="5">
        <v>78.3</v>
      </c>
      <c r="H228" s="5">
        <v>2.8944000000000001</v>
      </c>
      <c r="I228" s="5">
        <v>8</v>
      </c>
      <c r="J228" s="5">
        <v>307</v>
      </c>
      <c r="K228" s="5">
        <v>17.399999999999999</v>
      </c>
      <c r="L228" s="5">
        <v>385.05</v>
      </c>
      <c r="M228" s="5">
        <v>4.1399999999999997</v>
      </c>
      <c r="N228" s="5">
        <v>44.8</v>
      </c>
    </row>
    <row r="229" spans="1:14" x14ac:dyDescent="0.25">
      <c r="A229" s="5">
        <v>0.52693000000000001</v>
      </c>
      <c r="B229" s="5">
        <v>0</v>
      </c>
      <c r="C229" s="5">
        <v>6.2</v>
      </c>
      <c r="D229" s="5">
        <v>0</v>
      </c>
      <c r="E229" s="5">
        <v>0.504</v>
      </c>
      <c r="F229" s="5">
        <v>8.7249999999999996</v>
      </c>
      <c r="G229" s="5">
        <v>83</v>
      </c>
      <c r="H229" s="5">
        <v>2.8944000000000001</v>
      </c>
      <c r="I229" s="5">
        <v>8</v>
      </c>
      <c r="J229" s="5">
        <v>307</v>
      </c>
      <c r="K229" s="5">
        <v>17.399999999999999</v>
      </c>
      <c r="L229" s="5">
        <v>382</v>
      </c>
      <c r="M229" s="5">
        <v>4.63</v>
      </c>
      <c r="N229" s="5">
        <v>50</v>
      </c>
    </row>
    <row r="230" spans="1:14" x14ac:dyDescent="0.25">
      <c r="A230" s="5">
        <v>0.38213999999999998</v>
      </c>
      <c r="B230" s="5">
        <v>0</v>
      </c>
      <c r="C230" s="5">
        <v>6.2</v>
      </c>
      <c r="D230" s="5">
        <v>0</v>
      </c>
      <c r="E230" s="5">
        <v>0.504</v>
      </c>
      <c r="F230" s="5">
        <v>8.0399999999999991</v>
      </c>
      <c r="G230" s="5">
        <v>86.5</v>
      </c>
      <c r="H230" s="5">
        <v>3.2157</v>
      </c>
      <c r="I230" s="5">
        <v>8</v>
      </c>
      <c r="J230" s="5">
        <v>307</v>
      </c>
      <c r="K230" s="5">
        <v>17.399999999999999</v>
      </c>
      <c r="L230" s="5">
        <v>387.38</v>
      </c>
      <c r="M230" s="5">
        <v>3.13</v>
      </c>
      <c r="N230" s="5">
        <v>37.6</v>
      </c>
    </row>
    <row r="231" spans="1:14" x14ac:dyDescent="0.25">
      <c r="A231" s="5">
        <v>0.41238000000000002</v>
      </c>
      <c r="B231" s="5">
        <v>0</v>
      </c>
      <c r="C231" s="5">
        <v>6.2</v>
      </c>
      <c r="D231" s="5">
        <v>0</v>
      </c>
      <c r="E231" s="5">
        <v>0.504</v>
      </c>
      <c r="F231" s="5">
        <v>7.1630000000000003</v>
      </c>
      <c r="G231" s="5">
        <v>79.900000000000006</v>
      </c>
      <c r="H231" s="5">
        <v>3.2157</v>
      </c>
      <c r="I231" s="5">
        <v>8</v>
      </c>
      <c r="J231" s="5">
        <v>307</v>
      </c>
      <c r="K231" s="5">
        <v>17.399999999999999</v>
      </c>
      <c r="L231" s="5">
        <v>372.08</v>
      </c>
      <c r="M231" s="5">
        <v>6.36</v>
      </c>
      <c r="N231" s="5">
        <v>31.6</v>
      </c>
    </row>
    <row r="232" spans="1:14" x14ac:dyDescent="0.25">
      <c r="A232" s="5">
        <v>0.29819000000000001</v>
      </c>
      <c r="B232" s="5">
        <v>0</v>
      </c>
      <c r="C232" s="5">
        <v>6.2</v>
      </c>
      <c r="D232" s="5">
        <v>0</v>
      </c>
      <c r="E232" s="5">
        <v>0.504</v>
      </c>
      <c r="F232" s="5">
        <v>7.6859999999999999</v>
      </c>
      <c r="G232" s="5">
        <v>17</v>
      </c>
      <c r="H232" s="5">
        <v>3.3751000000000002</v>
      </c>
      <c r="I232" s="5">
        <v>8</v>
      </c>
      <c r="J232" s="5">
        <v>307</v>
      </c>
      <c r="K232" s="5">
        <v>17.399999999999999</v>
      </c>
      <c r="L232" s="5">
        <v>377.51</v>
      </c>
      <c r="M232" s="5">
        <v>3.92</v>
      </c>
      <c r="N232" s="5">
        <v>46.7</v>
      </c>
    </row>
    <row r="233" spans="1:14" x14ac:dyDescent="0.25">
      <c r="A233" s="5">
        <v>0.44178000000000001</v>
      </c>
      <c r="B233" s="5">
        <v>0</v>
      </c>
      <c r="C233" s="5">
        <v>6.2</v>
      </c>
      <c r="D233" s="5">
        <v>0</v>
      </c>
      <c r="E233" s="5">
        <v>0.504</v>
      </c>
      <c r="F233" s="5">
        <v>6.5519999999999996</v>
      </c>
      <c r="G233" s="5">
        <v>21.4</v>
      </c>
      <c r="H233" s="5">
        <v>3.3751000000000002</v>
      </c>
      <c r="I233" s="5">
        <v>8</v>
      </c>
      <c r="J233" s="5">
        <v>307</v>
      </c>
      <c r="K233" s="5">
        <v>17.399999999999999</v>
      </c>
      <c r="L233" s="5">
        <v>380.34</v>
      </c>
      <c r="M233" s="5">
        <v>3.76</v>
      </c>
      <c r="N233" s="5">
        <v>31.5</v>
      </c>
    </row>
    <row r="234" spans="1:14" x14ac:dyDescent="0.25">
      <c r="A234" s="5">
        <v>0.53700000000000003</v>
      </c>
      <c r="B234" s="5">
        <v>0</v>
      </c>
      <c r="C234" s="5">
        <v>6.2</v>
      </c>
      <c r="D234" s="5">
        <v>0</v>
      </c>
      <c r="E234" s="5">
        <v>0.504</v>
      </c>
      <c r="F234" s="5">
        <v>5.9809999999999999</v>
      </c>
      <c r="G234" s="5">
        <v>68.099999999999994</v>
      </c>
      <c r="H234" s="5">
        <v>3.6715</v>
      </c>
      <c r="I234" s="5">
        <v>8</v>
      </c>
      <c r="J234" s="5">
        <v>307</v>
      </c>
      <c r="K234" s="5">
        <v>17.399999999999999</v>
      </c>
      <c r="L234" s="5">
        <v>378.35</v>
      </c>
      <c r="M234" s="5">
        <v>11.65</v>
      </c>
      <c r="N234" s="5">
        <v>24.3</v>
      </c>
    </row>
    <row r="235" spans="1:14" x14ac:dyDescent="0.25">
      <c r="A235" s="5">
        <v>0.46295999999999998</v>
      </c>
      <c r="B235" s="5">
        <v>0</v>
      </c>
      <c r="C235" s="5">
        <v>6.2</v>
      </c>
      <c r="D235" s="5">
        <v>0</v>
      </c>
      <c r="E235" s="5">
        <v>0.504</v>
      </c>
      <c r="F235" s="5">
        <v>7.4119999999999999</v>
      </c>
      <c r="G235" s="5">
        <v>76.900000000000006</v>
      </c>
      <c r="H235" s="5">
        <v>3.6715</v>
      </c>
      <c r="I235" s="5">
        <v>8</v>
      </c>
      <c r="J235" s="5">
        <v>307</v>
      </c>
      <c r="K235" s="5">
        <v>17.399999999999999</v>
      </c>
      <c r="L235" s="5">
        <v>376.14</v>
      </c>
      <c r="M235" s="5">
        <v>5.25</v>
      </c>
      <c r="N235" s="5">
        <v>31.7</v>
      </c>
    </row>
    <row r="236" spans="1:14" x14ac:dyDescent="0.25">
      <c r="A236" s="5">
        <v>0.57528999999999997</v>
      </c>
      <c r="B236" s="5">
        <v>0</v>
      </c>
      <c r="C236" s="5">
        <v>6.2</v>
      </c>
      <c r="D236" s="5">
        <v>0</v>
      </c>
      <c r="E236" s="5">
        <v>0.50700000000000001</v>
      </c>
      <c r="F236" s="5">
        <v>8.3369999999999997</v>
      </c>
      <c r="G236" s="5">
        <v>73.3</v>
      </c>
      <c r="H236" s="5">
        <v>3.8384</v>
      </c>
      <c r="I236" s="5">
        <v>8</v>
      </c>
      <c r="J236" s="5">
        <v>307</v>
      </c>
      <c r="K236" s="5">
        <v>17.399999999999999</v>
      </c>
      <c r="L236" s="5">
        <v>385.91</v>
      </c>
      <c r="M236" s="5">
        <v>2.4700000000000002</v>
      </c>
      <c r="N236" s="5">
        <v>41.7</v>
      </c>
    </row>
    <row r="237" spans="1:14" x14ac:dyDescent="0.25">
      <c r="A237" s="5">
        <v>0.33146999999999999</v>
      </c>
      <c r="B237" s="5">
        <v>0</v>
      </c>
      <c r="C237" s="5">
        <v>6.2</v>
      </c>
      <c r="D237" s="5">
        <v>0</v>
      </c>
      <c r="E237" s="5">
        <v>0.50700000000000001</v>
      </c>
      <c r="F237" s="5">
        <v>8.2469999999999999</v>
      </c>
      <c r="G237" s="5">
        <v>70.400000000000006</v>
      </c>
      <c r="H237" s="5">
        <v>3.6518999999999999</v>
      </c>
      <c r="I237" s="5">
        <v>8</v>
      </c>
      <c r="J237" s="5">
        <v>307</v>
      </c>
      <c r="K237" s="5">
        <v>17.399999999999999</v>
      </c>
      <c r="L237" s="5">
        <v>378.95</v>
      </c>
      <c r="M237" s="5">
        <v>3.95</v>
      </c>
      <c r="N237" s="5">
        <v>48.3</v>
      </c>
    </row>
    <row r="238" spans="1:14" x14ac:dyDescent="0.25">
      <c r="A238" s="5">
        <v>0.44790999999999997</v>
      </c>
      <c r="B238" s="5">
        <v>0</v>
      </c>
      <c r="C238" s="5">
        <v>6.2</v>
      </c>
      <c r="D238" s="5">
        <v>1</v>
      </c>
      <c r="E238" s="5">
        <v>0.50700000000000001</v>
      </c>
      <c r="F238" s="5">
        <v>6.726</v>
      </c>
      <c r="G238" s="5">
        <v>66.5</v>
      </c>
      <c r="H238" s="5">
        <v>3.6518999999999999</v>
      </c>
      <c r="I238" s="5">
        <v>8</v>
      </c>
      <c r="J238" s="5">
        <v>307</v>
      </c>
      <c r="K238" s="5">
        <v>17.399999999999999</v>
      </c>
      <c r="L238" s="5">
        <v>360.2</v>
      </c>
      <c r="M238" s="5">
        <v>8.0500000000000007</v>
      </c>
      <c r="N238" s="5">
        <v>29</v>
      </c>
    </row>
    <row r="239" spans="1:14" x14ac:dyDescent="0.25">
      <c r="A239" s="5">
        <v>0.33045000000000002</v>
      </c>
      <c r="B239" s="5">
        <v>0</v>
      </c>
      <c r="C239" s="5">
        <v>6.2</v>
      </c>
      <c r="D239" s="5">
        <v>0</v>
      </c>
      <c r="E239" s="5">
        <v>0.50700000000000001</v>
      </c>
      <c r="F239" s="5">
        <v>6.0860000000000003</v>
      </c>
      <c r="G239" s="5">
        <v>61.5</v>
      </c>
      <c r="H239" s="5">
        <v>3.6518999999999999</v>
      </c>
      <c r="I239" s="5">
        <v>8</v>
      </c>
      <c r="J239" s="5">
        <v>307</v>
      </c>
      <c r="K239" s="5">
        <v>17.399999999999999</v>
      </c>
      <c r="L239" s="5">
        <v>376.75</v>
      </c>
      <c r="M239" s="5">
        <v>10.88</v>
      </c>
      <c r="N239" s="5">
        <v>24</v>
      </c>
    </row>
    <row r="240" spans="1:14" x14ac:dyDescent="0.25">
      <c r="A240" s="5">
        <v>0.52058000000000004</v>
      </c>
      <c r="B240" s="5">
        <v>0</v>
      </c>
      <c r="C240" s="5">
        <v>6.2</v>
      </c>
      <c r="D240" s="5">
        <v>1</v>
      </c>
      <c r="E240" s="5">
        <v>0.50700000000000001</v>
      </c>
      <c r="F240" s="5">
        <v>6.6310000000000002</v>
      </c>
      <c r="G240" s="5">
        <v>76.5</v>
      </c>
      <c r="H240" s="5">
        <v>4.1479999999999997</v>
      </c>
      <c r="I240" s="5">
        <v>8</v>
      </c>
      <c r="J240" s="5">
        <v>307</v>
      </c>
      <c r="K240" s="5">
        <v>17.399999999999999</v>
      </c>
      <c r="L240" s="5">
        <v>388.45</v>
      </c>
      <c r="M240" s="5">
        <v>9.5399999999999991</v>
      </c>
      <c r="N240" s="5">
        <v>25.1</v>
      </c>
    </row>
    <row r="241" spans="1:14" x14ac:dyDescent="0.25">
      <c r="A241" s="5">
        <v>0.51183000000000001</v>
      </c>
      <c r="B241" s="5">
        <v>0</v>
      </c>
      <c r="C241" s="5">
        <v>6.2</v>
      </c>
      <c r="D241" s="5">
        <v>0</v>
      </c>
      <c r="E241" s="5">
        <v>0.50700000000000001</v>
      </c>
      <c r="F241" s="5">
        <v>7.3579999999999997</v>
      </c>
      <c r="G241" s="5">
        <v>71.599999999999994</v>
      </c>
      <c r="H241" s="5">
        <v>4.1479999999999997</v>
      </c>
      <c r="I241" s="5">
        <v>8</v>
      </c>
      <c r="J241" s="5">
        <v>307</v>
      </c>
      <c r="K241" s="5">
        <v>17.399999999999999</v>
      </c>
      <c r="L241" s="5">
        <v>390.07</v>
      </c>
      <c r="M241" s="5">
        <v>4.7300000000000004</v>
      </c>
      <c r="N241" s="5">
        <v>31.5</v>
      </c>
    </row>
    <row r="242" spans="1:14" x14ac:dyDescent="0.25">
      <c r="A242" s="5">
        <v>8.2439999999999999E-2</v>
      </c>
      <c r="B242" s="5">
        <v>30</v>
      </c>
      <c r="C242" s="5">
        <v>4.93</v>
      </c>
      <c r="D242" s="5">
        <v>0</v>
      </c>
      <c r="E242" s="5">
        <v>0.42799999999999999</v>
      </c>
      <c r="F242" s="5">
        <v>6.4809999999999999</v>
      </c>
      <c r="G242" s="5">
        <v>18.5</v>
      </c>
      <c r="H242" s="5">
        <v>6.1898999999999997</v>
      </c>
      <c r="I242" s="5">
        <v>6</v>
      </c>
      <c r="J242" s="5">
        <v>300</v>
      </c>
      <c r="K242" s="5">
        <v>16.600000000000001</v>
      </c>
      <c r="L242" s="5">
        <v>379.41</v>
      </c>
      <c r="M242" s="5">
        <v>6.36</v>
      </c>
      <c r="N242" s="5">
        <v>23.7</v>
      </c>
    </row>
    <row r="243" spans="1:14" x14ac:dyDescent="0.25">
      <c r="A243" s="5">
        <v>9.2520000000000005E-2</v>
      </c>
      <c r="B243" s="5">
        <v>30</v>
      </c>
      <c r="C243" s="5">
        <v>4.93</v>
      </c>
      <c r="D243" s="5">
        <v>0</v>
      </c>
      <c r="E243" s="5">
        <v>0.42799999999999999</v>
      </c>
      <c r="F243" s="5">
        <v>6.6059999999999999</v>
      </c>
      <c r="G243" s="5">
        <v>42.2</v>
      </c>
      <c r="H243" s="5">
        <v>6.1898999999999997</v>
      </c>
      <c r="I243" s="5">
        <v>6</v>
      </c>
      <c r="J243" s="5">
        <v>300</v>
      </c>
      <c r="K243" s="5">
        <v>16.600000000000001</v>
      </c>
      <c r="L243" s="5">
        <v>383.78</v>
      </c>
      <c r="M243" s="5">
        <v>7.37</v>
      </c>
      <c r="N243" s="5">
        <v>23.3</v>
      </c>
    </row>
    <row r="244" spans="1:14" x14ac:dyDescent="0.25">
      <c r="A244" s="5">
        <v>0.11329</v>
      </c>
      <c r="B244" s="5">
        <v>30</v>
      </c>
      <c r="C244" s="5">
        <v>4.93</v>
      </c>
      <c r="D244" s="5">
        <v>0</v>
      </c>
      <c r="E244" s="5">
        <v>0.42799999999999999</v>
      </c>
      <c r="F244" s="5">
        <v>6.8970000000000002</v>
      </c>
      <c r="G244" s="5">
        <v>54.3</v>
      </c>
      <c r="H244" s="5">
        <v>6.3361000000000001</v>
      </c>
      <c r="I244" s="5">
        <v>6</v>
      </c>
      <c r="J244" s="5">
        <v>300</v>
      </c>
      <c r="K244" s="5">
        <v>16.600000000000001</v>
      </c>
      <c r="L244" s="5">
        <v>391.25</v>
      </c>
      <c r="M244" s="5">
        <v>11.38</v>
      </c>
      <c r="N244" s="5">
        <v>22</v>
      </c>
    </row>
    <row r="245" spans="1:14" x14ac:dyDescent="0.25">
      <c r="A245" s="5">
        <v>0.10612000000000001</v>
      </c>
      <c r="B245" s="5">
        <v>30</v>
      </c>
      <c r="C245" s="5">
        <v>4.93</v>
      </c>
      <c r="D245" s="5">
        <v>0</v>
      </c>
      <c r="E245" s="5">
        <v>0.42799999999999999</v>
      </c>
      <c r="F245" s="5">
        <v>6.0949999999999998</v>
      </c>
      <c r="G245" s="5">
        <v>65.099999999999994</v>
      </c>
      <c r="H245" s="5">
        <v>6.3361000000000001</v>
      </c>
      <c r="I245" s="5">
        <v>6</v>
      </c>
      <c r="J245" s="5">
        <v>300</v>
      </c>
      <c r="K245" s="5">
        <v>16.600000000000001</v>
      </c>
      <c r="L245" s="5">
        <v>394.62</v>
      </c>
      <c r="M245" s="5">
        <v>12.4</v>
      </c>
      <c r="N245" s="5">
        <v>20.100000000000001</v>
      </c>
    </row>
    <row r="246" spans="1:14" x14ac:dyDescent="0.25">
      <c r="A246" s="5">
        <v>0.10290000000000001</v>
      </c>
      <c r="B246" s="5">
        <v>30</v>
      </c>
      <c r="C246" s="5">
        <v>4.93</v>
      </c>
      <c r="D246" s="5">
        <v>0</v>
      </c>
      <c r="E246" s="5">
        <v>0.42799999999999999</v>
      </c>
      <c r="F246" s="5">
        <v>6.3579999999999997</v>
      </c>
      <c r="G246" s="5">
        <v>52.9</v>
      </c>
      <c r="H246" s="5">
        <v>7.0354999999999999</v>
      </c>
      <c r="I246" s="5">
        <v>6</v>
      </c>
      <c r="J246" s="5">
        <v>300</v>
      </c>
      <c r="K246" s="5">
        <v>16.600000000000001</v>
      </c>
      <c r="L246" s="5">
        <v>372.75</v>
      </c>
      <c r="M246" s="5">
        <v>11.22</v>
      </c>
      <c r="N246" s="5">
        <v>22.2</v>
      </c>
    </row>
    <row r="247" spans="1:14" x14ac:dyDescent="0.25">
      <c r="A247" s="5">
        <v>0.12756999999999999</v>
      </c>
      <c r="B247" s="5">
        <v>30</v>
      </c>
      <c r="C247" s="5">
        <v>4.93</v>
      </c>
      <c r="D247" s="5">
        <v>0</v>
      </c>
      <c r="E247" s="5">
        <v>0.42799999999999999</v>
      </c>
      <c r="F247" s="5">
        <v>6.3929999999999998</v>
      </c>
      <c r="G247" s="5">
        <v>7.8</v>
      </c>
      <c r="H247" s="5">
        <v>7.0354999999999999</v>
      </c>
      <c r="I247" s="5">
        <v>6</v>
      </c>
      <c r="J247" s="5">
        <v>300</v>
      </c>
      <c r="K247" s="5">
        <v>16.600000000000001</v>
      </c>
      <c r="L247" s="5">
        <v>374.71</v>
      </c>
      <c r="M247" s="5">
        <v>5.19</v>
      </c>
      <c r="N247" s="5">
        <v>23.7</v>
      </c>
    </row>
    <row r="248" spans="1:14" x14ac:dyDescent="0.25">
      <c r="A248" s="5">
        <v>0.20608000000000001</v>
      </c>
      <c r="B248" s="5">
        <v>22</v>
      </c>
      <c r="C248" s="5">
        <v>5.86</v>
      </c>
      <c r="D248" s="5">
        <v>0</v>
      </c>
      <c r="E248" s="5">
        <v>0.43099999999999999</v>
      </c>
      <c r="F248" s="5">
        <v>5.593</v>
      </c>
      <c r="G248" s="5">
        <v>76.5</v>
      </c>
      <c r="H248" s="5">
        <v>7.9549000000000003</v>
      </c>
      <c r="I248" s="5">
        <v>7</v>
      </c>
      <c r="J248" s="5">
        <v>330</v>
      </c>
      <c r="K248" s="5">
        <v>19.100000000000001</v>
      </c>
      <c r="L248" s="5">
        <v>372.49</v>
      </c>
      <c r="M248" s="5">
        <v>12.5</v>
      </c>
      <c r="N248" s="5">
        <v>17.600000000000001</v>
      </c>
    </row>
    <row r="249" spans="1:14" x14ac:dyDescent="0.25">
      <c r="A249" s="5">
        <v>0.19133</v>
      </c>
      <c r="B249" s="5">
        <v>22</v>
      </c>
      <c r="C249" s="5">
        <v>5.86</v>
      </c>
      <c r="D249" s="5">
        <v>0</v>
      </c>
      <c r="E249" s="5">
        <v>0.43099999999999999</v>
      </c>
      <c r="F249" s="5">
        <v>5.6050000000000004</v>
      </c>
      <c r="G249" s="5">
        <v>70.2</v>
      </c>
      <c r="H249" s="5">
        <v>7.9549000000000003</v>
      </c>
      <c r="I249" s="5">
        <v>7</v>
      </c>
      <c r="J249" s="5">
        <v>330</v>
      </c>
      <c r="K249" s="5">
        <v>19.100000000000001</v>
      </c>
      <c r="L249" s="5">
        <v>389.13</v>
      </c>
      <c r="M249" s="5">
        <v>18.46</v>
      </c>
      <c r="N249" s="5">
        <v>18.5</v>
      </c>
    </row>
    <row r="250" spans="1:14" x14ac:dyDescent="0.25">
      <c r="A250" s="5">
        <v>0.33983000000000002</v>
      </c>
      <c r="B250" s="5">
        <v>22</v>
      </c>
      <c r="C250" s="5">
        <v>5.86</v>
      </c>
      <c r="D250" s="5">
        <v>0</v>
      </c>
      <c r="E250" s="5">
        <v>0.43099999999999999</v>
      </c>
      <c r="F250" s="5">
        <v>6.1079999999999997</v>
      </c>
      <c r="G250" s="5">
        <v>34.9</v>
      </c>
      <c r="H250" s="5">
        <v>8.0555000000000003</v>
      </c>
      <c r="I250" s="5">
        <v>7</v>
      </c>
      <c r="J250" s="5">
        <v>330</v>
      </c>
      <c r="K250" s="5">
        <v>19.100000000000001</v>
      </c>
      <c r="L250" s="5">
        <v>390.18</v>
      </c>
      <c r="M250" s="5">
        <v>9.16</v>
      </c>
      <c r="N250" s="5">
        <v>24.3</v>
      </c>
    </row>
    <row r="251" spans="1:14" x14ac:dyDescent="0.25">
      <c r="A251" s="5">
        <v>0.19656999999999999</v>
      </c>
      <c r="B251" s="5">
        <v>22</v>
      </c>
      <c r="C251" s="5">
        <v>5.86</v>
      </c>
      <c r="D251" s="5">
        <v>0</v>
      </c>
      <c r="E251" s="5">
        <v>0.43099999999999999</v>
      </c>
      <c r="F251" s="5">
        <v>6.226</v>
      </c>
      <c r="G251" s="5">
        <v>79.2</v>
      </c>
      <c r="H251" s="5">
        <v>8.0555000000000003</v>
      </c>
      <c r="I251" s="5">
        <v>7</v>
      </c>
      <c r="J251" s="5">
        <v>330</v>
      </c>
      <c r="K251" s="5">
        <v>19.100000000000001</v>
      </c>
      <c r="L251" s="5">
        <v>376.14</v>
      </c>
      <c r="M251" s="5">
        <v>10.15</v>
      </c>
      <c r="N251" s="5">
        <v>20.5</v>
      </c>
    </row>
    <row r="252" spans="1:14" x14ac:dyDescent="0.25">
      <c r="A252" s="5">
        <v>0.16439000000000001</v>
      </c>
      <c r="B252" s="5">
        <v>22</v>
      </c>
      <c r="C252" s="5">
        <v>5.86</v>
      </c>
      <c r="D252" s="5">
        <v>0</v>
      </c>
      <c r="E252" s="5">
        <v>0.43099999999999999</v>
      </c>
      <c r="F252" s="5">
        <v>6.4329999999999998</v>
      </c>
      <c r="G252" s="5">
        <v>49.1</v>
      </c>
      <c r="H252" s="5">
        <v>7.8265000000000002</v>
      </c>
      <c r="I252" s="5">
        <v>7</v>
      </c>
      <c r="J252" s="5">
        <v>330</v>
      </c>
      <c r="K252" s="5">
        <v>19.100000000000001</v>
      </c>
      <c r="L252" s="5">
        <v>374.71</v>
      </c>
      <c r="M252" s="5">
        <v>9.52</v>
      </c>
      <c r="N252" s="5">
        <v>24.5</v>
      </c>
    </row>
    <row r="253" spans="1:14" x14ac:dyDescent="0.25">
      <c r="A253" s="5">
        <v>0.19073000000000001</v>
      </c>
      <c r="B253" s="5">
        <v>22</v>
      </c>
      <c r="C253" s="5">
        <v>5.86</v>
      </c>
      <c r="D253" s="5">
        <v>0</v>
      </c>
      <c r="E253" s="5">
        <v>0.43099999999999999</v>
      </c>
      <c r="F253" s="5">
        <v>6.718</v>
      </c>
      <c r="G253" s="5">
        <v>17.5</v>
      </c>
      <c r="H253" s="5">
        <v>7.8265000000000002</v>
      </c>
      <c r="I253" s="5">
        <v>7</v>
      </c>
      <c r="J253" s="5">
        <v>330</v>
      </c>
      <c r="K253" s="5">
        <v>19.100000000000001</v>
      </c>
      <c r="L253" s="5">
        <v>393.74</v>
      </c>
      <c r="M253" s="5">
        <v>6.56</v>
      </c>
      <c r="N253" s="5">
        <v>26.2</v>
      </c>
    </row>
    <row r="254" spans="1:14" x14ac:dyDescent="0.25">
      <c r="A254" s="5">
        <v>0.14030000000000001</v>
      </c>
      <c r="B254" s="5">
        <v>22</v>
      </c>
      <c r="C254" s="5">
        <v>5.86</v>
      </c>
      <c r="D254" s="5">
        <v>0</v>
      </c>
      <c r="E254" s="5">
        <v>0.43099999999999999</v>
      </c>
      <c r="F254" s="5">
        <v>6.4870000000000001</v>
      </c>
      <c r="G254" s="5">
        <v>13</v>
      </c>
      <c r="H254" s="5">
        <v>7.3967000000000001</v>
      </c>
      <c r="I254" s="5">
        <v>7</v>
      </c>
      <c r="J254" s="5">
        <v>330</v>
      </c>
      <c r="K254" s="5">
        <v>19.100000000000001</v>
      </c>
      <c r="L254" s="5">
        <v>396.28</v>
      </c>
      <c r="M254" s="5">
        <v>5.9</v>
      </c>
      <c r="N254" s="5">
        <v>24.4</v>
      </c>
    </row>
    <row r="255" spans="1:14" x14ac:dyDescent="0.25">
      <c r="A255" s="5">
        <v>0.21409</v>
      </c>
      <c r="B255" s="5">
        <v>22</v>
      </c>
      <c r="C255" s="5">
        <v>5.86</v>
      </c>
      <c r="D255" s="5">
        <v>0</v>
      </c>
      <c r="E255" s="5">
        <v>0.43099999999999999</v>
      </c>
      <c r="F255" s="5">
        <v>6.4379999999999997</v>
      </c>
      <c r="G255" s="5">
        <v>8.9</v>
      </c>
      <c r="H255" s="5">
        <v>7.3967000000000001</v>
      </c>
      <c r="I255" s="5">
        <v>7</v>
      </c>
      <c r="J255" s="5">
        <v>330</v>
      </c>
      <c r="K255" s="5">
        <v>19.100000000000001</v>
      </c>
      <c r="L255" s="5">
        <v>377.07</v>
      </c>
      <c r="M255" s="5">
        <v>3.59</v>
      </c>
      <c r="N255" s="5">
        <v>24.8</v>
      </c>
    </row>
    <row r="256" spans="1:14" x14ac:dyDescent="0.25">
      <c r="A256" s="5">
        <v>8.2210000000000005E-2</v>
      </c>
      <c r="B256" s="5">
        <v>22</v>
      </c>
      <c r="C256" s="5">
        <v>5.86</v>
      </c>
      <c r="D256" s="5">
        <v>0</v>
      </c>
      <c r="E256" s="5">
        <v>0.43099999999999999</v>
      </c>
      <c r="F256" s="5">
        <v>6.9569999999999999</v>
      </c>
      <c r="G256" s="5">
        <v>6.8</v>
      </c>
      <c r="H256" s="5">
        <v>8.9067000000000007</v>
      </c>
      <c r="I256" s="5">
        <v>7</v>
      </c>
      <c r="J256" s="5">
        <v>330</v>
      </c>
      <c r="K256" s="5">
        <v>19.100000000000001</v>
      </c>
      <c r="L256" s="5">
        <v>386.09</v>
      </c>
      <c r="M256" s="5">
        <v>3.53</v>
      </c>
      <c r="N256" s="5">
        <v>29.6</v>
      </c>
    </row>
    <row r="257" spans="1:14" x14ac:dyDescent="0.25">
      <c r="A257" s="5">
        <v>0.36893999999999999</v>
      </c>
      <c r="B257" s="5">
        <v>22</v>
      </c>
      <c r="C257" s="5">
        <v>5.86</v>
      </c>
      <c r="D257" s="5">
        <v>0</v>
      </c>
      <c r="E257" s="5">
        <v>0.43099999999999999</v>
      </c>
      <c r="F257" s="5">
        <v>8.2590000000000003</v>
      </c>
      <c r="G257" s="5">
        <v>8.4</v>
      </c>
      <c r="H257" s="5">
        <v>8.9067000000000007</v>
      </c>
      <c r="I257" s="5">
        <v>7</v>
      </c>
      <c r="J257" s="5">
        <v>330</v>
      </c>
      <c r="K257" s="5">
        <v>19.100000000000001</v>
      </c>
      <c r="L257" s="5">
        <v>396.9</v>
      </c>
      <c r="M257" s="5">
        <v>3.54</v>
      </c>
      <c r="N257" s="5">
        <v>42.8</v>
      </c>
    </row>
    <row r="258" spans="1:14" x14ac:dyDescent="0.25">
      <c r="A258" s="5">
        <v>4.8189999999999997E-2</v>
      </c>
      <c r="B258" s="5">
        <v>80</v>
      </c>
      <c r="C258" s="5">
        <v>3.64</v>
      </c>
      <c r="D258" s="5">
        <v>0</v>
      </c>
      <c r="E258" s="5">
        <v>0.39200000000000002</v>
      </c>
      <c r="F258" s="5">
        <v>6.1079999999999997</v>
      </c>
      <c r="G258" s="5">
        <v>32</v>
      </c>
      <c r="H258" s="5">
        <v>9.2202999999999999</v>
      </c>
      <c r="I258" s="5">
        <v>1</v>
      </c>
      <c r="J258" s="5">
        <v>315</v>
      </c>
      <c r="K258" s="5">
        <v>16.399999999999999</v>
      </c>
      <c r="L258" s="5">
        <v>392.89</v>
      </c>
      <c r="M258" s="5">
        <v>6.57</v>
      </c>
      <c r="N258" s="5">
        <v>21.9</v>
      </c>
    </row>
    <row r="259" spans="1:14" x14ac:dyDescent="0.25">
      <c r="A259" s="5">
        <v>3.5479999999999998E-2</v>
      </c>
      <c r="B259" s="5">
        <v>80</v>
      </c>
      <c r="C259" s="5">
        <v>3.64</v>
      </c>
      <c r="D259" s="5">
        <v>0</v>
      </c>
      <c r="E259" s="5">
        <v>0.39200000000000002</v>
      </c>
      <c r="F259" s="5">
        <v>5.8760000000000003</v>
      </c>
      <c r="G259" s="5">
        <v>19.100000000000001</v>
      </c>
      <c r="H259" s="5">
        <v>9.2202999999999999</v>
      </c>
      <c r="I259" s="5">
        <v>1</v>
      </c>
      <c r="J259" s="5">
        <v>315</v>
      </c>
      <c r="K259" s="5">
        <v>16.399999999999999</v>
      </c>
      <c r="L259" s="5">
        <v>395.18</v>
      </c>
      <c r="M259" s="5">
        <v>9.25</v>
      </c>
      <c r="N259" s="5">
        <v>20.9</v>
      </c>
    </row>
    <row r="260" spans="1:14" x14ac:dyDescent="0.25">
      <c r="A260" s="5">
        <v>1.538E-2</v>
      </c>
      <c r="B260" s="5">
        <v>90</v>
      </c>
      <c r="C260" s="5">
        <v>3.75</v>
      </c>
      <c r="D260" s="5">
        <v>0</v>
      </c>
      <c r="E260" s="5">
        <v>0.39400000000000002</v>
      </c>
      <c r="F260" s="5">
        <v>7.4539999999999997</v>
      </c>
      <c r="G260" s="5">
        <v>34.200000000000003</v>
      </c>
      <c r="H260" s="5">
        <v>6.3361000000000001</v>
      </c>
      <c r="I260" s="5">
        <v>3</v>
      </c>
      <c r="J260" s="5">
        <v>244</v>
      </c>
      <c r="K260" s="5">
        <v>15.9</v>
      </c>
      <c r="L260" s="5">
        <v>386.34</v>
      </c>
      <c r="M260" s="5">
        <v>3.11</v>
      </c>
      <c r="N260" s="5">
        <v>44</v>
      </c>
    </row>
    <row r="261" spans="1:14" x14ac:dyDescent="0.25">
      <c r="A261" s="5">
        <v>0.61153999999999997</v>
      </c>
      <c r="B261" s="5">
        <v>20</v>
      </c>
      <c r="C261" s="5">
        <v>3.97</v>
      </c>
      <c r="D261" s="5">
        <v>0</v>
      </c>
      <c r="E261" s="5">
        <v>0.64700000000000002</v>
      </c>
      <c r="F261" s="5">
        <v>8.7040000000000006</v>
      </c>
      <c r="G261" s="5">
        <v>86.9</v>
      </c>
      <c r="H261" s="5">
        <v>1.8009999999999999</v>
      </c>
      <c r="I261" s="5">
        <v>5</v>
      </c>
      <c r="J261" s="5">
        <v>264</v>
      </c>
      <c r="K261" s="5">
        <v>13</v>
      </c>
      <c r="L261" s="5">
        <v>389.7</v>
      </c>
      <c r="M261" s="5">
        <v>5.12</v>
      </c>
      <c r="N261" s="5">
        <v>50</v>
      </c>
    </row>
    <row r="262" spans="1:14" x14ac:dyDescent="0.25">
      <c r="A262" s="5">
        <v>0.66351000000000004</v>
      </c>
      <c r="B262" s="5">
        <v>20</v>
      </c>
      <c r="C262" s="5">
        <v>3.97</v>
      </c>
      <c r="D262" s="5">
        <v>0</v>
      </c>
      <c r="E262" s="5">
        <v>0.64700000000000002</v>
      </c>
      <c r="F262" s="5">
        <v>7.3330000000000002</v>
      </c>
      <c r="G262" s="5">
        <v>100</v>
      </c>
      <c r="H262" s="5">
        <v>1.8946000000000001</v>
      </c>
      <c r="I262" s="5">
        <v>5</v>
      </c>
      <c r="J262" s="5">
        <v>264</v>
      </c>
      <c r="K262" s="5">
        <v>13</v>
      </c>
      <c r="L262" s="5">
        <v>383.29</v>
      </c>
      <c r="M262" s="5">
        <v>7.79</v>
      </c>
      <c r="N262" s="5">
        <v>36</v>
      </c>
    </row>
    <row r="263" spans="1:14" x14ac:dyDescent="0.25">
      <c r="A263" s="5">
        <v>0.65664999999999996</v>
      </c>
      <c r="B263" s="5">
        <v>20</v>
      </c>
      <c r="C263" s="5">
        <v>3.97</v>
      </c>
      <c r="D263" s="5">
        <v>0</v>
      </c>
      <c r="E263" s="5">
        <v>0.64700000000000002</v>
      </c>
      <c r="F263" s="5">
        <v>6.8419999999999996</v>
      </c>
      <c r="G263" s="5">
        <v>100</v>
      </c>
      <c r="H263" s="5">
        <v>2.0106999999999999</v>
      </c>
      <c r="I263" s="5">
        <v>5</v>
      </c>
      <c r="J263" s="5">
        <v>264</v>
      </c>
      <c r="K263" s="5">
        <v>13</v>
      </c>
      <c r="L263" s="5">
        <v>391.93</v>
      </c>
      <c r="M263" s="5">
        <v>6.9</v>
      </c>
      <c r="N263" s="5">
        <v>30.1</v>
      </c>
    </row>
    <row r="264" spans="1:14" x14ac:dyDescent="0.25">
      <c r="A264" s="5">
        <v>0.54010999999999998</v>
      </c>
      <c r="B264" s="5">
        <v>20</v>
      </c>
      <c r="C264" s="5">
        <v>3.97</v>
      </c>
      <c r="D264" s="5">
        <v>0</v>
      </c>
      <c r="E264" s="5">
        <v>0.64700000000000002</v>
      </c>
      <c r="F264" s="5">
        <v>7.2030000000000003</v>
      </c>
      <c r="G264" s="5">
        <v>81.8</v>
      </c>
      <c r="H264" s="5">
        <v>2.1120999999999999</v>
      </c>
      <c r="I264" s="5">
        <v>5</v>
      </c>
      <c r="J264" s="5">
        <v>264</v>
      </c>
      <c r="K264" s="5">
        <v>13</v>
      </c>
      <c r="L264" s="5">
        <v>392.8</v>
      </c>
      <c r="M264" s="5">
        <v>9.59</v>
      </c>
      <c r="N264" s="5">
        <v>33.799999999999997</v>
      </c>
    </row>
    <row r="265" spans="1:14" x14ac:dyDescent="0.25">
      <c r="A265" s="5">
        <v>0.53412000000000004</v>
      </c>
      <c r="B265" s="5">
        <v>20</v>
      </c>
      <c r="C265" s="5">
        <v>3.97</v>
      </c>
      <c r="D265" s="5">
        <v>0</v>
      </c>
      <c r="E265" s="5">
        <v>0.64700000000000002</v>
      </c>
      <c r="F265" s="5">
        <v>7.52</v>
      </c>
      <c r="G265" s="5">
        <v>89.4</v>
      </c>
      <c r="H265" s="5">
        <v>2.1398000000000001</v>
      </c>
      <c r="I265" s="5">
        <v>5</v>
      </c>
      <c r="J265" s="5">
        <v>264</v>
      </c>
      <c r="K265" s="5">
        <v>13</v>
      </c>
      <c r="L265" s="5">
        <v>388.37</v>
      </c>
      <c r="M265" s="5">
        <v>7.26</v>
      </c>
      <c r="N265" s="5">
        <v>43.1</v>
      </c>
    </row>
    <row r="266" spans="1:14" x14ac:dyDescent="0.25">
      <c r="A266" s="5">
        <v>0.52014000000000005</v>
      </c>
      <c r="B266" s="5">
        <v>20</v>
      </c>
      <c r="C266" s="5">
        <v>3.97</v>
      </c>
      <c r="D266" s="5">
        <v>0</v>
      </c>
      <c r="E266" s="5">
        <v>0.64700000000000002</v>
      </c>
      <c r="F266" s="5">
        <v>8.3979999999999997</v>
      </c>
      <c r="G266" s="5">
        <v>91.5</v>
      </c>
      <c r="H266" s="5">
        <v>2.2885</v>
      </c>
      <c r="I266" s="5">
        <v>5</v>
      </c>
      <c r="J266" s="5">
        <v>264</v>
      </c>
      <c r="K266" s="5">
        <v>13</v>
      </c>
      <c r="L266" s="5">
        <v>386.86</v>
      </c>
      <c r="M266" s="5">
        <v>5.91</v>
      </c>
      <c r="N266" s="5">
        <v>48.8</v>
      </c>
    </row>
    <row r="267" spans="1:14" x14ac:dyDescent="0.25">
      <c r="A267" s="5">
        <v>0.82525999999999999</v>
      </c>
      <c r="B267" s="5">
        <v>20</v>
      </c>
      <c r="C267" s="5">
        <v>3.97</v>
      </c>
      <c r="D267" s="5">
        <v>0</v>
      </c>
      <c r="E267" s="5">
        <v>0.64700000000000002</v>
      </c>
      <c r="F267" s="5">
        <v>7.327</v>
      </c>
      <c r="G267" s="5">
        <v>94.5</v>
      </c>
      <c r="H267" s="5">
        <v>2.0788000000000002</v>
      </c>
      <c r="I267" s="5">
        <v>5</v>
      </c>
      <c r="J267" s="5">
        <v>264</v>
      </c>
      <c r="K267" s="5">
        <v>13</v>
      </c>
      <c r="L267" s="5">
        <v>393.42</v>
      </c>
      <c r="M267" s="5">
        <v>11.25</v>
      </c>
      <c r="N267" s="5">
        <v>31</v>
      </c>
    </row>
    <row r="268" spans="1:14" x14ac:dyDescent="0.25">
      <c r="A268" s="5">
        <v>0.55006999999999995</v>
      </c>
      <c r="B268" s="5">
        <v>20</v>
      </c>
      <c r="C268" s="5">
        <v>3.97</v>
      </c>
      <c r="D268" s="5">
        <v>0</v>
      </c>
      <c r="E268" s="5">
        <v>0.64700000000000002</v>
      </c>
      <c r="F268" s="5">
        <v>7.2060000000000004</v>
      </c>
      <c r="G268" s="5">
        <v>91.6</v>
      </c>
      <c r="H268" s="5">
        <v>1.9300999999999999</v>
      </c>
      <c r="I268" s="5">
        <v>5</v>
      </c>
      <c r="J268" s="5">
        <v>264</v>
      </c>
      <c r="K268" s="5">
        <v>13</v>
      </c>
      <c r="L268" s="5">
        <v>387.89</v>
      </c>
      <c r="M268" s="5">
        <v>8.1</v>
      </c>
      <c r="N268" s="5">
        <v>36.5</v>
      </c>
    </row>
    <row r="269" spans="1:14" x14ac:dyDescent="0.25">
      <c r="A269" s="5">
        <v>0.76161999999999996</v>
      </c>
      <c r="B269" s="5">
        <v>20</v>
      </c>
      <c r="C269" s="5">
        <v>3.97</v>
      </c>
      <c r="D269" s="5">
        <v>0</v>
      </c>
      <c r="E269" s="5">
        <v>0.64700000000000002</v>
      </c>
      <c r="F269" s="5">
        <v>5.56</v>
      </c>
      <c r="G269" s="5">
        <v>62.8</v>
      </c>
      <c r="H269" s="5">
        <v>1.9864999999999999</v>
      </c>
      <c r="I269" s="5">
        <v>5</v>
      </c>
      <c r="J269" s="5">
        <v>264</v>
      </c>
      <c r="K269" s="5">
        <v>13</v>
      </c>
      <c r="L269" s="5">
        <v>392.4</v>
      </c>
      <c r="M269" s="5">
        <v>10.45</v>
      </c>
      <c r="N269" s="5">
        <v>22.8</v>
      </c>
    </row>
    <row r="270" spans="1:14" x14ac:dyDescent="0.25">
      <c r="A270" s="5">
        <v>0.78569999999999995</v>
      </c>
      <c r="B270" s="5">
        <v>20</v>
      </c>
      <c r="C270" s="5">
        <v>3.97</v>
      </c>
      <c r="D270" s="5">
        <v>0</v>
      </c>
      <c r="E270" s="5">
        <v>0.64700000000000002</v>
      </c>
      <c r="F270" s="5">
        <v>7.0140000000000002</v>
      </c>
      <c r="G270" s="5">
        <v>84.6</v>
      </c>
      <c r="H270" s="5">
        <v>2.1328999999999998</v>
      </c>
      <c r="I270" s="5">
        <v>5</v>
      </c>
      <c r="J270" s="5">
        <v>264</v>
      </c>
      <c r="K270" s="5">
        <v>13</v>
      </c>
      <c r="L270" s="5">
        <v>384.07</v>
      </c>
      <c r="M270" s="5">
        <v>14.79</v>
      </c>
      <c r="N270" s="5">
        <v>30.7</v>
      </c>
    </row>
    <row r="271" spans="1:14" x14ac:dyDescent="0.25">
      <c r="A271" s="5">
        <v>0.57833999999999997</v>
      </c>
      <c r="B271" s="5">
        <v>20</v>
      </c>
      <c r="C271" s="5">
        <v>3.97</v>
      </c>
      <c r="D271" s="5">
        <v>0</v>
      </c>
      <c r="E271" s="5">
        <v>0.57499999999999996</v>
      </c>
      <c r="F271" s="5">
        <v>8.2970000000000006</v>
      </c>
      <c r="G271" s="5">
        <v>67</v>
      </c>
      <c r="H271" s="5">
        <v>2.4216000000000002</v>
      </c>
      <c r="I271" s="5">
        <v>5</v>
      </c>
      <c r="J271" s="5">
        <v>264</v>
      </c>
      <c r="K271" s="5">
        <v>13</v>
      </c>
      <c r="L271" s="5">
        <v>384.54</v>
      </c>
      <c r="M271" s="5">
        <v>7.44</v>
      </c>
      <c r="N271" s="5">
        <v>50</v>
      </c>
    </row>
    <row r="272" spans="1:14" x14ac:dyDescent="0.25">
      <c r="A272" s="5">
        <v>0.54049999999999998</v>
      </c>
      <c r="B272" s="5">
        <v>20</v>
      </c>
      <c r="C272" s="5">
        <v>3.97</v>
      </c>
      <c r="D272" s="5">
        <v>0</v>
      </c>
      <c r="E272" s="5">
        <v>0.57499999999999996</v>
      </c>
      <c r="F272" s="5">
        <v>7.47</v>
      </c>
      <c r="G272" s="5">
        <v>52.6</v>
      </c>
      <c r="H272" s="5">
        <v>2.8719999999999999</v>
      </c>
      <c r="I272" s="5">
        <v>5</v>
      </c>
      <c r="J272" s="5">
        <v>264</v>
      </c>
      <c r="K272" s="5">
        <v>13</v>
      </c>
      <c r="L272" s="5">
        <v>390.3</v>
      </c>
      <c r="M272" s="5">
        <v>3.16</v>
      </c>
      <c r="N272" s="5">
        <v>43.5</v>
      </c>
    </row>
    <row r="273" spans="1:14" x14ac:dyDescent="0.25">
      <c r="A273" s="5">
        <v>9.0649999999999994E-2</v>
      </c>
      <c r="B273" s="5">
        <v>20</v>
      </c>
      <c r="C273" s="5">
        <v>6.96</v>
      </c>
      <c r="D273" s="5">
        <v>1</v>
      </c>
      <c r="E273" s="5">
        <v>0.46400000000000002</v>
      </c>
      <c r="F273" s="5">
        <v>5.92</v>
      </c>
      <c r="G273" s="5">
        <v>61.5</v>
      </c>
      <c r="H273" s="5">
        <v>3.9175</v>
      </c>
      <c r="I273" s="5">
        <v>3</v>
      </c>
      <c r="J273" s="5">
        <v>223</v>
      </c>
      <c r="K273" s="5">
        <v>18.600000000000001</v>
      </c>
      <c r="L273" s="5">
        <v>391.34</v>
      </c>
      <c r="M273" s="5">
        <v>13.65</v>
      </c>
      <c r="N273" s="5">
        <v>20.7</v>
      </c>
    </row>
    <row r="274" spans="1:14" x14ac:dyDescent="0.25">
      <c r="A274" s="5">
        <v>0.29915999999999998</v>
      </c>
      <c r="B274" s="5">
        <v>20</v>
      </c>
      <c r="C274" s="5">
        <v>6.96</v>
      </c>
      <c r="D274" s="5">
        <v>0</v>
      </c>
      <c r="E274" s="5">
        <v>0.46400000000000002</v>
      </c>
      <c r="F274" s="5">
        <v>5.8559999999999999</v>
      </c>
      <c r="G274" s="5">
        <v>42.1</v>
      </c>
      <c r="H274" s="5">
        <v>4.4290000000000003</v>
      </c>
      <c r="I274" s="5">
        <v>3</v>
      </c>
      <c r="J274" s="5">
        <v>223</v>
      </c>
      <c r="K274" s="5">
        <v>18.600000000000001</v>
      </c>
      <c r="L274" s="5">
        <v>388.65</v>
      </c>
      <c r="M274" s="5">
        <v>13</v>
      </c>
      <c r="N274" s="5">
        <v>21.1</v>
      </c>
    </row>
    <row r="275" spans="1:14" x14ac:dyDescent="0.25">
      <c r="A275" s="5">
        <v>0.16211</v>
      </c>
      <c r="B275" s="5">
        <v>20</v>
      </c>
      <c r="C275" s="5">
        <v>6.96</v>
      </c>
      <c r="D275" s="5">
        <v>0</v>
      </c>
      <c r="E275" s="5">
        <v>0.46400000000000002</v>
      </c>
      <c r="F275" s="5">
        <v>6.24</v>
      </c>
      <c r="G275" s="5">
        <v>16.3</v>
      </c>
      <c r="H275" s="5">
        <v>4.4290000000000003</v>
      </c>
      <c r="I275" s="5">
        <v>3</v>
      </c>
      <c r="J275" s="5">
        <v>223</v>
      </c>
      <c r="K275" s="5">
        <v>18.600000000000001</v>
      </c>
      <c r="L275" s="5">
        <v>396.9</v>
      </c>
      <c r="M275" s="5">
        <v>6.59</v>
      </c>
      <c r="N275" s="5">
        <v>25.2</v>
      </c>
    </row>
    <row r="276" spans="1:14" x14ac:dyDescent="0.25">
      <c r="A276" s="5">
        <v>0.11459999999999999</v>
      </c>
      <c r="B276" s="5">
        <v>20</v>
      </c>
      <c r="C276" s="5">
        <v>6.96</v>
      </c>
      <c r="D276" s="5">
        <v>0</v>
      </c>
      <c r="E276" s="5">
        <v>0.46400000000000002</v>
      </c>
      <c r="F276" s="5">
        <v>6.5380000000000003</v>
      </c>
      <c r="G276" s="5">
        <v>58.7</v>
      </c>
      <c r="H276" s="5">
        <v>3.9175</v>
      </c>
      <c r="I276" s="5">
        <v>3</v>
      </c>
      <c r="J276" s="5">
        <v>223</v>
      </c>
      <c r="K276" s="5">
        <v>18.600000000000001</v>
      </c>
      <c r="L276" s="5">
        <v>394.96</v>
      </c>
      <c r="M276" s="5">
        <v>7.73</v>
      </c>
      <c r="N276" s="5">
        <v>24.4</v>
      </c>
    </row>
    <row r="277" spans="1:14" x14ac:dyDescent="0.25">
      <c r="A277" s="5">
        <v>0.22187999999999999</v>
      </c>
      <c r="B277" s="5">
        <v>20</v>
      </c>
      <c r="C277" s="5">
        <v>6.96</v>
      </c>
      <c r="D277" s="5">
        <v>1</v>
      </c>
      <c r="E277" s="5">
        <v>0.46400000000000002</v>
      </c>
      <c r="F277" s="5">
        <v>7.6909999999999998</v>
      </c>
      <c r="G277" s="5">
        <v>51.8</v>
      </c>
      <c r="H277" s="5">
        <v>4.3665000000000003</v>
      </c>
      <c r="I277" s="5">
        <v>3</v>
      </c>
      <c r="J277" s="5">
        <v>223</v>
      </c>
      <c r="K277" s="5">
        <v>18.600000000000001</v>
      </c>
      <c r="L277" s="5">
        <v>390.77</v>
      </c>
      <c r="M277" s="5">
        <v>6.58</v>
      </c>
      <c r="N277" s="5">
        <v>35.200000000000003</v>
      </c>
    </row>
    <row r="278" spans="1:14" x14ac:dyDescent="0.25">
      <c r="A278" s="5">
        <v>5.6439999999999997E-2</v>
      </c>
      <c r="B278" s="5">
        <v>40</v>
      </c>
      <c r="C278" s="5">
        <v>6.41</v>
      </c>
      <c r="D278" s="5">
        <v>1</v>
      </c>
      <c r="E278" s="5">
        <v>0.44700000000000001</v>
      </c>
      <c r="F278" s="5">
        <v>6.758</v>
      </c>
      <c r="G278" s="5">
        <v>32.9</v>
      </c>
      <c r="H278" s="5">
        <v>4.0776000000000003</v>
      </c>
      <c r="I278" s="5">
        <v>4</v>
      </c>
      <c r="J278" s="5">
        <v>254</v>
      </c>
      <c r="K278" s="5">
        <v>17.600000000000001</v>
      </c>
      <c r="L278" s="5">
        <v>396.9</v>
      </c>
      <c r="M278" s="5">
        <v>3.53</v>
      </c>
      <c r="N278" s="5">
        <v>32.4</v>
      </c>
    </row>
    <row r="279" spans="1:14" x14ac:dyDescent="0.25">
      <c r="A279" s="5">
        <v>9.604E-2</v>
      </c>
      <c r="B279" s="5">
        <v>40</v>
      </c>
      <c r="C279" s="5">
        <v>6.41</v>
      </c>
      <c r="D279" s="5">
        <v>0</v>
      </c>
      <c r="E279" s="5">
        <v>0.44700000000000001</v>
      </c>
      <c r="F279" s="5">
        <v>6.8540000000000001</v>
      </c>
      <c r="G279" s="5">
        <v>42.8</v>
      </c>
      <c r="H279" s="5">
        <v>4.2672999999999996</v>
      </c>
      <c r="I279" s="5">
        <v>4</v>
      </c>
      <c r="J279" s="5">
        <v>254</v>
      </c>
      <c r="K279" s="5">
        <v>17.600000000000001</v>
      </c>
      <c r="L279" s="5">
        <v>396.9</v>
      </c>
      <c r="M279" s="5">
        <v>2.98</v>
      </c>
      <c r="N279" s="5">
        <v>32</v>
      </c>
    </row>
    <row r="280" spans="1:14" x14ac:dyDescent="0.25">
      <c r="A280" s="5">
        <v>0.10469000000000001</v>
      </c>
      <c r="B280" s="5">
        <v>40</v>
      </c>
      <c r="C280" s="5">
        <v>6.41</v>
      </c>
      <c r="D280" s="5">
        <v>1</v>
      </c>
      <c r="E280" s="5">
        <v>0.44700000000000001</v>
      </c>
      <c r="F280" s="5">
        <v>7.2670000000000003</v>
      </c>
      <c r="G280" s="5">
        <v>49</v>
      </c>
      <c r="H280" s="5">
        <v>4.7872000000000003</v>
      </c>
      <c r="I280" s="5">
        <v>4</v>
      </c>
      <c r="J280" s="5">
        <v>254</v>
      </c>
      <c r="K280" s="5">
        <v>17.600000000000001</v>
      </c>
      <c r="L280" s="5">
        <v>389.25</v>
      </c>
      <c r="M280" s="5">
        <v>6.05</v>
      </c>
      <c r="N280" s="5">
        <v>33.200000000000003</v>
      </c>
    </row>
    <row r="281" spans="1:14" x14ac:dyDescent="0.25">
      <c r="A281" s="5">
        <v>6.1269999999999998E-2</v>
      </c>
      <c r="B281" s="5">
        <v>40</v>
      </c>
      <c r="C281" s="5">
        <v>6.41</v>
      </c>
      <c r="D281" s="5">
        <v>1</v>
      </c>
      <c r="E281" s="5">
        <v>0.44700000000000001</v>
      </c>
      <c r="F281" s="5">
        <v>6.8259999999999996</v>
      </c>
      <c r="G281" s="5">
        <v>27.6</v>
      </c>
      <c r="H281" s="5">
        <v>4.8628</v>
      </c>
      <c r="I281" s="5">
        <v>4</v>
      </c>
      <c r="J281" s="5">
        <v>254</v>
      </c>
      <c r="K281" s="5">
        <v>17.600000000000001</v>
      </c>
      <c r="L281" s="5">
        <v>393.45</v>
      </c>
      <c r="M281" s="5">
        <v>4.16</v>
      </c>
      <c r="N281" s="5">
        <v>33.1</v>
      </c>
    </row>
    <row r="282" spans="1:14" x14ac:dyDescent="0.25">
      <c r="A282" s="5">
        <v>7.9780000000000004E-2</v>
      </c>
      <c r="B282" s="5">
        <v>40</v>
      </c>
      <c r="C282" s="5">
        <v>6.41</v>
      </c>
      <c r="D282" s="5">
        <v>0</v>
      </c>
      <c r="E282" s="5">
        <v>0.44700000000000001</v>
      </c>
      <c r="F282" s="5">
        <v>6.4820000000000002</v>
      </c>
      <c r="G282" s="5">
        <v>32.1</v>
      </c>
      <c r="H282" s="5">
        <v>4.1402999999999999</v>
      </c>
      <c r="I282" s="5">
        <v>4</v>
      </c>
      <c r="J282" s="5">
        <v>254</v>
      </c>
      <c r="K282" s="5">
        <v>17.600000000000001</v>
      </c>
      <c r="L282" s="5">
        <v>396.9</v>
      </c>
      <c r="M282" s="5">
        <v>7.19</v>
      </c>
      <c r="N282" s="5">
        <v>29.1</v>
      </c>
    </row>
    <row r="283" spans="1:14" x14ac:dyDescent="0.25">
      <c r="A283" s="5">
        <v>0.21038000000000001</v>
      </c>
      <c r="B283" s="5">
        <v>20</v>
      </c>
      <c r="C283" s="5">
        <v>3.33</v>
      </c>
      <c r="D283" s="5">
        <v>0</v>
      </c>
      <c r="E283" s="5">
        <v>0.44290000000000002</v>
      </c>
      <c r="F283" s="5">
        <v>6.8120000000000003</v>
      </c>
      <c r="G283" s="5">
        <v>32.200000000000003</v>
      </c>
      <c r="H283" s="5">
        <v>4.1006999999999998</v>
      </c>
      <c r="I283" s="5">
        <v>5</v>
      </c>
      <c r="J283" s="5">
        <v>216</v>
      </c>
      <c r="K283" s="5">
        <v>14.9</v>
      </c>
      <c r="L283" s="5">
        <v>396.9</v>
      </c>
      <c r="M283" s="5">
        <v>4.8499999999999996</v>
      </c>
      <c r="N283" s="5">
        <v>35.1</v>
      </c>
    </row>
    <row r="284" spans="1:14" x14ac:dyDescent="0.25">
      <c r="A284" s="5">
        <v>3.5779999999999999E-2</v>
      </c>
      <c r="B284" s="5">
        <v>20</v>
      </c>
      <c r="C284" s="5">
        <v>3.33</v>
      </c>
      <c r="D284" s="5">
        <v>0</v>
      </c>
      <c r="E284" s="5">
        <v>0.44290000000000002</v>
      </c>
      <c r="F284" s="5">
        <v>7.82</v>
      </c>
      <c r="G284" s="5">
        <v>64.5</v>
      </c>
      <c r="H284" s="5">
        <v>4.6947000000000001</v>
      </c>
      <c r="I284" s="5">
        <v>5</v>
      </c>
      <c r="J284" s="5">
        <v>216</v>
      </c>
      <c r="K284" s="5">
        <v>14.9</v>
      </c>
      <c r="L284" s="5">
        <v>387.31</v>
      </c>
      <c r="M284" s="5">
        <v>3.76</v>
      </c>
      <c r="N284" s="5">
        <v>45.4</v>
      </c>
    </row>
    <row r="285" spans="1:14" x14ac:dyDescent="0.25">
      <c r="A285" s="5">
        <v>3.705E-2</v>
      </c>
      <c r="B285" s="5">
        <v>20</v>
      </c>
      <c r="C285" s="5">
        <v>3.33</v>
      </c>
      <c r="D285" s="5">
        <v>0</v>
      </c>
      <c r="E285" s="5">
        <v>0.44290000000000002</v>
      </c>
      <c r="F285" s="5">
        <v>6.968</v>
      </c>
      <c r="G285" s="5">
        <v>37.200000000000003</v>
      </c>
      <c r="H285" s="5">
        <v>5.2446999999999999</v>
      </c>
      <c r="I285" s="5">
        <v>5</v>
      </c>
      <c r="J285" s="5">
        <v>216</v>
      </c>
      <c r="K285" s="5">
        <v>14.9</v>
      </c>
      <c r="L285" s="5">
        <v>392.23</v>
      </c>
      <c r="M285" s="5">
        <v>4.59</v>
      </c>
      <c r="N285" s="5">
        <v>35.4</v>
      </c>
    </row>
    <row r="286" spans="1:14" x14ac:dyDescent="0.25">
      <c r="A286" s="5">
        <v>6.1289999999999997E-2</v>
      </c>
      <c r="B286" s="5">
        <v>20</v>
      </c>
      <c r="C286" s="5">
        <v>3.33</v>
      </c>
      <c r="D286" s="5">
        <v>1</v>
      </c>
      <c r="E286" s="5">
        <v>0.44290000000000002</v>
      </c>
      <c r="F286" s="5">
        <v>7.6449999999999996</v>
      </c>
      <c r="G286" s="5">
        <v>49.7</v>
      </c>
      <c r="H286" s="5">
        <v>5.2119</v>
      </c>
      <c r="I286" s="5">
        <v>5</v>
      </c>
      <c r="J286" s="5">
        <v>216</v>
      </c>
      <c r="K286" s="5">
        <v>14.9</v>
      </c>
      <c r="L286" s="5">
        <v>377.07</v>
      </c>
      <c r="M286" s="5">
        <v>3.01</v>
      </c>
      <c r="N286" s="5">
        <v>46</v>
      </c>
    </row>
    <row r="287" spans="1:14" x14ac:dyDescent="0.25">
      <c r="A287" s="5">
        <v>1.5010000000000001E-2</v>
      </c>
      <c r="B287" s="5">
        <v>90</v>
      </c>
      <c r="C287" s="5">
        <v>1.21</v>
      </c>
      <c r="D287" s="5">
        <v>1</v>
      </c>
      <c r="E287" s="5">
        <v>0.40100000000000002</v>
      </c>
      <c r="F287" s="5">
        <v>7.923</v>
      </c>
      <c r="G287" s="5">
        <v>24.8</v>
      </c>
      <c r="H287" s="5">
        <v>5.8849999999999998</v>
      </c>
      <c r="I287" s="5">
        <v>1</v>
      </c>
      <c r="J287" s="5">
        <v>198</v>
      </c>
      <c r="K287" s="5">
        <v>13.6</v>
      </c>
      <c r="L287" s="5">
        <v>395.52</v>
      </c>
      <c r="M287" s="5">
        <v>3.16</v>
      </c>
      <c r="N287" s="5">
        <v>50</v>
      </c>
    </row>
    <row r="288" spans="1:14" x14ac:dyDescent="0.25">
      <c r="A288" s="5">
        <v>9.0600000000000003E-3</v>
      </c>
      <c r="B288" s="5">
        <v>90</v>
      </c>
      <c r="C288" s="5">
        <v>2.97</v>
      </c>
      <c r="D288" s="5">
        <v>0</v>
      </c>
      <c r="E288" s="5">
        <v>0.4</v>
      </c>
      <c r="F288" s="5">
        <v>7.0880000000000001</v>
      </c>
      <c r="G288" s="5">
        <v>20.8</v>
      </c>
      <c r="H288" s="5">
        <v>7.3072999999999997</v>
      </c>
      <c r="I288" s="5">
        <v>1</v>
      </c>
      <c r="J288" s="5">
        <v>285</v>
      </c>
      <c r="K288" s="5">
        <v>15.3</v>
      </c>
      <c r="L288" s="5">
        <v>394.72</v>
      </c>
      <c r="M288" s="5">
        <v>7.85</v>
      </c>
      <c r="N288" s="5">
        <v>32.200000000000003</v>
      </c>
    </row>
    <row r="289" spans="1:14" x14ac:dyDescent="0.25">
      <c r="A289" s="5">
        <v>1.0959999999999999E-2</v>
      </c>
      <c r="B289" s="5">
        <v>55</v>
      </c>
      <c r="C289" s="5">
        <v>2.25</v>
      </c>
      <c r="D289" s="5">
        <v>0</v>
      </c>
      <c r="E289" s="5">
        <v>0.38900000000000001</v>
      </c>
      <c r="F289" s="5">
        <v>6.4530000000000003</v>
      </c>
      <c r="G289" s="5">
        <v>31.9</v>
      </c>
      <c r="H289" s="5">
        <v>7.3072999999999997</v>
      </c>
      <c r="I289" s="5">
        <v>1</v>
      </c>
      <c r="J289" s="5">
        <v>300</v>
      </c>
      <c r="K289" s="5">
        <v>15.3</v>
      </c>
      <c r="L289" s="5">
        <v>394.72</v>
      </c>
      <c r="M289" s="5">
        <v>8.23</v>
      </c>
      <c r="N289" s="5">
        <v>22</v>
      </c>
    </row>
    <row r="290" spans="1:14" x14ac:dyDescent="0.25">
      <c r="A290" s="5">
        <v>1.9650000000000001E-2</v>
      </c>
      <c r="B290" s="5">
        <v>80</v>
      </c>
      <c r="C290" s="5">
        <v>1.76</v>
      </c>
      <c r="D290" s="5">
        <v>0</v>
      </c>
      <c r="E290" s="5">
        <v>0.38500000000000001</v>
      </c>
      <c r="F290" s="5">
        <v>6.23</v>
      </c>
      <c r="G290" s="5">
        <v>31.5</v>
      </c>
      <c r="H290" s="5">
        <v>9.0891999999999999</v>
      </c>
      <c r="I290" s="5">
        <v>1</v>
      </c>
      <c r="J290" s="5">
        <v>241</v>
      </c>
      <c r="K290" s="5">
        <v>18.2</v>
      </c>
      <c r="L290" s="5">
        <v>341.6</v>
      </c>
      <c r="M290" s="5">
        <v>12.93</v>
      </c>
      <c r="N290" s="5">
        <v>20.100000000000001</v>
      </c>
    </row>
    <row r="291" spans="1:14" x14ac:dyDescent="0.25">
      <c r="A291" s="5">
        <v>3.8710000000000001E-2</v>
      </c>
      <c r="B291" s="5">
        <v>52.5</v>
      </c>
      <c r="C291" s="5">
        <v>5.32</v>
      </c>
      <c r="D291" s="5">
        <v>0</v>
      </c>
      <c r="E291" s="5">
        <v>0.40500000000000003</v>
      </c>
      <c r="F291" s="5">
        <v>6.2089999999999996</v>
      </c>
      <c r="G291" s="5">
        <v>31.3</v>
      </c>
      <c r="H291" s="5">
        <v>7.3171999999999997</v>
      </c>
      <c r="I291" s="5">
        <v>6</v>
      </c>
      <c r="J291" s="5">
        <v>293</v>
      </c>
      <c r="K291" s="5">
        <v>16.600000000000001</v>
      </c>
      <c r="L291" s="5">
        <v>396.9</v>
      </c>
      <c r="M291" s="5">
        <v>7.14</v>
      </c>
      <c r="N291" s="5">
        <v>23.2</v>
      </c>
    </row>
    <row r="292" spans="1:14" x14ac:dyDescent="0.25">
      <c r="A292" s="5">
        <v>4.5900000000000003E-2</v>
      </c>
      <c r="B292" s="5">
        <v>52.5</v>
      </c>
      <c r="C292" s="5">
        <v>5.32</v>
      </c>
      <c r="D292" s="5">
        <v>0</v>
      </c>
      <c r="E292" s="5">
        <v>0.40500000000000003</v>
      </c>
      <c r="F292" s="5">
        <v>6.3150000000000004</v>
      </c>
      <c r="G292" s="5">
        <v>45.6</v>
      </c>
      <c r="H292" s="5">
        <v>7.3171999999999997</v>
      </c>
      <c r="I292" s="5">
        <v>6</v>
      </c>
      <c r="J292" s="5">
        <v>293</v>
      </c>
      <c r="K292" s="5">
        <v>16.600000000000001</v>
      </c>
      <c r="L292" s="5">
        <v>396.9</v>
      </c>
      <c r="M292" s="5">
        <v>7.6</v>
      </c>
      <c r="N292" s="5">
        <v>22.3</v>
      </c>
    </row>
    <row r="293" spans="1:14" x14ac:dyDescent="0.25">
      <c r="A293" s="5">
        <v>4.2970000000000001E-2</v>
      </c>
      <c r="B293" s="5">
        <v>52.5</v>
      </c>
      <c r="C293" s="5">
        <v>5.32</v>
      </c>
      <c r="D293" s="5">
        <v>0</v>
      </c>
      <c r="E293" s="5">
        <v>0.40500000000000003</v>
      </c>
      <c r="F293" s="5">
        <v>6.5650000000000004</v>
      </c>
      <c r="G293" s="5">
        <v>22.9</v>
      </c>
      <c r="H293" s="5">
        <v>7.3171999999999997</v>
      </c>
      <c r="I293" s="5">
        <v>6</v>
      </c>
      <c r="J293" s="5">
        <v>293</v>
      </c>
      <c r="K293" s="5">
        <v>16.600000000000001</v>
      </c>
      <c r="L293" s="5">
        <v>371.72</v>
      </c>
      <c r="M293" s="5">
        <v>9.51</v>
      </c>
      <c r="N293" s="5">
        <v>24.8</v>
      </c>
    </row>
    <row r="294" spans="1:14" x14ac:dyDescent="0.25">
      <c r="A294" s="5">
        <v>3.5020000000000003E-2</v>
      </c>
      <c r="B294" s="5">
        <v>80</v>
      </c>
      <c r="C294" s="5">
        <v>4.95</v>
      </c>
      <c r="D294" s="5">
        <v>0</v>
      </c>
      <c r="E294" s="5">
        <v>0.41099999999999998</v>
      </c>
      <c r="F294" s="5">
        <v>6.8609999999999998</v>
      </c>
      <c r="G294" s="5">
        <v>27.9</v>
      </c>
      <c r="H294" s="5">
        <v>5.1166999999999998</v>
      </c>
      <c r="I294" s="5">
        <v>4</v>
      </c>
      <c r="J294" s="5">
        <v>245</v>
      </c>
      <c r="K294" s="5">
        <v>19.2</v>
      </c>
      <c r="L294" s="5">
        <v>396.9</v>
      </c>
      <c r="M294" s="5">
        <v>3.33</v>
      </c>
      <c r="N294" s="5">
        <v>28.5</v>
      </c>
    </row>
    <row r="295" spans="1:14" x14ac:dyDescent="0.25">
      <c r="A295" s="5">
        <v>7.886E-2</v>
      </c>
      <c r="B295" s="5">
        <v>80</v>
      </c>
      <c r="C295" s="5">
        <v>4.95</v>
      </c>
      <c r="D295" s="5">
        <v>0</v>
      </c>
      <c r="E295" s="5">
        <v>0.41099999999999998</v>
      </c>
      <c r="F295" s="5">
        <v>7.1479999999999997</v>
      </c>
      <c r="G295" s="5">
        <v>27.7</v>
      </c>
      <c r="H295" s="5">
        <v>5.1166999999999998</v>
      </c>
      <c r="I295" s="5">
        <v>4</v>
      </c>
      <c r="J295" s="5">
        <v>245</v>
      </c>
      <c r="K295" s="5">
        <v>19.2</v>
      </c>
      <c r="L295" s="5">
        <v>396.9</v>
      </c>
      <c r="M295" s="5">
        <v>3.56</v>
      </c>
      <c r="N295" s="5">
        <v>37.299999999999997</v>
      </c>
    </row>
    <row r="296" spans="1:14" x14ac:dyDescent="0.25">
      <c r="A296" s="5">
        <v>3.6150000000000002E-2</v>
      </c>
      <c r="B296" s="5">
        <v>80</v>
      </c>
      <c r="C296" s="5">
        <v>4.95</v>
      </c>
      <c r="D296" s="5">
        <v>0</v>
      </c>
      <c r="E296" s="5">
        <v>0.41099999999999998</v>
      </c>
      <c r="F296" s="5">
        <v>6.63</v>
      </c>
      <c r="G296" s="5">
        <v>23.4</v>
      </c>
      <c r="H296" s="5">
        <v>5.1166999999999998</v>
      </c>
      <c r="I296" s="5">
        <v>4</v>
      </c>
      <c r="J296" s="5">
        <v>245</v>
      </c>
      <c r="K296" s="5">
        <v>19.2</v>
      </c>
      <c r="L296" s="5">
        <v>396.9</v>
      </c>
      <c r="M296" s="5">
        <v>4.7</v>
      </c>
      <c r="N296" s="5">
        <v>27.9</v>
      </c>
    </row>
    <row r="297" spans="1:14" x14ac:dyDescent="0.25">
      <c r="A297" s="5">
        <v>8.2650000000000001E-2</v>
      </c>
      <c r="B297" s="5">
        <v>0</v>
      </c>
      <c r="C297" s="5">
        <v>13.92</v>
      </c>
      <c r="D297" s="5">
        <v>0</v>
      </c>
      <c r="E297" s="5">
        <v>0.437</v>
      </c>
      <c r="F297" s="5">
        <v>6.1269999999999998</v>
      </c>
      <c r="G297" s="5">
        <v>18.399999999999999</v>
      </c>
      <c r="H297" s="5">
        <v>5.5026999999999999</v>
      </c>
      <c r="I297" s="5">
        <v>4</v>
      </c>
      <c r="J297" s="5">
        <v>289</v>
      </c>
      <c r="K297" s="5">
        <v>16</v>
      </c>
      <c r="L297" s="5">
        <v>396.9</v>
      </c>
      <c r="M297" s="5">
        <v>8.58</v>
      </c>
      <c r="N297" s="5">
        <v>23.9</v>
      </c>
    </row>
    <row r="298" spans="1:14" x14ac:dyDescent="0.25">
      <c r="A298" s="5">
        <v>8.1989999999999993E-2</v>
      </c>
      <c r="B298" s="5">
        <v>0</v>
      </c>
      <c r="C298" s="5">
        <v>13.92</v>
      </c>
      <c r="D298" s="5">
        <v>0</v>
      </c>
      <c r="E298" s="5">
        <v>0.437</v>
      </c>
      <c r="F298" s="5">
        <v>6.0090000000000003</v>
      </c>
      <c r="G298" s="5">
        <v>42.3</v>
      </c>
      <c r="H298" s="5">
        <v>5.5026999999999999</v>
      </c>
      <c r="I298" s="5">
        <v>4</v>
      </c>
      <c r="J298" s="5">
        <v>289</v>
      </c>
      <c r="K298" s="5">
        <v>16</v>
      </c>
      <c r="L298" s="5">
        <v>396.9</v>
      </c>
      <c r="M298" s="5">
        <v>10.4</v>
      </c>
      <c r="N298" s="5">
        <v>21.7</v>
      </c>
    </row>
    <row r="299" spans="1:14" x14ac:dyDescent="0.25">
      <c r="A299" s="5">
        <v>0.12931999999999999</v>
      </c>
      <c r="B299" s="5">
        <v>0</v>
      </c>
      <c r="C299" s="5">
        <v>13.92</v>
      </c>
      <c r="D299" s="5">
        <v>0</v>
      </c>
      <c r="E299" s="5">
        <v>0.437</v>
      </c>
      <c r="F299" s="5">
        <v>6.6779999999999999</v>
      </c>
      <c r="G299" s="5">
        <v>31.1</v>
      </c>
      <c r="H299" s="5">
        <v>5.9603999999999999</v>
      </c>
      <c r="I299" s="5">
        <v>4</v>
      </c>
      <c r="J299" s="5">
        <v>289</v>
      </c>
      <c r="K299" s="5">
        <v>16</v>
      </c>
      <c r="L299" s="5">
        <v>396.9</v>
      </c>
      <c r="M299" s="5">
        <v>6.27</v>
      </c>
      <c r="N299" s="5">
        <v>28.6</v>
      </c>
    </row>
    <row r="300" spans="1:14" x14ac:dyDescent="0.25">
      <c r="A300" s="5">
        <v>5.3719999999999997E-2</v>
      </c>
      <c r="B300" s="5">
        <v>0</v>
      </c>
      <c r="C300" s="5">
        <v>13.92</v>
      </c>
      <c r="D300" s="5">
        <v>0</v>
      </c>
      <c r="E300" s="5">
        <v>0.437</v>
      </c>
      <c r="F300" s="5">
        <v>6.5490000000000004</v>
      </c>
      <c r="G300" s="5">
        <v>51</v>
      </c>
      <c r="H300" s="5">
        <v>5.9603999999999999</v>
      </c>
      <c r="I300" s="5">
        <v>4</v>
      </c>
      <c r="J300" s="5">
        <v>289</v>
      </c>
      <c r="K300" s="5">
        <v>16</v>
      </c>
      <c r="L300" s="5">
        <v>392.85</v>
      </c>
      <c r="M300" s="5">
        <v>7.39</v>
      </c>
      <c r="N300" s="5">
        <v>27.1</v>
      </c>
    </row>
    <row r="301" spans="1:14" x14ac:dyDescent="0.25">
      <c r="A301" s="5">
        <v>0.14102999999999999</v>
      </c>
      <c r="B301" s="5">
        <v>0</v>
      </c>
      <c r="C301" s="5">
        <v>13.92</v>
      </c>
      <c r="D301" s="5">
        <v>0</v>
      </c>
      <c r="E301" s="5">
        <v>0.437</v>
      </c>
      <c r="F301" s="5">
        <v>5.79</v>
      </c>
      <c r="G301" s="5">
        <v>58</v>
      </c>
      <c r="H301" s="5">
        <v>6.32</v>
      </c>
      <c r="I301" s="5">
        <v>4</v>
      </c>
      <c r="J301" s="5">
        <v>289</v>
      </c>
      <c r="K301" s="5">
        <v>16</v>
      </c>
      <c r="L301" s="5">
        <v>396.9</v>
      </c>
      <c r="M301" s="5">
        <v>15.84</v>
      </c>
      <c r="N301" s="5">
        <v>20.3</v>
      </c>
    </row>
    <row r="302" spans="1:14" x14ac:dyDescent="0.25">
      <c r="A302" s="5">
        <v>6.4659999999999995E-2</v>
      </c>
      <c r="B302" s="5">
        <v>70</v>
      </c>
      <c r="C302" s="5">
        <v>2.2400000000000002</v>
      </c>
      <c r="D302" s="5">
        <v>0</v>
      </c>
      <c r="E302" s="5">
        <v>0.4</v>
      </c>
      <c r="F302" s="5">
        <v>6.3449999999999998</v>
      </c>
      <c r="G302" s="5">
        <v>20.100000000000001</v>
      </c>
      <c r="H302" s="5">
        <v>7.8277999999999999</v>
      </c>
      <c r="I302" s="5">
        <v>5</v>
      </c>
      <c r="J302" s="5">
        <v>358</v>
      </c>
      <c r="K302" s="5">
        <v>14.8</v>
      </c>
      <c r="L302" s="5">
        <v>368.24</v>
      </c>
      <c r="M302" s="5">
        <v>4.97</v>
      </c>
      <c r="N302" s="5">
        <v>22.5</v>
      </c>
    </row>
    <row r="303" spans="1:14" x14ac:dyDescent="0.25">
      <c r="A303" s="5">
        <v>5.561E-2</v>
      </c>
      <c r="B303" s="5">
        <v>70</v>
      </c>
      <c r="C303" s="5">
        <v>2.2400000000000002</v>
      </c>
      <c r="D303" s="5">
        <v>0</v>
      </c>
      <c r="E303" s="5">
        <v>0.4</v>
      </c>
      <c r="F303" s="5">
        <v>7.0410000000000004</v>
      </c>
      <c r="G303" s="5">
        <v>10</v>
      </c>
      <c r="H303" s="5">
        <v>7.8277999999999999</v>
      </c>
      <c r="I303" s="5">
        <v>5</v>
      </c>
      <c r="J303" s="5">
        <v>358</v>
      </c>
      <c r="K303" s="5">
        <v>14.8</v>
      </c>
      <c r="L303" s="5">
        <v>371.58</v>
      </c>
      <c r="M303" s="5">
        <v>4.74</v>
      </c>
      <c r="N303" s="5">
        <v>29</v>
      </c>
    </row>
    <row r="304" spans="1:14" x14ac:dyDescent="0.25">
      <c r="A304" s="5">
        <v>4.4170000000000001E-2</v>
      </c>
      <c r="B304" s="5">
        <v>70</v>
      </c>
      <c r="C304" s="5">
        <v>2.2400000000000002</v>
      </c>
      <c r="D304" s="5">
        <v>0</v>
      </c>
      <c r="E304" s="5">
        <v>0.4</v>
      </c>
      <c r="F304" s="5">
        <v>6.8710000000000004</v>
      </c>
      <c r="G304" s="5">
        <v>47.4</v>
      </c>
      <c r="H304" s="5">
        <v>7.8277999999999999</v>
      </c>
      <c r="I304" s="5">
        <v>5</v>
      </c>
      <c r="J304" s="5">
        <v>358</v>
      </c>
      <c r="K304" s="5">
        <v>14.8</v>
      </c>
      <c r="L304" s="5">
        <v>390.86</v>
      </c>
      <c r="M304" s="5">
        <v>6.07</v>
      </c>
      <c r="N304" s="5">
        <v>24.8</v>
      </c>
    </row>
    <row r="305" spans="1:14" x14ac:dyDescent="0.25">
      <c r="A305" s="5">
        <v>3.5369999999999999E-2</v>
      </c>
      <c r="B305" s="5">
        <v>34</v>
      </c>
      <c r="C305" s="5">
        <v>6.09</v>
      </c>
      <c r="D305" s="5">
        <v>0</v>
      </c>
      <c r="E305" s="5">
        <v>0.433</v>
      </c>
      <c r="F305" s="5">
        <v>6.59</v>
      </c>
      <c r="G305" s="5">
        <v>40.4</v>
      </c>
      <c r="H305" s="5">
        <v>5.4916999999999998</v>
      </c>
      <c r="I305" s="5">
        <v>7</v>
      </c>
      <c r="J305" s="5">
        <v>329</v>
      </c>
      <c r="K305" s="5">
        <v>16.100000000000001</v>
      </c>
      <c r="L305" s="5">
        <v>395.75</v>
      </c>
      <c r="M305" s="5">
        <v>9.5</v>
      </c>
      <c r="N305" s="5">
        <v>22</v>
      </c>
    </row>
    <row r="306" spans="1:14" x14ac:dyDescent="0.25">
      <c r="A306" s="5">
        <v>9.2660000000000006E-2</v>
      </c>
      <c r="B306" s="5">
        <v>34</v>
      </c>
      <c r="C306" s="5">
        <v>6.09</v>
      </c>
      <c r="D306" s="5">
        <v>0</v>
      </c>
      <c r="E306" s="5">
        <v>0.433</v>
      </c>
      <c r="F306" s="5">
        <v>6.4950000000000001</v>
      </c>
      <c r="G306" s="5">
        <v>18.399999999999999</v>
      </c>
      <c r="H306" s="5">
        <v>5.4916999999999998</v>
      </c>
      <c r="I306" s="5">
        <v>7</v>
      </c>
      <c r="J306" s="5">
        <v>329</v>
      </c>
      <c r="K306" s="5">
        <v>16.100000000000001</v>
      </c>
      <c r="L306" s="5">
        <v>383.61</v>
      </c>
      <c r="M306" s="5">
        <v>8.67</v>
      </c>
      <c r="N306" s="5">
        <v>26.4</v>
      </c>
    </row>
    <row r="307" spans="1:14" x14ac:dyDescent="0.25">
      <c r="A307" s="5">
        <v>0.1</v>
      </c>
      <c r="B307" s="5">
        <v>34</v>
      </c>
      <c r="C307" s="5">
        <v>6.09</v>
      </c>
      <c r="D307" s="5">
        <v>0</v>
      </c>
      <c r="E307" s="5">
        <v>0.433</v>
      </c>
      <c r="F307" s="5">
        <v>6.9820000000000002</v>
      </c>
      <c r="G307" s="5">
        <v>17.7</v>
      </c>
      <c r="H307" s="5">
        <v>5.4916999999999998</v>
      </c>
      <c r="I307" s="5">
        <v>7</v>
      </c>
      <c r="J307" s="5">
        <v>329</v>
      </c>
      <c r="K307" s="5">
        <v>16.100000000000001</v>
      </c>
      <c r="L307" s="5">
        <v>390.43</v>
      </c>
      <c r="M307" s="5">
        <v>4.8600000000000003</v>
      </c>
      <c r="N307" s="5">
        <v>33.1</v>
      </c>
    </row>
    <row r="308" spans="1:14" x14ac:dyDescent="0.25">
      <c r="A308" s="5">
        <v>5.5149999999999998E-2</v>
      </c>
      <c r="B308" s="5">
        <v>33</v>
      </c>
      <c r="C308" s="5">
        <v>2.1800000000000002</v>
      </c>
      <c r="D308" s="5">
        <v>0</v>
      </c>
      <c r="E308" s="5">
        <v>0.47199999999999998</v>
      </c>
      <c r="F308" s="5">
        <v>7.2359999999999998</v>
      </c>
      <c r="G308" s="5">
        <v>41.1</v>
      </c>
      <c r="H308" s="5">
        <v>4.0220000000000002</v>
      </c>
      <c r="I308" s="5">
        <v>7</v>
      </c>
      <c r="J308" s="5">
        <v>222</v>
      </c>
      <c r="K308" s="5">
        <v>18.399999999999999</v>
      </c>
      <c r="L308" s="5">
        <v>393.68</v>
      </c>
      <c r="M308" s="5">
        <v>6.93</v>
      </c>
      <c r="N308" s="5">
        <v>36.1</v>
      </c>
    </row>
    <row r="309" spans="1:14" x14ac:dyDescent="0.25">
      <c r="A309" s="5">
        <v>5.4789999999999998E-2</v>
      </c>
      <c r="B309" s="5">
        <v>33</v>
      </c>
      <c r="C309" s="5">
        <v>2.1800000000000002</v>
      </c>
      <c r="D309" s="5">
        <v>0</v>
      </c>
      <c r="E309" s="5">
        <v>0.47199999999999998</v>
      </c>
      <c r="F309" s="5">
        <v>6.6159999999999997</v>
      </c>
      <c r="G309" s="5">
        <v>58.1</v>
      </c>
      <c r="H309" s="5">
        <v>3.37</v>
      </c>
      <c r="I309" s="5">
        <v>7</v>
      </c>
      <c r="J309" s="5">
        <v>222</v>
      </c>
      <c r="K309" s="5">
        <v>18.399999999999999</v>
      </c>
      <c r="L309" s="5">
        <v>393.36</v>
      </c>
      <c r="M309" s="5">
        <v>8.93</v>
      </c>
      <c r="N309" s="5">
        <v>28.4</v>
      </c>
    </row>
    <row r="310" spans="1:14" x14ac:dyDescent="0.25">
      <c r="A310" s="5">
        <v>7.5029999999999999E-2</v>
      </c>
      <c r="B310" s="5">
        <v>33</v>
      </c>
      <c r="C310" s="5">
        <v>2.1800000000000002</v>
      </c>
      <c r="D310" s="5">
        <v>0</v>
      </c>
      <c r="E310" s="5">
        <v>0.47199999999999998</v>
      </c>
      <c r="F310" s="5">
        <v>7.42</v>
      </c>
      <c r="G310" s="5">
        <v>71.900000000000006</v>
      </c>
      <c r="H310" s="5">
        <v>3.0992000000000002</v>
      </c>
      <c r="I310" s="5">
        <v>7</v>
      </c>
      <c r="J310" s="5">
        <v>222</v>
      </c>
      <c r="K310" s="5">
        <v>18.399999999999999</v>
      </c>
      <c r="L310" s="5">
        <v>396.9</v>
      </c>
      <c r="M310" s="5">
        <v>6.47</v>
      </c>
      <c r="N310" s="5">
        <v>33.4</v>
      </c>
    </row>
    <row r="311" spans="1:14" x14ac:dyDescent="0.25">
      <c r="A311" s="5">
        <v>4.9320000000000003E-2</v>
      </c>
      <c r="B311" s="5">
        <v>33</v>
      </c>
      <c r="C311" s="5">
        <v>2.1800000000000002</v>
      </c>
      <c r="D311" s="5">
        <v>0</v>
      </c>
      <c r="E311" s="5">
        <v>0.47199999999999998</v>
      </c>
      <c r="F311" s="5">
        <v>6.8490000000000002</v>
      </c>
      <c r="G311" s="5">
        <v>70.3</v>
      </c>
      <c r="H311" s="5">
        <v>3.1827000000000001</v>
      </c>
      <c r="I311" s="5">
        <v>7</v>
      </c>
      <c r="J311" s="5">
        <v>222</v>
      </c>
      <c r="K311" s="5">
        <v>18.399999999999999</v>
      </c>
      <c r="L311" s="5">
        <v>396.9</v>
      </c>
      <c r="M311" s="5">
        <v>7.53</v>
      </c>
      <c r="N311" s="5">
        <v>28.2</v>
      </c>
    </row>
    <row r="312" spans="1:14" x14ac:dyDescent="0.25">
      <c r="A312" s="5">
        <v>0.49297999999999997</v>
      </c>
      <c r="B312" s="5">
        <v>0</v>
      </c>
      <c r="C312" s="5">
        <v>9.9</v>
      </c>
      <c r="D312" s="5">
        <v>0</v>
      </c>
      <c r="E312" s="5">
        <v>0.54400000000000004</v>
      </c>
      <c r="F312" s="5">
        <v>6.6349999999999998</v>
      </c>
      <c r="G312" s="5">
        <v>82.5</v>
      </c>
      <c r="H312" s="5">
        <v>3.3174999999999999</v>
      </c>
      <c r="I312" s="5">
        <v>4</v>
      </c>
      <c r="J312" s="5">
        <v>304</v>
      </c>
      <c r="K312" s="5">
        <v>18.399999999999999</v>
      </c>
      <c r="L312" s="5">
        <v>396.9</v>
      </c>
      <c r="M312" s="5">
        <v>4.54</v>
      </c>
      <c r="N312" s="5">
        <v>22.8</v>
      </c>
    </row>
    <row r="313" spans="1:14" x14ac:dyDescent="0.25">
      <c r="A313" s="5">
        <v>0.34939999999999999</v>
      </c>
      <c r="B313" s="5">
        <v>0</v>
      </c>
      <c r="C313" s="5">
        <v>9.9</v>
      </c>
      <c r="D313" s="5">
        <v>0</v>
      </c>
      <c r="E313" s="5">
        <v>0.54400000000000004</v>
      </c>
      <c r="F313" s="5">
        <v>5.9720000000000004</v>
      </c>
      <c r="G313" s="5">
        <v>76.7</v>
      </c>
      <c r="H313" s="5">
        <v>3.1025</v>
      </c>
      <c r="I313" s="5">
        <v>4</v>
      </c>
      <c r="J313" s="5">
        <v>304</v>
      </c>
      <c r="K313" s="5">
        <v>18.399999999999999</v>
      </c>
      <c r="L313" s="5">
        <v>396.24</v>
      </c>
      <c r="M313" s="5">
        <v>9.9700000000000006</v>
      </c>
      <c r="N313" s="5">
        <v>20.3</v>
      </c>
    </row>
    <row r="314" spans="1:14" x14ac:dyDescent="0.25">
      <c r="A314" s="5">
        <v>2.6354799999999998</v>
      </c>
      <c r="B314" s="5">
        <v>0</v>
      </c>
      <c r="C314" s="5">
        <v>9.9</v>
      </c>
      <c r="D314" s="5">
        <v>0</v>
      </c>
      <c r="E314" s="5">
        <v>0.54400000000000004</v>
      </c>
      <c r="F314" s="5">
        <v>4.9729999999999999</v>
      </c>
      <c r="G314" s="5">
        <v>37.799999999999997</v>
      </c>
      <c r="H314" s="5">
        <v>2.5194000000000001</v>
      </c>
      <c r="I314" s="5">
        <v>4</v>
      </c>
      <c r="J314" s="5">
        <v>304</v>
      </c>
      <c r="K314" s="5">
        <v>18.399999999999999</v>
      </c>
      <c r="L314" s="5">
        <v>350.45</v>
      </c>
      <c r="M314" s="5">
        <v>12.64</v>
      </c>
      <c r="N314" s="5">
        <v>16.100000000000001</v>
      </c>
    </row>
    <row r="315" spans="1:14" x14ac:dyDescent="0.25">
      <c r="A315" s="5">
        <v>0.79040999999999995</v>
      </c>
      <c r="B315" s="5">
        <v>0</v>
      </c>
      <c r="C315" s="5">
        <v>9.9</v>
      </c>
      <c r="D315" s="5">
        <v>0</v>
      </c>
      <c r="E315" s="5">
        <v>0.54400000000000004</v>
      </c>
      <c r="F315" s="5">
        <v>6.1219999999999999</v>
      </c>
      <c r="G315" s="5">
        <v>52.8</v>
      </c>
      <c r="H315" s="5">
        <v>2.6402999999999999</v>
      </c>
      <c r="I315" s="5">
        <v>4</v>
      </c>
      <c r="J315" s="5">
        <v>304</v>
      </c>
      <c r="K315" s="5">
        <v>18.399999999999999</v>
      </c>
      <c r="L315" s="5">
        <v>396.9</v>
      </c>
      <c r="M315" s="5">
        <v>5.98</v>
      </c>
      <c r="N315" s="5">
        <v>22.1</v>
      </c>
    </row>
    <row r="316" spans="1:14" x14ac:dyDescent="0.25">
      <c r="A316" s="5">
        <v>0.26168999999999998</v>
      </c>
      <c r="B316" s="5">
        <v>0</v>
      </c>
      <c r="C316" s="5">
        <v>9.9</v>
      </c>
      <c r="D316" s="5">
        <v>0</v>
      </c>
      <c r="E316" s="5">
        <v>0.54400000000000004</v>
      </c>
      <c r="F316" s="5">
        <v>6.0229999999999997</v>
      </c>
      <c r="G316" s="5">
        <v>90.4</v>
      </c>
      <c r="H316" s="5">
        <v>2.8340000000000001</v>
      </c>
      <c r="I316" s="5">
        <v>4</v>
      </c>
      <c r="J316" s="5">
        <v>304</v>
      </c>
      <c r="K316" s="5">
        <v>18.399999999999999</v>
      </c>
      <c r="L316" s="5">
        <v>396.3</v>
      </c>
      <c r="M316" s="5">
        <v>11.72</v>
      </c>
      <c r="N316" s="5">
        <v>19.399999999999999</v>
      </c>
    </row>
    <row r="317" spans="1:14" x14ac:dyDescent="0.25">
      <c r="A317" s="5">
        <v>0.26938000000000001</v>
      </c>
      <c r="B317" s="5">
        <v>0</v>
      </c>
      <c r="C317" s="5">
        <v>9.9</v>
      </c>
      <c r="D317" s="5">
        <v>0</v>
      </c>
      <c r="E317" s="5">
        <v>0.54400000000000004</v>
      </c>
      <c r="F317" s="5">
        <v>6.266</v>
      </c>
      <c r="G317" s="5">
        <v>82.8</v>
      </c>
      <c r="H317" s="5">
        <v>3.2627999999999999</v>
      </c>
      <c r="I317" s="5">
        <v>4</v>
      </c>
      <c r="J317" s="5">
        <v>304</v>
      </c>
      <c r="K317" s="5">
        <v>18.399999999999999</v>
      </c>
      <c r="L317" s="5">
        <v>393.39</v>
      </c>
      <c r="M317" s="5">
        <v>7.9</v>
      </c>
      <c r="N317" s="5">
        <v>21.6</v>
      </c>
    </row>
    <row r="318" spans="1:14" x14ac:dyDescent="0.25">
      <c r="A318" s="5">
        <v>0.36919999999999997</v>
      </c>
      <c r="B318" s="5">
        <v>0</v>
      </c>
      <c r="C318" s="5">
        <v>9.9</v>
      </c>
      <c r="D318" s="5">
        <v>0</v>
      </c>
      <c r="E318" s="5">
        <v>0.54400000000000004</v>
      </c>
      <c r="F318" s="5">
        <v>6.5670000000000002</v>
      </c>
      <c r="G318" s="5">
        <v>87.3</v>
      </c>
      <c r="H318" s="5">
        <v>3.6023000000000001</v>
      </c>
      <c r="I318" s="5">
        <v>4</v>
      </c>
      <c r="J318" s="5">
        <v>304</v>
      </c>
      <c r="K318" s="5">
        <v>18.399999999999999</v>
      </c>
      <c r="L318" s="5">
        <v>395.69</v>
      </c>
      <c r="M318" s="5">
        <v>9.2799999999999994</v>
      </c>
      <c r="N318" s="5">
        <v>23.8</v>
      </c>
    </row>
    <row r="319" spans="1:14" x14ac:dyDescent="0.25">
      <c r="A319" s="5">
        <v>0.25356000000000001</v>
      </c>
      <c r="B319" s="5">
        <v>0</v>
      </c>
      <c r="C319" s="5">
        <v>9.9</v>
      </c>
      <c r="D319" s="5">
        <v>0</v>
      </c>
      <c r="E319" s="5">
        <v>0.54400000000000004</v>
      </c>
      <c r="F319" s="5">
        <v>5.7050000000000001</v>
      </c>
      <c r="G319" s="5">
        <v>77.7</v>
      </c>
      <c r="H319" s="5">
        <v>3.9449999999999998</v>
      </c>
      <c r="I319" s="5">
        <v>4</v>
      </c>
      <c r="J319" s="5">
        <v>304</v>
      </c>
      <c r="K319" s="5">
        <v>18.399999999999999</v>
      </c>
      <c r="L319" s="5">
        <v>396.42</v>
      </c>
      <c r="M319" s="5">
        <v>11.5</v>
      </c>
      <c r="N319" s="5">
        <v>16.2</v>
      </c>
    </row>
    <row r="320" spans="1:14" x14ac:dyDescent="0.25">
      <c r="A320" s="5">
        <v>0.31827</v>
      </c>
      <c r="B320" s="5">
        <v>0</v>
      </c>
      <c r="C320" s="5">
        <v>9.9</v>
      </c>
      <c r="D320" s="5">
        <v>0</v>
      </c>
      <c r="E320" s="5">
        <v>0.54400000000000004</v>
      </c>
      <c r="F320" s="5">
        <v>5.9139999999999997</v>
      </c>
      <c r="G320" s="5">
        <v>83.2</v>
      </c>
      <c r="H320" s="5">
        <v>3.9986000000000002</v>
      </c>
      <c r="I320" s="5">
        <v>4</v>
      </c>
      <c r="J320" s="5">
        <v>304</v>
      </c>
      <c r="K320" s="5">
        <v>18.399999999999999</v>
      </c>
      <c r="L320" s="5">
        <v>390.7</v>
      </c>
      <c r="M320" s="5">
        <v>18.329999999999998</v>
      </c>
      <c r="N320" s="5">
        <v>17.8</v>
      </c>
    </row>
    <row r="321" spans="1:14" x14ac:dyDescent="0.25">
      <c r="A321" s="5">
        <v>0.24521999999999999</v>
      </c>
      <c r="B321" s="5">
        <v>0</v>
      </c>
      <c r="C321" s="5">
        <v>9.9</v>
      </c>
      <c r="D321" s="5">
        <v>0</v>
      </c>
      <c r="E321" s="5">
        <v>0.54400000000000004</v>
      </c>
      <c r="F321" s="5">
        <v>5.782</v>
      </c>
      <c r="G321" s="5">
        <v>71.7</v>
      </c>
      <c r="H321" s="5">
        <v>4.0316999999999998</v>
      </c>
      <c r="I321" s="5">
        <v>4</v>
      </c>
      <c r="J321" s="5">
        <v>304</v>
      </c>
      <c r="K321" s="5">
        <v>18.399999999999999</v>
      </c>
      <c r="L321" s="5">
        <v>396.9</v>
      </c>
      <c r="M321" s="5">
        <v>15.94</v>
      </c>
      <c r="N321" s="5">
        <v>19.8</v>
      </c>
    </row>
    <row r="322" spans="1:14" x14ac:dyDescent="0.25">
      <c r="A322" s="5">
        <v>0.40201999999999999</v>
      </c>
      <c r="B322" s="5">
        <v>0</v>
      </c>
      <c r="C322" s="5">
        <v>9.9</v>
      </c>
      <c r="D322" s="5">
        <v>0</v>
      </c>
      <c r="E322" s="5">
        <v>0.54400000000000004</v>
      </c>
      <c r="F322" s="5">
        <v>6.3819999999999997</v>
      </c>
      <c r="G322" s="5">
        <v>67.2</v>
      </c>
      <c r="H322" s="5">
        <v>3.5325000000000002</v>
      </c>
      <c r="I322" s="5">
        <v>4</v>
      </c>
      <c r="J322" s="5">
        <v>304</v>
      </c>
      <c r="K322" s="5">
        <v>18.399999999999999</v>
      </c>
      <c r="L322" s="5">
        <v>395.21</v>
      </c>
      <c r="M322" s="5">
        <v>10.36</v>
      </c>
      <c r="N322" s="5">
        <v>23.1</v>
      </c>
    </row>
    <row r="323" spans="1:14" x14ac:dyDescent="0.25">
      <c r="A323" s="5">
        <v>0.47547</v>
      </c>
      <c r="B323" s="5">
        <v>0</v>
      </c>
      <c r="C323" s="5">
        <v>9.9</v>
      </c>
      <c r="D323" s="5">
        <v>0</v>
      </c>
      <c r="E323" s="5">
        <v>0.54400000000000004</v>
      </c>
      <c r="F323" s="5">
        <v>6.1130000000000004</v>
      </c>
      <c r="G323" s="5">
        <v>58.8</v>
      </c>
      <c r="H323" s="5">
        <v>4.0019</v>
      </c>
      <c r="I323" s="5">
        <v>4</v>
      </c>
      <c r="J323" s="5">
        <v>304</v>
      </c>
      <c r="K323" s="5">
        <v>18.399999999999999</v>
      </c>
      <c r="L323" s="5">
        <v>396.23</v>
      </c>
      <c r="M323" s="5">
        <v>12.73</v>
      </c>
      <c r="N323" s="5">
        <v>21</v>
      </c>
    </row>
    <row r="324" spans="1:14" x14ac:dyDescent="0.25">
      <c r="A324" s="5">
        <v>0.1676</v>
      </c>
      <c r="B324" s="5">
        <v>0</v>
      </c>
      <c r="C324" s="5">
        <v>7.38</v>
      </c>
      <c r="D324" s="5">
        <v>0</v>
      </c>
      <c r="E324" s="5">
        <v>0.49299999999999999</v>
      </c>
      <c r="F324" s="5">
        <v>6.4260000000000002</v>
      </c>
      <c r="G324" s="5">
        <v>52.3</v>
      </c>
      <c r="H324" s="5">
        <v>4.5404</v>
      </c>
      <c r="I324" s="5">
        <v>5</v>
      </c>
      <c r="J324" s="5">
        <v>287</v>
      </c>
      <c r="K324" s="5">
        <v>19.600000000000001</v>
      </c>
      <c r="L324" s="5">
        <v>396.9</v>
      </c>
      <c r="M324" s="5">
        <v>7.2</v>
      </c>
      <c r="N324" s="5">
        <v>23.8</v>
      </c>
    </row>
    <row r="325" spans="1:14" x14ac:dyDescent="0.25">
      <c r="A325" s="5">
        <v>0.18159</v>
      </c>
      <c r="B325" s="5">
        <v>0</v>
      </c>
      <c r="C325" s="5">
        <v>7.38</v>
      </c>
      <c r="D325" s="5">
        <v>0</v>
      </c>
      <c r="E325" s="5">
        <v>0.49299999999999999</v>
      </c>
      <c r="F325" s="5">
        <v>6.3760000000000003</v>
      </c>
      <c r="G325" s="5">
        <v>54.3</v>
      </c>
      <c r="H325" s="5">
        <v>4.5404</v>
      </c>
      <c r="I325" s="5">
        <v>5</v>
      </c>
      <c r="J325" s="5">
        <v>287</v>
      </c>
      <c r="K325" s="5">
        <v>19.600000000000001</v>
      </c>
      <c r="L325" s="5">
        <v>396.9</v>
      </c>
      <c r="M325" s="5">
        <v>6.87</v>
      </c>
      <c r="N325" s="5">
        <v>23.1</v>
      </c>
    </row>
    <row r="326" spans="1:14" x14ac:dyDescent="0.25">
      <c r="A326" s="5">
        <v>0.35114000000000001</v>
      </c>
      <c r="B326" s="5">
        <v>0</v>
      </c>
      <c r="C326" s="5">
        <v>7.38</v>
      </c>
      <c r="D326" s="5">
        <v>0</v>
      </c>
      <c r="E326" s="5">
        <v>0.49299999999999999</v>
      </c>
      <c r="F326" s="5">
        <v>6.0410000000000004</v>
      </c>
      <c r="G326" s="5">
        <v>49.9</v>
      </c>
      <c r="H326" s="5">
        <v>4.7210999999999999</v>
      </c>
      <c r="I326" s="5">
        <v>5</v>
      </c>
      <c r="J326" s="5">
        <v>287</v>
      </c>
      <c r="K326" s="5">
        <v>19.600000000000001</v>
      </c>
      <c r="L326" s="5">
        <v>396.9</v>
      </c>
      <c r="M326" s="5">
        <v>7.7</v>
      </c>
      <c r="N326" s="5">
        <v>20.399999999999999</v>
      </c>
    </row>
    <row r="327" spans="1:14" x14ac:dyDescent="0.25">
      <c r="A327" s="5">
        <v>0.28392000000000001</v>
      </c>
      <c r="B327" s="5">
        <v>0</v>
      </c>
      <c r="C327" s="5">
        <v>7.38</v>
      </c>
      <c r="D327" s="5">
        <v>0</v>
      </c>
      <c r="E327" s="5">
        <v>0.49299999999999999</v>
      </c>
      <c r="F327" s="5">
        <v>5.7080000000000002</v>
      </c>
      <c r="G327" s="5">
        <v>74.3</v>
      </c>
      <c r="H327" s="5">
        <v>4.7210999999999999</v>
      </c>
      <c r="I327" s="5">
        <v>5</v>
      </c>
      <c r="J327" s="5">
        <v>287</v>
      </c>
      <c r="K327" s="5">
        <v>19.600000000000001</v>
      </c>
      <c r="L327" s="5">
        <v>391.13</v>
      </c>
      <c r="M327" s="5">
        <v>11.74</v>
      </c>
      <c r="N327" s="5">
        <v>18.5</v>
      </c>
    </row>
    <row r="328" spans="1:14" x14ac:dyDescent="0.25">
      <c r="A328" s="5">
        <v>0.34109</v>
      </c>
      <c r="B328" s="5">
        <v>0</v>
      </c>
      <c r="C328" s="5">
        <v>7.38</v>
      </c>
      <c r="D328" s="5">
        <v>0</v>
      </c>
      <c r="E328" s="5">
        <v>0.49299999999999999</v>
      </c>
      <c r="F328" s="5">
        <v>6.415</v>
      </c>
      <c r="G328" s="5">
        <v>40.1</v>
      </c>
      <c r="H328" s="5">
        <v>4.7210999999999999</v>
      </c>
      <c r="I328" s="5">
        <v>5</v>
      </c>
      <c r="J328" s="5">
        <v>287</v>
      </c>
      <c r="K328" s="5">
        <v>19.600000000000001</v>
      </c>
      <c r="L328" s="5">
        <v>396.9</v>
      </c>
      <c r="M328" s="5">
        <v>6.12</v>
      </c>
      <c r="N328" s="5">
        <v>25</v>
      </c>
    </row>
    <row r="329" spans="1:14" x14ac:dyDescent="0.25">
      <c r="A329" s="5">
        <v>0.19186</v>
      </c>
      <c r="B329" s="5">
        <v>0</v>
      </c>
      <c r="C329" s="5">
        <v>7.38</v>
      </c>
      <c r="D329" s="5">
        <v>0</v>
      </c>
      <c r="E329" s="5">
        <v>0.49299999999999999</v>
      </c>
      <c r="F329" s="5">
        <v>6.431</v>
      </c>
      <c r="G329" s="5">
        <v>14.7</v>
      </c>
      <c r="H329" s="5">
        <v>5.4158999999999997</v>
      </c>
      <c r="I329" s="5">
        <v>5</v>
      </c>
      <c r="J329" s="5">
        <v>287</v>
      </c>
      <c r="K329" s="5">
        <v>19.600000000000001</v>
      </c>
      <c r="L329" s="5">
        <v>393.68</v>
      </c>
      <c r="M329" s="5">
        <v>5.08</v>
      </c>
      <c r="N329" s="5">
        <v>24.6</v>
      </c>
    </row>
    <row r="330" spans="1:14" x14ac:dyDescent="0.25">
      <c r="A330" s="5">
        <v>0.30347000000000002</v>
      </c>
      <c r="B330" s="5">
        <v>0</v>
      </c>
      <c r="C330" s="5">
        <v>7.38</v>
      </c>
      <c r="D330" s="5">
        <v>0</v>
      </c>
      <c r="E330" s="5">
        <v>0.49299999999999999</v>
      </c>
      <c r="F330" s="5">
        <v>6.3120000000000003</v>
      </c>
      <c r="G330" s="5">
        <v>28.9</v>
      </c>
      <c r="H330" s="5">
        <v>5.4158999999999997</v>
      </c>
      <c r="I330" s="5">
        <v>5</v>
      </c>
      <c r="J330" s="5">
        <v>287</v>
      </c>
      <c r="K330" s="5">
        <v>19.600000000000001</v>
      </c>
      <c r="L330" s="5">
        <v>396.9</v>
      </c>
      <c r="M330" s="5">
        <v>6.15</v>
      </c>
      <c r="N330" s="5">
        <v>23</v>
      </c>
    </row>
    <row r="331" spans="1:14" x14ac:dyDescent="0.25">
      <c r="A331" s="5">
        <v>0.24102999999999999</v>
      </c>
      <c r="B331" s="5">
        <v>0</v>
      </c>
      <c r="C331" s="5">
        <v>7.38</v>
      </c>
      <c r="D331" s="5">
        <v>0</v>
      </c>
      <c r="E331" s="5">
        <v>0.49299999999999999</v>
      </c>
      <c r="F331" s="5">
        <v>6.0830000000000002</v>
      </c>
      <c r="G331" s="5">
        <v>43.7</v>
      </c>
      <c r="H331" s="5">
        <v>5.4158999999999997</v>
      </c>
      <c r="I331" s="5">
        <v>5</v>
      </c>
      <c r="J331" s="5">
        <v>287</v>
      </c>
      <c r="K331" s="5">
        <v>19.600000000000001</v>
      </c>
      <c r="L331" s="5">
        <v>396.9</v>
      </c>
      <c r="M331" s="5">
        <v>12.79</v>
      </c>
      <c r="N331" s="5">
        <v>22.2</v>
      </c>
    </row>
    <row r="332" spans="1:14" x14ac:dyDescent="0.25">
      <c r="A332" s="5">
        <v>6.6170000000000007E-2</v>
      </c>
      <c r="B332" s="5">
        <v>0</v>
      </c>
      <c r="C332" s="5">
        <v>3.24</v>
      </c>
      <c r="D332" s="5">
        <v>0</v>
      </c>
      <c r="E332" s="5">
        <v>0.46</v>
      </c>
      <c r="F332" s="5">
        <v>5.8680000000000003</v>
      </c>
      <c r="G332" s="5">
        <v>25.8</v>
      </c>
      <c r="H332" s="5">
        <v>5.2145999999999999</v>
      </c>
      <c r="I332" s="5">
        <v>4</v>
      </c>
      <c r="J332" s="5">
        <v>430</v>
      </c>
      <c r="K332" s="5">
        <v>16.899999999999999</v>
      </c>
      <c r="L332" s="5">
        <v>382.44</v>
      </c>
      <c r="M332" s="5">
        <v>9.9700000000000006</v>
      </c>
      <c r="N332" s="5">
        <v>19.3</v>
      </c>
    </row>
    <row r="333" spans="1:14" x14ac:dyDescent="0.25">
      <c r="A333" s="5">
        <v>6.7239999999999994E-2</v>
      </c>
      <c r="B333" s="5">
        <v>0</v>
      </c>
      <c r="C333" s="5">
        <v>3.24</v>
      </c>
      <c r="D333" s="5">
        <v>0</v>
      </c>
      <c r="E333" s="5">
        <v>0.46</v>
      </c>
      <c r="F333" s="5">
        <v>6.3330000000000002</v>
      </c>
      <c r="G333" s="5">
        <v>17.2</v>
      </c>
      <c r="H333" s="5">
        <v>5.2145999999999999</v>
      </c>
      <c r="I333" s="5">
        <v>4</v>
      </c>
      <c r="J333" s="5">
        <v>430</v>
      </c>
      <c r="K333" s="5">
        <v>16.899999999999999</v>
      </c>
      <c r="L333" s="5">
        <v>375.21</v>
      </c>
      <c r="M333" s="5">
        <v>7.34</v>
      </c>
      <c r="N333" s="5">
        <v>22.6</v>
      </c>
    </row>
    <row r="334" spans="1:14" x14ac:dyDescent="0.25">
      <c r="A334" s="5">
        <v>4.5440000000000001E-2</v>
      </c>
      <c r="B334" s="5">
        <v>0</v>
      </c>
      <c r="C334" s="5">
        <v>3.24</v>
      </c>
      <c r="D334" s="5">
        <v>0</v>
      </c>
      <c r="E334" s="5">
        <v>0.46</v>
      </c>
      <c r="F334" s="5">
        <v>6.1440000000000001</v>
      </c>
      <c r="G334" s="5">
        <v>32.200000000000003</v>
      </c>
      <c r="H334" s="5">
        <v>5.8735999999999997</v>
      </c>
      <c r="I334" s="5">
        <v>4</v>
      </c>
      <c r="J334" s="5">
        <v>430</v>
      </c>
      <c r="K334" s="5">
        <v>16.899999999999999</v>
      </c>
      <c r="L334" s="5">
        <v>368.57</v>
      </c>
      <c r="M334" s="5">
        <v>9.09</v>
      </c>
      <c r="N334" s="5">
        <v>19.8</v>
      </c>
    </row>
    <row r="335" spans="1:14" x14ac:dyDescent="0.25">
      <c r="A335" s="5">
        <v>5.0229999999999997E-2</v>
      </c>
      <c r="B335" s="5">
        <v>35</v>
      </c>
      <c r="C335" s="5">
        <v>6.06</v>
      </c>
      <c r="D335" s="5">
        <v>0</v>
      </c>
      <c r="E335" s="5">
        <v>0.43790000000000001</v>
      </c>
      <c r="F335" s="5">
        <v>5.7060000000000004</v>
      </c>
      <c r="G335" s="5">
        <v>28.4</v>
      </c>
      <c r="H335" s="5">
        <v>6.6406999999999998</v>
      </c>
      <c r="I335" s="5">
        <v>1</v>
      </c>
      <c r="J335" s="5">
        <v>304</v>
      </c>
      <c r="K335" s="5">
        <v>16.899999999999999</v>
      </c>
      <c r="L335" s="5">
        <v>394.02</v>
      </c>
      <c r="M335" s="5">
        <v>12.43</v>
      </c>
      <c r="N335" s="5">
        <v>17.100000000000001</v>
      </c>
    </row>
    <row r="336" spans="1:14" x14ac:dyDescent="0.25">
      <c r="A336" s="5">
        <v>3.4660000000000003E-2</v>
      </c>
      <c r="B336" s="5">
        <v>35</v>
      </c>
      <c r="C336" s="5">
        <v>6.06</v>
      </c>
      <c r="D336" s="5">
        <v>0</v>
      </c>
      <c r="E336" s="5">
        <v>0.43790000000000001</v>
      </c>
      <c r="F336" s="5">
        <v>6.0309999999999997</v>
      </c>
      <c r="G336" s="5">
        <v>23.3</v>
      </c>
      <c r="H336" s="5">
        <v>6.6406999999999998</v>
      </c>
      <c r="I336" s="5">
        <v>1</v>
      </c>
      <c r="J336" s="5">
        <v>304</v>
      </c>
      <c r="K336" s="5">
        <v>16.899999999999999</v>
      </c>
      <c r="L336" s="5">
        <v>362.25</v>
      </c>
      <c r="M336" s="5">
        <v>7.83</v>
      </c>
      <c r="N336" s="5">
        <v>19.399999999999999</v>
      </c>
    </row>
    <row r="337" spans="1:14" x14ac:dyDescent="0.25">
      <c r="A337" s="5">
        <v>5.083E-2</v>
      </c>
      <c r="B337" s="5">
        <v>0</v>
      </c>
      <c r="C337" s="5">
        <v>5.19</v>
      </c>
      <c r="D337" s="5">
        <v>0</v>
      </c>
      <c r="E337" s="5">
        <v>0.51500000000000001</v>
      </c>
      <c r="F337" s="5">
        <v>6.3159999999999998</v>
      </c>
      <c r="G337" s="5">
        <v>38.1</v>
      </c>
      <c r="H337" s="5">
        <v>6.4584000000000001</v>
      </c>
      <c r="I337" s="5">
        <v>5</v>
      </c>
      <c r="J337" s="5">
        <v>224</v>
      </c>
      <c r="K337" s="5">
        <v>20.2</v>
      </c>
      <c r="L337" s="5">
        <v>389.71</v>
      </c>
      <c r="M337" s="5">
        <v>5.68</v>
      </c>
      <c r="N337" s="5">
        <v>22.2</v>
      </c>
    </row>
    <row r="338" spans="1:14" x14ac:dyDescent="0.25">
      <c r="A338" s="5">
        <v>3.7379999999999997E-2</v>
      </c>
      <c r="B338" s="5">
        <v>0</v>
      </c>
      <c r="C338" s="5">
        <v>5.19</v>
      </c>
      <c r="D338" s="5">
        <v>0</v>
      </c>
      <c r="E338" s="5">
        <v>0.51500000000000001</v>
      </c>
      <c r="F338" s="5">
        <v>6.31</v>
      </c>
      <c r="G338" s="5">
        <v>38.5</v>
      </c>
      <c r="H338" s="5">
        <v>6.4584000000000001</v>
      </c>
      <c r="I338" s="5">
        <v>5</v>
      </c>
      <c r="J338" s="5">
        <v>224</v>
      </c>
      <c r="K338" s="5">
        <v>20.2</v>
      </c>
      <c r="L338" s="5">
        <v>389.4</v>
      </c>
      <c r="M338" s="5">
        <v>6.75</v>
      </c>
      <c r="N338" s="5">
        <v>20.7</v>
      </c>
    </row>
    <row r="339" spans="1:14" x14ac:dyDescent="0.25">
      <c r="A339" s="5">
        <v>3.9609999999999999E-2</v>
      </c>
      <c r="B339" s="5">
        <v>0</v>
      </c>
      <c r="C339" s="5">
        <v>5.19</v>
      </c>
      <c r="D339" s="5">
        <v>0</v>
      </c>
      <c r="E339" s="5">
        <v>0.51500000000000001</v>
      </c>
      <c r="F339" s="5">
        <v>6.0369999999999999</v>
      </c>
      <c r="G339" s="5">
        <v>34.5</v>
      </c>
      <c r="H339" s="5">
        <v>5.9852999999999996</v>
      </c>
      <c r="I339" s="5">
        <v>5</v>
      </c>
      <c r="J339" s="5">
        <v>224</v>
      </c>
      <c r="K339" s="5">
        <v>20.2</v>
      </c>
      <c r="L339" s="5">
        <v>396.9</v>
      </c>
      <c r="M339" s="5">
        <v>8.01</v>
      </c>
      <c r="N339" s="5">
        <v>21.1</v>
      </c>
    </row>
    <row r="340" spans="1:14" x14ac:dyDescent="0.25">
      <c r="A340" s="5">
        <v>3.4270000000000002E-2</v>
      </c>
      <c r="B340" s="5">
        <v>0</v>
      </c>
      <c r="C340" s="5">
        <v>5.19</v>
      </c>
      <c r="D340" s="5">
        <v>0</v>
      </c>
      <c r="E340" s="5">
        <v>0.51500000000000001</v>
      </c>
      <c r="F340" s="5">
        <v>5.8689999999999998</v>
      </c>
      <c r="G340" s="5">
        <v>46.3</v>
      </c>
      <c r="H340" s="5">
        <v>5.2310999999999996</v>
      </c>
      <c r="I340" s="5">
        <v>5</v>
      </c>
      <c r="J340" s="5">
        <v>224</v>
      </c>
      <c r="K340" s="5">
        <v>20.2</v>
      </c>
      <c r="L340" s="5">
        <v>396.9</v>
      </c>
      <c r="M340" s="5">
        <v>9.8000000000000007</v>
      </c>
      <c r="N340" s="5">
        <v>19.5</v>
      </c>
    </row>
    <row r="341" spans="1:14" x14ac:dyDescent="0.25">
      <c r="A341" s="5">
        <v>3.041E-2</v>
      </c>
      <c r="B341" s="5">
        <v>0</v>
      </c>
      <c r="C341" s="5">
        <v>5.19</v>
      </c>
      <c r="D341" s="5">
        <v>0</v>
      </c>
      <c r="E341" s="5">
        <v>0.51500000000000001</v>
      </c>
      <c r="F341" s="5">
        <v>5.8949999999999996</v>
      </c>
      <c r="G341" s="5">
        <v>59.6</v>
      </c>
      <c r="H341" s="5">
        <v>5.6150000000000002</v>
      </c>
      <c r="I341" s="5">
        <v>5</v>
      </c>
      <c r="J341" s="5">
        <v>224</v>
      </c>
      <c r="K341" s="5">
        <v>20.2</v>
      </c>
      <c r="L341" s="5">
        <v>394.81</v>
      </c>
      <c r="M341" s="5">
        <v>10.56</v>
      </c>
      <c r="N341" s="5">
        <v>18.5</v>
      </c>
    </row>
    <row r="342" spans="1:14" x14ac:dyDescent="0.25">
      <c r="A342" s="5">
        <v>3.3059999999999999E-2</v>
      </c>
      <c r="B342" s="5">
        <v>0</v>
      </c>
      <c r="C342" s="5">
        <v>5.19</v>
      </c>
      <c r="D342" s="5">
        <v>0</v>
      </c>
      <c r="E342" s="5">
        <v>0.51500000000000001</v>
      </c>
      <c r="F342" s="5">
        <v>6.0590000000000002</v>
      </c>
      <c r="G342" s="5">
        <v>37.299999999999997</v>
      </c>
      <c r="H342" s="5">
        <v>4.8121999999999998</v>
      </c>
      <c r="I342" s="5">
        <v>5</v>
      </c>
      <c r="J342" s="5">
        <v>224</v>
      </c>
      <c r="K342" s="5">
        <v>20.2</v>
      </c>
      <c r="L342" s="5">
        <v>396.14</v>
      </c>
      <c r="M342" s="5">
        <v>8.51</v>
      </c>
      <c r="N342" s="5">
        <v>20.6</v>
      </c>
    </row>
    <row r="343" spans="1:14" x14ac:dyDescent="0.25">
      <c r="A343" s="5">
        <v>5.4969999999999998E-2</v>
      </c>
      <c r="B343" s="5">
        <v>0</v>
      </c>
      <c r="C343" s="5">
        <v>5.19</v>
      </c>
      <c r="D343" s="5">
        <v>0</v>
      </c>
      <c r="E343" s="5">
        <v>0.51500000000000001</v>
      </c>
      <c r="F343" s="5">
        <v>5.9850000000000003</v>
      </c>
      <c r="G343" s="5">
        <v>45.4</v>
      </c>
      <c r="H343" s="5">
        <v>4.8121999999999998</v>
      </c>
      <c r="I343" s="5">
        <v>5</v>
      </c>
      <c r="J343" s="5">
        <v>224</v>
      </c>
      <c r="K343" s="5">
        <v>20.2</v>
      </c>
      <c r="L343" s="5">
        <v>396.9</v>
      </c>
      <c r="M343" s="5">
        <v>9.74</v>
      </c>
      <c r="N343" s="5">
        <v>19</v>
      </c>
    </row>
    <row r="344" spans="1:14" x14ac:dyDescent="0.25">
      <c r="A344" s="5">
        <v>6.1510000000000002E-2</v>
      </c>
      <c r="B344" s="5">
        <v>0</v>
      </c>
      <c r="C344" s="5">
        <v>5.19</v>
      </c>
      <c r="D344" s="5">
        <v>0</v>
      </c>
      <c r="E344" s="5">
        <v>0.51500000000000001</v>
      </c>
      <c r="F344" s="5">
        <v>5.968</v>
      </c>
      <c r="G344" s="5">
        <v>58.5</v>
      </c>
      <c r="H344" s="5">
        <v>4.8121999999999998</v>
      </c>
      <c r="I344" s="5">
        <v>5</v>
      </c>
      <c r="J344" s="5">
        <v>224</v>
      </c>
      <c r="K344" s="5">
        <v>20.2</v>
      </c>
      <c r="L344" s="5">
        <v>396.9</v>
      </c>
      <c r="M344" s="5">
        <v>9.2899999999999991</v>
      </c>
      <c r="N344" s="5">
        <v>18.7</v>
      </c>
    </row>
    <row r="345" spans="1:14" x14ac:dyDescent="0.25">
      <c r="A345" s="5">
        <v>1.3010000000000001E-2</v>
      </c>
      <c r="B345" s="5">
        <v>35</v>
      </c>
      <c r="C345" s="5">
        <v>1.52</v>
      </c>
      <c r="D345" s="5">
        <v>0</v>
      </c>
      <c r="E345" s="5">
        <v>0.442</v>
      </c>
      <c r="F345" s="5">
        <v>7.2409999999999997</v>
      </c>
      <c r="G345" s="5">
        <v>49.3</v>
      </c>
      <c r="H345" s="5">
        <v>7.0378999999999996</v>
      </c>
      <c r="I345" s="5">
        <v>1</v>
      </c>
      <c r="J345" s="5">
        <v>284</v>
      </c>
      <c r="K345" s="5">
        <v>15.5</v>
      </c>
      <c r="L345" s="5">
        <v>394.74</v>
      </c>
      <c r="M345" s="5">
        <v>5.49</v>
      </c>
      <c r="N345" s="5">
        <v>32.700000000000003</v>
      </c>
    </row>
    <row r="346" spans="1:14" x14ac:dyDescent="0.25">
      <c r="A346" s="5">
        <v>2.4979999999999999E-2</v>
      </c>
      <c r="B346" s="5">
        <v>0</v>
      </c>
      <c r="C346" s="5">
        <v>1.89</v>
      </c>
      <c r="D346" s="5">
        <v>0</v>
      </c>
      <c r="E346" s="5">
        <v>0.51800000000000002</v>
      </c>
      <c r="F346" s="5">
        <v>6.54</v>
      </c>
      <c r="G346" s="5">
        <v>59.7</v>
      </c>
      <c r="H346" s="5">
        <v>6.2668999999999997</v>
      </c>
      <c r="I346" s="5">
        <v>1</v>
      </c>
      <c r="J346" s="5">
        <v>422</v>
      </c>
      <c r="K346" s="5">
        <v>15.9</v>
      </c>
      <c r="L346" s="5">
        <v>389.96</v>
      </c>
      <c r="M346" s="5">
        <v>8.65</v>
      </c>
      <c r="N346" s="5">
        <v>16.5</v>
      </c>
    </row>
    <row r="347" spans="1:14" x14ac:dyDescent="0.25">
      <c r="A347" s="5">
        <v>2.5430000000000001E-2</v>
      </c>
      <c r="B347" s="5">
        <v>55</v>
      </c>
      <c r="C347" s="5">
        <v>3.78</v>
      </c>
      <c r="D347" s="5">
        <v>0</v>
      </c>
      <c r="E347" s="5">
        <v>0.48399999999999999</v>
      </c>
      <c r="F347" s="5">
        <v>6.6959999999999997</v>
      </c>
      <c r="G347" s="5">
        <v>56.4</v>
      </c>
      <c r="H347" s="5">
        <v>5.7321</v>
      </c>
      <c r="I347" s="5">
        <v>5</v>
      </c>
      <c r="J347" s="5">
        <v>370</v>
      </c>
      <c r="K347" s="5">
        <v>17.600000000000001</v>
      </c>
      <c r="L347" s="5">
        <v>396.9</v>
      </c>
      <c r="M347" s="5">
        <v>7.18</v>
      </c>
      <c r="N347" s="5">
        <v>23.9</v>
      </c>
    </row>
    <row r="348" spans="1:14" x14ac:dyDescent="0.25">
      <c r="A348" s="5">
        <v>3.049E-2</v>
      </c>
      <c r="B348" s="5">
        <v>55</v>
      </c>
      <c r="C348" s="5">
        <v>3.78</v>
      </c>
      <c r="D348" s="5">
        <v>0</v>
      </c>
      <c r="E348" s="5">
        <v>0.48399999999999999</v>
      </c>
      <c r="F348" s="5">
        <v>6.8739999999999997</v>
      </c>
      <c r="G348" s="5">
        <v>28.1</v>
      </c>
      <c r="H348" s="5">
        <v>6.4653999999999998</v>
      </c>
      <c r="I348" s="5">
        <v>5</v>
      </c>
      <c r="J348" s="5">
        <v>370</v>
      </c>
      <c r="K348" s="5">
        <v>17.600000000000001</v>
      </c>
      <c r="L348" s="5">
        <v>387.97</v>
      </c>
      <c r="M348" s="5">
        <v>4.6100000000000003</v>
      </c>
      <c r="N348" s="5">
        <v>31.2</v>
      </c>
    </row>
    <row r="349" spans="1:14" x14ac:dyDescent="0.25">
      <c r="A349" s="5">
        <v>3.1130000000000001E-2</v>
      </c>
      <c r="B349" s="5">
        <v>0</v>
      </c>
      <c r="C349" s="5">
        <v>4.3899999999999997</v>
      </c>
      <c r="D349" s="5">
        <v>0</v>
      </c>
      <c r="E349" s="5">
        <v>0.442</v>
      </c>
      <c r="F349" s="5">
        <v>6.0140000000000002</v>
      </c>
      <c r="G349" s="5">
        <v>48.5</v>
      </c>
      <c r="H349" s="5">
        <v>8.0136000000000003</v>
      </c>
      <c r="I349" s="5">
        <v>3</v>
      </c>
      <c r="J349" s="5">
        <v>352</v>
      </c>
      <c r="K349" s="5">
        <v>18.8</v>
      </c>
      <c r="L349" s="5">
        <v>385.64</v>
      </c>
      <c r="M349" s="5">
        <v>10.53</v>
      </c>
      <c r="N349" s="5">
        <v>17.5</v>
      </c>
    </row>
    <row r="350" spans="1:14" x14ac:dyDescent="0.25">
      <c r="A350" s="5">
        <v>6.1620000000000001E-2</v>
      </c>
      <c r="B350" s="5">
        <v>0</v>
      </c>
      <c r="C350" s="5">
        <v>4.3899999999999997</v>
      </c>
      <c r="D350" s="5">
        <v>0</v>
      </c>
      <c r="E350" s="5">
        <v>0.442</v>
      </c>
      <c r="F350" s="5">
        <v>5.8979999999999997</v>
      </c>
      <c r="G350" s="5">
        <v>52.3</v>
      </c>
      <c r="H350" s="5">
        <v>8.0136000000000003</v>
      </c>
      <c r="I350" s="5">
        <v>3</v>
      </c>
      <c r="J350" s="5">
        <v>352</v>
      </c>
      <c r="K350" s="5">
        <v>18.8</v>
      </c>
      <c r="L350" s="5">
        <v>364.61</v>
      </c>
      <c r="M350" s="5">
        <v>12.67</v>
      </c>
      <c r="N350" s="5">
        <v>17.2</v>
      </c>
    </row>
    <row r="351" spans="1:14" x14ac:dyDescent="0.25">
      <c r="A351" s="5">
        <v>1.8700000000000001E-2</v>
      </c>
      <c r="B351" s="5">
        <v>85</v>
      </c>
      <c r="C351" s="5">
        <v>4.1500000000000004</v>
      </c>
      <c r="D351" s="5">
        <v>0</v>
      </c>
      <c r="E351" s="5">
        <v>0.42899999999999999</v>
      </c>
      <c r="F351" s="5">
        <v>6.516</v>
      </c>
      <c r="G351" s="5">
        <v>27.7</v>
      </c>
      <c r="H351" s="5">
        <v>8.5352999999999994</v>
      </c>
      <c r="I351" s="5">
        <v>4</v>
      </c>
      <c r="J351" s="5">
        <v>351</v>
      </c>
      <c r="K351" s="5">
        <v>17.899999999999999</v>
      </c>
      <c r="L351" s="5">
        <v>392.43</v>
      </c>
      <c r="M351" s="5">
        <v>6.36</v>
      </c>
      <c r="N351" s="5">
        <v>23.1</v>
      </c>
    </row>
    <row r="352" spans="1:14" x14ac:dyDescent="0.25">
      <c r="A352" s="5">
        <v>1.5010000000000001E-2</v>
      </c>
      <c r="B352" s="5">
        <v>80</v>
      </c>
      <c r="C352" s="5">
        <v>2.0099999999999998</v>
      </c>
      <c r="D352" s="5">
        <v>0</v>
      </c>
      <c r="E352" s="5">
        <v>0.435</v>
      </c>
      <c r="F352" s="5">
        <v>6.6349999999999998</v>
      </c>
      <c r="G352" s="5">
        <v>29.7</v>
      </c>
      <c r="H352" s="5">
        <v>8.3439999999999994</v>
      </c>
      <c r="I352" s="5">
        <v>4</v>
      </c>
      <c r="J352" s="5">
        <v>280</v>
      </c>
      <c r="K352" s="5">
        <v>17</v>
      </c>
      <c r="L352" s="5">
        <v>390.94</v>
      </c>
      <c r="M352" s="5">
        <v>5.99</v>
      </c>
      <c r="N352" s="5">
        <v>24.5</v>
      </c>
    </row>
    <row r="353" spans="1:14" x14ac:dyDescent="0.25">
      <c r="A353" s="5">
        <v>2.8989999999999998E-2</v>
      </c>
      <c r="B353" s="5">
        <v>40</v>
      </c>
      <c r="C353" s="5">
        <v>1.25</v>
      </c>
      <c r="D353" s="5">
        <v>0</v>
      </c>
      <c r="E353" s="5">
        <v>0.42899999999999999</v>
      </c>
      <c r="F353" s="5">
        <v>6.9390000000000001</v>
      </c>
      <c r="G353" s="5">
        <v>34.5</v>
      </c>
      <c r="H353" s="5">
        <v>8.7920999999999996</v>
      </c>
      <c r="I353" s="5">
        <v>1</v>
      </c>
      <c r="J353" s="5">
        <v>335</v>
      </c>
      <c r="K353" s="5">
        <v>19.7</v>
      </c>
      <c r="L353" s="5">
        <v>389.85</v>
      </c>
      <c r="M353" s="5">
        <v>5.89</v>
      </c>
      <c r="N353" s="5">
        <v>26.6</v>
      </c>
    </row>
    <row r="354" spans="1:14" x14ac:dyDescent="0.25">
      <c r="A354" s="5">
        <v>6.2109999999999999E-2</v>
      </c>
      <c r="B354" s="5">
        <v>40</v>
      </c>
      <c r="C354" s="5">
        <v>1.25</v>
      </c>
      <c r="D354" s="5">
        <v>0</v>
      </c>
      <c r="E354" s="5">
        <v>0.42899999999999999</v>
      </c>
      <c r="F354" s="5">
        <v>6.49</v>
      </c>
      <c r="G354" s="5">
        <v>44.4</v>
      </c>
      <c r="H354" s="5">
        <v>8.7920999999999996</v>
      </c>
      <c r="I354" s="5">
        <v>1</v>
      </c>
      <c r="J354" s="5">
        <v>335</v>
      </c>
      <c r="K354" s="5">
        <v>19.7</v>
      </c>
      <c r="L354" s="5">
        <v>396.9</v>
      </c>
      <c r="M354" s="5">
        <v>5.98</v>
      </c>
      <c r="N354" s="5">
        <v>22.9</v>
      </c>
    </row>
    <row r="355" spans="1:14" x14ac:dyDescent="0.25">
      <c r="A355" s="5">
        <v>7.9500000000000001E-2</v>
      </c>
      <c r="B355" s="5">
        <v>60</v>
      </c>
      <c r="C355" s="5">
        <v>1.69</v>
      </c>
      <c r="D355" s="5">
        <v>0</v>
      </c>
      <c r="E355" s="5">
        <v>0.41099999999999998</v>
      </c>
      <c r="F355" s="5">
        <v>6.5789999999999997</v>
      </c>
      <c r="G355" s="5">
        <v>35.9</v>
      </c>
      <c r="H355" s="5">
        <v>10.7103</v>
      </c>
      <c r="I355" s="5">
        <v>4</v>
      </c>
      <c r="J355" s="5">
        <v>411</v>
      </c>
      <c r="K355" s="5">
        <v>18.3</v>
      </c>
      <c r="L355" s="5">
        <v>370.78</v>
      </c>
      <c r="M355" s="5">
        <v>5.49</v>
      </c>
      <c r="N355" s="5">
        <v>24.1</v>
      </c>
    </row>
    <row r="356" spans="1:14" x14ac:dyDescent="0.25">
      <c r="A356" s="5">
        <v>7.2440000000000004E-2</v>
      </c>
      <c r="B356" s="5">
        <v>60</v>
      </c>
      <c r="C356" s="5">
        <v>1.69</v>
      </c>
      <c r="D356" s="5">
        <v>0</v>
      </c>
      <c r="E356" s="5">
        <v>0.41099999999999998</v>
      </c>
      <c r="F356" s="5">
        <v>5.8840000000000003</v>
      </c>
      <c r="G356" s="5">
        <v>18.5</v>
      </c>
      <c r="H356" s="5">
        <v>10.7103</v>
      </c>
      <c r="I356" s="5">
        <v>4</v>
      </c>
      <c r="J356" s="5">
        <v>411</v>
      </c>
      <c r="K356" s="5">
        <v>18.3</v>
      </c>
      <c r="L356" s="5">
        <v>392.33</v>
      </c>
      <c r="M356" s="5">
        <v>7.79</v>
      </c>
      <c r="N356" s="5">
        <v>18.600000000000001</v>
      </c>
    </row>
    <row r="357" spans="1:14" x14ac:dyDescent="0.25">
      <c r="A357" s="5">
        <v>1.7090000000000001E-2</v>
      </c>
      <c r="B357" s="5">
        <v>90</v>
      </c>
      <c r="C357" s="5">
        <v>2.02</v>
      </c>
      <c r="D357" s="5">
        <v>0</v>
      </c>
      <c r="E357" s="5">
        <v>0.41</v>
      </c>
      <c r="F357" s="5">
        <v>6.7279999999999998</v>
      </c>
      <c r="G357" s="5">
        <v>36.1</v>
      </c>
      <c r="H357" s="5">
        <v>12.1265</v>
      </c>
      <c r="I357" s="5">
        <v>5</v>
      </c>
      <c r="J357" s="5">
        <v>187</v>
      </c>
      <c r="K357" s="5">
        <v>17</v>
      </c>
      <c r="L357" s="5">
        <v>384.46</v>
      </c>
      <c r="M357" s="5">
        <v>4.5</v>
      </c>
      <c r="N357" s="5">
        <v>30.1</v>
      </c>
    </row>
    <row r="358" spans="1:14" x14ac:dyDescent="0.25">
      <c r="A358" s="5">
        <v>4.301E-2</v>
      </c>
      <c r="B358" s="5">
        <v>80</v>
      </c>
      <c r="C358" s="5">
        <v>1.91</v>
      </c>
      <c r="D358" s="5">
        <v>0</v>
      </c>
      <c r="E358" s="5">
        <v>0.41299999999999998</v>
      </c>
      <c r="F358" s="5">
        <v>5.6630000000000003</v>
      </c>
      <c r="G358" s="5">
        <v>21.9</v>
      </c>
      <c r="H358" s="5">
        <v>10.585699999999999</v>
      </c>
      <c r="I358" s="5">
        <v>4</v>
      </c>
      <c r="J358" s="5">
        <v>334</v>
      </c>
      <c r="K358" s="5">
        <v>22</v>
      </c>
      <c r="L358" s="5">
        <v>382.8</v>
      </c>
      <c r="M358" s="5">
        <v>8.0500000000000007</v>
      </c>
      <c r="N358" s="5">
        <v>18.2</v>
      </c>
    </row>
    <row r="359" spans="1:14" x14ac:dyDescent="0.25">
      <c r="A359" s="5">
        <v>0.10659</v>
      </c>
      <c r="B359" s="5">
        <v>80</v>
      </c>
      <c r="C359" s="5">
        <v>1.91</v>
      </c>
      <c r="D359" s="5">
        <v>0</v>
      </c>
      <c r="E359" s="5">
        <v>0.41299999999999998</v>
      </c>
      <c r="F359" s="5">
        <v>5.9359999999999999</v>
      </c>
      <c r="G359" s="5">
        <v>19.5</v>
      </c>
      <c r="H359" s="5">
        <v>10.585699999999999</v>
      </c>
      <c r="I359" s="5">
        <v>4</v>
      </c>
      <c r="J359" s="5">
        <v>334</v>
      </c>
      <c r="K359" s="5">
        <v>22</v>
      </c>
      <c r="L359" s="5">
        <v>376.04</v>
      </c>
      <c r="M359" s="5">
        <v>5.57</v>
      </c>
      <c r="N359" s="5">
        <v>20.6</v>
      </c>
    </row>
    <row r="360" spans="1:14" x14ac:dyDescent="0.25">
      <c r="A360" s="5">
        <v>8.9829600000000003</v>
      </c>
      <c r="B360" s="5">
        <v>0</v>
      </c>
      <c r="C360" s="5">
        <v>18.100000000000001</v>
      </c>
      <c r="D360" s="5">
        <v>1</v>
      </c>
      <c r="E360" s="5">
        <v>0.77</v>
      </c>
      <c r="F360" s="5">
        <v>6.2119999999999997</v>
      </c>
      <c r="G360" s="5">
        <v>97.4</v>
      </c>
      <c r="H360" s="5">
        <v>2.1221999999999999</v>
      </c>
      <c r="I360" s="5">
        <v>24</v>
      </c>
      <c r="J360" s="5">
        <v>666</v>
      </c>
      <c r="K360" s="5">
        <v>20.2</v>
      </c>
      <c r="L360" s="5">
        <v>377.73</v>
      </c>
      <c r="M360" s="5">
        <v>17.600000000000001</v>
      </c>
      <c r="N360" s="5">
        <v>17.8</v>
      </c>
    </row>
    <row r="361" spans="1:14" x14ac:dyDescent="0.25">
      <c r="A361" s="5">
        <v>3.8496999999999999</v>
      </c>
      <c r="B361" s="5">
        <v>0</v>
      </c>
      <c r="C361" s="5">
        <v>18.100000000000001</v>
      </c>
      <c r="D361" s="5">
        <v>1</v>
      </c>
      <c r="E361" s="5">
        <v>0.77</v>
      </c>
      <c r="F361" s="5">
        <v>6.3949999999999996</v>
      </c>
      <c r="G361" s="5">
        <v>91</v>
      </c>
      <c r="H361" s="5">
        <v>2.5051999999999999</v>
      </c>
      <c r="I361" s="5">
        <v>24</v>
      </c>
      <c r="J361" s="5">
        <v>666</v>
      </c>
      <c r="K361" s="5">
        <v>20.2</v>
      </c>
      <c r="L361" s="5">
        <v>391.34</v>
      </c>
      <c r="M361" s="5">
        <v>13.27</v>
      </c>
      <c r="N361" s="5">
        <v>21.7</v>
      </c>
    </row>
    <row r="362" spans="1:14" x14ac:dyDescent="0.25">
      <c r="A362" s="5">
        <v>5.2017699999999998</v>
      </c>
      <c r="B362" s="5">
        <v>0</v>
      </c>
      <c r="C362" s="5">
        <v>18.100000000000001</v>
      </c>
      <c r="D362" s="5">
        <v>1</v>
      </c>
      <c r="E362" s="5">
        <v>0.77</v>
      </c>
      <c r="F362" s="5">
        <v>6.1269999999999998</v>
      </c>
      <c r="G362" s="5">
        <v>83.4</v>
      </c>
      <c r="H362" s="5">
        <v>2.7227000000000001</v>
      </c>
      <c r="I362" s="5">
        <v>24</v>
      </c>
      <c r="J362" s="5">
        <v>666</v>
      </c>
      <c r="K362" s="5">
        <v>20.2</v>
      </c>
      <c r="L362" s="5">
        <v>395.43</v>
      </c>
      <c r="M362" s="5">
        <v>11.48</v>
      </c>
      <c r="N362" s="5">
        <v>22.7</v>
      </c>
    </row>
    <row r="363" spans="1:14" x14ac:dyDescent="0.25">
      <c r="A363" s="5">
        <v>4.2613099999999999</v>
      </c>
      <c r="B363" s="5">
        <v>0</v>
      </c>
      <c r="C363" s="5">
        <v>18.100000000000001</v>
      </c>
      <c r="D363" s="5">
        <v>0</v>
      </c>
      <c r="E363" s="5">
        <v>0.77</v>
      </c>
      <c r="F363" s="5">
        <v>6.1120000000000001</v>
      </c>
      <c r="G363" s="5">
        <v>81.3</v>
      </c>
      <c r="H363" s="5">
        <v>2.5091000000000001</v>
      </c>
      <c r="I363" s="5">
        <v>24</v>
      </c>
      <c r="J363" s="5">
        <v>666</v>
      </c>
      <c r="K363" s="5">
        <v>20.2</v>
      </c>
      <c r="L363" s="5">
        <v>390.74</v>
      </c>
      <c r="M363" s="5">
        <v>12.67</v>
      </c>
      <c r="N363" s="5">
        <v>22.6</v>
      </c>
    </row>
    <row r="364" spans="1:14" x14ac:dyDescent="0.25">
      <c r="A364" s="5">
        <v>4.5419200000000002</v>
      </c>
      <c r="B364" s="5">
        <v>0</v>
      </c>
      <c r="C364" s="5">
        <v>18.100000000000001</v>
      </c>
      <c r="D364" s="5">
        <v>0</v>
      </c>
      <c r="E364" s="5">
        <v>0.77</v>
      </c>
      <c r="F364" s="5">
        <v>6.3979999999999997</v>
      </c>
      <c r="G364" s="5">
        <v>88</v>
      </c>
      <c r="H364" s="5">
        <v>2.5182000000000002</v>
      </c>
      <c r="I364" s="5">
        <v>24</v>
      </c>
      <c r="J364" s="5">
        <v>666</v>
      </c>
      <c r="K364" s="5">
        <v>20.2</v>
      </c>
      <c r="L364" s="5">
        <v>374.56</v>
      </c>
      <c r="M364" s="5">
        <v>7.79</v>
      </c>
      <c r="N364" s="5">
        <v>25</v>
      </c>
    </row>
    <row r="365" spans="1:14" x14ac:dyDescent="0.25">
      <c r="A365" s="5">
        <v>3.83684</v>
      </c>
      <c r="B365" s="5">
        <v>0</v>
      </c>
      <c r="C365" s="5">
        <v>18.100000000000001</v>
      </c>
      <c r="D365" s="5">
        <v>0</v>
      </c>
      <c r="E365" s="5">
        <v>0.77</v>
      </c>
      <c r="F365" s="5">
        <v>6.2510000000000003</v>
      </c>
      <c r="G365" s="5">
        <v>91.1</v>
      </c>
      <c r="H365" s="5">
        <v>2.2955000000000001</v>
      </c>
      <c r="I365" s="5">
        <v>24</v>
      </c>
      <c r="J365" s="5">
        <v>666</v>
      </c>
      <c r="K365" s="5">
        <v>20.2</v>
      </c>
      <c r="L365" s="5">
        <v>350.65</v>
      </c>
      <c r="M365" s="5">
        <v>14.19</v>
      </c>
      <c r="N365" s="5">
        <v>19.899999999999999</v>
      </c>
    </row>
    <row r="366" spans="1:14" x14ac:dyDescent="0.25">
      <c r="A366" s="5">
        <v>3.67822</v>
      </c>
      <c r="B366" s="5">
        <v>0</v>
      </c>
      <c r="C366" s="5">
        <v>18.100000000000001</v>
      </c>
      <c r="D366" s="5">
        <v>0</v>
      </c>
      <c r="E366" s="5">
        <v>0.77</v>
      </c>
      <c r="F366" s="5">
        <v>5.3620000000000001</v>
      </c>
      <c r="G366" s="5">
        <v>96.2</v>
      </c>
      <c r="H366" s="5">
        <v>2.1036000000000001</v>
      </c>
      <c r="I366" s="5">
        <v>24</v>
      </c>
      <c r="J366" s="5">
        <v>666</v>
      </c>
      <c r="K366" s="5">
        <v>20.2</v>
      </c>
      <c r="L366" s="5">
        <v>380.79</v>
      </c>
      <c r="M366" s="5">
        <v>10.19</v>
      </c>
      <c r="N366" s="5">
        <v>20.8</v>
      </c>
    </row>
    <row r="367" spans="1:14" x14ac:dyDescent="0.25">
      <c r="A367" s="5">
        <v>4.2223899999999999</v>
      </c>
      <c r="B367" s="5">
        <v>0</v>
      </c>
      <c r="C367" s="5">
        <v>18.100000000000001</v>
      </c>
      <c r="D367" s="5">
        <v>1</v>
      </c>
      <c r="E367" s="5">
        <v>0.77</v>
      </c>
      <c r="F367" s="5">
        <v>5.8029999999999999</v>
      </c>
      <c r="G367" s="5">
        <v>89</v>
      </c>
      <c r="H367" s="5">
        <v>1.9047000000000001</v>
      </c>
      <c r="I367" s="5">
        <v>24</v>
      </c>
      <c r="J367" s="5">
        <v>666</v>
      </c>
      <c r="K367" s="5">
        <v>20.2</v>
      </c>
      <c r="L367" s="5">
        <v>353.04</v>
      </c>
      <c r="M367" s="5">
        <v>14.64</v>
      </c>
      <c r="N367" s="5">
        <v>16.8</v>
      </c>
    </row>
    <row r="368" spans="1:14" x14ac:dyDescent="0.25">
      <c r="A368" s="5">
        <v>3.4742799999999998</v>
      </c>
      <c r="B368" s="5">
        <v>0</v>
      </c>
      <c r="C368" s="5">
        <v>18.100000000000001</v>
      </c>
      <c r="D368" s="5">
        <v>1</v>
      </c>
      <c r="E368" s="5">
        <v>0.71799999999999997</v>
      </c>
      <c r="F368" s="5">
        <v>8.7799999999999994</v>
      </c>
      <c r="G368" s="5">
        <v>82.9</v>
      </c>
      <c r="H368" s="5">
        <v>1.9047000000000001</v>
      </c>
      <c r="I368" s="5">
        <v>24</v>
      </c>
      <c r="J368" s="5">
        <v>666</v>
      </c>
      <c r="K368" s="5">
        <v>20.2</v>
      </c>
      <c r="L368" s="5">
        <v>354.55</v>
      </c>
      <c r="M368" s="5">
        <v>5.29</v>
      </c>
      <c r="N368" s="5">
        <v>21.9</v>
      </c>
    </row>
    <row r="369" spans="1:14" x14ac:dyDescent="0.25">
      <c r="A369" s="5">
        <v>4.5558699999999996</v>
      </c>
      <c r="B369" s="5">
        <v>0</v>
      </c>
      <c r="C369" s="5">
        <v>18.100000000000001</v>
      </c>
      <c r="D369" s="5">
        <v>0</v>
      </c>
      <c r="E369" s="5">
        <v>0.71799999999999997</v>
      </c>
      <c r="F369" s="5">
        <v>3.5609999999999999</v>
      </c>
      <c r="G369" s="5">
        <v>87.9</v>
      </c>
      <c r="H369" s="5">
        <v>1.6132</v>
      </c>
      <c r="I369" s="5">
        <v>24</v>
      </c>
      <c r="J369" s="5">
        <v>666</v>
      </c>
      <c r="K369" s="5">
        <v>20.2</v>
      </c>
      <c r="L369" s="5">
        <v>354.7</v>
      </c>
      <c r="M369" s="5">
        <v>7.12</v>
      </c>
      <c r="N369" s="5">
        <v>27.5</v>
      </c>
    </row>
    <row r="370" spans="1:14" x14ac:dyDescent="0.25">
      <c r="A370" s="5">
        <v>3.6969500000000002</v>
      </c>
      <c r="B370" s="5">
        <v>0</v>
      </c>
      <c r="C370" s="5">
        <v>18.100000000000001</v>
      </c>
      <c r="D370" s="5">
        <v>0</v>
      </c>
      <c r="E370" s="5">
        <v>0.71799999999999997</v>
      </c>
      <c r="F370" s="5">
        <v>4.9630000000000001</v>
      </c>
      <c r="G370" s="5">
        <v>91.4</v>
      </c>
      <c r="H370" s="5">
        <v>1.7523</v>
      </c>
      <c r="I370" s="5">
        <v>24</v>
      </c>
      <c r="J370" s="5">
        <v>666</v>
      </c>
      <c r="K370" s="5">
        <v>20.2</v>
      </c>
      <c r="L370" s="5">
        <v>316.02999999999997</v>
      </c>
      <c r="M370" s="5">
        <v>14</v>
      </c>
      <c r="N370" s="5">
        <v>21.9</v>
      </c>
    </row>
    <row r="371" spans="1:14" x14ac:dyDescent="0.25">
      <c r="A371" s="5">
        <v>0</v>
      </c>
      <c r="B371" s="5">
        <v>18.100000000000001</v>
      </c>
      <c r="C371" s="5">
        <v>0</v>
      </c>
      <c r="D371" s="5">
        <v>0.63100000000000001</v>
      </c>
      <c r="E371" s="5">
        <v>3.863</v>
      </c>
      <c r="F371" s="5">
        <v>100</v>
      </c>
      <c r="G371" s="5">
        <v>1.5105999999999999</v>
      </c>
      <c r="H371" s="5">
        <v>24</v>
      </c>
      <c r="I371" s="5">
        <v>666</v>
      </c>
      <c r="J371" s="5">
        <v>20.2</v>
      </c>
      <c r="K371" s="5">
        <v>131.41999999999999</v>
      </c>
      <c r="L371" s="5">
        <v>13.33</v>
      </c>
      <c r="M371" s="5">
        <v>23.1</v>
      </c>
      <c r="N371" s="5"/>
    </row>
    <row r="372" spans="1:14" x14ac:dyDescent="0.25">
      <c r="A372" s="5">
        <v>4.8982200000000002</v>
      </c>
      <c r="B372" s="5">
        <v>0</v>
      </c>
      <c r="C372" s="5">
        <v>18.100000000000001</v>
      </c>
      <c r="D372" s="5">
        <v>0</v>
      </c>
      <c r="E372" s="5">
        <v>0.63100000000000001</v>
      </c>
      <c r="F372" s="5">
        <v>4.97</v>
      </c>
      <c r="G372" s="5">
        <v>100</v>
      </c>
      <c r="H372" s="5">
        <v>1.3325</v>
      </c>
      <c r="I372" s="5">
        <v>24</v>
      </c>
      <c r="J372" s="5">
        <v>666</v>
      </c>
      <c r="K372" s="5">
        <v>20.2</v>
      </c>
      <c r="L372" s="5">
        <v>375.52</v>
      </c>
      <c r="M372" s="5">
        <v>3.26</v>
      </c>
      <c r="N372" s="5">
        <v>50</v>
      </c>
    </row>
    <row r="373" spans="1:14" x14ac:dyDescent="0.25">
      <c r="A373" s="5">
        <v>5.6699799999999998</v>
      </c>
      <c r="B373" s="5">
        <v>0</v>
      </c>
      <c r="C373" s="5">
        <v>18.100000000000001</v>
      </c>
      <c r="D373" s="5">
        <v>1</v>
      </c>
      <c r="E373" s="5">
        <v>0.63100000000000001</v>
      </c>
      <c r="F373" s="5">
        <v>6.6829999999999998</v>
      </c>
      <c r="G373" s="5">
        <v>96.8</v>
      </c>
      <c r="H373" s="5">
        <v>1.3567</v>
      </c>
      <c r="I373" s="5">
        <v>24</v>
      </c>
      <c r="J373" s="5">
        <v>666</v>
      </c>
      <c r="K373" s="5">
        <v>20.2</v>
      </c>
      <c r="L373" s="5">
        <v>375.33</v>
      </c>
      <c r="M373" s="5">
        <v>3.73</v>
      </c>
      <c r="N373" s="5">
        <v>50</v>
      </c>
    </row>
    <row r="374" spans="1:14" x14ac:dyDescent="0.25">
      <c r="A374" s="5">
        <v>6.5387599999999999</v>
      </c>
      <c r="B374" s="5">
        <v>0</v>
      </c>
      <c r="C374" s="5">
        <v>18.100000000000001</v>
      </c>
      <c r="D374" s="5">
        <v>1</v>
      </c>
      <c r="E374" s="5">
        <v>0.63100000000000001</v>
      </c>
      <c r="F374" s="5">
        <v>7.016</v>
      </c>
      <c r="G374" s="5">
        <v>97.5</v>
      </c>
      <c r="H374" s="5">
        <v>1.2023999999999999</v>
      </c>
      <c r="I374" s="5">
        <v>24</v>
      </c>
      <c r="J374" s="5">
        <v>666</v>
      </c>
      <c r="K374" s="5">
        <v>20.2</v>
      </c>
      <c r="L374" s="5">
        <v>392.05</v>
      </c>
      <c r="M374" s="5">
        <v>2.96</v>
      </c>
      <c r="N374" s="5">
        <v>50</v>
      </c>
    </row>
    <row r="375" spans="1:14" x14ac:dyDescent="0.25">
      <c r="A375" s="5">
        <v>9.2323000000000004</v>
      </c>
      <c r="B375" s="5">
        <v>0</v>
      </c>
      <c r="C375" s="5">
        <v>18.100000000000001</v>
      </c>
      <c r="D375" s="5">
        <v>0</v>
      </c>
      <c r="E375" s="5">
        <v>0.63100000000000001</v>
      </c>
      <c r="F375" s="5">
        <v>6.2160000000000002</v>
      </c>
      <c r="G375" s="5">
        <v>100</v>
      </c>
      <c r="H375" s="5">
        <v>1.1691</v>
      </c>
      <c r="I375" s="5">
        <v>24</v>
      </c>
      <c r="J375" s="5">
        <v>666</v>
      </c>
      <c r="K375" s="5">
        <v>20.2</v>
      </c>
      <c r="L375" s="5">
        <v>366.15</v>
      </c>
      <c r="M375" s="5">
        <v>9.5299999999999994</v>
      </c>
      <c r="N375" s="5">
        <v>50</v>
      </c>
    </row>
    <row r="376" spans="1:14" x14ac:dyDescent="0.25">
      <c r="A376" s="5">
        <v>8.2672500000000007</v>
      </c>
      <c r="B376" s="5">
        <v>0</v>
      </c>
      <c r="C376" s="5">
        <v>18.100000000000001</v>
      </c>
      <c r="D376" s="5">
        <v>1</v>
      </c>
      <c r="E376" s="5">
        <v>0.66800000000000004</v>
      </c>
      <c r="F376" s="5">
        <v>5.875</v>
      </c>
      <c r="G376" s="5">
        <v>89.6</v>
      </c>
      <c r="H376" s="5">
        <v>1.1295999999999999</v>
      </c>
      <c r="I376" s="5">
        <v>24</v>
      </c>
      <c r="J376" s="5">
        <v>666</v>
      </c>
      <c r="K376" s="5">
        <v>20.2</v>
      </c>
      <c r="L376" s="5">
        <v>347.88</v>
      </c>
      <c r="M376" s="5">
        <v>8.8800000000000008</v>
      </c>
      <c r="N376" s="5">
        <v>50</v>
      </c>
    </row>
    <row r="377" spans="1:14" x14ac:dyDescent="0.25">
      <c r="A377" s="5">
        <v>0</v>
      </c>
      <c r="B377" s="5">
        <v>18.100000000000001</v>
      </c>
      <c r="C377" s="5">
        <v>0</v>
      </c>
      <c r="D377" s="5">
        <v>0.66800000000000004</v>
      </c>
      <c r="E377" s="5">
        <v>4.9059999999999997</v>
      </c>
      <c r="F377" s="5">
        <v>100</v>
      </c>
      <c r="G377" s="5">
        <v>1.1741999999999999</v>
      </c>
      <c r="H377" s="5">
        <v>24</v>
      </c>
      <c r="I377" s="5">
        <v>666</v>
      </c>
      <c r="J377" s="5">
        <v>20.2</v>
      </c>
      <c r="K377" s="5">
        <v>396.9</v>
      </c>
      <c r="L377" s="5">
        <v>34.770000000000003</v>
      </c>
      <c r="M377" s="5">
        <v>13.8</v>
      </c>
      <c r="N377" s="5"/>
    </row>
    <row r="378" spans="1:14" x14ac:dyDescent="0.25">
      <c r="A378" s="5">
        <v>0</v>
      </c>
      <c r="B378" s="5">
        <v>18.100000000000001</v>
      </c>
      <c r="C378" s="5">
        <v>0</v>
      </c>
      <c r="D378" s="5">
        <v>0.66800000000000004</v>
      </c>
      <c r="E378" s="5">
        <v>4.1379999999999999</v>
      </c>
      <c r="F378" s="5">
        <v>100</v>
      </c>
      <c r="G378" s="5">
        <v>1.137</v>
      </c>
      <c r="H378" s="5">
        <v>24</v>
      </c>
      <c r="I378" s="5">
        <v>666</v>
      </c>
      <c r="J378" s="5">
        <v>20.2</v>
      </c>
      <c r="K378" s="5">
        <v>396.9</v>
      </c>
      <c r="L378" s="5">
        <v>37.97</v>
      </c>
      <c r="M378" s="5">
        <v>13.8</v>
      </c>
      <c r="N378" s="5"/>
    </row>
    <row r="379" spans="1:14" x14ac:dyDescent="0.25">
      <c r="A379" s="5">
        <v>0</v>
      </c>
      <c r="B379" s="5">
        <v>18.100000000000001</v>
      </c>
      <c r="C379" s="5">
        <v>0</v>
      </c>
      <c r="D379" s="5">
        <v>0.67100000000000004</v>
      </c>
      <c r="E379" s="5">
        <v>7.3129999999999997</v>
      </c>
      <c r="F379" s="5">
        <v>97.9</v>
      </c>
      <c r="G379" s="5">
        <v>1.3163</v>
      </c>
      <c r="H379" s="5">
        <v>24</v>
      </c>
      <c r="I379" s="5">
        <v>666</v>
      </c>
      <c r="J379" s="5">
        <v>20.2</v>
      </c>
      <c r="K379" s="5">
        <v>396.9</v>
      </c>
      <c r="L379" s="5">
        <v>13.44</v>
      </c>
      <c r="M379" s="5">
        <v>15</v>
      </c>
      <c r="N379" s="5"/>
    </row>
    <row r="380" spans="1:14" x14ac:dyDescent="0.25">
      <c r="A380" s="5">
        <v>0</v>
      </c>
      <c r="B380" s="5">
        <v>18.100000000000001</v>
      </c>
      <c r="C380" s="5">
        <v>0</v>
      </c>
      <c r="D380" s="5">
        <v>0.67100000000000004</v>
      </c>
      <c r="E380" s="5">
        <v>6.649</v>
      </c>
      <c r="F380" s="5">
        <v>93.3</v>
      </c>
      <c r="G380" s="5">
        <v>1.3449</v>
      </c>
      <c r="H380" s="5">
        <v>24</v>
      </c>
      <c r="I380" s="5">
        <v>666</v>
      </c>
      <c r="J380" s="5">
        <v>20.2</v>
      </c>
      <c r="K380" s="5">
        <v>363.02</v>
      </c>
      <c r="L380" s="5">
        <v>23.24</v>
      </c>
      <c r="M380" s="5">
        <v>13.9</v>
      </c>
      <c r="N380" s="5"/>
    </row>
    <row r="381" spans="1:14" x14ac:dyDescent="0.25">
      <c r="A381" s="5">
        <v>9.8234899999999996</v>
      </c>
      <c r="B381" s="5">
        <v>0</v>
      </c>
      <c r="C381" s="5">
        <v>18.100000000000001</v>
      </c>
      <c r="D381" s="5">
        <v>0</v>
      </c>
      <c r="E381" s="5">
        <v>0.67100000000000004</v>
      </c>
      <c r="F381" s="5">
        <v>6.7939999999999996</v>
      </c>
      <c r="G381" s="5">
        <v>98.8</v>
      </c>
      <c r="H381" s="5">
        <v>1.3580000000000001</v>
      </c>
      <c r="I381" s="5">
        <v>24</v>
      </c>
      <c r="J381" s="5">
        <v>666</v>
      </c>
      <c r="K381" s="5">
        <v>20.2</v>
      </c>
      <c r="L381" s="5">
        <v>396.9</v>
      </c>
      <c r="M381" s="5">
        <v>21.24</v>
      </c>
      <c r="N381" s="5">
        <v>13.3</v>
      </c>
    </row>
    <row r="382" spans="1:14" x14ac:dyDescent="0.25">
      <c r="A382" s="5">
        <v>0</v>
      </c>
      <c r="B382" s="5">
        <v>18.100000000000001</v>
      </c>
      <c r="C382" s="5">
        <v>0</v>
      </c>
      <c r="D382" s="5">
        <v>0.67100000000000004</v>
      </c>
      <c r="E382" s="5">
        <v>6.38</v>
      </c>
      <c r="F382" s="5">
        <v>96.2</v>
      </c>
      <c r="G382" s="5">
        <v>1.3861000000000001</v>
      </c>
      <c r="H382" s="5">
        <v>24</v>
      </c>
      <c r="I382" s="5">
        <v>666</v>
      </c>
      <c r="J382" s="5">
        <v>20.2</v>
      </c>
      <c r="K382" s="5">
        <v>396.9</v>
      </c>
      <c r="L382" s="5">
        <v>23.69</v>
      </c>
      <c r="M382" s="5">
        <v>13.1</v>
      </c>
      <c r="N382" s="5"/>
    </row>
    <row r="383" spans="1:14" x14ac:dyDescent="0.25">
      <c r="A383" s="5">
        <v>0</v>
      </c>
      <c r="B383" s="5">
        <v>18.100000000000001</v>
      </c>
      <c r="C383" s="5">
        <v>0</v>
      </c>
      <c r="D383" s="5">
        <v>0.67100000000000004</v>
      </c>
      <c r="E383" s="5">
        <v>6.2229999999999999</v>
      </c>
      <c r="F383" s="5">
        <v>100</v>
      </c>
      <c r="G383" s="5">
        <v>1.3861000000000001</v>
      </c>
      <c r="H383" s="5">
        <v>24</v>
      </c>
      <c r="I383" s="5">
        <v>666</v>
      </c>
      <c r="J383" s="5">
        <v>20.2</v>
      </c>
      <c r="K383" s="5">
        <v>393.74</v>
      </c>
      <c r="L383" s="5">
        <v>21.78</v>
      </c>
      <c r="M383" s="5">
        <v>10.199999999999999</v>
      </c>
      <c r="N383" s="5"/>
    </row>
    <row r="384" spans="1:14" x14ac:dyDescent="0.25">
      <c r="A384" s="5">
        <v>0</v>
      </c>
      <c r="B384" s="5">
        <v>18.100000000000001</v>
      </c>
      <c r="C384" s="5">
        <v>0</v>
      </c>
      <c r="D384" s="5">
        <v>0.67100000000000004</v>
      </c>
      <c r="E384" s="5">
        <v>6.968</v>
      </c>
      <c r="F384" s="5">
        <v>91.9</v>
      </c>
      <c r="G384" s="5">
        <v>1.4165000000000001</v>
      </c>
      <c r="H384" s="5">
        <v>24</v>
      </c>
      <c r="I384" s="5">
        <v>666</v>
      </c>
      <c r="J384" s="5">
        <v>20.2</v>
      </c>
      <c r="K384" s="5">
        <v>396.9</v>
      </c>
      <c r="L384" s="5">
        <v>17.21</v>
      </c>
      <c r="M384" s="5">
        <v>10.4</v>
      </c>
      <c r="N384" s="5"/>
    </row>
    <row r="385" spans="1:14" x14ac:dyDescent="0.25">
      <c r="A385" s="5">
        <v>0</v>
      </c>
      <c r="B385" s="5">
        <v>18.100000000000001</v>
      </c>
      <c r="C385" s="5">
        <v>0</v>
      </c>
      <c r="D385" s="5">
        <v>0.67100000000000004</v>
      </c>
      <c r="E385" s="5">
        <v>6.5449999999999999</v>
      </c>
      <c r="F385" s="5">
        <v>99.1</v>
      </c>
      <c r="G385" s="5">
        <v>1.5192000000000001</v>
      </c>
      <c r="H385" s="5">
        <v>24</v>
      </c>
      <c r="I385" s="5">
        <v>666</v>
      </c>
      <c r="J385" s="5">
        <v>20.2</v>
      </c>
      <c r="K385" s="5">
        <v>396.9</v>
      </c>
      <c r="L385" s="5">
        <v>21.08</v>
      </c>
      <c r="M385" s="5">
        <v>10.9</v>
      </c>
      <c r="N385" s="5"/>
    </row>
    <row r="386" spans="1:14" x14ac:dyDescent="0.25">
      <c r="A386" s="5">
        <v>9.1870200000000004</v>
      </c>
      <c r="B386" s="5">
        <v>0</v>
      </c>
      <c r="C386" s="5">
        <v>18.100000000000001</v>
      </c>
      <c r="D386" s="5">
        <v>0</v>
      </c>
      <c r="E386" s="5">
        <v>0.7</v>
      </c>
      <c r="F386" s="5">
        <v>5.5359999999999996</v>
      </c>
      <c r="G386" s="5">
        <v>100</v>
      </c>
      <c r="H386" s="5">
        <v>1.5804</v>
      </c>
      <c r="I386" s="5">
        <v>24</v>
      </c>
      <c r="J386" s="5">
        <v>666</v>
      </c>
      <c r="K386" s="5">
        <v>20.2</v>
      </c>
      <c r="L386" s="5">
        <v>396.9</v>
      </c>
      <c r="M386" s="5">
        <v>23.6</v>
      </c>
      <c r="N386" s="5">
        <v>11.3</v>
      </c>
    </row>
    <row r="387" spans="1:14" x14ac:dyDescent="0.25">
      <c r="A387" s="5">
        <v>7.9924799999999996</v>
      </c>
      <c r="B387" s="5">
        <v>0</v>
      </c>
      <c r="C387" s="5">
        <v>18.100000000000001</v>
      </c>
      <c r="D387" s="5">
        <v>0</v>
      </c>
      <c r="E387" s="5">
        <v>0.7</v>
      </c>
      <c r="F387" s="5">
        <v>5.52</v>
      </c>
      <c r="G387" s="5">
        <v>100</v>
      </c>
      <c r="H387" s="5">
        <v>1.5330999999999999</v>
      </c>
      <c r="I387" s="5">
        <v>24</v>
      </c>
      <c r="J387" s="5">
        <v>666</v>
      </c>
      <c r="K387" s="5">
        <v>20.2</v>
      </c>
      <c r="L387" s="5">
        <v>396.9</v>
      </c>
      <c r="M387" s="5">
        <v>24.56</v>
      </c>
      <c r="N387" s="5">
        <v>12.3</v>
      </c>
    </row>
    <row r="388" spans="1:14" x14ac:dyDescent="0.25">
      <c r="A388" s="5">
        <v>0</v>
      </c>
      <c r="B388" s="5">
        <v>18.100000000000001</v>
      </c>
      <c r="C388" s="5">
        <v>0</v>
      </c>
      <c r="D388" s="5">
        <v>0.7</v>
      </c>
      <c r="E388" s="5">
        <v>4.3680000000000003</v>
      </c>
      <c r="F388" s="5">
        <v>91.2</v>
      </c>
      <c r="G388" s="5">
        <v>1.4395</v>
      </c>
      <c r="H388" s="5">
        <v>24</v>
      </c>
      <c r="I388" s="5">
        <v>666</v>
      </c>
      <c r="J388" s="5">
        <v>20.2</v>
      </c>
      <c r="K388" s="5">
        <v>285.83</v>
      </c>
      <c r="L388" s="5">
        <v>30.63</v>
      </c>
      <c r="M388" s="5">
        <v>8.8000000000000007</v>
      </c>
      <c r="N388" s="5"/>
    </row>
    <row r="389" spans="1:14" x14ac:dyDescent="0.25">
      <c r="A389" s="5">
        <v>0</v>
      </c>
      <c r="B389" s="5">
        <v>18.100000000000001</v>
      </c>
      <c r="C389" s="5">
        <v>0</v>
      </c>
      <c r="D389" s="5">
        <v>0.7</v>
      </c>
      <c r="E389" s="5">
        <v>5.2770000000000001</v>
      </c>
      <c r="F389" s="5">
        <v>98.1</v>
      </c>
      <c r="G389" s="5">
        <v>1.4260999999999999</v>
      </c>
      <c r="H389" s="5">
        <v>24</v>
      </c>
      <c r="I389" s="5">
        <v>666</v>
      </c>
      <c r="J389" s="5">
        <v>20.2</v>
      </c>
      <c r="K389" s="5">
        <v>396.9</v>
      </c>
      <c r="L389" s="5">
        <v>30.81</v>
      </c>
      <c r="M389" s="5">
        <v>7.2</v>
      </c>
      <c r="N389" s="5"/>
    </row>
    <row r="390" spans="1:14" x14ac:dyDescent="0.25">
      <c r="A390" s="5">
        <v>0</v>
      </c>
      <c r="B390" s="5">
        <v>18.100000000000001</v>
      </c>
      <c r="C390" s="5">
        <v>0</v>
      </c>
      <c r="D390" s="5">
        <v>0.7</v>
      </c>
      <c r="E390" s="5">
        <v>4.6520000000000001</v>
      </c>
      <c r="F390" s="5">
        <v>100</v>
      </c>
      <c r="G390" s="5">
        <v>1.4672000000000001</v>
      </c>
      <c r="H390" s="5">
        <v>24</v>
      </c>
      <c r="I390" s="5">
        <v>666</v>
      </c>
      <c r="J390" s="5">
        <v>20.2</v>
      </c>
      <c r="K390" s="5">
        <v>396.9</v>
      </c>
      <c r="L390" s="5">
        <v>28.28</v>
      </c>
      <c r="M390" s="5">
        <v>10.5</v>
      </c>
      <c r="N390" s="5"/>
    </row>
    <row r="391" spans="1:14" x14ac:dyDescent="0.25">
      <c r="A391" s="5">
        <v>0</v>
      </c>
      <c r="B391" s="5">
        <v>18.100000000000001</v>
      </c>
      <c r="C391" s="5">
        <v>0</v>
      </c>
      <c r="D391" s="5">
        <v>0.7</v>
      </c>
      <c r="E391" s="5">
        <v>5</v>
      </c>
      <c r="F391" s="5">
        <v>89.5</v>
      </c>
      <c r="G391" s="5">
        <v>1.5184</v>
      </c>
      <c r="H391" s="5">
        <v>24</v>
      </c>
      <c r="I391" s="5">
        <v>666</v>
      </c>
      <c r="J391" s="5">
        <v>20.2</v>
      </c>
      <c r="K391" s="5">
        <v>396.9</v>
      </c>
      <c r="L391" s="5">
        <v>31.99</v>
      </c>
      <c r="M391" s="5">
        <v>7.4</v>
      </c>
      <c r="N391" s="5"/>
    </row>
    <row r="392" spans="1:14" x14ac:dyDescent="0.25">
      <c r="A392" s="5">
        <v>0</v>
      </c>
      <c r="B392" s="5">
        <v>18.100000000000001</v>
      </c>
      <c r="C392" s="5">
        <v>0</v>
      </c>
      <c r="D392" s="5">
        <v>0.7</v>
      </c>
      <c r="E392" s="5">
        <v>4.88</v>
      </c>
      <c r="F392" s="5">
        <v>100</v>
      </c>
      <c r="G392" s="5">
        <v>1.5894999999999999</v>
      </c>
      <c r="H392" s="5">
        <v>24</v>
      </c>
      <c r="I392" s="5">
        <v>666</v>
      </c>
      <c r="J392" s="5">
        <v>20.2</v>
      </c>
      <c r="K392" s="5">
        <v>372.92</v>
      </c>
      <c r="L392" s="5">
        <v>30.62</v>
      </c>
      <c r="M392" s="5">
        <v>10.199999999999999</v>
      </c>
      <c r="N392" s="5"/>
    </row>
    <row r="393" spans="1:14" x14ac:dyDescent="0.25">
      <c r="A393" s="5">
        <v>8.1517400000000002</v>
      </c>
      <c r="B393" s="5">
        <v>0</v>
      </c>
      <c r="C393" s="5">
        <v>18.100000000000001</v>
      </c>
      <c r="D393" s="5">
        <v>0</v>
      </c>
      <c r="E393" s="5">
        <v>0.7</v>
      </c>
      <c r="F393" s="5">
        <v>5.39</v>
      </c>
      <c r="G393" s="5">
        <v>98.9</v>
      </c>
      <c r="H393" s="5">
        <v>1.7281</v>
      </c>
      <c r="I393" s="5">
        <v>24</v>
      </c>
      <c r="J393" s="5">
        <v>666</v>
      </c>
      <c r="K393" s="5">
        <v>20.2</v>
      </c>
      <c r="L393" s="5">
        <v>396.9</v>
      </c>
      <c r="M393" s="5">
        <v>20.85</v>
      </c>
      <c r="N393" s="5">
        <v>11.5</v>
      </c>
    </row>
    <row r="394" spans="1:14" x14ac:dyDescent="0.25">
      <c r="A394" s="5">
        <v>6.9621500000000003</v>
      </c>
      <c r="B394" s="5">
        <v>0</v>
      </c>
      <c r="C394" s="5">
        <v>18.100000000000001</v>
      </c>
      <c r="D394" s="5">
        <v>0</v>
      </c>
      <c r="E394" s="5">
        <v>0.7</v>
      </c>
      <c r="F394" s="5">
        <v>5.7130000000000001</v>
      </c>
      <c r="G394" s="5">
        <v>97</v>
      </c>
      <c r="H394" s="5">
        <v>1.9265000000000001</v>
      </c>
      <c r="I394" s="5">
        <v>24</v>
      </c>
      <c r="J394" s="5">
        <v>666</v>
      </c>
      <c r="K394" s="5">
        <v>20.2</v>
      </c>
      <c r="L394" s="5">
        <v>394.43</v>
      </c>
      <c r="M394" s="5">
        <v>17.11</v>
      </c>
      <c r="N394" s="5">
        <v>15.1</v>
      </c>
    </row>
    <row r="395" spans="1:14" x14ac:dyDescent="0.25">
      <c r="A395" s="5">
        <v>5.29305</v>
      </c>
      <c r="B395" s="5">
        <v>0</v>
      </c>
      <c r="C395" s="5">
        <v>18.100000000000001</v>
      </c>
      <c r="D395" s="5">
        <v>0</v>
      </c>
      <c r="E395" s="5">
        <v>0.7</v>
      </c>
      <c r="F395" s="5">
        <v>6.0510000000000002</v>
      </c>
      <c r="G395" s="5">
        <v>82.5</v>
      </c>
      <c r="H395" s="5">
        <v>2.1678000000000002</v>
      </c>
      <c r="I395" s="5">
        <v>24</v>
      </c>
      <c r="J395" s="5">
        <v>666</v>
      </c>
      <c r="K395" s="5">
        <v>20.2</v>
      </c>
      <c r="L395" s="5">
        <v>378.38</v>
      </c>
      <c r="M395" s="5">
        <v>18.760000000000002</v>
      </c>
      <c r="N395" s="5">
        <v>23.2</v>
      </c>
    </row>
    <row r="396" spans="1:14" x14ac:dyDescent="0.25">
      <c r="A396" s="5">
        <v>0</v>
      </c>
      <c r="B396" s="5">
        <v>18.100000000000001</v>
      </c>
      <c r="C396" s="5">
        <v>0</v>
      </c>
      <c r="D396" s="5">
        <v>0.7</v>
      </c>
      <c r="E396" s="5">
        <v>5.0359999999999996</v>
      </c>
      <c r="F396" s="5">
        <v>97</v>
      </c>
      <c r="G396" s="5">
        <v>1.77</v>
      </c>
      <c r="H396" s="5">
        <v>24</v>
      </c>
      <c r="I396" s="5">
        <v>666</v>
      </c>
      <c r="J396" s="5">
        <v>20.2</v>
      </c>
      <c r="K396" s="5">
        <v>396.9</v>
      </c>
      <c r="L396" s="5">
        <v>25.68</v>
      </c>
      <c r="M396" s="5">
        <v>9.6999999999999993</v>
      </c>
      <c r="N396" s="5"/>
    </row>
    <row r="397" spans="1:14" x14ac:dyDescent="0.25">
      <c r="A397" s="5">
        <v>8.6447599999999998</v>
      </c>
      <c r="B397" s="5">
        <v>0</v>
      </c>
      <c r="C397" s="5">
        <v>18.100000000000001</v>
      </c>
      <c r="D397" s="5">
        <v>0</v>
      </c>
      <c r="E397" s="5">
        <v>0.69299999999999995</v>
      </c>
      <c r="F397" s="5">
        <v>6.1929999999999996</v>
      </c>
      <c r="G397" s="5">
        <v>92.6</v>
      </c>
      <c r="H397" s="5">
        <v>1.7911999999999999</v>
      </c>
      <c r="I397" s="5">
        <v>24</v>
      </c>
      <c r="J397" s="5">
        <v>666</v>
      </c>
      <c r="K397" s="5">
        <v>20.2</v>
      </c>
      <c r="L397" s="5">
        <v>396.9</v>
      </c>
      <c r="M397" s="5">
        <v>15.17</v>
      </c>
      <c r="N397" s="5">
        <v>13.8</v>
      </c>
    </row>
    <row r="398" spans="1:14" x14ac:dyDescent="0.25">
      <c r="A398" s="5">
        <v>0</v>
      </c>
      <c r="B398" s="5">
        <v>18.100000000000001</v>
      </c>
      <c r="C398" s="5">
        <v>0</v>
      </c>
      <c r="D398" s="5">
        <v>0.69299999999999995</v>
      </c>
      <c r="E398" s="5">
        <v>5.8869999999999996</v>
      </c>
      <c r="F398" s="5">
        <v>94.7</v>
      </c>
      <c r="G398" s="5">
        <v>1.7821</v>
      </c>
      <c r="H398" s="5">
        <v>24</v>
      </c>
      <c r="I398" s="5">
        <v>666</v>
      </c>
      <c r="J398" s="5">
        <v>20.2</v>
      </c>
      <c r="K398" s="5">
        <v>396.9</v>
      </c>
      <c r="L398" s="5">
        <v>16.350000000000001</v>
      </c>
      <c r="M398" s="5">
        <v>12.7</v>
      </c>
      <c r="N398" s="5"/>
    </row>
    <row r="399" spans="1:14" x14ac:dyDescent="0.25">
      <c r="A399" s="5">
        <v>8.7167499999999993</v>
      </c>
      <c r="B399" s="5">
        <v>0</v>
      </c>
      <c r="C399" s="5">
        <v>18.100000000000001</v>
      </c>
      <c r="D399" s="5">
        <v>0</v>
      </c>
      <c r="E399" s="5">
        <v>0.69299999999999995</v>
      </c>
      <c r="F399" s="5">
        <v>6.4710000000000001</v>
      </c>
      <c r="G399" s="5">
        <v>98.8</v>
      </c>
      <c r="H399" s="5">
        <v>1.7257</v>
      </c>
      <c r="I399" s="5">
        <v>24</v>
      </c>
      <c r="J399" s="5">
        <v>666</v>
      </c>
      <c r="K399" s="5">
        <v>20.2</v>
      </c>
      <c r="L399" s="5">
        <v>391.98</v>
      </c>
      <c r="M399" s="5">
        <v>17.12</v>
      </c>
      <c r="N399" s="5">
        <v>13.1</v>
      </c>
    </row>
    <row r="400" spans="1:14" x14ac:dyDescent="0.25">
      <c r="A400" s="5">
        <v>5.8720499999999998</v>
      </c>
      <c r="B400" s="5">
        <v>0</v>
      </c>
      <c r="C400" s="5">
        <v>18.100000000000001</v>
      </c>
      <c r="D400" s="5">
        <v>0</v>
      </c>
      <c r="E400" s="5">
        <v>0.69299999999999995</v>
      </c>
      <c r="F400" s="5">
        <v>6.4050000000000002</v>
      </c>
      <c r="G400" s="5">
        <v>96</v>
      </c>
      <c r="H400" s="5">
        <v>1.6768000000000001</v>
      </c>
      <c r="I400" s="5">
        <v>24</v>
      </c>
      <c r="J400" s="5">
        <v>666</v>
      </c>
      <c r="K400" s="5">
        <v>20.2</v>
      </c>
      <c r="L400" s="5">
        <v>396.9</v>
      </c>
      <c r="M400" s="5">
        <v>19.37</v>
      </c>
      <c r="N400" s="5">
        <v>12.5</v>
      </c>
    </row>
    <row r="401" spans="1:14" x14ac:dyDescent="0.25">
      <c r="A401" s="5">
        <v>7.6720199999999998</v>
      </c>
      <c r="B401" s="5">
        <v>0</v>
      </c>
      <c r="C401" s="5">
        <v>18.100000000000001</v>
      </c>
      <c r="D401" s="5">
        <v>0</v>
      </c>
      <c r="E401" s="5">
        <v>0.69299999999999995</v>
      </c>
      <c r="F401" s="5">
        <v>5.7469999999999999</v>
      </c>
      <c r="G401" s="5">
        <v>98.9</v>
      </c>
      <c r="H401" s="5">
        <v>1.6334</v>
      </c>
      <c r="I401" s="5">
        <v>24</v>
      </c>
      <c r="J401" s="5">
        <v>666</v>
      </c>
      <c r="K401" s="5">
        <v>20.2</v>
      </c>
      <c r="L401" s="5">
        <v>393.1</v>
      </c>
      <c r="M401" s="5">
        <v>19.920000000000002</v>
      </c>
      <c r="N401" s="5">
        <v>8.5</v>
      </c>
    </row>
    <row r="402" spans="1:14" x14ac:dyDescent="0.25">
      <c r="A402" s="5">
        <v>0</v>
      </c>
      <c r="B402" s="5">
        <v>18.100000000000001</v>
      </c>
      <c r="C402" s="5">
        <v>0</v>
      </c>
      <c r="D402" s="5">
        <v>0.69299999999999995</v>
      </c>
      <c r="E402" s="5">
        <v>5.4530000000000003</v>
      </c>
      <c r="F402" s="5">
        <v>100</v>
      </c>
      <c r="G402" s="5">
        <v>1.4896</v>
      </c>
      <c r="H402" s="5">
        <v>24</v>
      </c>
      <c r="I402" s="5">
        <v>666</v>
      </c>
      <c r="J402" s="5">
        <v>20.2</v>
      </c>
      <c r="K402" s="5">
        <v>396.9</v>
      </c>
      <c r="L402" s="5">
        <v>30.59</v>
      </c>
      <c r="M402" s="5">
        <v>5</v>
      </c>
      <c r="N402" s="5"/>
    </row>
    <row r="403" spans="1:14" x14ac:dyDescent="0.25">
      <c r="A403" s="5">
        <v>9.9165500000000009</v>
      </c>
      <c r="B403" s="5">
        <v>0</v>
      </c>
      <c r="C403" s="5">
        <v>18.100000000000001</v>
      </c>
      <c r="D403" s="5">
        <v>0</v>
      </c>
      <c r="E403" s="5">
        <v>0.69299999999999995</v>
      </c>
      <c r="F403" s="5">
        <v>5.8520000000000003</v>
      </c>
      <c r="G403" s="5">
        <v>77.8</v>
      </c>
      <c r="H403" s="5">
        <v>1.5004</v>
      </c>
      <c r="I403" s="5">
        <v>24</v>
      </c>
      <c r="J403" s="5">
        <v>666</v>
      </c>
      <c r="K403" s="5">
        <v>20.2</v>
      </c>
      <c r="L403" s="5">
        <v>338.16</v>
      </c>
      <c r="M403" s="5">
        <v>29.97</v>
      </c>
      <c r="N403" s="5">
        <v>6.3</v>
      </c>
    </row>
    <row r="404" spans="1:14" x14ac:dyDescent="0.25">
      <c r="A404" s="5">
        <v>0</v>
      </c>
      <c r="B404" s="5">
        <v>18.100000000000001</v>
      </c>
      <c r="C404" s="5">
        <v>0</v>
      </c>
      <c r="D404" s="5">
        <v>0.69299999999999995</v>
      </c>
      <c r="E404" s="5">
        <v>5.9870000000000001</v>
      </c>
      <c r="F404" s="5">
        <v>100</v>
      </c>
      <c r="G404" s="5">
        <v>1.5888</v>
      </c>
      <c r="H404" s="5">
        <v>24</v>
      </c>
      <c r="I404" s="5">
        <v>666</v>
      </c>
      <c r="J404" s="5">
        <v>20.2</v>
      </c>
      <c r="K404" s="5">
        <v>396.9</v>
      </c>
      <c r="L404" s="5">
        <v>26.77</v>
      </c>
      <c r="M404" s="5">
        <v>5.6</v>
      </c>
      <c r="N404" s="5"/>
    </row>
    <row r="405" spans="1:14" x14ac:dyDescent="0.25">
      <c r="A405" s="5">
        <v>0</v>
      </c>
      <c r="B405" s="5">
        <v>18.100000000000001</v>
      </c>
      <c r="C405" s="5">
        <v>0</v>
      </c>
      <c r="D405" s="5">
        <v>0.69299999999999995</v>
      </c>
      <c r="E405" s="5">
        <v>6.343</v>
      </c>
      <c r="F405" s="5">
        <v>100</v>
      </c>
      <c r="G405" s="5">
        <v>1.5741000000000001</v>
      </c>
      <c r="H405" s="5">
        <v>24</v>
      </c>
      <c r="I405" s="5">
        <v>666</v>
      </c>
      <c r="J405" s="5">
        <v>20.2</v>
      </c>
      <c r="K405" s="5">
        <v>396.9</v>
      </c>
      <c r="L405" s="5">
        <v>20.32</v>
      </c>
      <c r="M405" s="5">
        <v>7.2</v>
      </c>
      <c r="N405" s="5"/>
    </row>
    <row r="406" spans="1:14" x14ac:dyDescent="0.25">
      <c r="A406" s="5">
        <v>9.5957100000000004</v>
      </c>
      <c r="B406" s="5">
        <v>0</v>
      </c>
      <c r="C406" s="5">
        <v>18.100000000000001</v>
      </c>
      <c r="D406" s="5">
        <v>0</v>
      </c>
      <c r="E406" s="5">
        <v>0.69299999999999995</v>
      </c>
      <c r="F406" s="5">
        <v>6.4039999999999999</v>
      </c>
      <c r="G406" s="5">
        <v>100</v>
      </c>
      <c r="H406" s="5">
        <v>1.639</v>
      </c>
      <c r="I406" s="5">
        <v>24</v>
      </c>
      <c r="J406" s="5">
        <v>666</v>
      </c>
      <c r="K406" s="5">
        <v>20.2</v>
      </c>
      <c r="L406" s="5">
        <v>376.11</v>
      </c>
      <c r="M406" s="5">
        <v>20.309999999999999</v>
      </c>
      <c r="N406" s="5">
        <v>12.1</v>
      </c>
    </row>
    <row r="407" spans="1:14" x14ac:dyDescent="0.25">
      <c r="A407" s="5">
        <v>0</v>
      </c>
      <c r="B407" s="5">
        <v>18.100000000000001</v>
      </c>
      <c r="C407" s="5">
        <v>0</v>
      </c>
      <c r="D407" s="5">
        <v>0.69299999999999995</v>
      </c>
      <c r="E407" s="5">
        <v>5.3490000000000002</v>
      </c>
      <c r="F407" s="5">
        <v>96</v>
      </c>
      <c r="G407" s="5">
        <v>1.7028000000000001</v>
      </c>
      <c r="H407" s="5">
        <v>24</v>
      </c>
      <c r="I407" s="5">
        <v>666</v>
      </c>
      <c r="J407" s="5">
        <v>20.2</v>
      </c>
      <c r="K407" s="5">
        <v>396.9</v>
      </c>
      <c r="L407" s="5">
        <v>19.77</v>
      </c>
      <c r="M407" s="5">
        <v>8.3000000000000007</v>
      </c>
      <c r="N407" s="5"/>
    </row>
    <row r="408" spans="1:14" x14ac:dyDescent="0.25">
      <c r="A408" s="5">
        <v>0</v>
      </c>
      <c r="B408" s="5">
        <v>18.100000000000001</v>
      </c>
      <c r="C408" s="5">
        <v>0</v>
      </c>
      <c r="D408" s="5">
        <v>0.69299999999999995</v>
      </c>
      <c r="E408" s="5">
        <v>5.5309999999999997</v>
      </c>
      <c r="F408" s="5">
        <v>85.4</v>
      </c>
      <c r="G408" s="5">
        <v>1.6073999999999999</v>
      </c>
      <c r="H408" s="5">
        <v>24</v>
      </c>
      <c r="I408" s="5">
        <v>666</v>
      </c>
      <c r="J408" s="5">
        <v>20.2</v>
      </c>
      <c r="K408" s="5">
        <v>329.46</v>
      </c>
      <c r="L408" s="5">
        <v>27.38</v>
      </c>
      <c r="M408" s="5">
        <v>8.5</v>
      </c>
      <c r="N408" s="5"/>
    </row>
    <row r="409" spans="1:14" x14ac:dyDescent="0.25">
      <c r="A409" s="5">
        <v>0</v>
      </c>
      <c r="B409" s="5">
        <v>18.100000000000001</v>
      </c>
      <c r="C409" s="5">
        <v>0</v>
      </c>
      <c r="D409" s="5">
        <v>0.69299999999999995</v>
      </c>
      <c r="E409" s="5">
        <v>5.6829999999999998</v>
      </c>
      <c r="F409" s="5">
        <v>100</v>
      </c>
      <c r="G409" s="5">
        <v>1.4254</v>
      </c>
      <c r="H409" s="5">
        <v>24</v>
      </c>
      <c r="I409" s="5">
        <v>666</v>
      </c>
      <c r="J409" s="5">
        <v>20.2</v>
      </c>
      <c r="K409" s="5">
        <v>384.97</v>
      </c>
      <c r="L409" s="5">
        <v>22.98</v>
      </c>
      <c r="M409" s="5">
        <v>5</v>
      </c>
      <c r="N409" s="5"/>
    </row>
    <row r="410" spans="1:14" x14ac:dyDescent="0.25">
      <c r="A410" s="5">
        <v>0</v>
      </c>
      <c r="B410" s="5">
        <v>18.100000000000001</v>
      </c>
      <c r="C410" s="5">
        <v>0</v>
      </c>
      <c r="D410" s="5">
        <v>0.65900000000000003</v>
      </c>
      <c r="E410" s="5">
        <v>4.1379999999999999</v>
      </c>
      <c r="F410" s="5">
        <v>100</v>
      </c>
      <c r="G410" s="5">
        <v>1.1780999999999999</v>
      </c>
      <c r="H410" s="5">
        <v>24</v>
      </c>
      <c r="I410" s="5">
        <v>666</v>
      </c>
      <c r="J410" s="5">
        <v>20.2</v>
      </c>
      <c r="K410" s="5">
        <v>370.22</v>
      </c>
      <c r="L410" s="5">
        <v>23.34</v>
      </c>
      <c r="M410" s="5">
        <v>11.9</v>
      </c>
      <c r="N410" s="5"/>
    </row>
    <row r="411" spans="1:14" x14ac:dyDescent="0.25">
      <c r="A411" s="5">
        <v>0</v>
      </c>
      <c r="B411" s="5">
        <v>18.100000000000001</v>
      </c>
      <c r="C411" s="5">
        <v>0</v>
      </c>
      <c r="D411" s="5">
        <v>0.65900000000000003</v>
      </c>
      <c r="E411" s="5">
        <v>5.6079999999999997</v>
      </c>
      <c r="F411" s="5">
        <v>100</v>
      </c>
      <c r="G411" s="5">
        <v>1.2851999999999999</v>
      </c>
      <c r="H411" s="5">
        <v>24</v>
      </c>
      <c r="I411" s="5">
        <v>666</v>
      </c>
      <c r="J411" s="5">
        <v>20.2</v>
      </c>
      <c r="K411" s="5">
        <v>332.09</v>
      </c>
      <c r="L411" s="5">
        <v>12.13</v>
      </c>
      <c r="M411" s="5">
        <v>27.9</v>
      </c>
      <c r="N411" s="5"/>
    </row>
    <row r="412" spans="1:14" x14ac:dyDescent="0.25">
      <c r="A412" s="5">
        <v>7.4038899999999996</v>
      </c>
      <c r="B412" s="5">
        <v>0</v>
      </c>
      <c r="C412" s="5">
        <v>18.100000000000001</v>
      </c>
      <c r="D412" s="5">
        <v>0</v>
      </c>
      <c r="E412" s="5">
        <v>0.59699999999999998</v>
      </c>
      <c r="F412" s="5">
        <v>5.617</v>
      </c>
      <c r="G412" s="5">
        <v>97.9</v>
      </c>
      <c r="H412" s="5">
        <v>1.4547000000000001</v>
      </c>
      <c r="I412" s="5">
        <v>24</v>
      </c>
      <c r="J412" s="5">
        <v>666</v>
      </c>
      <c r="K412" s="5">
        <v>20.2</v>
      </c>
      <c r="L412" s="5">
        <v>314.64</v>
      </c>
      <c r="M412" s="5">
        <v>26.4</v>
      </c>
      <c r="N412" s="5">
        <v>17.2</v>
      </c>
    </row>
    <row r="413" spans="1:14" x14ac:dyDescent="0.25">
      <c r="A413" s="5">
        <v>0</v>
      </c>
      <c r="B413" s="5">
        <v>18.100000000000001</v>
      </c>
      <c r="C413" s="5">
        <v>0</v>
      </c>
      <c r="D413" s="5">
        <v>0.59699999999999998</v>
      </c>
      <c r="E413" s="5">
        <v>6.8520000000000003</v>
      </c>
      <c r="F413" s="5">
        <v>100</v>
      </c>
      <c r="G413" s="5">
        <v>1.4655</v>
      </c>
      <c r="H413" s="5">
        <v>24</v>
      </c>
      <c r="I413" s="5">
        <v>666</v>
      </c>
      <c r="J413" s="5">
        <v>20.2</v>
      </c>
      <c r="K413" s="5">
        <v>179.36</v>
      </c>
      <c r="L413" s="5">
        <v>19.78</v>
      </c>
      <c r="M413" s="5">
        <v>27.5</v>
      </c>
      <c r="N413" s="5"/>
    </row>
    <row r="414" spans="1:14" x14ac:dyDescent="0.25">
      <c r="A414" s="5">
        <v>0</v>
      </c>
      <c r="B414" s="5">
        <v>18.100000000000001</v>
      </c>
      <c r="C414" s="5">
        <v>0</v>
      </c>
      <c r="D414" s="5">
        <v>0.59699999999999998</v>
      </c>
      <c r="E414" s="5">
        <v>5.7569999999999997</v>
      </c>
      <c r="F414" s="5">
        <v>100</v>
      </c>
      <c r="G414" s="5">
        <v>1.413</v>
      </c>
      <c r="H414" s="5">
        <v>24</v>
      </c>
      <c r="I414" s="5">
        <v>666</v>
      </c>
      <c r="J414" s="5">
        <v>20.2</v>
      </c>
      <c r="K414" s="5">
        <v>2.6</v>
      </c>
      <c r="L414" s="5">
        <v>10.11</v>
      </c>
      <c r="M414" s="5">
        <v>15</v>
      </c>
      <c r="N414" s="5"/>
    </row>
    <row r="415" spans="1:14" x14ac:dyDescent="0.25">
      <c r="A415" s="5">
        <v>0</v>
      </c>
      <c r="B415" s="5">
        <v>18.100000000000001</v>
      </c>
      <c r="C415" s="5">
        <v>0</v>
      </c>
      <c r="D415" s="5">
        <v>0.59699999999999998</v>
      </c>
      <c r="E415" s="5">
        <v>6.657</v>
      </c>
      <c r="F415" s="5">
        <v>100</v>
      </c>
      <c r="G415" s="5">
        <v>1.5275000000000001</v>
      </c>
      <c r="H415" s="5">
        <v>24</v>
      </c>
      <c r="I415" s="5">
        <v>666</v>
      </c>
      <c r="J415" s="5">
        <v>20.2</v>
      </c>
      <c r="K415" s="5">
        <v>35.049999999999997</v>
      </c>
      <c r="L415" s="5">
        <v>21.22</v>
      </c>
      <c r="M415" s="5">
        <v>17.2</v>
      </c>
      <c r="N415" s="5"/>
    </row>
    <row r="416" spans="1:14" x14ac:dyDescent="0.25">
      <c r="A416" s="5">
        <v>0</v>
      </c>
      <c r="B416" s="5">
        <v>18.100000000000001</v>
      </c>
      <c r="C416" s="5">
        <v>0</v>
      </c>
      <c r="D416" s="5">
        <v>0.59699999999999998</v>
      </c>
      <c r="E416" s="5">
        <v>4.6280000000000001</v>
      </c>
      <c r="F416" s="5">
        <v>100</v>
      </c>
      <c r="G416" s="5">
        <v>1.5539000000000001</v>
      </c>
      <c r="H416" s="5">
        <v>24</v>
      </c>
      <c r="I416" s="5">
        <v>666</v>
      </c>
      <c r="J416" s="5">
        <v>20.2</v>
      </c>
      <c r="K416" s="5">
        <v>28.79</v>
      </c>
      <c r="L416" s="5">
        <v>34.369999999999997</v>
      </c>
      <c r="M416" s="5">
        <v>17.899999999999999</v>
      </c>
      <c r="N416" s="5"/>
    </row>
    <row r="417" spans="1:14" x14ac:dyDescent="0.25">
      <c r="A417" s="5">
        <v>0</v>
      </c>
      <c r="B417" s="5">
        <v>18.100000000000001</v>
      </c>
      <c r="C417" s="5">
        <v>0</v>
      </c>
      <c r="D417" s="5">
        <v>0.59699999999999998</v>
      </c>
      <c r="E417" s="5">
        <v>5.1550000000000002</v>
      </c>
      <c r="F417" s="5">
        <v>100</v>
      </c>
      <c r="G417" s="5">
        <v>1.5893999999999999</v>
      </c>
      <c r="H417" s="5">
        <v>24</v>
      </c>
      <c r="I417" s="5">
        <v>666</v>
      </c>
      <c r="J417" s="5">
        <v>20.2</v>
      </c>
      <c r="K417" s="5">
        <v>210.97</v>
      </c>
      <c r="L417" s="5">
        <v>20.079999999999998</v>
      </c>
      <c r="M417" s="5">
        <v>16.3</v>
      </c>
      <c r="N417" s="5"/>
    </row>
    <row r="418" spans="1:14" x14ac:dyDescent="0.25">
      <c r="A418" s="5">
        <v>0</v>
      </c>
      <c r="B418" s="5">
        <v>18.100000000000001</v>
      </c>
      <c r="C418" s="5">
        <v>0</v>
      </c>
      <c r="D418" s="5">
        <v>0.69299999999999995</v>
      </c>
      <c r="E418" s="5">
        <v>4.5190000000000001</v>
      </c>
      <c r="F418" s="5">
        <v>100</v>
      </c>
      <c r="G418" s="5">
        <v>1.6581999999999999</v>
      </c>
      <c r="H418" s="5">
        <v>24</v>
      </c>
      <c r="I418" s="5">
        <v>666</v>
      </c>
      <c r="J418" s="5">
        <v>20.2</v>
      </c>
      <c r="K418" s="5">
        <v>88.27</v>
      </c>
      <c r="L418" s="5">
        <v>36.979999999999997</v>
      </c>
      <c r="M418" s="5">
        <v>7</v>
      </c>
      <c r="N418" s="5"/>
    </row>
    <row r="419" spans="1:14" x14ac:dyDescent="0.25">
      <c r="A419" s="5">
        <v>0</v>
      </c>
      <c r="B419" s="5">
        <v>18.100000000000001</v>
      </c>
      <c r="C419" s="5">
        <v>0</v>
      </c>
      <c r="D419" s="5">
        <v>0.67900000000000005</v>
      </c>
      <c r="E419" s="5">
        <v>6.4340000000000002</v>
      </c>
      <c r="F419" s="5">
        <v>100</v>
      </c>
      <c r="G419" s="5">
        <v>1.8347</v>
      </c>
      <c r="H419" s="5">
        <v>24</v>
      </c>
      <c r="I419" s="5">
        <v>666</v>
      </c>
      <c r="J419" s="5">
        <v>20.2</v>
      </c>
      <c r="K419" s="5">
        <v>27.25</v>
      </c>
      <c r="L419" s="5">
        <v>29.05</v>
      </c>
      <c r="M419" s="5">
        <v>7.2</v>
      </c>
      <c r="N419" s="5"/>
    </row>
    <row r="420" spans="1:14" x14ac:dyDescent="0.25">
      <c r="A420" s="5">
        <v>0</v>
      </c>
      <c r="B420" s="5">
        <v>18.100000000000001</v>
      </c>
      <c r="C420" s="5">
        <v>0</v>
      </c>
      <c r="D420" s="5">
        <v>0.67900000000000005</v>
      </c>
      <c r="E420" s="5">
        <v>6.782</v>
      </c>
      <c r="F420" s="5">
        <v>90.8</v>
      </c>
      <c r="G420" s="5">
        <v>1.8194999999999999</v>
      </c>
      <c r="H420" s="5">
        <v>24</v>
      </c>
      <c r="I420" s="5">
        <v>666</v>
      </c>
      <c r="J420" s="5">
        <v>20.2</v>
      </c>
      <c r="K420" s="5">
        <v>21.57</v>
      </c>
      <c r="L420" s="5">
        <v>25.79</v>
      </c>
      <c r="M420" s="5">
        <v>7.5</v>
      </c>
      <c r="N420" s="5"/>
    </row>
    <row r="421" spans="1:14" x14ac:dyDescent="0.25">
      <c r="A421" s="5">
        <v>0</v>
      </c>
      <c r="B421" s="5">
        <v>18.100000000000001</v>
      </c>
      <c r="C421" s="5">
        <v>0</v>
      </c>
      <c r="D421" s="5">
        <v>0.67900000000000005</v>
      </c>
      <c r="E421" s="5">
        <v>5.3040000000000003</v>
      </c>
      <c r="F421" s="5">
        <v>89.1</v>
      </c>
      <c r="G421" s="5">
        <v>1.6475</v>
      </c>
      <c r="H421" s="5">
        <v>24</v>
      </c>
      <c r="I421" s="5">
        <v>666</v>
      </c>
      <c r="J421" s="5">
        <v>20.2</v>
      </c>
      <c r="K421" s="5">
        <v>127.36</v>
      </c>
      <c r="L421" s="5">
        <v>26.64</v>
      </c>
      <c r="M421" s="5">
        <v>10.4</v>
      </c>
      <c r="N421" s="5"/>
    </row>
    <row r="422" spans="1:14" x14ac:dyDescent="0.25">
      <c r="A422" s="5">
        <v>0</v>
      </c>
      <c r="B422" s="5">
        <v>18.100000000000001</v>
      </c>
      <c r="C422" s="5">
        <v>0</v>
      </c>
      <c r="D422" s="5">
        <v>0.67900000000000005</v>
      </c>
      <c r="E422" s="5">
        <v>5.9569999999999999</v>
      </c>
      <c r="F422" s="5">
        <v>100</v>
      </c>
      <c r="G422" s="5">
        <v>1.8026</v>
      </c>
      <c r="H422" s="5">
        <v>24</v>
      </c>
      <c r="I422" s="5">
        <v>666</v>
      </c>
      <c r="J422" s="5">
        <v>20.2</v>
      </c>
      <c r="K422" s="5">
        <v>16.45</v>
      </c>
      <c r="L422" s="5">
        <v>20.62</v>
      </c>
      <c r="M422" s="5">
        <v>8.8000000000000007</v>
      </c>
      <c r="N422" s="5"/>
    </row>
    <row r="423" spans="1:14" x14ac:dyDescent="0.25">
      <c r="A423" s="5">
        <v>0</v>
      </c>
      <c r="B423" s="5">
        <v>18.100000000000001</v>
      </c>
      <c r="C423" s="5">
        <v>0</v>
      </c>
      <c r="D423" s="5">
        <v>0.71799999999999997</v>
      </c>
      <c r="E423" s="5">
        <v>6.8239999999999998</v>
      </c>
      <c r="F423" s="5">
        <v>76.5</v>
      </c>
      <c r="G423" s="5">
        <v>1.794</v>
      </c>
      <c r="H423" s="5">
        <v>24</v>
      </c>
      <c r="I423" s="5">
        <v>666</v>
      </c>
      <c r="J423" s="5">
        <v>20.2</v>
      </c>
      <c r="K423" s="5">
        <v>48.45</v>
      </c>
      <c r="L423" s="5">
        <v>22.74</v>
      </c>
      <c r="M423" s="5">
        <v>8.4</v>
      </c>
      <c r="N423" s="5"/>
    </row>
    <row r="424" spans="1:14" x14ac:dyDescent="0.25">
      <c r="A424" s="5">
        <v>0</v>
      </c>
      <c r="B424" s="5">
        <v>18.100000000000001</v>
      </c>
      <c r="C424" s="5">
        <v>0</v>
      </c>
      <c r="D424" s="5">
        <v>0.71799999999999997</v>
      </c>
      <c r="E424" s="5">
        <v>6.4109999999999996</v>
      </c>
      <c r="F424" s="5">
        <v>100</v>
      </c>
      <c r="G424" s="5">
        <v>1.8589</v>
      </c>
      <c r="H424" s="5">
        <v>24</v>
      </c>
      <c r="I424" s="5">
        <v>666</v>
      </c>
      <c r="J424" s="5">
        <v>20.2</v>
      </c>
      <c r="K424" s="5">
        <v>318.75</v>
      </c>
      <c r="L424" s="5">
        <v>15.02</v>
      </c>
      <c r="M424" s="5">
        <v>16.7</v>
      </c>
      <c r="N424" s="5"/>
    </row>
    <row r="425" spans="1:14" x14ac:dyDescent="0.25">
      <c r="A425" s="5">
        <v>7.0225900000000001</v>
      </c>
      <c r="B425" s="5">
        <v>0</v>
      </c>
      <c r="C425" s="5">
        <v>18.100000000000001</v>
      </c>
      <c r="D425" s="5">
        <v>0</v>
      </c>
      <c r="E425" s="5">
        <v>0.71799999999999997</v>
      </c>
      <c r="F425" s="5">
        <v>6.0060000000000002</v>
      </c>
      <c r="G425" s="5">
        <v>95.3</v>
      </c>
      <c r="H425" s="5">
        <v>1.8746</v>
      </c>
      <c r="I425" s="5">
        <v>24</v>
      </c>
      <c r="J425" s="5">
        <v>666</v>
      </c>
      <c r="K425" s="5">
        <v>20.2</v>
      </c>
      <c r="L425" s="5">
        <v>319.98</v>
      </c>
      <c r="M425" s="5">
        <v>15.7</v>
      </c>
      <c r="N425" s="5">
        <v>14.2</v>
      </c>
    </row>
    <row r="426" spans="1:14" x14ac:dyDescent="0.25">
      <c r="A426" s="5">
        <v>0</v>
      </c>
      <c r="B426" s="5">
        <v>18.100000000000001</v>
      </c>
      <c r="C426" s="5">
        <v>0</v>
      </c>
      <c r="D426" s="5">
        <v>0.61399999999999999</v>
      </c>
      <c r="E426" s="5">
        <v>5.6479999999999997</v>
      </c>
      <c r="F426" s="5">
        <v>87.6</v>
      </c>
      <c r="G426" s="5">
        <v>1.9512</v>
      </c>
      <c r="H426" s="5">
        <v>24</v>
      </c>
      <c r="I426" s="5">
        <v>666</v>
      </c>
      <c r="J426" s="5">
        <v>20.2</v>
      </c>
      <c r="K426" s="5">
        <v>291.55</v>
      </c>
      <c r="L426" s="5">
        <v>14.1</v>
      </c>
      <c r="M426" s="5">
        <v>20.8</v>
      </c>
      <c r="N426" s="5"/>
    </row>
    <row r="427" spans="1:14" x14ac:dyDescent="0.25">
      <c r="A427" s="5">
        <v>7.0504199999999999</v>
      </c>
      <c r="B427" s="5">
        <v>0</v>
      </c>
      <c r="C427" s="5">
        <v>18.100000000000001</v>
      </c>
      <c r="D427" s="5">
        <v>0</v>
      </c>
      <c r="E427" s="5">
        <v>0.61399999999999999</v>
      </c>
      <c r="F427" s="5">
        <v>6.1029999999999998</v>
      </c>
      <c r="G427" s="5">
        <v>85.1</v>
      </c>
      <c r="H427" s="5">
        <v>2.0217999999999998</v>
      </c>
      <c r="I427" s="5">
        <v>24</v>
      </c>
      <c r="J427" s="5">
        <v>666</v>
      </c>
      <c r="K427" s="5">
        <v>20.2</v>
      </c>
      <c r="L427" s="5">
        <v>2.52</v>
      </c>
      <c r="M427" s="5">
        <v>23.29</v>
      </c>
      <c r="N427" s="5">
        <v>13.4</v>
      </c>
    </row>
    <row r="428" spans="1:14" x14ac:dyDescent="0.25">
      <c r="A428" s="5">
        <v>8.7921200000000006</v>
      </c>
      <c r="B428" s="5">
        <v>0</v>
      </c>
      <c r="C428" s="5">
        <v>18.100000000000001</v>
      </c>
      <c r="D428" s="5">
        <v>0</v>
      </c>
      <c r="E428" s="5">
        <v>0.58399999999999996</v>
      </c>
      <c r="F428" s="5">
        <v>5.5650000000000004</v>
      </c>
      <c r="G428" s="5">
        <v>70.599999999999994</v>
      </c>
      <c r="H428" s="5">
        <v>2.0634999999999999</v>
      </c>
      <c r="I428" s="5">
        <v>24</v>
      </c>
      <c r="J428" s="5">
        <v>666</v>
      </c>
      <c r="K428" s="5">
        <v>20.2</v>
      </c>
      <c r="L428" s="5">
        <v>3.65</v>
      </c>
      <c r="M428" s="5">
        <v>17.16</v>
      </c>
      <c r="N428" s="5">
        <v>11.7</v>
      </c>
    </row>
    <row r="429" spans="1:14" x14ac:dyDescent="0.25">
      <c r="A429" s="5">
        <v>0</v>
      </c>
      <c r="B429" s="5">
        <v>18.100000000000001</v>
      </c>
      <c r="C429" s="5">
        <v>0</v>
      </c>
      <c r="D429" s="5">
        <v>0.67900000000000005</v>
      </c>
      <c r="E429" s="5">
        <v>5.8959999999999999</v>
      </c>
      <c r="F429" s="5">
        <v>95.4</v>
      </c>
      <c r="G429" s="5">
        <v>1.9096</v>
      </c>
      <c r="H429" s="5">
        <v>24</v>
      </c>
      <c r="I429" s="5">
        <v>666</v>
      </c>
      <c r="J429" s="5">
        <v>20.2</v>
      </c>
      <c r="K429" s="5">
        <v>7.68</v>
      </c>
      <c r="L429" s="5">
        <v>24.39</v>
      </c>
      <c r="M429" s="5">
        <v>8.3000000000000007</v>
      </c>
      <c r="N429" s="5"/>
    </row>
    <row r="430" spans="1:14" x14ac:dyDescent="0.25">
      <c r="A430" s="5">
        <v>0</v>
      </c>
      <c r="B430" s="5">
        <v>18.100000000000001</v>
      </c>
      <c r="C430" s="5">
        <v>0</v>
      </c>
      <c r="D430" s="5">
        <v>0.58399999999999996</v>
      </c>
      <c r="E430" s="5">
        <v>5.8369999999999997</v>
      </c>
      <c r="F430" s="5">
        <v>59.7</v>
      </c>
      <c r="G430" s="5">
        <v>1.9976</v>
      </c>
      <c r="H430" s="5">
        <v>24</v>
      </c>
      <c r="I430" s="5">
        <v>666</v>
      </c>
      <c r="J430" s="5">
        <v>20.2</v>
      </c>
      <c r="K430" s="5">
        <v>24.65</v>
      </c>
      <c r="L430" s="5">
        <v>15.69</v>
      </c>
      <c r="M430" s="5">
        <v>10.199999999999999</v>
      </c>
      <c r="N430" s="5"/>
    </row>
    <row r="431" spans="1:14" x14ac:dyDescent="0.25">
      <c r="A431" s="5">
        <v>0</v>
      </c>
      <c r="B431" s="5">
        <v>18.100000000000001</v>
      </c>
      <c r="C431" s="5">
        <v>0</v>
      </c>
      <c r="D431" s="5">
        <v>0.67900000000000005</v>
      </c>
      <c r="E431" s="5">
        <v>6.202</v>
      </c>
      <c r="F431" s="5">
        <v>78.7</v>
      </c>
      <c r="G431" s="5">
        <v>1.8629</v>
      </c>
      <c r="H431" s="5">
        <v>24</v>
      </c>
      <c r="I431" s="5">
        <v>666</v>
      </c>
      <c r="J431" s="5">
        <v>20.2</v>
      </c>
      <c r="K431" s="5">
        <v>18.82</v>
      </c>
      <c r="L431" s="5">
        <v>14.52</v>
      </c>
      <c r="M431" s="5">
        <v>10.9</v>
      </c>
      <c r="N431" s="5"/>
    </row>
    <row r="432" spans="1:14" x14ac:dyDescent="0.25">
      <c r="A432" s="5">
        <v>7.3671100000000003</v>
      </c>
      <c r="B432" s="5">
        <v>0</v>
      </c>
      <c r="C432" s="5">
        <v>18.100000000000001</v>
      </c>
      <c r="D432" s="5">
        <v>0</v>
      </c>
      <c r="E432" s="5">
        <v>0.67900000000000005</v>
      </c>
      <c r="F432" s="5">
        <v>6.1929999999999996</v>
      </c>
      <c r="G432" s="5">
        <v>78.099999999999994</v>
      </c>
      <c r="H432" s="5">
        <v>1.9356</v>
      </c>
      <c r="I432" s="5">
        <v>24</v>
      </c>
      <c r="J432" s="5">
        <v>666</v>
      </c>
      <c r="K432" s="5">
        <v>20.2</v>
      </c>
      <c r="L432" s="5">
        <v>96.73</v>
      </c>
      <c r="M432" s="5">
        <v>21.52</v>
      </c>
      <c r="N432" s="5">
        <v>11</v>
      </c>
    </row>
    <row r="433" spans="1:14" x14ac:dyDescent="0.25">
      <c r="A433" s="5">
        <v>9.3388899999999992</v>
      </c>
      <c r="B433" s="5">
        <v>0</v>
      </c>
      <c r="C433" s="5">
        <v>18.100000000000001</v>
      </c>
      <c r="D433" s="5">
        <v>0</v>
      </c>
      <c r="E433" s="5">
        <v>0.67900000000000005</v>
      </c>
      <c r="F433" s="5">
        <v>6.38</v>
      </c>
      <c r="G433" s="5">
        <v>95.6</v>
      </c>
      <c r="H433" s="5">
        <v>1.9681999999999999</v>
      </c>
      <c r="I433" s="5">
        <v>24</v>
      </c>
      <c r="J433" s="5">
        <v>666</v>
      </c>
      <c r="K433" s="5">
        <v>20.2</v>
      </c>
      <c r="L433" s="5">
        <v>60.72</v>
      </c>
      <c r="M433" s="5">
        <v>24.08</v>
      </c>
      <c r="N433" s="5">
        <v>9.5</v>
      </c>
    </row>
    <row r="434" spans="1:14" x14ac:dyDescent="0.25">
      <c r="A434" s="5">
        <v>8.4921299999999995</v>
      </c>
      <c r="B434" s="5">
        <v>0</v>
      </c>
      <c r="C434" s="5">
        <v>18.100000000000001</v>
      </c>
      <c r="D434" s="5">
        <v>0</v>
      </c>
      <c r="E434" s="5">
        <v>0.58399999999999996</v>
      </c>
      <c r="F434" s="5">
        <v>6.3479999999999999</v>
      </c>
      <c r="G434" s="5">
        <v>86.1</v>
      </c>
      <c r="H434" s="5">
        <v>2.0527000000000002</v>
      </c>
      <c r="I434" s="5">
        <v>24</v>
      </c>
      <c r="J434" s="5">
        <v>666</v>
      </c>
      <c r="K434" s="5">
        <v>20.2</v>
      </c>
      <c r="L434" s="5">
        <v>83.45</v>
      </c>
      <c r="M434" s="5">
        <v>17.64</v>
      </c>
      <c r="N434" s="5">
        <v>14.5</v>
      </c>
    </row>
    <row r="435" spans="1:14" x14ac:dyDescent="0.25">
      <c r="A435" s="5">
        <v>0</v>
      </c>
      <c r="B435" s="5">
        <v>18.100000000000001</v>
      </c>
      <c r="C435" s="5">
        <v>0</v>
      </c>
      <c r="D435" s="5">
        <v>0.58399999999999996</v>
      </c>
      <c r="E435" s="5">
        <v>6.8330000000000002</v>
      </c>
      <c r="F435" s="5">
        <v>94.3</v>
      </c>
      <c r="G435" s="5">
        <v>2.0882000000000001</v>
      </c>
      <c r="H435" s="5">
        <v>24</v>
      </c>
      <c r="I435" s="5">
        <v>666</v>
      </c>
      <c r="J435" s="5">
        <v>20.2</v>
      </c>
      <c r="K435" s="5">
        <v>81.33</v>
      </c>
      <c r="L435" s="5">
        <v>19.690000000000001</v>
      </c>
      <c r="M435" s="5">
        <v>14.1</v>
      </c>
      <c r="N435" s="5"/>
    </row>
    <row r="436" spans="1:14" x14ac:dyDescent="0.25">
      <c r="A436" s="5">
        <v>6.4440499999999998</v>
      </c>
      <c r="B436" s="5">
        <v>0</v>
      </c>
      <c r="C436" s="5">
        <v>18.100000000000001</v>
      </c>
      <c r="D436" s="5">
        <v>0</v>
      </c>
      <c r="E436" s="5">
        <v>0.58399999999999996</v>
      </c>
      <c r="F436" s="5">
        <v>6.4249999999999998</v>
      </c>
      <c r="G436" s="5">
        <v>74.8</v>
      </c>
      <c r="H436" s="5">
        <v>2.2004000000000001</v>
      </c>
      <c r="I436" s="5">
        <v>24</v>
      </c>
      <c r="J436" s="5">
        <v>666</v>
      </c>
      <c r="K436" s="5">
        <v>20.2</v>
      </c>
      <c r="L436" s="5">
        <v>97.95</v>
      </c>
      <c r="M436" s="5">
        <v>12.03</v>
      </c>
      <c r="N436" s="5">
        <v>16.100000000000001</v>
      </c>
    </row>
    <row r="437" spans="1:14" x14ac:dyDescent="0.25">
      <c r="A437" s="5">
        <v>5.5810700000000004</v>
      </c>
      <c r="B437" s="5">
        <v>0</v>
      </c>
      <c r="C437" s="5">
        <v>18.100000000000001</v>
      </c>
      <c r="D437" s="5">
        <v>0</v>
      </c>
      <c r="E437" s="5">
        <v>0.71299999999999997</v>
      </c>
      <c r="F437" s="5">
        <v>6.4359999999999999</v>
      </c>
      <c r="G437" s="5">
        <v>87.9</v>
      </c>
      <c r="H437" s="5">
        <v>2.3157999999999999</v>
      </c>
      <c r="I437" s="5">
        <v>24</v>
      </c>
      <c r="J437" s="5">
        <v>666</v>
      </c>
      <c r="K437" s="5">
        <v>20.2</v>
      </c>
      <c r="L437" s="5">
        <v>100.19</v>
      </c>
      <c r="M437" s="5">
        <v>16.22</v>
      </c>
      <c r="N437" s="5">
        <v>14.3</v>
      </c>
    </row>
    <row r="438" spans="1:14" x14ac:dyDescent="0.25">
      <c r="A438" s="5">
        <v>0</v>
      </c>
      <c r="B438" s="5">
        <v>18.100000000000001</v>
      </c>
      <c r="C438" s="5">
        <v>0</v>
      </c>
      <c r="D438" s="5">
        <v>0.71299999999999997</v>
      </c>
      <c r="E438" s="5">
        <v>6.2080000000000002</v>
      </c>
      <c r="F438" s="5">
        <v>95</v>
      </c>
      <c r="G438" s="5">
        <v>2.2222</v>
      </c>
      <c r="H438" s="5">
        <v>24</v>
      </c>
      <c r="I438" s="5">
        <v>666</v>
      </c>
      <c r="J438" s="5">
        <v>20.2</v>
      </c>
      <c r="K438" s="5">
        <v>100.63</v>
      </c>
      <c r="L438" s="5">
        <v>15.17</v>
      </c>
      <c r="M438" s="5">
        <v>11.7</v>
      </c>
      <c r="N438" s="5"/>
    </row>
    <row r="439" spans="1:14" x14ac:dyDescent="0.25">
      <c r="A439" s="5">
        <v>0</v>
      </c>
      <c r="B439" s="5">
        <v>18.100000000000001</v>
      </c>
      <c r="C439" s="5">
        <v>0</v>
      </c>
      <c r="D439" s="5">
        <v>0.74</v>
      </c>
      <c r="E439" s="5">
        <v>6.6289999999999996</v>
      </c>
      <c r="F439" s="5">
        <v>94.6</v>
      </c>
      <c r="G439" s="5">
        <v>2.1246999999999998</v>
      </c>
      <c r="H439" s="5">
        <v>24</v>
      </c>
      <c r="I439" s="5">
        <v>666</v>
      </c>
      <c r="J439" s="5">
        <v>20.2</v>
      </c>
      <c r="K439" s="5">
        <v>109.85</v>
      </c>
      <c r="L439" s="5">
        <v>23.27</v>
      </c>
      <c r="M439" s="5">
        <v>13.4</v>
      </c>
      <c r="N439" s="5"/>
    </row>
    <row r="440" spans="1:14" x14ac:dyDescent="0.25">
      <c r="A440" s="5">
        <v>0</v>
      </c>
      <c r="B440" s="5">
        <v>18.100000000000001</v>
      </c>
      <c r="C440" s="5">
        <v>0</v>
      </c>
      <c r="D440" s="5">
        <v>0.74</v>
      </c>
      <c r="E440" s="5">
        <v>6.4610000000000003</v>
      </c>
      <c r="F440" s="5">
        <v>93.3</v>
      </c>
      <c r="G440" s="5">
        <v>2.0026000000000002</v>
      </c>
      <c r="H440" s="5">
        <v>24</v>
      </c>
      <c r="I440" s="5">
        <v>666</v>
      </c>
      <c r="J440" s="5">
        <v>20.2</v>
      </c>
      <c r="K440" s="5">
        <v>27.49</v>
      </c>
      <c r="L440" s="5">
        <v>18.05</v>
      </c>
      <c r="M440" s="5">
        <v>9.6</v>
      </c>
      <c r="N440" s="5"/>
    </row>
    <row r="441" spans="1:14" x14ac:dyDescent="0.25">
      <c r="A441" s="5">
        <v>0</v>
      </c>
      <c r="B441" s="5">
        <v>18.100000000000001</v>
      </c>
      <c r="C441" s="5">
        <v>0</v>
      </c>
      <c r="D441" s="5">
        <v>0.74</v>
      </c>
      <c r="E441" s="5">
        <v>6.1520000000000001</v>
      </c>
      <c r="F441" s="5">
        <v>100</v>
      </c>
      <c r="G441" s="5">
        <v>1.9141999999999999</v>
      </c>
      <c r="H441" s="5">
        <v>24</v>
      </c>
      <c r="I441" s="5">
        <v>666</v>
      </c>
      <c r="J441" s="5">
        <v>20.2</v>
      </c>
      <c r="K441" s="5">
        <v>9.32</v>
      </c>
      <c r="L441" s="5">
        <v>26.45</v>
      </c>
      <c r="M441" s="5">
        <v>8.6999999999999993</v>
      </c>
      <c r="N441" s="5"/>
    </row>
    <row r="442" spans="1:14" x14ac:dyDescent="0.25">
      <c r="A442" s="5">
        <v>0</v>
      </c>
      <c r="B442" s="5">
        <v>18.100000000000001</v>
      </c>
      <c r="C442" s="5">
        <v>0</v>
      </c>
      <c r="D442" s="5">
        <v>0.74</v>
      </c>
      <c r="E442" s="5">
        <v>5.9349999999999996</v>
      </c>
      <c r="F442" s="5">
        <v>87.9</v>
      </c>
      <c r="G442" s="5">
        <v>1.8206</v>
      </c>
      <c r="H442" s="5">
        <v>24</v>
      </c>
      <c r="I442" s="5">
        <v>666</v>
      </c>
      <c r="J442" s="5">
        <v>20.2</v>
      </c>
      <c r="K442" s="5">
        <v>68.95</v>
      </c>
      <c r="L442" s="5">
        <v>34.020000000000003</v>
      </c>
      <c r="M442" s="5">
        <v>8.4</v>
      </c>
      <c r="N442" s="5"/>
    </row>
    <row r="443" spans="1:14" x14ac:dyDescent="0.25">
      <c r="A443" s="5">
        <v>9.3906299999999998</v>
      </c>
      <c r="B443" s="5">
        <v>0</v>
      </c>
      <c r="C443" s="5">
        <v>18.100000000000001</v>
      </c>
      <c r="D443" s="5">
        <v>0</v>
      </c>
      <c r="E443" s="5">
        <v>0.74</v>
      </c>
      <c r="F443" s="5">
        <v>5.6269999999999998</v>
      </c>
      <c r="G443" s="5">
        <v>93.9</v>
      </c>
      <c r="H443" s="5">
        <v>1.8171999999999999</v>
      </c>
      <c r="I443" s="5">
        <v>24</v>
      </c>
      <c r="J443" s="5">
        <v>666</v>
      </c>
      <c r="K443" s="5">
        <v>20.2</v>
      </c>
      <c r="L443" s="5">
        <v>396.9</v>
      </c>
      <c r="M443" s="5">
        <v>22.88</v>
      </c>
      <c r="N443" s="5">
        <v>12.8</v>
      </c>
    </row>
    <row r="444" spans="1:14" x14ac:dyDescent="0.25">
      <c r="A444" s="5">
        <v>0</v>
      </c>
      <c r="B444" s="5">
        <v>18.100000000000001</v>
      </c>
      <c r="C444" s="5">
        <v>0</v>
      </c>
      <c r="D444" s="5">
        <v>0.74</v>
      </c>
      <c r="E444" s="5">
        <v>5.8179999999999996</v>
      </c>
      <c r="F444" s="5">
        <v>92.4</v>
      </c>
      <c r="G444" s="5">
        <v>1.8662000000000001</v>
      </c>
      <c r="H444" s="5">
        <v>24</v>
      </c>
      <c r="I444" s="5">
        <v>666</v>
      </c>
      <c r="J444" s="5">
        <v>20.2</v>
      </c>
      <c r="K444" s="5">
        <v>391.45</v>
      </c>
      <c r="L444" s="5">
        <v>22.11</v>
      </c>
      <c r="M444" s="5">
        <v>10.5</v>
      </c>
      <c r="N444" s="5"/>
    </row>
    <row r="445" spans="1:14" x14ac:dyDescent="0.25">
      <c r="A445" s="5">
        <v>9.7241800000000005</v>
      </c>
      <c r="B445" s="5">
        <v>0</v>
      </c>
      <c r="C445" s="5">
        <v>18.100000000000001</v>
      </c>
      <c r="D445" s="5">
        <v>0</v>
      </c>
      <c r="E445" s="5">
        <v>0.74</v>
      </c>
      <c r="F445" s="5">
        <v>6.4059999999999997</v>
      </c>
      <c r="G445" s="5">
        <v>97.2</v>
      </c>
      <c r="H445" s="5">
        <v>2.0651000000000002</v>
      </c>
      <c r="I445" s="5">
        <v>24</v>
      </c>
      <c r="J445" s="5">
        <v>666</v>
      </c>
      <c r="K445" s="5">
        <v>20.2</v>
      </c>
      <c r="L445" s="5">
        <v>385.96</v>
      </c>
      <c r="M445" s="5">
        <v>19.52</v>
      </c>
      <c r="N445" s="5">
        <v>17.100000000000001</v>
      </c>
    </row>
    <row r="446" spans="1:14" x14ac:dyDescent="0.25">
      <c r="A446" s="5">
        <v>5.6663699999999997</v>
      </c>
      <c r="B446" s="5">
        <v>0</v>
      </c>
      <c r="C446" s="5">
        <v>18.100000000000001</v>
      </c>
      <c r="D446" s="5">
        <v>0</v>
      </c>
      <c r="E446" s="5">
        <v>0.74</v>
      </c>
      <c r="F446" s="5">
        <v>6.2190000000000003</v>
      </c>
      <c r="G446" s="5">
        <v>100</v>
      </c>
      <c r="H446" s="5">
        <v>2.0047999999999999</v>
      </c>
      <c r="I446" s="5">
        <v>24</v>
      </c>
      <c r="J446" s="5">
        <v>666</v>
      </c>
      <c r="K446" s="5">
        <v>20.2</v>
      </c>
      <c r="L446" s="5">
        <v>395.69</v>
      </c>
      <c r="M446" s="5">
        <v>16.59</v>
      </c>
      <c r="N446" s="5">
        <v>18.399999999999999</v>
      </c>
    </row>
    <row r="447" spans="1:14" x14ac:dyDescent="0.25">
      <c r="A447" s="5">
        <v>9.9665400000000002</v>
      </c>
      <c r="B447" s="5">
        <v>0</v>
      </c>
      <c r="C447" s="5">
        <v>18.100000000000001</v>
      </c>
      <c r="D447" s="5">
        <v>0</v>
      </c>
      <c r="E447" s="5">
        <v>0.74</v>
      </c>
      <c r="F447" s="5">
        <v>6.4850000000000003</v>
      </c>
      <c r="G447" s="5">
        <v>100</v>
      </c>
      <c r="H447" s="5">
        <v>1.9783999999999999</v>
      </c>
      <c r="I447" s="5">
        <v>24</v>
      </c>
      <c r="J447" s="5">
        <v>666</v>
      </c>
      <c r="K447" s="5">
        <v>20.2</v>
      </c>
      <c r="L447" s="5">
        <v>386.73</v>
      </c>
      <c r="M447" s="5">
        <v>18.850000000000001</v>
      </c>
      <c r="N447" s="5">
        <v>15.4</v>
      </c>
    </row>
    <row r="448" spans="1:14" x14ac:dyDescent="0.25">
      <c r="A448" s="5">
        <v>0</v>
      </c>
      <c r="B448" s="5">
        <v>18.100000000000001</v>
      </c>
      <c r="C448" s="5">
        <v>0</v>
      </c>
      <c r="D448" s="5">
        <v>0.74</v>
      </c>
      <c r="E448" s="5">
        <v>5.8540000000000001</v>
      </c>
      <c r="F448" s="5">
        <v>96.6</v>
      </c>
      <c r="G448" s="5">
        <v>1.8956</v>
      </c>
      <c r="H448" s="5">
        <v>24</v>
      </c>
      <c r="I448" s="5">
        <v>666</v>
      </c>
      <c r="J448" s="5">
        <v>20.2</v>
      </c>
      <c r="K448" s="5">
        <v>240.52</v>
      </c>
      <c r="L448" s="5">
        <v>23.79</v>
      </c>
      <c r="M448" s="5">
        <v>10.8</v>
      </c>
      <c r="N448" s="5"/>
    </row>
    <row r="449" spans="1:14" x14ac:dyDescent="0.25">
      <c r="A449" s="5">
        <v>0</v>
      </c>
      <c r="B449" s="5">
        <v>18.100000000000001</v>
      </c>
      <c r="C449" s="5">
        <v>0</v>
      </c>
      <c r="D449" s="5">
        <v>0.74</v>
      </c>
      <c r="E449" s="5">
        <v>6.4589999999999996</v>
      </c>
      <c r="F449" s="5">
        <v>94.8</v>
      </c>
      <c r="G449" s="5">
        <v>1.9879</v>
      </c>
      <c r="H449" s="5">
        <v>24</v>
      </c>
      <c r="I449" s="5">
        <v>666</v>
      </c>
      <c r="J449" s="5">
        <v>20.2</v>
      </c>
      <c r="K449" s="5">
        <v>43.06</v>
      </c>
      <c r="L449" s="5">
        <v>23.98</v>
      </c>
      <c r="M449" s="5">
        <v>11.8</v>
      </c>
      <c r="N449" s="5"/>
    </row>
    <row r="450" spans="1:14" x14ac:dyDescent="0.25">
      <c r="A450" s="5">
        <v>6.2880700000000003</v>
      </c>
      <c r="B450" s="5">
        <v>0</v>
      </c>
      <c r="C450" s="5">
        <v>18.100000000000001</v>
      </c>
      <c r="D450" s="5">
        <v>0</v>
      </c>
      <c r="E450" s="5">
        <v>0.74</v>
      </c>
      <c r="F450" s="5">
        <v>6.3410000000000002</v>
      </c>
      <c r="G450" s="5">
        <v>96.4</v>
      </c>
      <c r="H450" s="5">
        <v>2.0720000000000001</v>
      </c>
      <c r="I450" s="5">
        <v>24</v>
      </c>
      <c r="J450" s="5">
        <v>666</v>
      </c>
      <c r="K450" s="5">
        <v>20.2</v>
      </c>
      <c r="L450" s="5">
        <v>318.01</v>
      </c>
      <c r="M450" s="5">
        <v>17.79</v>
      </c>
      <c r="N450" s="5">
        <v>14.9</v>
      </c>
    </row>
    <row r="451" spans="1:14" x14ac:dyDescent="0.25">
      <c r="A451" s="5">
        <v>9.9248499999999993</v>
      </c>
      <c r="B451" s="5">
        <v>0</v>
      </c>
      <c r="C451" s="5">
        <v>18.100000000000001</v>
      </c>
      <c r="D451" s="5">
        <v>0</v>
      </c>
      <c r="E451" s="5">
        <v>0.74</v>
      </c>
      <c r="F451" s="5">
        <v>6.2510000000000003</v>
      </c>
      <c r="G451" s="5">
        <v>96.6</v>
      </c>
      <c r="H451" s="5">
        <v>2.198</v>
      </c>
      <c r="I451" s="5">
        <v>24</v>
      </c>
      <c r="J451" s="5">
        <v>666</v>
      </c>
      <c r="K451" s="5">
        <v>20.2</v>
      </c>
      <c r="L451" s="5">
        <v>388.52</v>
      </c>
      <c r="M451" s="5">
        <v>16.440000000000001</v>
      </c>
      <c r="N451" s="5">
        <v>12.6</v>
      </c>
    </row>
    <row r="452" spans="1:14" x14ac:dyDescent="0.25">
      <c r="A452" s="5">
        <v>9.3290900000000008</v>
      </c>
      <c r="B452" s="5">
        <v>0</v>
      </c>
      <c r="C452" s="5">
        <v>18.100000000000001</v>
      </c>
      <c r="D452" s="5">
        <v>0</v>
      </c>
      <c r="E452" s="5">
        <v>0.71299999999999997</v>
      </c>
      <c r="F452" s="5">
        <v>6.1849999999999996</v>
      </c>
      <c r="G452" s="5">
        <v>98.7</v>
      </c>
      <c r="H452" s="5">
        <v>2.2616000000000001</v>
      </c>
      <c r="I452" s="5">
        <v>24</v>
      </c>
      <c r="J452" s="5">
        <v>666</v>
      </c>
      <c r="K452" s="5">
        <v>20.2</v>
      </c>
      <c r="L452" s="5">
        <v>396.9</v>
      </c>
      <c r="M452" s="5">
        <v>18.13</v>
      </c>
      <c r="N452" s="5">
        <v>14.1</v>
      </c>
    </row>
    <row r="453" spans="1:14" x14ac:dyDescent="0.25">
      <c r="A453" s="5">
        <v>7.5260100000000003</v>
      </c>
      <c r="B453" s="5">
        <v>0</v>
      </c>
      <c r="C453" s="5">
        <v>18.100000000000001</v>
      </c>
      <c r="D453" s="5">
        <v>0</v>
      </c>
      <c r="E453" s="5">
        <v>0.71299999999999997</v>
      </c>
      <c r="F453" s="5">
        <v>6.4169999999999998</v>
      </c>
      <c r="G453" s="5">
        <v>98.3</v>
      </c>
      <c r="H453" s="5">
        <v>2.1850000000000001</v>
      </c>
      <c r="I453" s="5">
        <v>24</v>
      </c>
      <c r="J453" s="5">
        <v>666</v>
      </c>
      <c r="K453" s="5">
        <v>20.2</v>
      </c>
      <c r="L453" s="5">
        <v>304.20999999999998</v>
      </c>
      <c r="M453" s="5">
        <v>19.309999999999999</v>
      </c>
      <c r="N453" s="5">
        <v>13</v>
      </c>
    </row>
    <row r="454" spans="1:14" x14ac:dyDescent="0.25">
      <c r="A454" s="5">
        <v>6.7177199999999999</v>
      </c>
      <c r="B454" s="5">
        <v>0</v>
      </c>
      <c r="C454" s="5">
        <v>18.100000000000001</v>
      </c>
      <c r="D454" s="5">
        <v>0</v>
      </c>
      <c r="E454" s="5">
        <v>0.71299999999999997</v>
      </c>
      <c r="F454" s="5">
        <v>6.7489999999999997</v>
      </c>
      <c r="G454" s="5">
        <v>92.6</v>
      </c>
      <c r="H454" s="5">
        <v>2.3235999999999999</v>
      </c>
      <c r="I454" s="5">
        <v>24</v>
      </c>
      <c r="J454" s="5">
        <v>666</v>
      </c>
      <c r="K454" s="5">
        <v>20.2</v>
      </c>
      <c r="L454" s="5">
        <v>0.32</v>
      </c>
      <c r="M454" s="5">
        <v>17.440000000000001</v>
      </c>
      <c r="N454" s="5">
        <v>13.4</v>
      </c>
    </row>
    <row r="455" spans="1:14" x14ac:dyDescent="0.25">
      <c r="A455" s="5">
        <v>5.4411399999999999</v>
      </c>
      <c r="B455" s="5">
        <v>0</v>
      </c>
      <c r="C455" s="5">
        <v>18.100000000000001</v>
      </c>
      <c r="D455" s="5">
        <v>0</v>
      </c>
      <c r="E455" s="5">
        <v>0.71299999999999997</v>
      </c>
      <c r="F455" s="5">
        <v>6.6550000000000002</v>
      </c>
      <c r="G455" s="5">
        <v>98.2</v>
      </c>
      <c r="H455" s="5">
        <v>2.3552</v>
      </c>
      <c r="I455" s="5">
        <v>24</v>
      </c>
      <c r="J455" s="5">
        <v>666</v>
      </c>
      <c r="K455" s="5">
        <v>20.2</v>
      </c>
      <c r="L455" s="5">
        <v>355.29</v>
      </c>
      <c r="M455" s="5">
        <v>17.73</v>
      </c>
      <c r="N455" s="5">
        <v>15.2</v>
      </c>
    </row>
    <row r="456" spans="1:14" x14ac:dyDescent="0.25">
      <c r="A456" s="5">
        <v>5.0901699999999996</v>
      </c>
      <c r="B456" s="5">
        <v>0</v>
      </c>
      <c r="C456" s="5">
        <v>18.100000000000001</v>
      </c>
      <c r="D456" s="5">
        <v>0</v>
      </c>
      <c r="E456" s="5">
        <v>0.71299999999999997</v>
      </c>
      <c r="F456" s="5">
        <v>6.2969999999999997</v>
      </c>
      <c r="G456" s="5">
        <v>91.8</v>
      </c>
      <c r="H456" s="5">
        <v>2.3681999999999999</v>
      </c>
      <c r="I456" s="5">
        <v>24</v>
      </c>
      <c r="J456" s="5">
        <v>666</v>
      </c>
      <c r="K456" s="5">
        <v>20.2</v>
      </c>
      <c r="L456" s="5">
        <v>385.09</v>
      </c>
      <c r="M456" s="5">
        <v>17.27</v>
      </c>
      <c r="N456" s="5">
        <v>16.100000000000001</v>
      </c>
    </row>
    <row r="457" spans="1:14" x14ac:dyDescent="0.25">
      <c r="A457" s="5">
        <v>8.2480899999999995</v>
      </c>
      <c r="B457" s="5">
        <v>0</v>
      </c>
      <c r="C457" s="5">
        <v>18.100000000000001</v>
      </c>
      <c r="D457" s="5">
        <v>0</v>
      </c>
      <c r="E457" s="5">
        <v>0.71299999999999997</v>
      </c>
      <c r="F457" s="5">
        <v>7.3929999999999998</v>
      </c>
      <c r="G457" s="5">
        <v>99.3</v>
      </c>
      <c r="H457" s="5">
        <v>2.4527000000000001</v>
      </c>
      <c r="I457" s="5">
        <v>24</v>
      </c>
      <c r="J457" s="5">
        <v>666</v>
      </c>
      <c r="K457" s="5">
        <v>20.2</v>
      </c>
      <c r="L457" s="5">
        <v>375.87</v>
      </c>
      <c r="M457" s="5">
        <v>16.739999999999998</v>
      </c>
      <c r="N457" s="5">
        <v>17.8</v>
      </c>
    </row>
    <row r="458" spans="1:14" x14ac:dyDescent="0.25">
      <c r="A458" s="5">
        <v>9.5136299999999991</v>
      </c>
      <c r="B458" s="5">
        <v>0</v>
      </c>
      <c r="C458" s="5">
        <v>18.100000000000001</v>
      </c>
      <c r="D458" s="5">
        <v>0</v>
      </c>
      <c r="E458" s="5">
        <v>0.71299999999999997</v>
      </c>
      <c r="F458" s="5">
        <v>6.7279999999999998</v>
      </c>
      <c r="G458" s="5">
        <v>94.1</v>
      </c>
      <c r="H458" s="5">
        <v>2.4961000000000002</v>
      </c>
      <c r="I458" s="5">
        <v>24</v>
      </c>
      <c r="J458" s="5">
        <v>666</v>
      </c>
      <c r="K458" s="5">
        <v>20.2</v>
      </c>
      <c r="L458" s="5">
        <v>6.68</v>
      </c>
      <c r="M458" s="5">
        <v>18.71</v>
      </c>
      <c r="N458" s="5">
        <v>14.9</v>
      </c>
    </row>
    <row r="459" spans="1:14" x14ac:dyDescent="0.25">
      <c r="A459" s="5">
        <v>4.75237</v>
      </c>
      <c r="B459" s="5">
        <v>0</v>
      </c>
      <c r="C459" s="5">
        <v>18.100000000000001</v>
      </c>
      <c r="D459" s="5">
        <v>0</v>
      </c>
      <c r="E459" s="5">
        <v>0.71299999999999997</v>
      </c>
      <c r="F459" s="5">
        <v>6.5250000000000004</v>
      </c>
      <c r="G459" s="5">
        <v>86.5</v>
      </c>
      <c r="H459" s="5">
        <v>2.4358</v>
      </c>
      <c r="I459" s="5">
        <v>24</v>
      </c>
      <c r="J459" s="5">
        <v>666</v>
      </c>
      <c r="K459" s="5">
        <v>20.2</v>
      </c>
      <c r="L459" s="5">
        <v>50.92</v>
      </c>
      <c r="M459" s="5">
        <v>18.13</v>
      </c>
      <c r="N459" s="5">
        <v>14.1</v>
      </c>
    </row>
    <row r="460" spans="1:14" x14ac:dyDescent="0.25">
      <c r="A460" s="5">
        <v>4.6688299999999998</v>
      </c>
      <c r="B460" s="5">
        <v>0</v>
      </c>
      <c r="C460" s="5">
        <v>18.100000000000001</v>
      </c>
      <c r="D460" s="5">
        <v>0</v>
      </c>
      <c r="E460" s="5">
        <v>0.71299999999999997</v>
      </c>
      <c r="F460" s="5">
        <v>5.976</v>
      </c>
      <c r="G460" s="5">
        <v>87.9</v>
      </c>
      <c r="H460" s="5">
        <v>2.5806</v>
      </c>
      <c r="I460" s="5">
        <v>24</v>
      </c>
      <c r="J460" s="5">
        <v>666</v>
      </c>
      <c r="K460" s="5">
        <v>20.2</v>
      </c>
      <c r="L460" s="5">
        <v>10.48</v>
      </c>
      <c r="M460" s="5">
        <v>19.010000000000002</v>
      </c>
      <c r="N460" s="5">
        <v>12.7</v>
      </c>
    </row>
    <row r="461" spans="1:14" x14ac:dyDescent="0.25">
      <c r="A461" s="5">
        <v>8.2005800000000004</v>
      </c>
      <c r="B461" s="5">
        <v>0</v>
      </c>
      <c r="C461" s="5">
        <v>18.100000000000001</v>
      </c>
      <c r="D461" s="5">
        <v>0</v>
      </c>
      <c r="E461" s="5">
        <v>0.71299999999999997</v>
      </c>
      <c r="F461" s="5">
        <v>5.9359999999999999</v>
      </c>
      <c r="G461" s="5">
        <v>80.3</v>
      </c>
      <c r="H461" s="5">
        <v>2.7791999999999999</v>
      </c>
      <c r="I461" s="5">
        <v>24</v>
      </c>
      <c r="J461" s="5">
        <v>666</v>
      </c>
      <c r="K461" s="5">
        <v>20.2</v>
      </c>
      <c r="L461" s="5">
        <v>3.5</v>
      </c>
      <c r="M461" s="5">
        <v>16.940000000000001</v>
      </c>
      <c r="N461" s="5">
        <v>13.5</v>
      </c>
    </row>
    <row r="462" spans="1:14" x14ac:dyDescent="0.25">
      <c r="A462" s="5">
        <v>7.75223</v>
      </c>
      <c r="B462" s="5">
        <v>0</v>
      </c>
      <c r="C462" s="5">
        <v>18.100000000000001</v>
      </c>
      <c r="D462" s="5">
        <v>0</v>
      </c>
      <c r="E462" s="5">
        <v>0.71299999999999997</v>
      </c>
      <c r="F462" s="5">
        <v>6.3010000000000002</v>
      </c>
      <c r="G462" s="5">
        <v>83.7</v>
      </c>
      <c r="H462" s="5">
        <v>2.7831000000000001</v>
      </c>
      <c r="I462" s="5">
        <v>24</v>
      </c>
      <c r="J462" s="5">
        <v>666</v>
      </c>
      <c r="K462" s="5">
        <v>20.2</v>
      </c>
      <c r="L462" s="5">
        <v>272.20999999999998</v>
      </c>
      <c r="M462" s="5">
        <v>16.23</v>
      </c>
      <c r="N462" s="5">
        <v>14.9</v>
      </c>
    </row>
    <row r="463" spans="1:14" x14ac:dyDescent="0.25">
      <c r="A463" s="5">
        <v>6.8011699999999999</v>
      </c>
      <c r="B463" s="5">
        <v>0</v>
      </c>
      <c r="C463" s="5">
        <v>18.100000000000001</v>
      </c>
      <c r="D463" s="5">
        <v>0</v>
      </c>
      <c r="E463" s="5">
        <v>0.71299999999999997</v>
      </c>
      <c r="F463" s="5">
        <v>6.0810000000000004</v>
      </c>
      <c r="G463" s="5">
        <v>84.4</v>
      </c>
      <c r="H463" s="5">
        <v>2.7174999999999998</v>
      </c>
      <c r="I463" s="5">
        <v>24</v>
      </c>
      <c r="J463" s="5">
        <v>666</v>
      </c>
      <c r="K463" s="5">
        <v>20.2</v>
      </c>
      <c r="L463" s="5">
        <v>396.9</v>
      </c>
      <c r="M463" s="5">
        <v>14.7</v>
      </c>
      <c r="N463" s="5">
        <v>20</v>
      </c>
    </row>
    <row r="464" spans="1:14" x14ac:dyDescent="0.25">
      <c r="A464" s="5">
        <v>4.8121299999999998</v>
      </c>
      <c r="B464" s="5">
        <v>0</v>
      </c>
      <c r="C464" s="5">
        <v>18.100000000000001</v>
      </c>
      <c r="D464" s="5">
        <v>0</v>
      </c>
      <c r="E464" s="5">
        <v>0.71299999999999997</v>
      </c>
      <c r="F464" s="5">
        <v>6.7009999999999996</v>
      </c>
      <c r="G464" s="5">
        <v>90</v>
      </c>
      <c r="H464" s="5">
        <v>2.5975000000000001</v>
      </c>
      <c r="I464" s="5">
        <v>24</v>
      </c>
      <c r="J464" s="5">
        <v>666</v>
      </c>
      <c r="K464" s="5">
        <v>20.2</v>
      </c>
      <c r="L464" s="5">
        <v>255.23</v>
      </c>
      <c r="M464" s="5">
        <v>16.420000000000002</v>
      </c>
      <c r="N464" s="5">
        <v>16.399999999999999</v>
      </c>
    </row>
    <row r="465" spans="1:14" x14ac:dyDescent="0.25">
      <c r="A465" s="5">
        <v>3.6931099999999999</v>
      </c>
      <c r="B465" s="5">
        <v>0</v>
      </c>
      <c r="C465" s="5">
        <v>18.100000000000001</v>
      </c>
      <c r="D465" s="5">
        <v>0</v>
      </c>
      <c r="E465" s="5">
        <v>0.71299999999999997</v>
      </c>
      <c r="F465" s="5">
        <v>6.3760000000000003</v>
      </c>
      <c r="G465" s="5">
        <v>88.4</v>
      </c>
      <c r="H465" s="5">
        <v>2.5670999999999999</v>
      </c>
      <c r="I465" s="5">
        <v>24</v>
      </c>
      <c r="J465" s="5">
        <v>666</v>
      </c>
      <c r="K465" s="5">
        <v>20.2</v>
      </c>
      <c r="L465" s="5">
        <v>391.43</v>
      </c>
      <c r="M465" s="5">
        <v>14.65</v>
      </c>
      <c r="N465" s="5">
        <v>17.7</v>
      </c>
    </row>
    <row r="466" spans="1:14" x14ac:dyDescent="0.25">
      <c r="A466" s="5">
        <v>6.6549199999999997</v>
      </c>
      <c r="B466" s="5">
        <v>0</v>
      </c>
      <c r="C466" s="5">
        <v>18.100000000000001</v>
      </c>
      <c r="D466" s="5">
        <v>0</v>
      </c>
      <c r="E466" s="5">
        <v>0.71299999999999997</v>
      </c>
      <c r="F466" s="5">
        <v>6.3170000000000002</v>
      </c>
      <c r="G466" s="5">
        <v>83</v>
      </c>
      <c r="H466" s="5">
        <v>2.7343999999999999</v>
      </c>
      <c r="I466" s="5">
        <v>24</v>
      </c>
      <c r="J466" s="5">
        <v>666</v>
      </c>
      <c r="K466" s="5">
        <v>20.2</v>
      </c>
      <c r="L466" s="5">
        <v>396.9</v>
      </c>
      <c r="M466" s="5">
        <v>13.99</v>
      </c>
      <c r="N466" s="5">
        <v>19.5</v>
      </c>
    </row>
    <row r="467" spans="1:14" x14ac:dyDescent="0.25">
      <c r="A467" s="5">
        <v>5.8211500000000003</v>
      </c>
      <c r="B467" s="5">
        <v>0</v>
      </c>
      <c r="C467" s="5">
        <v>18.100000000000001</v>
      </c>
      <c r="D467" s="5">
        <v>0</v>
      </c>
      <c r="E467" s="5">
        <v>0.71299999999999997</v>
      </c>
      <c r="F467" s="5">
        <v>6.5129999999999999</v>
      </c>
      <c r="G467" s="5">
        <v>89.9</v>
      </c>
      <c r="H467" s="5">
        <v>2.8016000000000001</v>
      </c>
      <c r="I467" s="5">
        <v>24</v>
      </c>
      <c r="J467" s="5">
        <v>666</v>
      </c>
      <c r="K467" s="5">
        <v>20.2</v>
      </c>
      <c r="L467" s="5">
        <v>393.82</v>
      </c>
      <c r="M467" s="5">
        <v>10.29</v>
      </c>
      <c r="N467" s="5">
        <v>20.2</v>
      </c>
    </row>
    <row r="468" spans="1:14" x14ac:dyDescent="0.25">
      <c r="A468" s="5">
        <v>7.8393199999999998</v>
      </c>
      <c r="B468" s="5">
        <v>0</v>
      </c>
      <c r="C468" s="5">
        <v>18.100000000000001</v>
      </c>
      <c r="D468" s="5">
        <v>0</v>
      </c>
      <c r="E468" s="5">
        <v>0.65500000000000003</v>
      </c>
      <c r="F468" s="5">
        <v>6.2089999999999996</v>
      </c>
      <c r="G468" s="5">
        <v>65.400000000000006</v>
      </c>
      <c r="H468" s="5">
        <v>2.9634</v>
      </c>
      <c r="I468" s="5">
        <v>24</v>
      </c>
      <c r="J468" s="5">
        <v>666</v>
      </c>
      <c r="K468" s="5">
        <v>20.2</v>
      </c>
      <c r="L468" s="5">
        <v>396.9</v>
      </c>
      <c r="M468" s="5">
        <v>13.22</v>
      </c>
      <c r="N468" s="5">
        <v>21.4</v>
      </c>
    </row>
    <row r="469" spans="1:14" x14ac:dyDescent="0.25">
      <c r="A469" s="5">
        <v>3.1636000000000002</v>
      </c>
      <c r="B469" s="5">
        <v>0</v>
      </c>
      <c r="C469" s="5">
        <v>18.100000000000001</v>
      </c>
      <c r="D469" s="5">
        <v>0</v>
      </c>
      <c r="E469" s="5">
        <v>0.65500000000000003</v>
      </c>
      <c r="F469" s="5">
        <v>5.7590000000000003</v>
      </c>
      <c r="G469" s="5">
        <v>48.2</v>
      </c>
      <c r="H469" s="5">
        <v>3.0665</v>
      </c>
      <c r="I469" s="5">
        <v>24</v>
      </c>
      <c r="J469" s="5">
        <v>666</v>
      </c>
      <c r="K469" s="5">
        <v>20.2</v>
      </c>
      <c r="L469" s="5">
        <v>334.4</v>
      </c>
      <c r="M469" s="5">
        <v>14.13</v>
      </c>
      <c r="N469" s="5">
        <v>19.899999999999999</v>
      </c>
    </row>
    <row r="470" spans="1:14" x14ac:dyDescent="0.25">
      <c r="A470" s="5">
        <v>3.7749799999999998</v>
      </c>
      <c r="B470" s="5">
        <v>0</v>
      </c>
      <c r="C470" s="5">
        <v>18.100000000000001</v>
      </c>
      <c r="D470" s="5">
        <v>0</v>
      </c>
      <c r="E470" s="5">
        <v>0.65500000000000003</v>
      </c>
      <c r="F470" s="5">
        <v>5.952</v>
      </c>
      <c r="G470" s="5">
        <v>84.7</v>
      </c>
      <c r="H470" s="5">
        <v>2.8715000000000002</v>
      </c>
      <c r="I470" s="5">
        <v>24</v>
      </c>
      <c r="J470" s="5">
        <v>666</v>
      </c>
      <c r="K470" s="5">
        <v>20.2</v>
      </c>
      <c r="L470" s="5">
        <v>22.01</v>
      </c>
      <c r="M470" s="5">
        <v>17.149999999999999</v>
      </c>
      <c r="N470" s="5">
        <v>19</v>
      </c>
    </row>
    <row r="471" spans="1:14" x14ac:dyDescent="0.25">
      <c r="A471" s="5">
        <v>4.4222799999999998</v>
      </c>
      <c r="B471" s="5">
        <v>0</v>
      </c>
      <c r="C471" s="5">
        <v>18.100000000000001</v>
      </c>
      <c r="D471" s="5">
        <v>0</v>
      </c>
      <c r="E471" s="5">
        <v>0.58399999999999996</v>
      </c>
      <c r="F471" s="5">
        <v>6.0030000000000001</v>
      </c>
      <c r="G471" s="5">
        <v>94.5</v>
      </c>
      <c r="H471" s="5">
        <v>2.5402999999999998</v>
      </c>
      <c r="I471" s="5">
        <v>24</v>
      </c>
      <c r="J471" s="5">
        <v>666</v>
      </c>
      <c r="K471" s="5">
        <v>20.2</v>
      </c>
      <c r="L471" s="5">
        <v>331.29</v>
      </c>
      <c r="M471" s="5">
        <v>21.32</v>
      </c>
      <c r="N471" s="5">
        <v>19.100000000000001</v>
      </c>
    </row>
    <row r="472" spans="1:14" x14ac:dyDescent="0.25">
      <c r="A472" s="5">
        <v>0</v>
      </c>
      <c r="B472" s="5">
        <v>18.100000000000001</v>
      </c>
      <c r="C472" s="5">
        <v>0</v>
      </c>
      <c r="D472" s="5">
        <v>0.57999999999999996</v>
      </c>
      <c r="E472" s="5">
        <v>5.9260000000000002</v>
      </c>
      <c r="F472" s="5">
        <v>71</v>
      </c>
      <c r="G472" s="5">
        <v>2.9083999999999999</v>
      </c>
      <c r="H472" s="5">
        <v>24</v>
      </c>
      <c r="I472" s="5">
        <v>666</v>
      </c>
      <c r="J472" s="5">
        <v>20.2</v>
      </c>
      <c r="K472" s="5">
        <v>368.74</v>
      </c>
      <c r="L472" s="5">
        <v>18.13</v>
      </c>
      <c r="M472" s="5">
        <v>19.100000000000001</v>
      </c>
      <c r="N472" s="5"/>
    </row>
    <row r="473" spans="1:14" x14ac:dyDescent="0.25">
      <c r="A473" s="5">
        <v>0</v>
      </c>
      <c r="B473" s="5">
        <v>18.100000000000001</v>
      </c>
      <c r="C473" s="5">
        <v>0</v>
      </c>
      <c r="D473" s="5">
        <v>0.57999999999999996</v>
      </c>
      <c r="E473" s="5">
        <v>5.7130000000000001</v>
      </c>
      <c r="F473" s="5">
        <v>56.7</v>
      </c>
      <c r="G473" s="5">
        <v>2.8237000000000001</v>
      </c>
      <c r="H473" s="5">
        <v>24</v>
      </c>
      <c r="I473" s="5">
        <v>666</v>
      </c>
      <c r="J473" s="5">
        <v>20.2</v>
      </c>
      <c r="K473" s="5">
        <v>396.9</v>
      </c>
      <c r="L473" s="5">
        <v>14.76</v>
      </c>
      <c r="M473" s="5">
        <v>20.100000000000001</v>
      </c>
      <c r="N473" s="5"/>
    </row>
    <row r="474" spans="1:14" x14ac:dyDescent="0.25">
      <c r="A474" s="5">
        <v>4.3487900000000002</v>
      </c>
      <c r="B474" s="5">
        <v>0</v>
      </c>
      <c r="C474" s="5">
        <v>18.100000000000001</v>
      </c>
      <c r="D474" s="5">
        <v>0</v>
      </c>
      <c r="E474" s="5">
        <v>0.57999999999999996</v>
      </c>
      <c r="F474" s="5">
        <v>6.1669999999999998</v>
      </c>
      <c r="G474" s="5">
        <v>84</v>
      </c>
      <c r="H474" s="5">
        <v>3.0333999999999999</v>
      </c>
      <c r="I474" s="5">
        <v>24</v>
      </c>
      <c r="J474" s="5">
        <v>666</v>
      </c>
      <c r="K474" s="5">
        <v>20.2</v>
      </c>
      <c r="L474" s="5">
        <v>396.9</v>
      </c>
      <c r="M474" s="5">
        <v>16.29</v>
      </c>
      <c r="N474" s="5">
        <v>19.899999999999999</v>
      </c>
    </row>
    <row r="475" spans="1:14" x14ac:dyDescent="0.25">
      <c r="A475" s="5">
        <v>4.0384099999999998</v>
      </c>
      <c r="B475" s="5">
        <v>0</v>
      </c>
      <c r="C475" s="5">
        <v>18.100000000000001</v>
      </c>
      <c r="D475" s="5">
        <v>0</v>
      </c>
      <c r="E475" s="5">
        <v>0.53200000000000003</v>
      </c>
      <c r="F475" s="5">
        <v>6.2290000000000001</v>
      </c>
      <c r="G475" s="5">
        <v>90.7</v>
      </c>
      <c r="H475" s="5">
        <v>3.0992999999999999</v>
      </c>
      <c r="I475" s="5">
        <v>24</v>
      </c>
      <c r="J475" s="5">
        <v>666</v>
      </c>
      <c r="K475" s="5">
        <v>20.2</v>
      </c>
      <c r="L475" s="5">
        <v>395.33</v>
      </c>
      <c r="M475" s="5">
        <v>12.87</v>
      </c>
      <c r="N475" s="5">
        <v>19.600000000000001</v>
      </c>
    </row>
    <row r="476" spans="1:14" x14ac:dyDescent="0.25">
      <c r="A476" s="5">
        <v>3.5686800000000001</v>
      </c>
      <c r="B476" s="5">
        <v>0</v>
      </c>
      <c r="C476" s="5">
        <v>18.100000000000001</v>
      </c>
      <c r="D476" s="5">
        <v>0</v>
      </c>
      <c r="E476" s="5">
        <v>0.57999999999999996</v>
      </c>
      <c r="F476" s="5">
        <v>6.4370000000000003</v>
      </c>
      <c r="G476" s="5">
        <v>75</v>
      </c>
      <c r="H476" s="5">
        <v>2.8965000000000001</v>
      </c>
      <c r="I476" s="5">
        <v>24</v>
      </c>
      <c r="J476" s="5">
        <v>666</v>
      </c>
      <c r="K476" s="5">
        <v>20.2</v>
      </c>
      <c r="L476" s="5">
        <v>393.37</v>
      </c>
      <c r="M476" s="5">
        <v>14.36</v>
      </c>
      <c r="N476" s="5">
        <v>23.2</v>
      </c>
    </row>
    <row r="477" spans="1:14" x14ac:dyDescent="0.25">
      <c r="A477" s="5">
        <v>4.64689</v>
      </c>
      <c r="B477" s="5">
        <v>0</v>
      </c>
      <c r="C477" s="5">
        <v>18.100000000000001</v>
      </c>
      <c r="D477" s="5">
        <v>0</v>
      </c>
      <c r="E477" s="5">
        <v>0.61399999999999999</v>
      </c>
      <c r="F477" s="5">
        <v>6.98</v>
      </c>
      <c r="G477" s="5">
        <v>67.599999999999994</v>
      </c>
      <c r="H477" s="5">
        <v>2.5329000000000002</v>
      </c>
      <c r="I477" s="5">
        <v>24</v>
      </c>
      <c r="J477" s="5">
        <v>666</v>
      </c>
      <c r="K477" s="5">
        <v>20.2</v>
      </c>
      <c r="L477" s="5">
        <v>374.68</v>
      </c>
      <c r="M477" s="5">
        <v>11.66</v>
      </c>
      <c r="N477" s="5">
        <v>29.8</v>
      </c>
    </row>
    <row r="478" spans="1:14" x14ac:dyDescent="0.25">
      <c r="A478" s="5">
        <v>8.05579</v>
      </c>
      <c r="B478" s="5">
        <v>0</v>
      </c>
      <c r="C478" s="5">
        <v>18.100000000000001</v>
      </c>
      <c r="D478" s="5">
        <v>0</v>
      </c>
      <c r="E478" s="5">
        <v>0.58399999999999996</v>
      </c>
      <c r="F478" s="5">
        <v>5.4269999999999996</v>
      </c>
      <c r="G478" s="5">
        <v>95.4</v>
      </c>
      <c r="H478" s="5">
        <v>2.4298000000000002</v>
      </c>
      <c r="I478" s="5">
        <v>24</v>
      </c>
      <c r="J478" s="5">
        <v>666</v>
      </c>
      <c r="K478" s="5">
        <v>20.2</v>
      </c>
      <c r="L478" s="5">
        <v>352.58</v>
      </c>
      <c r="M478" s="5">
        <v>18.14</v>
      </c>
      <c r="N478" s="5">
        <v>13.8</v>
      </c>
    </row>
    <row r="479" spans="1:14" x14ac:dyDescent="0.25">
      <c r="A479" s="5">
        <v>6.3931199999999997</v>
      </c>
      <c r="B479" s="5">
        <v>0</v>
      </c>
      <c r="C479" s="5">
        <v>18.100000000000001</v>
      </c>
      <c r="D479" s="5">
        <v>0</v>
      </c>
      <c r="E479" s="5">
        <v>0.58399999999999996</v>
      </c>
      <c r="F479" s="5">
        <v>6.1619999999999999</v>
      </c>
      <c r="G479" s="5">
        <v>97.4</v>
      </c>
      <c r="H479" s="5">
        <v>2.206</v>
      </c>
      <c r="I479" s="5">
        <v>24</v>
      </c>
      <c r="J479" s="5">
        <v>666</v>
      </c>
      <c r="K479" s="5">
        <v>20.2</v>
      </c>
      <c r="L479" s="5">
        <v>302.76</v>
      </c>
      <c r="M479" s="5">
        <v>24.1</v>
      </c>
      <c r="N479" s="5">
        <v>13.3</v>
      </c>
    </row>
    <row r="480" spans="1:14" x14ac:dyDescent="0.25">
      <c r="A480" s="5">
        <v>4.87141</v>
      </c>
      <c r="B480" s="5">
        <v>0</v>
      </c>
      <c r="C480" s="5">
        <v>18.100000000000001</v>
      </c>
      <c r="D480" s="5">
        <v>0</v>
      </c>
      <c r="E480" s="5">
        <v>0.61399999999999999</v>
      </c>
      <c r="F480" s="5">
        <v>6.484</v>
      </c>
      <c r="G480" s="5">
        <v>93.6</v>
      </c>
      <c r="H480" s="5">
        <v>2.3052999999999999</v>
      </c>
      <c r="I480" s="5">
        <v>24</v>
      </c>
      <c r="J480" s="5">
        <v>666</v>
      </c>
      <c r="K480" s="5">
        <v>20.2</v>
      </c>
      <c r="L480" s="5">
        <v>396.21</v>
      </c>
      <c r="M480" s="5">
        <v>18.68</v>
      </c>
      <c r="N480" s="5">
        <v>16.7</v>
      </c>
    </row>
    <row r="481" spans="1:14" x14ac:dyDescent="0.25">
      <c r="A481" s="5">
        <v>0</v>
      </c>
      <c r="B481" s="5">
        <v>18.100000000000001</v>
      </c>
      <c r="C481" s="5">
        <v>0</v>
      </c>
      <c r="D481" s="5">
        <v>0.61399999999999999</v>
      </c>
      <c r="E481" s="5">
        <v>5.3040000000000003</v>
      </c>
      <c r="F481" s="5">
        <v>97.3</v>
      </c>
      <c r="G481" s="5">
        <v>2.1006999999999998</v>
      </c>
      <c r="H481" s="5">
        <v>24</v>
      </c>
      <c r="I481" s="5">
        <v>666</v>
      </c>
      <c r="J481" s="5">
        <v>20.2</v>
      </c>
      <c r="K481" s="5">
        <v>349.48</v>
      </c>
      <c r="L481" s="5">
        <v>24.91</v>
      </c>
      <c r="M481" s="5">
        <v>12</v>
      </c>
      <c r="N481" s="5"/>
    </row>
    <row r="482" spans="1:14" x14ac:dyDescent="0.25">
      <c r="A482" s="5">
        <v>0</v>
      </c>
      <c r="B482" s="5">
        <v>18.100000000000001</v>
      </c>
      <c r="C482" s="5">
        <v>0</v>
      </c>
      <c r="D482" s="5">
        <v>0.61399999999999999</v>
      </c>
      <c r="E482" s="5">
        <v>6.1849999999999996</v>
      </c>
      <c r="F482" s="5">
        <v>96.7</v>
      </c>
      <c r="G482" s="5">
        <v>2.1705000000000001</v>
      </c>
      <c r="H482" s="5">
        <v>24</v>
      </c>
      <c r="I482" s="5">
        <v>666</v>
      </c>
      <c r="J482" s="5">
        <v>20.2</v>
      </c>
      <c r="K482" s="5">
        <v>379.7</v>
      </c>
      <c r="L482" s="5">
        <v>18.03</v>
      </c>
      <c r="M482" s="5">
        <v>14.6</v>
      </c>
      <c r="N482" s="5"/>
    </row>
    <row r="483" spans="1:14" x14ac:dyDescent="0.25">
      <c r="A483" s="5">
        <v>0</v>
      </c>
      <c r="B483" s="5">
        <v>18.100000000000001</v>
      </c>
      <c r="C483" s="5">
        <v>0</v>
      </c>
      <c r="D483" s="5">
        <v>0.61399999999999999</v>
      </c>
      <c r="E483" s="5">
        <v>6.2290000000000001</v>
      </c>
      <c r="F483" s="5">
        <v>88</v>
      </c>
      <c r="G483" s="5">
        <v>1.9512</v>
      </c>
      <c r="H483" s="5">
        <v>24</v>
      </c>
      <c r="I483" s="5">
        <v>666</v>
      </c>
      <c r="J483" s="5">
        <v>20.2</v>
      </c>
      <c r="K483" s="5">
        <v>383.32</v>
      </c>
      <c r="L483" s="5">
        <v>13.11</v>
      </c>
      <c r="M483" s="5">
        <v>21.4</v>
      </c>
      <c r="N483" s="5"/>
    </row>
    <row r="484" spans="1:14" x14ac:dyDescent="0.25">
      <c r="A484" s="5">
        <v>5.8240100000000004</v>
      </c>
      <c r="B484" s="5">
        <v>0</v>
      </c>
      <c r="C484" s="5">
        <v>18.100000000000001</v>
      </c>
      <c r="D484" s="5">
        <v>0</v>
      </c>
      <c r="E484" s="5">
        <v>0.53200000000000003</v>
      </c>
      <c r="F484" s="5">
        <v>6.242</v>
      </c>
      <c r="G484" s="5">
        <v>64.7</v>
      </c>
      <c r="H484" s="5">
        <v>3.4241999999999999</v>
      </c>
      <c r="I484" s="5">
        <v>24</v>
      </c>
      <c r="J484" s="5">
        <v>666</v>
      </c>
      <c r="K484" s="5">
        <v>20.2</v>
      </c>
      <c r="L484" s="5">
        <v>396.9</v>
      </c>
      <c r="M484" s="5">
        <v>10.74</v>
      </c>
      <c r="N484" s="5">
        <v>23</v>
      </c>
    </row>
    <row r="485" spans="1:14" x14ac:dyDescent="0.25">
      <c r="A485" s="5">
        <v>5.7081799999999996</v>
      </c>
      <c r="B485" s="5">
        <v>0</v>
      </c>
      <c r="C485" s="5">
        <v>18.100000000000001</v>
      </c>
      <c r="D485" s="5">
        <v>0</v>
      </c>
      <c r="E485" s="5">
        <v>0.53200000000000003</v>
      </c>
      <c r="F485" s="5">
        <v>6.75</v>
      </c>
      <c r="G485" s="5">
        <v>74.900000000000006</v>
      </c>
      <c r="H485" s="5">
        <v>3.3317000000000001</v>
      </c>
      <c r="I485" s="5">
        <v>24</v>
      </c>
      <c r="J485" s="5">
        <v>666</v>
      </c>
      <c r="K485" s="5">
        <v>20.2</v>
      </c>
      <c r="L485" s="5">
        <v>393.07</v>
      </c>
      <c r="M485" s="5">
        <v>7.74</v>
      </c>
      <c r="N485" s="5">
        <v>23.7</v>
      </c>
    </row>
    <row r="486" spans="1:14" x14ac:dyDescent="0.25">
      <c r="A486" s="5">
        <v>5.73116</v>
      </c>
      <c r="B486" s="5">
        <v>0</v>
      </c>
      <c r="C486" s="5">
        <v>18.100000000000001</v>
      </c>
      <c r="D486" s="5">
        <v>0</v>
      </c>
      <c r="E486" s="5">
        <v>0.53200000000000003</v>
      </c>
      <c r="F486" s="5">
        <v>7.0609999999999999</v>
      </c>
      <c r="G486" s="5">
        <v>77</v>
      </c>
      <c r="H486" s="5">
        <v>3.4106000000000001</v>
      </c>
      <c r="I486" s="5">
        <v>24</v>
      </c>
      <c r="J486" s="5">
        <v>666</v>
      </c>
      <c r="K486" s="5">
        <v>20.2</v>
      </c>
      <c r="L486" s="5">
        <v>395.28</v>
      </c>
      <c r="M486" s="5">
        <v>7.01</v>
      </c>
      <c r="N486" s="5">
        <v>25</v>
      </c>
    </row>
    <row r="487" spans="1:14" x14ac:dyDescent="0.25">
      <c r="A487" s="5">
        <v>2.8183799999999999</v>
      </c>
      <c r="B487" s="5">
        <v>0</v>
      </c>
      <c r="C487" s="5">
        <v>18.100000000000001</v>
      </c>
      <c r="D487" s="5">
        <v>0</v>
      </c>
      <c r="E487" s="5">
        <v>0.53200000000000003</v>
      </c>
      <c r="F487" s="5">
        <v>5.7619999999999996</v>
      </c>
      <c r="G487" s="5">
        <v>40.299999999999997</v>
      </c>
      <c r="H487" s="5">
        <v>4.0983000000000001</v>
      </c>
      <c r="I487" s="5">
        <v>24</v>
      </c>
      <c r="J487" s="5">
        <v>666</v>
      </c>
      <c r="K487" s="5">
        <v>20.2</v>
      </c>
      <c r="L487" s="5">
        <v>392.92</v>
      </c>
      <c r="M487" s="5">
        <v>10.42</v>
      </c>
      <c r="N487" s="5">
        <v>21.8</v>
      </c>
    </row>
    <row r="488" spans="1:14" x14ac:dyDescent="0.25">
      <c r="A488" s="5">
        <v>2.3785699999999999</v>
      </c>
      <c r="B488" s="5">
        <v>0</v>
      </c>
      <c r="C488" s="5">
        <v>18.100000000000001</v>
      </c>
      <c r="D488" s="5">
        <v>0</v>
      </c>
      <c r="E488" s="5">
        <v>0.58299999999999996</v>
      </c>
      <c r="F488" s="5">
        <v>5.8710000000000004</v>
      </c>
      <c r="G488" s="5">
        <v>41.9</v>
      </c>
      <c r="H488" s="5">
        <v>3.7240000000000002</v>
      </c>
      <c r="I488" s="5">
        <v>24</v>
      </c>
      <c r="J488" s="5">
        <v>666</v>
      </c>
      <c r="K488" s="5">
        <v>20.2</v>
      </c>
      <c r="L488" s="5">
        <v>370.73</v>
      </c>
      <c r="M488" s="5">
        <v>13.34</v>
      </c>
      <c r="N488" s="5">
        <v>20.6</v>
      </c>
    </row>
    <row r="489" spans="1:14" x14ac:dyDescent="0.25">
      <c r="A489" s="5">
        <v>3.67367</v>
      </c>
      <c r="B489" s="5">
        <v>0</v>
      </c>
      <c r="C489" s="5">
        <v>18.100000000000001</v>
      </c>
      <c r="D489" s="5">
        <v>0</v>
      </c>
      <c r="E489" s="5">
        <v>0.58299999999999996</v>
      </c>
      <c r="F489" s="5">
        <v>6.3120000000000003</v>
      </c>
      <c r="G489" s="5">
        <v>51.9</v>
      </c>
      <c r="H489" s="5">
        <v>3.9916999999999998</v>
      </c>
      <c r="I489" s="5">
        <v>24</v>
      </c>
      <c r="J489" s="5">
        <v>666</v>
      </c>
      <c r="K489" s="5">
        <v>20.2</v>
      </c>
      <c r="L489" s="5">
        <v>388.62</v>
      </c>
      <c r="M489" s="5">
        <v>10.58</v>
      </c>
      <c r="N489" s="5">
        <v>21.2</v>
      </c>
    </row>
    <row r="490" spans="1:14" x14ac:dyDescent="0.25">
      <c r="A490" s="5">
        <v>5.6917499999999999</v>
      </c>
      <c r="B490" s="5">
        <v>0</v>
      </c>
      <c r="C490" s="5">
        <v>18.100000000000001</v>
      </c>
      <c r="D490" s="5">
        <v>0</v>
      </c>
      <c r="E490" s="5">
        <v>0.58299999999999996</v>
      </c>
      <c r="F490" s="5">
        <v>6.1139999999999999</v>
      </c>
      <c r="G490" s="5">
        <v>79.8</v>
      </c>
      <c r="H490" s="5">
        <v>3.5459000000000001</v>
      </c>
      <c r="I490" s="5">
        <v>24</v>
      </c>
      <c r="J490" s="5">
        <v>666</v>
      </c>
      <c r="K490" s="5">
        <v>20.2</v>
      </c>
      <c r="L490" s="5">
        <v>392.68</v>
      </c>
      <c r="M490" s="5">
        <v>14.98</v>
      </c>
      <c r="N490" s="5">
        <v>19.100000000000001</v>
      </c>
    </row>
    <row r="491" spans="1:14" x14ac:dyDescent="0.25">
      <c r="A491" s="5">
        <v>4.8356700000000004</v>
      </c>
      <c r="B491" s="5">
        <v>0</v>
      </c>
      <c r="C491" s="5">
        <v>18.100000000000001</v>
      </c>
      <c r="D491" s="5">
        <v>0</v>
      </c>
      <c r="E491" s="5">
        <v>0.58299999999999996</v>
      </c>
      <c r="F491" s="5">
        <v>5.9050000000000002</v>
      </c>
      <c r="G491" s="5">
        <v>53.2</v>
      </c>
      <c r="H491" s="5">
        <v>3.1522999999999999</v>
      </c>
      <c r="I491" s="5">
        <v>24</v>
      </c>
      <c r="J491" s="5">
        <v>666</v>
      </c>
      <c r="K491" s="5">
        <v>20.2</v>
      </c>
      <c r="L491" s="5">
        <v>388.22</v>
      </c>
      <c r="M491" s="5">
        <v>11.45</v>
      </c>
      <c r="N491" s="5">
        <v>20.6</v>
      </c>
    </row>
    <row r="492" spans="1:14" x14ac:dyDescent="0.25">
      <c r="A492" s="5">
        <v>0.15085999999999999</v>
      </c>
      <c r="B492" s="5">
        <v>0</v>
      </c>
      <c r="C492" s="5">
        <v>27.74</v>
      </c>
      <c r="D492" s="5">
        <v>0</v>
      </c>
      <c r="E492" s="5">
        <v>0.60899999999999999</v>
      </c>
      <c r="F492" s="5">
        <v>5.4539999999999997</v>
      </c>
      <c r="G492" s="5">
        <v>92.7</v>
      </c>
      <c r="H492" s="5">
        <v>1.8209</v>
      </c>
      <c r="I492" s="5">
        <v>4</v>
      </c>
      <c r="J492" s="5">
        <v>711</v>
      </c>
      <c r="K492" s="5">
        <v>20.100000000000001</v>
      </c>
      <c r="L492" s="5">
        <v>395.09</v>
      </c>
      <c r="M492" s="5">
        <v>18.059999999999999</v>
      </c>
      <c r="N492" s="5">
        <v>15.2</v>
      </c>
    </row>
    <row r="493" spans="1:14" x14ac:dyDescent="0.25">
      <c r="A493" s="5">
        <v>0.18337000000000001</v>
      </c>
      <c r="B493" s="5">
        <v>0</v>
      </c>
      <c r="C493" s="5">
        <v>27.74</v>
      </c>
      <c r="D493" s="5">
        <v>0</v>
      </c>
      <c r="E493" s="5">
        <v>0.60899999999999999</v>
      </c>
      <c r="F493" s="5">
        <v>5.4139999999999997</v>
      </c>
      <c r="G493" s="5">
        <v>98.3</v>
      </c>
      <c r="H493" s="5">
        <v>1.7554000000000001</v>
      </c>
      <c r="I493" s="5">
        <v>4</v>
      </c>
      <c r="J493" s="5">
        <v>711</v>
      </c>
      <c r="K493" s="5">
        <v>20.100000000000001</v>
      </c>
      <c r="L493" s="5">
        <v>344.05</v>
      </c>
      <c r="M493" s="5">
        <v>23.97</v>
      </c>
      <c r="N493" s="5">
        <v>7</v>
      </c>
    </row>
    <row r="494" spans="1:14" x14ac:dyDescent="0.25">
      <c r="A494" s="5">
        <v>0.20746000000000001</v>
      </c>
      <c r="B494" s="5">
        <v>0</v>
      </c>
      <c r="C494" s="5">
        <v>27.74</v>
      </c>
      <c r="D494" s="5">
        <v>0</v>
      </c>
      <c r="E494" s="5">
        <v>0.60899999999999999</v>
      </c>
      <c r="F494" s="5">
        <v>5.093</v>
      </c>
      <c r="G494" s="5">
        <v>98</v>
      </c>
      <c r="H494" s="5">
        <v>1.8226</v>
      </c>
      <c r="I494" s="5">
        <v>4</v>
      </c>
      <c r="J494" s="5">
        <v>711</v>
      </c>
      <c r="K494" s="5">
        <v>20.100000000000001</v>
      </c>
      <c r="L494" s="5">
        <v>318.43</v>
      </c>
      <c r="M494" s="5">
        <v>29.68</v>
      </c>
      <c r="N494" s="5">
        <v>8.1</v>
      </c>
    </row>
    <row r="495" spans="1:14" x14ac:dyDescent="0.25">
      <c r="A495" s="5">
        <v>0.10574</v>
      </c>
      <c r="B495" s="5">
        <v>0</v>
      </c>
      <c r="C495" s="5">
        <v>27.74</v>
      </c>
      <c r="D495" s="5">
        <v>0</v>
      </c>
      <c r="E495" s="5">
        <v>0.60899999999999999</v>
      </c>
      <c r="F495" s="5">
        <v>5.9829999999999997</v>
      </c>
      <c r="G495" s="5">
        <v>98.8</v>
      </c>
      <c r="H495" s="5">
        <v>1.8681000000000001</v>
      </c>
      <c r="I495" s="5">
        <v>4</v>
      </c>
      <c r="J495" s="5">
        <v>711</v>
      </c>
      <c r="K495" s="5">
        <v>20.100000000000001</v>
      </c>
      <c r="L495" s="5">
        <v>390.11</v>
      </c>
      <c r="M495" s="5">
        <v>18.07</v>
      </c>
      <c r="N495" s="5">
        <v>13.6</v>
      </c>
    </row>
    <row r="496" spans="1:14" x14ac:dyDescent="0.25">
      <c r="A496" s="5">
        <v>0.11132</v>
      </c>
      <c r="B496" s="5">
        <v>0</v>
      </c>
      <c r="C496" s="5">
        <v>27.74</v>
      </c>
      <c r="D496" s="5">
        <v>0</v>
      </c>
      <c r="E496" s="5">
        <v>0.60899999999999999</v>
      </c>
      <c r="F496" s="5">
        <v>5.9829999999999997</v>
      </c>
      <c r="G496" s="5">
        <v>83.5</v>
      </c>
      <c r="H496" s="5">
        <v>2.1099000000000001</v>
      </c>
      <c r="I496" s="5">
        <v>4</v>
      </c>
      <c r="J496" s="5">
        <v>711</v>
      </c>
      <c r="K496" s="5">
        <v>20.100000000000001</v>
      </c>
      <c r="L496" s="5">
        <v>396.9</v>
      </c>
      <c r="M496" s="5">
        <v>13.35</v>
      </c>
      <c r="N496" s="5">
        <v>20.100000000000001</v>
      </c>
    </row>
    <row r="497" spans="1:14" x14ac:dyDescent="0.25">
      <c r="A497" s="5">
        <v>0.17330999999999999</v>
      </c>
      <c r="B497" s="5">
        <v>0</v>
      </c>
      <c r="C497" s="5">
        <v>9.69</v>
      </c>
      <c r="D497" s="5">
        <v>0</v>
      </c>
      <c r="E497" s="5">
        <v>0.58499999999999996</v>
      </c>
      <c r="F497" s="5">
        <v>5.7069999999999999</v>
      </c>
      <c r="G497" s="5">
        <v>54</v>
      </c>
      <c r="H497" s="5">
        <v>2.3816999999999999</v>
      </c>
      <c r="I497" s="5">
        <v>6</v>
      </c>
      <c r="J497" s="5">
        <v>391</v>
      </c>
      <c r="K497" s="5">
        <v>19.2</v>
      </c>
      <c r="L497" s="5">
        <v>396.9</v>
      </c>
      <c r="M497" s="5">
        <v>12.01</v>
      </c>
      <c r="N497" s="5">
        <v>21.8</v>
      </c>
    </row>
    <row r="498" spans="1:14" x14ac:dyDescent="0.25">
      <c r="A498" s="5">
        <v>0.27956999999999999</v>
      </c>
      <c r="B498" s="5">
        <v>0</v>
      </c>
      <c r="C498" s="5">
        <v>9.69</v>
      </c>
      <c r="D498" s="5">
        <v>0</v>
      </c>
      <c r="E498" s="5">
        <v>0.58499999999999996</v>
      </c>
      <c r="F498" s="5">
        <v>5.9260000000000002</v>
      </c>
      <c r="G498" s="5">
        <v>42.6</v>
      </c>
      <c r="H498" s="5">
        <v>2.3816999999999999</v>
      </c>
      <c r="I498" s="5">
        <v>6</v>
      </c>
      <c r="J498" s="5">
        <v>391</v>
      </c>
      <c r="K498" s="5">
        <v>19.2</v>
      </c>
      <c r="L498" s="5">
        <v>396.9</v>
      </c>
      <c r="M498" s="5">
        <v>13.59</v>
      </c>
      <c r="N498" s="5">
        <v>24.5</v>
      </c>
    </row>
    <row r="499" spans="1:14" x14ac:dyDescent="0.25">
      <c r="A499" s="5">
        <v>0.17899000000000001</v>
      </c>
      <c r="B499" s="5">
        <v>0</v>
      </c>
      <c r="C499" s="5">
        <v>9.69</v>
      </c>
      <c r="D499" s="5">
        <v>0</v>
      </c>
      <c r="E499" s="5">
        <v>0.58499999999999996</v>
      </c>
      <c r="F499" s="5">
        <v>5.67</v>
      </c>
      <c r="G499" s="5">
        <v>28.8</v>
      </c>
      <c r="H499" s="5">
        <v>2.7986</v>
      </c>
      <c r="I499" s="5">
        <v>6</v>
      </c>
      <c r="J499" s="5">
        <v>391</v>
      </c>
      <c r="K499" s="5">
        <v>19.2</v>
      </c>
      <c r="L499" s="5">
        <v>393.29</v>
      </c>
      <c r="M499" s="5">
        <v>17.600000000000001</v>
      </c>
      <c r="N499" s="5">
        <v>23.1</v>
      </c>
    </row>
    <row r="500" spans="1:14" x14ac:dyDescent="0.25">
      <c r="A500" s="5">
        <v>0.28960000000000002</v>
      </c>
      <c r="B500" s="5">
        <v>0</v>
      </c>
      <c r="C500" s="5">
        <v>9.69</v>
      </c>
      <c r="D500" s="5">
        <v>0</v>
      </c>
      <c r="E500" s="5">
        <v>0.58499999999999996</v>
      </c>
      <c r="F500" s="5">
        <v>5.39</v>
      </c>
      <c r="G500" s="5">
        <v>72.900000000000006</v>
      </c>
      <c r="H500" s="5">
        <v>2.7986</v>
      </c>
      <c r="I500" s="5">
        <v>6</v>
      </c>
      <c r="J500" s="5">
        <v>391</v>
      </c>
      <c r="K500" s="5">
        <v>19.2</v>
      </c>
      <c r="L500" s="5">
        <v>396.9</v>
      </c>
      <c r="M500" s="5">
        <v>21.14</v>
      </c>
      <c r="N500" s="5">
        <v>19.7</v>
      </c>
    </row>
    <row r="501" spans="1:14" x14ac:dyDescent="0.25">
      <c r="A501" s="5">
        <v>0.26838000000000001</v>
      </c>
      <c r="B501" s="5">
        <v>0</v>
      </c>
      <c r="C501" s="5">
        <v>9.69</v>
      </c>
      <c r="D501" s="5">
        <v>0</v>
      </c>
      <c r="E501" s="5">
        <v>0.58499999999999996</v>
      </c>
      <c r="F501" s="5">
        <v>5.7939999999999996</v>
      </c>
      <c r="G501" s="5">
        <v>70.599999999999994</v>
      </c>
      <c r="H501" s="5">
        <v>2.8927</v>
      </c>
      <c r="I501" s="5">
        <v>6</v>
      </c>
      <c r="J501" s="5">
        <v>391</v>
      </c>
      <c r="K501" s="5">
        <v>19.2</v>
      </c>
      <c r="L501" s="5">
        <v>396.9</v>
      </c>
      <c r="M501" s="5">
        <v>14.1</v>
      </c>
      <c r="N501" s="5">
        <v>18.3</v>
      </c>
    </row>
    <row r="502" spans="1:14" x14ac:dyDescent="0.25">
      <c r="A502" s="5">
        <v>0.23912</v>
      </c>
      <c r="B502" s="5">
        <v>0</v>
      </c>
      <c r="C502" s="5">
        <v>9.69</v>
      </c>
      <c r="D502" s="5">
        <v>0</v>
      </c>
      <c r="E502" s="5">
        <v>0.58499999999999996</v>
      </c>
      <c r="F502" s="5">
        <v>6.0190000000000001</v>
      </c>
      <c r="G502" s="5">
        <v>65.3</v>
      </c>
      <c r="H502" s="5">
        <v>2.4091</v>
      </c>
      <c r="I502" s="5">
        <v>6</v>
      </c>
      <c r="J502" s="5">
        <v>391</v>
      </c>
      <c r="K502" s="5">
        <v>19.2</v>
      </c>
      <c r="L502" s="5">
        <v>396.9</v>
      </c>
      <c r="M502" s="5">
        <v>12.92</v>
      </c>
      <c r="N502" s="5">
        <v>21.2</v>
      </c>
    </row>
    <row r="503" spans="1:14" x14ac:dyDescent="0.25">
      <c r="A503" s="5">
        <v>0.17782999999999999</v>
      </c>
      <c r="B503" s="5">
        <v>0</v>
      </c>
      <c r="C503" s="5">
        <v>9.69</v>
      </c>
      <c r="D503" s="5">
        <v>0</v>
      </c>
      <c r="E503" s="5">
        <v>0.58499999999999996</v>
      </c>
      <c r="F503" s="5">
        <v>5.569</v>
      </c>
      <c r="G503" s="5">
        <v>73.5</v>
      </c>
      <c r="H503" s="5">
        <v>2.3999000000000001</v>
      </c>
      <c r="I503" s="5">
        <v>6</v>
      </c>
      <c r="J503" s="5">
        <v>391</v>
      </c>
      <c r="K503" s="5">
        <v>19.2</v>
      </c>
      <c r="L503" s="5">
        <v>395.77</v>
      </c>
      <c r="M503" s="5">
        <v>15.1</v>
      </c>
      <c r="N503" s="5">
        <v>17.5</v>
      </c>
    </row>
    <row r="504" spans="1:14" x14ac:dyDescent="0.25">
      <c r="A504" s="5">
        <v>0.22438</v>
      </c>
      <c r="B504" s="5">
        <v>0</v>
      </c>
      <c r="C504" s="5">
        <v>9.69</v>
      </c>
      <c r="D504" s="5">
        <v>0</v>
      </c>
      <c r="E504" s="5">
        <v>0.58499999999999996</v>
      </c>
      <c r="F504" s="5">
        <v>6.0270000000000001</v>
      </c>
      <c r="G504" s="5">
        <v>79.7</v>
      </c>
      <c r="H504" s="5">
        <v>2.4982000000000002</v>
      </c>
      <c r="I504" s="5">
        <v>6</v>
      </c>
      <c r="J504" s="5">
        <v>391</v>
      </c>
      <c r="K504" s="5">
        <v>19.2</v>
      </c>
      <c r="L504" s="5">
        <v>396.9</v>
      </c>
      <c r="M504" s="5">
        <v>14.33</v>
      </c>
      <c r="N504" s="5">
        <v>16.8</v>
      </c>
    </row>
    <row r="505" spans="1:14" x14ac:dyDescent="0.25">
      <c r="A505" s="5">
        <v>6.2630000000000005E-2</v>
      </c>
      <c r="B505" s="5">
        <v>0</v>
      </c>
      <c r="C505" s="5">
        <v>11.93</v>
      </c>
      <c r="D505" s="5">
        <v>0</v>
      </c>
      <c r="E505" s="5">
        <v>0.57299999999999995</v>
      </c>
      <c r="F505" s="5">
        <v>6.593</v>
      </c>
      <c r="G505" s="5">
        <v>69.099999999999994</v>
      </c>
      <c r="H505" s="5">
        <v>2.4786000000000001</v>
      </c>
      <c r="I505" s="5">
        <v>1</v>
      </c>
      <c r="J505" s="5">
        <v>273</v>
      </c>
      <c r="K505" s="5">
        <v>21</v>
      </c>
      <c r="L505" s="5">
        <v>391.99</v>
      </c>
      <c r="M505" s="5">
        <v>9.67</v>
      </c>
      <c r="N505" s="5">
        <v>22.4</v>
      </c>
    </row>
    <row r="506" spans="1:14" x14ac:dyDescent="0.25">
      <c r="A506" s="5">
        <v>4.5269999999999998E-2</v>
      </c>
      <c r="B506" s="5">
        <v>0</v>
      </c>
      <c r="C506" s="5">
        <v>11.93</v>
      </c>
      <c r="D506" s="5">
        <v>0</v>
      </c>
      <c r="E506" s="5">
        <v>0.57299999999999995</v>
      </c>
      <c r="F506" s="5">
        <v>6.12</v>
      </c>
      <c r="G506" s="5">
        <v>76.7</v>
      </c>
      <c r="H506" s="5">
        <v>2.2875000000000001</v>
      </c>
      <c r="I506" s="5">
        <v>1</v>
      </c>
      <c r="J506" s="5">
        <v>273</v>
      </c>
      <c r="K506" s="5">
        <v>21</v>
      </c>
      <c r="L506" s="5">
        <v>396.9</v>
      </c>
      <c r="M506" s="5">
        <v>9.08</v>
      </c>
      <c r="N506" s="5">
        <v>20.6</v>
      </c>
    </row>
    <row r="507" spans="1:14" x14ac:dyDescent="0.25">
      <c r="A507" s="5">
        <v>6.0760000000000002E-2</v>
      </c>
      <c r="B507" s="5">
        <v>0</v>
      </c>
      <c r="C507" s="5">
        <v>11.93</v>
      </c>
      <c r="D507" s="5">
        <v>0</v>
      </c>
      <c r="E507" s="5">
        <v>0.57299999999999995</v>
      </c>
      <c r="F507" s="5">
        <v>6.976</v>
      </c>
      <c r="G507" s="5">
        <v>91</v>
      </c>
      <c r="H507" s="5">
        <v>2.1675</v>
      </c>
      <c r="I507" s="5">
        <v>1</v>
      </c>
      <c r="J507" s="5">
        <v>273</v>
      </c>
      <c r="K507" s="5">
        <v>21</v>
      </c>
      <c r="L507" s="5">
        <v>396.9</v>
      </c>
      <c r="M507" s="5">
        <v>5.64</v>
      </c>
      <c r="N507" s="5">
        <v>23.9</v>
      </c>
    </row>
    <row r="508" spans="1:14" x14ac:dyDescent="0.25">
      <c r="A508" s="5">
        <v>0.10959000000000001</v>
      </c>
      <c r="B508" s="5">
        <v>0</v>
      </c>
      <c r="C508" s="5">
        <v>11.93</v>
      </c>
      <c r="D508" s="5">
        <v>0</v>
      </c>
      <c r="E508" s="5">
        <v>0.57299999999999995</v>
      </c>
      <c r="F508" s="5">
        <v>6.7939999999999996</v>
      </c>
      <c r="G508" s="5">
        <v>89.3</v>
      </c>
      <c r="H508" s="5">
        <v>2.3889</v>
      </c>
      <c r="I508" s="5">
        <v>1</v>
      </c>
      <c r="J508" s="5">
        <v>273</v>
      </c>
      <c r="K508" s="5">
        <v>21</v>
      </c>
      <c r="L508" s="5">
        <v>393.45</v>
      </c>
      <c r="M508" s="5">
        <v>6.48</v>
      </c>
      <c r="N508" s="5">
        <v>22</v>
      </c>
    </row>
    <row r="509" spans="1:14" x14ac:dyDescent="0.25">
      <c r="A509" s="5">
        <v>4.7410000000000001E-2</v>
      </c>
      <c r="B509" s="5">
        <v>0</v>
      </c>
      <c r="C509" s="5">
        <v>11.93</v>
      </c>
      <c r="D509" s="5">
        <v>0</v>
      </c>
      <c r="E509" s="5">
        <v>0.57299999999999995</v>
      </c>
      <c r="F509" s="5">
        <v>6.03</v>
      </c>
      <c r="G509" s="5">
        <v>80.8</v>
      </c>
      <c r="H509" s="5">
        <v>2.5049999999999999</v>
      </c>
      <c r="I509" s="5">
        <v>1</v>
      </c>
      <c r="J509" s="5">
        <v>273</v>
      </c>
      <c r="K509" s="5">
        <v>21</v>
      </c>
      <c r="L509" s="5">
        <v>396.9</v>
      </c>
      <c r="M509" s="5">
        <v>7.88</v>
      </c>
      <c r="N509" s="5">
        <v>11.9</v>
      </c>
    </row>
  </sheetData>
  <mergeCells count="1">
    <mergeCell ref="A1:N1"/>
  </mergeCells>
  <conditionalFormatting sqref="A4:N509">
    <cfRule type="expression" dxfId="5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FB0B-E55D-47AE-AF72-850BD1140E13}">
  <dimension ref="A1:J508"/>
  <sheetViews>
    <sheetView workbookViewId="0">
      <selection activeCell="C3" sqref="C3"/>
    </sheetView>
  </sheetViews>
  <sheetFormatPr defaultRowHeight="15" x14ac:dyDescent="0.25"/>
  <cols>
    <col min="1" max="1" width="9.85546875" customWidth="1"/>
    <col min="2" max="2" width="16.85546875" customWidth="1"/>
    <col min="3" max="3" width="14.28515625" customWidth="1"/>
    <col min="4" max="10" width="26.7109375" customWidth="1"/>
  </cols>
  <sheetData>
    <row r="1" spans="1:10" ht="18" x14ac:dyDescent="0.25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36" customHeight="1" x14ac:dyDescent="0.25">
      <c r="A2" s="6" t="s">
        <v>30</v>
      </c>
      <c r="B2" s="6" t="s">
        <v>28</v>
      </c>
      <c r="C2" s="6" t="s">
        <v>20</v>
      </c>
      <c r="D2" s="6" t="s">
        <v>15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</row>
    <row r="3" spans="1:10" x14ac:dyDescent="0.25">
      <c r="A3" s="7">
        <v>1</v>
      </c>
      <c r="B3" s="7">
        <f>'Raw Data'!N4</f>
        <v>24</v>
      </c>
      <c r="C3" s="7">
        <f>'Raw Data'!F4</f>
        <v>6.5750000000000002</v>
      </c>
      <c r="D3" s="7">
        <f>'Raw Data'!A4</f>
        <v>6.3200000000000001E-3</v>
      </c>
      <c r="E3" s="7" t="str">
        <f>IF(B3&lt;=15,"Low",IF(B3&lt;=25,"Medium","High"))</f>
        <v>Medium</v>
      </c>
      <c r="F3" s="8" t="str">
        <f>IF(B3&lt;=10,"Very Low",IF(B3&lt;=20,"Low",IF(B3&lt;=30,"Medium",IF(B3&lt;=40,"High","Very High"))))</f>
        <v>Medium</v>
      </c>
      <c r="G3" s="7" t="str">
        <f>IF(AND(B3&lt;=22,C3&gt;=6),"Yes - Affordable &amp; Spacious","No")</f>
        <v>No</v>
      </c>
      <c r="H3" s="7" t="str">
        <f>IF(OR('Raw Data'!D4=1,D3&lt;0.1),"Yes - Desirable","No")</f>
        <v>Yes - Desirable</v>
      </c>
      <c r="I3" s="7" t="str">
        <f>IF(NOT(D3&gt;=1),"Safe Area","High Crime")</f>
        <v>Safe Area</v>
      </c>
      <c r="J3" s="7" t="str">
        <f>IF(B3&gt;=35,IF(D3&lt;0.5,"Grade A - Premium","Grade B - Good"),IF(B3&gt;=20,"Grade C - Average","Grade D - Low Value"))</f>
        <v>Grade C - Average</v>
      </c>
    </row>
    <row r="4" spans="1:10" x14ac:dyDescent="0.25">
      <c r="A4" s="7">
        <v>2</v>
      </c>
      <c r="B4" s="7">
        <f>'Raw Data'!N5</f>
        <v>21.6</v>
      </c>
      <c r="C4" s="7">
        <f>'Raw Data'!F5</f>
        <v>6.4210000000000003</v>
      </c>
      <c r="D4" s="7">
        <f>'Raw Data'!A5</f>
        <v>2.7310000000000001E-2</v>
      </c>
      <c r="E4" s="7" t="str">
        <f t="shared" ref="E4:E67" si="0">IF(B4&lt;=15,"Low",IF(B4&lt;=25,"Medium","High"))</f>
        <v>Medium</v>
      </c>
      <c r="F4" s="8" t="str">
        <f t="shared" ref="F4:F67" si="1">IF(B4&lt;=10,"Very Low",IF(B4&lt;=20,"Low",IF(B4&lt;=30,"Medium",IF(B4&lt;=40,"High","Very High"))))</f>
        <v>Medium</v>
      </c>
      <c r="G4" s="7" t="str">
        <f t="shared" ref="G4:G67" si="2">IF(AND(B4&lt;=22,C4&gt;=6),"Yes - Affordable &amp; Spacious","No")</f>
        <v>Yes - Affordable &amp; Spacious</v>
      </c>
      <c r="H4" s="7" t="str">
        <f>IF(OR('Raw Data'!D5=1,D4&lt;0.1),"Yes - Desirable","No")</f>
        <v>Yes - Desirable</v>
      </c>
      <c r="I4" s="7" t="str">
        <f t="shared" ref="I4:I67" si="3">IF(NOT(D4&gt;=1),"Safe Area","High Crime")</f>
        <v>Safe Area</v>
      </c>
      <c r="J4" s="7" t="str">
        <f t="shared" ref="J4:J67" si="4">IF(B4&gt;=35,IF(D4&lt;0.5,"Grade A - Premium","Grade B - Good"),IF(B4&gt;=20,"Grade C - Average","Grade D - Low Value"))</f>
        <v>Grade C - Average</v>
      </c>
    </row>
    <row r="5" spans="1:10" x14ac:dyDescent="0.25">
      <c r="A5" s="7">
        <v>3</v>
      </c>
      <c r="B5" s="7">
        <f>'Raw Data'!N6</f>
        <v>34.700000000000003</v>
      </c>
      <c r="C5" s="7">
        <f>'Raw Data'!F6</f>
        <v>7.1849999999999996</v>
      </c>
      <c r="D5" s="7">
        <f>'Raw Data'!A6</f>
        <v>2.7289999999999998E-2</v>
      </c>
      <c r="E5" s="7" t="str">
        <f t="shared" si="0"/>
        <v>High</v>
      </c>
      <c r="F5" s="8" t="str">
        <f t="shared" si="1"/>
        <v>High</v>
      </c>
      <c r="G5" s="7" t="str">
        <f t="shared" si="2"/>
        <v>No</v>
      </c>
      <c r="H5" s="7" t="str">
        <f>IF(OR('Raw Data'!D6=1,D5&lt;0.1),"Yes - Desirable","No")</f>
        <v>Yes - Desirable</v>
      </c>
      <c r="I5" s="7" t="str">
        <f t="shared" si="3"/>
        <v>Safe Area</v>
      </c>
      <c r="J5" s="7" t="str">
        <f t="shared" si="4"/>
        <v>Grade C - Average</v>
      </c>
    </row>
    <row r="6" spans="1:10" x14ac:dyDescent="0.25">
      <c r="A6" s="7">
        <v>4</v>
      </c>
      <c r="B6" s="7">
        <f>'Raw Data'!N7</f>
        <v>33.4</v>
      </c>
      <c r="C6" s="7">
        <f>'Raw Data'!F7</f>
        <v>6.9980000000000002</v>
      </c>
      <c r="D6" s="7">
        <f>'Raw Data'!A7</f>
        <v>3.2370000000000003E-2</v>
      </c>
      <c r="E6" s="7" t="str">
        <f t="shared" si="0"/>
        <v>High</v>
      </c>
      <c r="F6" s="8" t="str">
        <f t="shared" si="1"/>
        <v>High</v>
      </c>
      <c r="G6" s="7" t="str">
        <f t="shared" si="2"/>
        <v>No</v>
      </c>
      <c r="H6" s="7" t="str">
        <f>IF(OR('Raw Data'!D7=1,D6&lt;0.1),"Yes - Desirable","No")</f>
        <v>Yes - Desirable</v>
      </c>
      <c r="I6" s="7" t="str">
        <f t="shared" si="3"/>
        <v>Safe Area</v>
      </c>
      <c r="J6" s="7" t="str">
        <f t="shared" si="4"/>
        <v>Grade C - Average</v>
      </c>
    </row>
    <row r="7" spans="1:10" x14ac:dyDescent="0.25">
      <c r="A7" s="7">
        <v>5</v>
      </c>
      <c r="B7" s="7">
        <f>'Raw Data'!N8</f>
        <v>36.200000000000003</v>
      </c>
      <c r="C7" s="7">
        <f>'Raw Data'!F8</f>
        <v>7.1470000000000002</v>
      </c>
      <c r="D7" s="7">
        <f>'Raw Data'!A8</f>
        <v>6.905E-2</v>
      </c>
      <c r="E7" s="7" t="str">
        <f t="shared" si="0"/>
        <v>High</v>
      </c>
      <c r="F7" s="8" t="str">
        <f t="shared" si="1"/>
        <v>High</v>
      </c>
      <c r="G7" s="7" t="str">
        <f t="shared" si="2"/>
        <v>No</v>
      </c>
      <c r="H7" s="7" t="str">
        <f>IF(OR('Raw Data'!D8=1,D7&lt;0.1),"Yes - Desirable","No")</f>
        <v>Yes - Desirable</v>
      </c>
      <c r="I7" s="7" t="str">
        <f t="shared" si="3"/>
        <v>Safe Area</v>
      </c>
      <c r="J7" s="7" t="str">
        <f t="shared" si="4"/>
        <v>Grade A - Premium</v>
      </c>
    </row>
    <row r="8" spans="1:10" x14ac:dyDescent="0.25">
      <c r="A8" s="7">
        <v>6</v>
      </c>
      <c r="B8" s="7">
        <f>'Raw Data'!N9</f>
        <v>28.7</v>
      </c>
      <c r="C8" s="7">
        <f>'Raw Data'!F9</f>
        <v>6.43</v>
      </c>
      <c r="D8" s="7">
        <f>'Raw Data'!A9</f>
        <v>2.9850000000000002E-2</v>
      </c>
      <c r="E8" s="7" t="str">
        <f t="shared" si="0"/>
        <v>High</v>
      </c>
      <c r="F8" s="8" t="str">
        <f t="shared" si="1"/>
        <v>Medium</v>
      </c>
      <c r="G8" s="7" t="str">
        <f t="shared" si="2"/>
        <v>No</v>
      </c>
      <c r="H8" s="7" t="str">
        <f>IF(OR('Raw Data'!D9=1,D8&lt;0.1),"Yes - Desirable","No")</f>
        <v>Yes - Desirable</v>
      </c>
      <c r="I8" s="7" t="str">
        <f t="shared" si="3"/>
        <v>Safe Area</v>
      </c>
      <c r="J8" s="7" t="str">
        <f t="shared" si="4"/>
        <v>Grade C - Average</v>
      </c>
    </row>
    <row r="9" spans="1:10" x14ac:dyDescent="0.25">
      <c r="A9" s="7">
        <v>7</v>
      </c>
      <c r="B9" s="7">
        <f>'Raw Data'!N10</f>
        <v>22.9</v>
      </c>
      <c r="C9" s="7">
        <f>'Raw Data'!F10</f>
        <v>6.0119999999999996</v>
      </c>
      <c r="D9" s="7">
        <f>'Raw Data'!A10</f>
        <v>8.8289999999999993E-2</v>
      </c>
      <c r="E9" s="7" t="str">
        <f t="shared" si="0"/>
        <v>Medium</v>
      </c>
      <c r="F9" s="8" t="str">
        <f t="shared" si="1"/>
        <v>Medium</v>
      </c>
      <c r="G9" s="7" t="str">
        <f t="shared" si="2"/>
        <v>No</v>
      </c>
      <c r="H9" s="7" t="str">
        <f>IF(OR('Raw Data'!D10=1,D9&lt;0.1),"Yes - Desirable","No")</f>
        <v>Yes - Desirable</v>
      </c>
      <c r="I9" s="7" t="str">
        <f t="shared" si="3"/>
        <v>Safe Area</v>
      </c>
      <c r="J9" s="7" t="str">
        <f t="shared" si="4"/>
        <v>Grade C - Average</v>
      </c>
    </row>
    <row r="10" spans="1:10" x14ac:dyDescent="0.25">
      <c r="A10" s="7">
        <v>8</v>
      </c>
      <c r="B10" s="7">
        <f>'Raw Data'!N11</f>
        <v>27.1</v>
      </c>
      <c r="C10" s="7">
        <f>'Raw Data'!F11</f>
        <v>6.1719999999999997</v>
      </c>
      <c r="D10" s="7">
        <f>'Raw Data'!A11</f>
        <v>0.14455000000000001</v>
      </c>
      <c r="E10" s="7" t="str">
        <f t="shared" si="0"/>
        <v>High</v>
      </c>
      <c r="F10" s="8" t="str">
        <f t="shared" si="1"/>
        <v>Medium</v>
      </c>
      <c r="G10" s="7" t="str">
        <f t="shared" si="2"/>
        <v>No</v>
      </c>
      <c r="H10" s="7" t="str">
        <f>IF(OR('Raw Data'!D11=1,D10&lt;0.1),"Yes - Desirable","No")</f>
        <v>No</v>
      </c>
      <c r="I10" s="7" t="str">
        <f t="shared" si="3"/>
        <v>Safe Area</v>
      </c>
      <c r="J10" s="7" t="str">
        <f t="shared" si="4"/>
        <v>Grade C - Average</v>
      </c>
    </row>
    <row r="11" spans="1:10" x14ac:dyDescent="0.25">
      <c r="A11" s="7">
        <v>9</v>
      </c>
      <c r="B11" s="7">
        <f>'Raw Data'!N12</f>
        <v>16.5</v>
      </c>
      <c r="C11" s="7">
        <f>'Raw Data'!F12</f>
        <v>5.6310000000000002</v>
      </c>
      <c r="D11" s="7">
        <f>'Raw Data'!A12</f>
        <v>0.21124000000000001</v>
      </c>
      <c r="E11" s="7" t="str">
        <f t="shared" si="0"/>
        <v>Medium</v>
      </c>
      <c r="F11" s="8" t="str">
        <f t="shared" si="1"/>
        <v>Low</v>
      </c>
      <c r="G11" s="7" t="str">
        <f t="shared" si="2"/>
        <v>No</v>
      </c>
      <c r="H11" s="7" t="str">
        <f>IF(OR('Raw Data'!D12=1,D11&lt;0.1),"Yes - Desirable","No")</f>
        <v>No</v>
      </c>
      <c r="I11" s="7" t="str">
        <f t="shared" si="3"/>
        <v>Safe Area</v>
      </c>
      <c r="J11" s="7" t="str">
        <f t="shared" si="4"/>
        <v>Grade D - Low Value</v>
      </c>
    </row>
    <row r="12" spans="1:10" x14ac:dyDescent="0.25">
      <c r="A12" s="7">
        <v>10</v>
      </c>
      <c r="B12" s="7">
        <f>'Raw Data'!N13</f>
        <v>18.899999999999999</v>
      </c>
      <c r="C12" s="7">
        <f>'Raw Data'!F13</f>
        <v>6.0039999999999996</v>
      </c>
      <c r="D12" s="7">
        <f>'Raw Data'!A13</f>
        <v>0.17004</v>
      </c>
      <c r="E12" s="7" t="str">
        <f t="shared" si="0"/>
        <v>Medium</v>
      </c>
      <c r="F12" s="8" t="str">
        <f t="shared" si="1"/>
        <v>Low</v>
      </c>
      <c r="G12" s="7" t="str">
        <f t="shared" si="2"/>
        <v>Yes - Affordable &amp; Spacious</v>
      </c>
      <c r="H12" s="7" t="str">
        <f>IF(OR('Raw Data'!D13=1,D12&lt;0.1),"Yes - Desirable","No")</f>
        <v>No</v>
      </c>
      <c r="I12" s="7" t="str">
        <f t="shared" si="3"/>
        <v>Safe Area</v>
      </c>
      <c r="J12" s="7" t="str">
        <f t="shared" si="4"/>
        <v>Grade D - Low Value</v>
      </c>
    </row>
    <row r="13" spans="1:10" x14ac:dyDescent="0.25">
      <c r="A13" s="7">
        <v>11</v>
      </c>
      <c r="B13" s="7">
        <f>'Raw Data'!N14</f>
        <v>15</v>
      </c>
      <c r="C13" s="7">
        <f>'Raw Data'!F14</f>
        <v>6.3769999999999998</v>
      </c>
      <c r="D13" s="7">
        <f>'Raw Data'!A14</f>
        <v>0.22489000000000001</v>
      </c>
      <c r="E13" s="7" t="str">
        <f t="shared" si="0"/>
        <v>Low</v>
      </c>
      <c r="F13" s="8" t="str">
        <f t="shared" si="1"/>
        <v>Low</v>
      </c>
      <c r="G13" s="7" t="str">
        <f t="shared" si="2"/>
        <v>Yes - Affordable &amp; Spacious</v>
      </c>
      <c r="H13" s="7" t="str">
        <f>IF(OR('Raw Data'!D14=1,D13&lt;0.1),"Yes - Desirable","No")</f>
        <v>No</v>
      </c>
      <c r="I13" s="7" t="str">
        <f t="shared" si="3"/>
        <v>Safe Area</v>
      </c>
      <c r="J13" s="7" t="str">
        <f t="shared" si="4"/>
        <v>Grade D - Low Value</v>
      </c>
    </row>
    <row r="14" spans="1:10" x14ac:dyDescent="0.25">
      <c r="A14" s="7">
        <v>12</v>
      </c>
      <c r="B14" s="7">
        <f>'Raw Data'!N15</f>
        <v>18.899999999999999</v>
      </c>
      <c r="C14" s="7">
        <f>'Raw Data'!F15</f>
        <v>6.0090000000000003</v>
      </c>
      <c r="D14" s="7">
        <f>'Raw Data'!A15</f>
        <v>0.11747</v>
      </c>
      <c r="E14" s="7" t="str">
        <f t="shared" si="0"/>
        <v>Medium</v>
      </c>
      <c r="F14" s="8" t="str">
        <f t="shared" si="1"/>
        <v>Low</v>
      </c>
      <c r="G14" s="7" t="str">
        <f t="shared" si="2"/>
        <v>Yes - Affordable &amp; Spacious</v>
      </c>
      <c r="H14" s="7" t="str">
        <f>IF(OR('Raw Data'!D15=1,D14&lt;0.1),"Yes - Desirable","No")</f>
        <v>No</v>
      </c>
      <c r="I14" s="7" t="str">
        <f t="shared" si="3"/>
        <v>Safe Area</v>
      </c>
      <c r="J14" s="7" t="str">
        <f t="shared" si="4"/>
        <v>Grade D - Low Value</v>
      </c>
    </row>
    <row r="15" spans="1:10" x14ac:dyDescent="0.25">
      <c r="A15" s="7">
        <v>13</v>
      </c>
      <c r="B15" s="7">
        <f>'Raw Data'!N16</f>
        <v>21.7</v>
      </c>
      <c r="C15" s="7">
        <f>'Raw Data'!F16</f>
        <v>5.8890000000000002</v>
      </c>
      <c r="D15" s="7">
        <f>'Raw Data'!A16</f>
        <v>9.3780000000000002E-2</v>
      </c>
      <c r="E15" s="7" t="str">
        <f t="shared" si="0"/>
        <v>Medium</v>
      </c>
      <c r="F15" s="8" t="str">
        <f t="shared" si="1"/>
        <v>Medium</v>
      </c>
      <c r="G15" s="7" t="str">
        <f t="shared" si="2"/>
        <v>No</v>
      </c>
      <c r="H15" s="7" t="str">
        <f>IF(OR('Raw Data'!D16=1,D15&lt;0.1),"Yes - Desirable","No")</f>
        <v>Yes - Desirable</v>
      </c>
      <c r="I15" s="7" t="str">
        <f t="shared" si="3"/>
        <v>Safe Area</v>
      </c>
      <c r="J15" s="7" t="str">
        <f t="shared" si="4"/>
        <v>Grade C - Average</v>
      </c>
    </row>
    <row r="16" spans="1:10" x14ac:dyDescent="0.25">
      <c r="A16" s="7">
        <v>14</v>
      </c>
      <c r="B16" s="7">
        <f>'Raw Data'!N17</f>
        <v>20.399999999999999</v>
      </c>
      <c r="C16" s="7">
        <f>'Raw Data'!F17</f>
        <v>5.9489999999999998</v>
      </c>
      <c r="D16" s="7">
        <f>'Raw Data'!A17</f>
        <v>0.62975999999999999</v>
      </c>
      <c r="E16" s="7" t="str">
        <f t="shared" si="0"/>
        <v>Medium</v>
      </c>
      <c r="F16" s="8" t="str">
        <f t="shared" si="1"/>
        <v>Medium</v>
      </c>
      <c r="G16" s="7" t="str">
        <f t="shared" si="2"/>
        <v>No</v>
      </c>
      <c r="H16" s="7" t="str">
        <f>IF(OR('Raw Data'!D17=1,D16&lt;0.1),"Yes - Desirable","No")</f>
        <v>No</v>
      </c>
      <c r="I16" s="7" t="str">
        <f t="shared" si="3"/>
        <v>Safe Area</v>
      </c>
      <c r="J16" s="7" t="str">
        <f t="shared" si="4"/>
        <v>Grade C - Average</v>
      </c>
    </row>
    <row r="17" spans="1:10" x14ac:dyDescent="0.25">
      <c r="A17" s="7">
        <v>15</v>
      </c>
      <c r="B17" s="7">
        <f>'Raw Data'!N18</f>
        <v>18.2</v>
      </c>
      <c r="C17" s="7">
        <f>'Raw Data'!F18</f>
        <v>6.0960000000000001</v>
      </c>
      <c r="D17" s="7">
        <f>'Raw Data'!A18</f>
        <v>0.63795999999999997</v>
      </c>
      <c r="E17" s="7" t="str">
        <f t="shared" si="0"/>
        <v>Medium</v>
      </c>
      <c r="F17" s="8" t="str">
        <f t="shared" si="1"/>
        <v>Low</v>
      </c>
      <c r="G17" s="7" t="str">
        <f t="shared" si="2"/>
        <v>Yes - Affordable &amp; Spacious</v>
      </c>
      <c r="H17" s="7" t="str">
        <f>IF(OR('Raw Data'!D18=1,D17&lt;0.1),"Yes - Desirable","No")</f>
        <v>No</v>
      </c>
      <c r="I17" s="7" t="str">
        <f t="shared" si="3"/>
        <v>Safe Area</v>
      </c>
      <c r="J17" s="7" t="str">
        <f t="shared" si="4"/>
        <v>Grade D - Low Value</v>
      </c>
    </row>
    <row r="18" spans="1:10" x14ac:dyDescent="0.25">
      <c r="A18" s="7">
        <v>16</v>
      </c>
      <c r="B18" s="7">
        <f>'Raw Data'!N19</f>
        <v>19.899999999999999</v>
      </c>
      <c r="C18" s="7">
        <f>'Raw Data'!F19</f>
        <v>5.8339999999999996</v>
      </c>
      <c r="D18" s="7">
        <f>'Raw Data'!A19</f>
        <v>0.62739</v>
      </c>
      <c r="E18" s="7" t="str">
        <f t="shared" si="0"/>
        <v>Medium</v>
      </c>
      <c r="F18" s="8" t="str">
        <f t="shared" si="1"/>
        <v>Low</v>
      </c>
      <c r="G18" s="7" t="str">
        <f t="shared" si="2"/>
        <v>No</v>
      </c>
      <c r="H18" s="7" t="str">
        <f>IF(OR('Raw Data'!D19=1,D18&lt;0.1),"Yes - Desirable","No")</f>
        <v>No</v>
      </c>
      <c r="I18" s="7" t="str">
        <f t="shared" si="3"/>
        <v>Safe Area</v>
      </c>
      <c r="J18" s="7" t="str">
        <f t="shared" si="4"/>
        <v>Grade D - Low Value</v>
      </c>
    </row>
    <row r="19" spans="1:10" x14ac:dyDescent="0.25">
      <c r="A19" s="7">
        <v>17</v>
      </c>
      <c r="B19" s="7">
        <f>'Raw Data'!N20</f>
        <v>23.1</v>
      </c>
      <c r="C19" s="7">
        <f>'Raw Data'!F20</f>
        <v>5.9349999999999996</v>
      </c>
      <c r="D19" s="7">
        <f>'Raw Data'!A20</f>
        <v>1.05393</v>
      </c>
      <c r="E19" s="7" t="str">
        <f t="shared" si="0"/>
        <v>Medium</v>
      </c>
      <c r="F19" s="8" t="str">
        <f t="shared" si="1"/>
        <v>Medium</v>
      </c>
      <c r="G19" s="7" t="str">
        <f t="shared" si="2"/>
        <v>No</v>
      </c>
      <c r="H19" s="7" t="str">
        <f>IF(OR('Raw Data'!D20=1,D19&lt;0.1),"Yes - Desirable","No")</f>
        <v>No</v>
      </c>
      <c r="I19" s="7" t="str">
        <f t="shared" si="3"/>
        <v>High Crime</v>
      </c>
      <c r="J19" s="7" t="str">
        <f t="shared" si="4"/>
        <v>Grade C - Average</v>
      </c>
    </row>
    <row r="20" spans="1:10" x14ac:dyDescent="0.25">
      <c r="A20" s="7">
        <v>18</v>
      </c>
      <c r="B20" s="7">
        <f>'Raw Data'!N21</f>
        <v>17.5</v>
      </c>
      <c r="C20" s="7">
        <f>'Raw Data'!F21</f>
        <v>5.99</v>
      </c>
      <c r="D20" s="7">
        <f>'Raw Data'!A21</f>
        <v>0.78420000000000001</v>
      </c>
      <c r="E20" s="7" t="str">
        <f t="shared" si="0"/>
        <v>Medium</v>
      </c>
      <c r="F20" s="8" t="str">
        <f t="shared" si="1"/>
        <v>Low</v>
      </c>
      <c r="G20" s="7" t="str">
        <f t="shared" si="2"/>
        <v>No</v>
      </c>
      <c r="H20" s="7" t="str">
        <f>IF(OR('Raw Data'!D21=1,D20&lt;0.1),"Yes - Desirable","No")</f>
        <v>No</v>
      </c>
      <c r="I20" s="7" t="str">
        <f t="shared" si="3"/>
        <v>Safe Area</v>
      </c>
      <c r="J20" s="7" t="str">
        <f t="shared" si="4"/>
        <v>Grade D - Low Value</v>
      </c>
    </row>
    <row r="21" spans="1:10" x14ac:dyDescent="0.25">
      <c r="A21" s="7">
        <v>19</v>
      </c>
      <c r="B21" s="7">
        <f>'Raw Data'!N22</f>
        <v>20.2</v>
      </c>
      <c r="C21" s="7">
        <f>'Raw Data'!F22</f>
        <v>5.4560000000000004</v>
      </c>
      <c r="D21" s="7">
        <f>'Raw Data'!A22</f>
        <v>0.80271000000000003</v>
      </c>
      <c r="E21" s="7" t="str">
        <f t="shared" si="0"/>
        <v>Medium</v>
      </c>
      <c r="F21" s="8" t="str">
        <f t="shared" si="1"/>
        <v>Medium</v>
      </c>
      <c r="G21" s="7" t="str">
        <f t="shared" si="2"/>
        <v>No</v>
      </c>
      <c r="H21" s="7" t="str">
        <f>IF(OR('Raw Data'!D22=1,D21&lt;0.1),"Yes - Desirable","No")</f>
        <v>No</v>
      </c>
      <c r="I21" s="7" t="str">
        <f t="shared" si="3"/>
        <v>Safe Area</v>
      </c>
      <c r="J21" s="7" t="str">
        <f t="shared" si="4"/>
        <v>Grade C - Average</v>
      </c>
    </row>
    <row r="22" spans="1:10" x14ac:dyDescent="0.25">
      <c r="A22" s="7">
        <v>20</v>
      </c>
      <c r="B22" s="7">
        <f>'Raw Data'!N23</f>
        <v>18.2</v>
      </c>
      <c r="C22" s="7">
        <f>'Raw Data'!F23</f>
        <v>5.7270000000000003</v>
      </c>
      <c r="D22" s="7">
        <f>'Raw Data'!A23</f>
        <v>0.7258</v>
      </c>
      <c r="E22" s="7" t="str">
        <f t="shared" si="0"/>
        <v>Medium</v>
      </c>
      <c r="F22" s="8" t="str">
        <f t="shared" si="1"/>
        <v>Low</v>
      </c>
      <c r="G22" s="7" t="str">
        <f t="shared" si="2"/>
        <v>No</v>
      </c>
      <c r="H22" s="7" t="str">
        <f>IF(OR('Raw Data'!D23=1,D22&lt;0.1),"Yes - Desirable","No")</f>
        <v>No</v>
      </c>
      <c r="I22" s="7" t="str">
        <f t="shared" si="3"/>
        <v>Safe Area</v>
      </c>
      <c r="J22" s="7" t="str">
        <f t="shared" si="4"/>
        <v>Grade D - Low Value</v>
      </c>
    </row>
    <row r="23" spans="1:10" x14ac:dyDescent="0.25">
      <c r="A23" s="7">
        <v>21</v>
      </c>
      <c r="B23" s="7">
        <f>'Raw Data'!N24</f>
        <v>13.6</v>
      </c>
      <c r="C23" s="7">
        <f>'Raw Data'!F24</f>
        <v>5.57</v>
      </c>
      <c r="D23" s="7">
        <f>'Raw Data'!A24</f>
        <v>1.25179</v>
      </c>
      <c r="E23" s="7" t="str">
        <f t="shared" si="0"/>
        <v>Low</v>
      </c>
      <c r="F23" s="8" t="str">
        <f t="shared" si="1"/>
        <v>Low</v>
      </c>
      <c r="G23" s="7" t="str">
        <f t="shared" si="2"/>
        <v>No</v>
      </c>
      <c r="H23" s="7" t="str">
        <f>IF(OR('Raw Data'!D24=1,D23&lt;0.1),"Yes - Desirable","No")</f>
        <v>No</v>
      </c>
      <c r="I23" s="7" t="str">
        <f t="shared" si="3"/>
        <v>High Crime</v>
      </c>
      <c r="J23" s="7" t="str">
        <f t="shared" si="4"/>
        <v>Grade D - Low Value</v>
      </c>
    </row>
    <row r="24" spans="1:10" x14ac:dyDescent="0.25">
      <c r="A24" s="7">
        <v>22</v>
      </c>
      <c r="B24" s="7">
        <f>'Raw Data'!N25</f>
        <v>19.600000000000001</v>
      </c>
      <c r="C24" s="7">
        <f>'Raw Data'!F25</f>
        <v>5.9649999999999999</v>
      </c>
      <c r="D24" s="7">
        <f>'Raw Data'!A25</f>
        <v>0.85204000000000002</v>
      </c>
      <c r="E24" s="7" t="str">
        <f t="shared" si="0"/>
        <v>Medium</v>
      </c>
      <c r="F24" s="8" t="str">
        <f t="shared" si="1"/>
        <v>Low</v>
      </c>
      <c r="G24" s="7" t="str">
        <f t="shared" si="2"/>
        <v>No</v>
      </c>
      <c r="H24" s="7" t="str">
        <f>IF(OR('Raw Data'!D25=1,D24&lt;0.1),"Yes - Desirable","No")</f>
        <v>No</v>
      </c>
      <c r="I24" s="7" t="str">
        <f t="shared" si="3"/>
        <v>Safe Area</v>
      </c>
      <c r="J24" s="7" t="str">
        <f t="shared" si="4"/>
        <v>Grade D - Low Value</v>
      </c>
    </row>
    <row r="25" spans="1:10" x14ac:dyDescent="0.25">
      <c r="A25" s="7">
        <v>23</v>
      </c>
      <c r="B25" s="7">
        <f>'Raw Data'!N26</f>
        <v>15.2</v>
      </c>
      <c r="C25" s="7">
        <f>'Raw Data'!F26</f>
        <v>6.1420000000000003</v>
      </c>
      <c r="D25" s="7">
        <f>'Raw Data'!A26</f>
        <v>1.23247</v>
      </c>
      <c r="E25" s="7" t="str">
        <f t="shared" si="0"/>
        <v>Medium</v>
      </c>
      <c r="F25" s="8" t="str">
        <f t="shared" si="1"/>
        <v>Low</v>
      </c>
      <c r="G25" s="7" t="str">
        <f t="shared" si="2"/>
        <v>Yes - Affordable &amp; Spacious</v>
      </c>
      <c r="H25" s="7" t="str">
        <f>IF(OR('Raw Data'!D26=1,D25&lt;0.1),"Yes - Desirable","No")</f>
        <v>No</v>
      </c>
      <c r="I25" s="7" t="str">
        <f t="shared" si="3"/>
        <v>High Crime</v>
      </c>
      <c r="J25" s="7" t="str">
        <f t="shared" si="4"/>
        <v>Grade D - Low Value</v>
      </c>
    </row>
    <row r="26" spans="1:10" x14ac:dyDescent="0.25">
      <c r="A26" s="7">
        <v>24</v>
      </c>
      <c r="B26" s="7">
        <f>'Raw Data'!N27</f>
        <v>14.5</v>
      </c>
      <c r="C26" s="7">
        <f>'Raw Data'!F27</f>
        <v>5.8129999999999997</v>
      </c>
      <c r="D26" s="7">
        <f>'Raw Data'!A27</f>
        <v>0.98843000000000003</v>
      </c>
      <c r="E26" s="7" t="str">
        <f t="shared" si="0"/>
        <v>Low</v>
      </c>
      <c r="F26" s="8" t="str">
        <f t="shared" si="1"/>
        <v>Low</v>
      </c>
      <c r="G26" s="7" t="str">
        <f t="shared" si="2"/>
        <v>No</v>
      </c>
      <c r="H26" s="7" t="str">
        <f>IF(OR('Raw Data'!D27=1,D26&lt;0.1),"Yes - Desirable","No")</f>
        <v>No</v>
      </c>
      <c r="I26" s="7" t="str">
        <f t="shared" si="3"/>
        <v>Safe Area</v>
      </c>
      <c r="J26" s="7" t="str">
        <f t="shared" si="4"/>
        <v>Grade D - Low Value</v>
      </c>
    </row>
    <row r="27" spans="1:10" x14ac:dyDescent="0.25">
      <c r="A27" s="7">
        <v>25</v>
      </c>
      <c r="B27" s="7">
        <f>'Raw Data'!N28</f>
        <v>15.6</v>
      </c>
      <c r="C27" s="7">
        <f>'Raw Data'!F28</f>
        <v>5.9240000000000004</v>
      </c>
      <c r="D27" s="7">
        <f>'Raw Data'!A28</f>
        <v>0.75026000000000004</v>
      </c>
      <c r="E27" s="7" t="str">
        <f t="shared" si="0"/>
        <v>Medium</v>
      </c>
      <c r="F27" s="8" t="str">
        <f t="shared" si="1"/>
        <v>Low</v>
      </c>
      <c r="G27" s="7" t="str">
        <f t="shared" si="2"/>
        <v>No</v>
      </c>
      <c r="H27" s="7" t="str">
        <f>IF(OR('Raw Data'!D28=1,D27&lt;0.1),"Yes - Desirable","No")</f>
        <v>No</v>
      </c>
      <c r="I27" s="7" t="str">
        <f t="shared" si="3"/>
        <v>Safe Area</v>
      </c>
      <c r="J27" s="7" t="str">
        <f t="shared" si="4"/>
        <v>Grade D - Low Value</v>
      </c>
    </row>
    <row r="28" spans="1:10" x14ac:dyDescent="0.25">
      <c r="A28" s="7">
        <v>26</v>
      </c>
      <c r="B28" s="7">
        <f>'Raw Data'!N29</f>
        <v>13.9</v>
      </c>
      <c r="C28" s="7">
        <f>'Raw Data'!F29</f>
        <v>5.5990000000000002</v>
      </c>
      <c r="D28" s="7">
        <f>'Raw Data'!A29</f>
        <v>0.84053999999999995</v>
      </c>
      <c r="E28" s="7" t="str">
        <f t="shared" si="0"/>
        <v>Low</v>
      </c>
      <c r="F28" s="8" t="str">
        <f t="shared" si="1"/>
        <v>Low</v>
      </c>
      <c r="G28" s="7" t="str">
        <f t="shared" si="2"/>
        <v>No</v>
      </c>
      <c r="H28" s="7" t="str">
        <f>IF(OR('Raw Data'!D29=1,D28&lt;0.1),"Yes - Desirable","No")</f>
        <v>No</v>
      </c>
      <c r="I28" s="7" t="str">
        <f t="shared" si="3"/>
        <v>Safe Area</v>
      </c>
      <c r="J28" s="7" t="str">
        <f t="shared" si="4"/>
        <v>Grade D - Low Value</v>
      </c>
    </row>
    <row r="29" spans="1:10" x14ac:dyDescent="0.25">
      <c r="A29" s="7">
        <v>27</v>
      </c>
      <c r="B29" s="7">
        <f>'Raw Data'!N30</f>
        <v>16.600000000000001</v>
      </c>
      <c r="C29" s="7">
        <f>'Raw Data'!F30</f>
        <v>5.8129999999999997</v>
      </c>
      <c r="D29" s="7">
        <f>'Raw Data'!A30</f>
        <v>0.67191000000000001</v>
      </c>
      <c r="E29" s="7" t="str">
        <f t="shared" si="0"/>
        <v>Medium</v>
      </c>
      <c r="F29" s="8" t="str">
        <f t="shared" si="1"/>
        <v>Low</v>
      </c>
      <c r="G29" s="7" t="str">
        <f t="shared" si="2"/>
        <v>No</v>
      </c>
      <c r="H29" s="7" t="str">
        <f>IF(OR('Raw Data'!D30=1,D29&lt;0.1),"Yes - Desirable","No")</f>
        <v>No</v>
      </c>
      <c r="I29" s="7" t="str">
        <f t="shared" si="3"/>
        <v>Safe Area</v>
      </c>
      <c r="J29" s="7" t="str">
        <f t="shared" si="4"/>
        <v>Grade D - Low Value</v>
      </c>
    </row>
    <row r="30" spans="1:10" x14ac:dyDescent="0.25">
      <c r="A30" s="7">
        <v>28</v>
      </c>
      <c r="B30" s="7">
        <f>'Raw Data'!N31</f>
        <v>14.8</v>
      </c>
      <c r="C30" s="7">
        <f>'Raw Data'!F31</f>
        <v>6.0469999999999997</v>
      </c>
      <c r="D30" s="7">
        <f>'Raw Data'!A31</f>
        <v>0.95577000000000001</v>
      </c>
      <c r="E30" s="7" t="str">
        <f t="shared" si="0"/>
        <v>Low</v>
      </c>
      <c r="F30" s="8" t="str">
        <f t="shared" si="1"/>
        <v>Low</v>
      </c>
      <c r="G30" s="7" t="str">
        <f t="shared" si="2"/>
        <v>Yes - Affordable &amp; Spacious</v>
      </c>
      <c r="H30" s="7" t="str">
        <f>IF(OR('Raw Data'!D31=1,D30&lt;0.1),"Yes - Desirable","No")</f>
        <v>No</v>
      </c>
      <c r="I30" s="7" t="str">
        <f t="shared" si="3"/>
        <v>Safe Area</v>
      </c>
      <c r="J30" s="7" t="str">
        <f t="shared" si="4"/>
        <v>Grade D - Low Value</v>
      </c>
    </row>
    <row r="31" spans="1:10" x14ac:dyDescent="0.25">
      <c r="A31" s="7">
        <v>29</v>
      </c>
      <c r="B31" s="7">
        <f>'Raw Data'!N32</f>
        <v>18.399999999999999</v>
      </c>
      <c r="C31" s="7">
        <f>'Raw Data'!F32</f>
        <v>6.4950000000000001</v>
      </c>
      <c r="D31" s="7">
        <f>'Raw Data'!A32</f>
        <v>0.77298999999999995</v>
      </c>
      <c r="E31" s="7" t="str">
        <f t="shared" si="0"/>
        <v>Medium</v>
      </c>
      <c r="F31" s="8" t="str">
        <f t="shared" si="1"/>
        <v>Low</v>
      </c>
      <c r="G31" s="7" t="str">
        <f t="shared" si="2"/>
        <v>Yes - Affordable &amp; Spacious</v>
      </c>
      <c r="H31" s="7" t="str">
        <f>IF(OR('Raw Data'!D32=1,D31&lt;0.1),"Yes - Desirable","No")</f>
        <v>No</v>
      </c>
      <c r="I31" s="7" t="str">
        <f t="shared" si="3"/>
        <v>Safe Area</v>
      </c>
      <c r="J31" s="7" t="str">
        <f t="shared" si="4"/>
        <v>Grade D - Low Value</v>
      </c>
    </row>
    <row r="32" spans="1:10" x14ac:dyDescent="0.25">
      <c r="A32" s="7">
        <v>30</v>
      </c>
      <c r="B32" s="7">
        <f>'Raw Data'!N33</f>
        <v>21</v>
      </c>
      <c r="C32" s="7">
        <f>'Raw Data'!F33</f>
        <v>6.6740000000000004</v>
      </c>
      <c r="D32" s="7">
        <f>'Raw Data'!A33</f>
        <v>1.0024500000000001</v>
      </c>
      <c r="E32" s="7" t="str">
        <f t="shared" si="0"/>
        <v>Medium</v>
      </c>
      <c r="F32" s="8" t="str">
        <f t="shared" si="1"/>
        <v>Medium</v>
      </c>
      <c r="G32" s="7" t="str">
        <f t="shared" si="2"/>
        <v>Yes - Affordable &amp; Spacious</v>
      </c>
      <c r="H32" s="7" t="str">
        <f>IF(OR('Raw Data'!D33=1,D32&lt;0.1),"Yes - Desirable","No")</f>
        <v>No</v>
      </c>
      <c r="I32" s="7" t="str">
        <f t="shared" si="3"/>
        <v>High Crime</v>
      </c>
      <c r="J32" s="7" t="str">
        <f t="shared" si="4"/>
        <v>Grade C - Average</v>
      </c>
    </row>
    <row r="33" spans="1:10" x14ac:dyDescent="0.25">
      <c r="A33" s="7">
        <v>31</v>
      </c>
      <c r="B33" s="7">
        <f>'Raw Data'!N34</f>
        <v>12.7</v>
      </c>
      <c r="C33" s="7">
        <f>'Raw Data'!F34</f>
        <v>5.7130000000000001</v>
      </c>
      <c r="D33" s="7">
        <f>'Raw Data'!A34</f>
        <v>1.1308100000000001</v>
      </c>
      <c r="E33" s="7" t="str">
        <f t="shared" si="0"/>
        <v>Low</v>
      </c>
      <c r="F33" s="8" t="str">
        <f t="shared" si="1"/>
        <v>Low</v>
      </c>
      <c r="G33" s="7" t="str">
        <f t="shared" si="2"/>
        <v>No</v>
      </c>
      <c r="H33" s="7" t="str">
        <f>IF(OR('Raw Data'!D34=1,D33&lt;0.1),"Yes - Desirable","No")</f>
        <v>No</v>
      </c>
      <c r="I33" s="7" t="str">
        <f t="shared" si="3"/>
        <v>High Crime</v>
      </c>
      <c r="J33" s="7" t="str">
        <f t="shared" si="4"/>
        <v>Grade D - Low Value</v>
      </c>
    </row>
    <row r="34" spans="1:10" x14ac:dyDescent="0.25">
      <c r="A34" s="7">
        <v>32</v>
      </c>
      <c r="B34" s="7">
        <f>'Raw Data'!N35</f>
        <v>14.5</v>
      </c>
      <c r="C34" s="7">
        <f>'Raw Data'!F35</f>
        <v>6.0720000000000001</v>
      </c>
      <c r="D34" s="7">
        <f>'Raw Data'!A35</f>
        <v>1.3547199999999999</v>
      </c>
      <c r="E34" s="7" t="str">
        <f t="shared" si="0"/>
        <v>Low</v>
      </c>
      <c r="F34" s="8" t="str">
        <f t="shared" si="1"/>
        <v>Low</v>
      </c>
      <c r="G34" s="7" t="str">
        <f t="shared" si="2"/>
        <v>Yes - Affordable &amp; Spacious</v>
      </c>
      <c r="H34" s="7" t="str">
        <f>IF(OR('Raw Data'!D35=1,D34&lt;0.1),"Yes - Desirable","No")</f>
        <v>No</v>
      </c>
      <c r="I34" s="7" t="str">
        <f t="shared" si="3"/>
        <v>High Crime</v>
      </c>
      <c r="J34" s="7" t="str">
        <f t="shared" si="4"/>
        <v>Grade D - Low Value</v>
      </c>
    </row>
    <row r="35" spans="1:10" x14ac:dyDescent="0.25">
      <c r="A35" s="7">
        <v>33</v>
      </c>
      <c r="B35" s="7">
        <f>'Raw Data'!N36</f>
        <v>13.2</v>
      </c>
      <c r="C35" s="7">
        <f>'Raw Data'!F36</f>
        <v>5.95</v>
      </c>
      <c r="D35" s="7">
        <f>'Raw Data'!A36</f>
        <v>1.3879900000000001</v>
      </c>
      <c r="E35" s="7" t="str">
        <f t="shared" si="0"/>
        <v>Low</v>
      </c>
      <c r="F35" s="8" t="str">
        <f t="shared" si="1"/>
        <v>Low</v>
      </c>
      <c r="G35" s="7" t="str">
        <f t="shared" si="2"/>
        <v>No</v>
      </c>
      <c r="H35" s="7" t="str">
        <f>IF(OR('Raw Data'!D36=1,D35&lt;0.1),"Yes - Desirable","No")</f>
        <v>No</v>
      </c>
      <c r="I35" s="7" t="str">
        <f t="shared" si="3"/>
        <v>High Crime</v>
      </c>
      <c r="J35" s="7" t="str">
        <f t="shared" si="4"/>
        <v>Grade D - Low Value</v>
      </c>
    </row>
    <row r="36" spans="1:10" x14ac:dyDescent="0.25">
      <c r="A36" s="7">
        <v>34</v>
      </c>
      <c r="B36" s="7">
        <f>'Raw Data'!N37</f>
        <v>13.1</v>
      </c>
      <c r="C36" s="7">
        <f>'Raw Data'!F37</f>
        <v>5.7009999999999996</v>
      </c>
      <c r="D36" s="7">
        <f>'Raw Data'!A37</f>
        <v>1.1517200000000001</v>
      </c>
      <c r="E36" s="7" t="str">
        <f t="shared" si="0"/>
        <v>Low</v>
      </c>
      <c r="F36" s="8" t="str">
        <f t="shared" si="1"/>
        <v>Low</v>
      </c>
      <c r="G36" s="7" t="str">
        <f t="shared" si="2"/>
        <v>No</v>
      </c>
      <c r="H36" s="7" t="str">
        <f>IF(OR('Raw Data'!D37=1,D36&lt;0.1),"Yes - Desirable","No")</f>
        <v>No</v>
      </c>
      <c r="I36" s="7" t="str">
        <f t="shared" si="3"/>
        <v>High Crime</v>
      </c>
      <c r="J36" s="7" t="str">
        <f t="shared" si="4"/>
        <v>Grade D - Low Value</v>
      </c>
    </row>
    <row r="37" spans="1:10" x14ac:dyDescent="0.25">
      <c r="A37" s="7">
        <v>35</v>
      </c>
      <c r="B37" s="7">
        <f>'Raw Data'!N38</f>
        <v>13.5</v>
      </c>
      <c r="C37" s="7">
        <f>'Raw Data'!F38</f>
        <v>6.0960000000000001</v>
      </c>
      <c r="D37" s="7">
        <f>'Raw Data'!A38</f>
        <v>1.6128199999999999</v>
      </c>
      <c r="E37" s="7" t="str">
        <f t="shared" si="0"/>
        <v>Low</v>
      </c>
      <c r="F37" s="8" t="str">
        <f t="shared" si="1"/>
        <v>Low</v>
      </c>
      <c r="G37" s="7" t="str">
        <f t="shared" si="2"/>
        <v>Yes - Affordable &amp; Spacious</v>
      </c>
      <c r="H37" s="7" t="str">
        <f>IF(OR('Raw Data'!D38=1,D37&lt;0.1),"Yes - Desirable","No")</f>
        <v>No</v>
      </c>
      <c r="I37" s="7" t="str">
        <f t="shared" si="3"/>
        <v>High Crime</v>
      </c>
      <c r="J37" s="7" t="str">
        <f t="shared" si="4"/>
        <v>Grade D - Low Value</v>
      </c>
    </row>
    <row r="38" spans="1:10" x14ac:dyDescent="0.25">
      <c r="A38" s="7">
        <v>36</v>
      </c>
      <c r="B38" s="7">
        <f>'Raw Data'!N39</f>
        <v>18.899999999999999</v>
      </c>
      <c r="C38" s="7">
        <f>'Raw Data'!F39</f>
        <v>5.9329999999999998</v>
      </c>
      <c r="D38" s="7">
        <f>'Raw Data'!A39</f>
        <v>6.4170000000000005E-2</v>
      </c>
      <c r="E38" s="7" t="str">
        <f t="shared" si="0"/>
        <v>Medium</v>
      </c>
      <c r="F38" s="8" t="str">
        <f t="shared" si="1"/>
        <v>Low</v>
      </c>
      <c r="G38" s="7" t="str">
        <f t="shared" si="2"/>
        <v>No</v>
      </c>
      <c r="H38" s="7" t="str">
        <f>IF(OR('Raw Data'!D39=1,D38&lt;0.1),"Yes - Desirable","No")</f>
        <v>Yes - Desirable</v>
      </c>
      <c r="I38" s="7" t="str">
        <f t="shared" si="3"/>
        <v>Safe Area</v>
      </c>
      <c r="J38" s="7" t="str">
        <f t="shared" si="4"/>
        <v>Grade D - Low Value</v>
      </c>
    </row>
    <row r="39" spans="1:10" x14ac:dyDescent="0.25">
      <c r="A39" s="7">
        <v>37</v>
      </c>
      <c r="B39" s="7">
        <f>'Raw Data'!N40</f>
        <v>20</v>
      </c>
      <c r="C39" s="7">
        <f>'Raw Data'!F40</f>
        <v>5.8410000000000002</v>
      </c>
      <c r="D39" s="7">
        <f>'Raw Data'!A40</f>
        <v>9.7439999999999999E-2</v>
      </c>
      <c r="E39" s="7" t="str">
        <f t="shared" si="0"/>
        <v>Medium</v>
      </c>
      <c r="F39" s="8" t="str">
        <f t="shared" si="1"/>
        <v>Low</v>
      </c>
      <c r="G39" s="7" t="str">
        <f t="shared" si="2"/>
        <v>No</v>
      </c>
      <c r="H39" s="7" t="str">
        <f>IF(OR('Raw Data'!D40=1,D39&lt;0.1),"Yes - Desirable","No")</f>
        <v>Yes - Desirable</v>
      </c>
      <c r="I39" s="7" t="str">
        <f t="shared" si="3"/>
        <v>Safe Area</v>
      </c>
      <c r="J39" s="7" t="str">
        <f t="shared" si="4"/>
        <v>Grade C - Average</v>
      </c>
    </row>
    <row r="40" spans="1:10" x14ac:dyDescent="0.25">
      <c r="A40" s="7">
        <v>38</v>
      </c>
      <c r="B40" s="7">
        <f>'Raw Data'!N41</f>
        <v>21</v>
      </c>
      <c r="C40" s="7">
        <f>'Raw Data'!F41</f>
        <v>5.85</v>
      </c>
      <c r="D40" s="7">
        <f>'Raw Data'!A41</f>
        <v>8.0140000000000003E-2</v>
      </c>
      <c r="E40" s="7" t="str">
        <f t="shared" si="0"/>
        <v>Medium</v>
      </c>
      <c r="F40" s="8" t="str">
        <f t="shared" si="1"/>
        <v>Medium</v>
      </c>
      <c r="G40" s="7" t="str">
        <f t="shared" si="2"/>
        <v>No</v>
      </c>
      <c r="H40" s="7" t="str">
        <f>IF(OR('Raw Data'!D41=1,D40&lt;0.1),"Yes - Desirable","No")</f>
        <v>Yes - Desirable</v>
      </c>
      <c r="I40" s="7" t="str">
        <f t="shared" si="3"/>
        <v>Safe Area</v>
      </c>
      <c r="J40" s="7" t="str">
        <f t="shared" si="4"/>
        <v>Grade C - Average</v>
      </c>
    </row>
    <row r="41" spans="1:10" x14ac:dyDescent="0.25">
      <c r="A41" s="7">
        <v>39</v>
      </c>
      <c r="B41" s="7">
        <f>'Raw Data'!N42</f>
        <v>24.7</v>
      </c>
      <c r="C41" s="7">
        <f>'Raw Data'!F42</f>
        <v>5.9660000000000002</v>
      </c>
      <c r="D41" s="7">
        <f>'Raw Data'!A42</f>
        <v>0.17505000000000001</v>
      </c>
      <c r="E41" s="7" t="str">
        <f t="shared" si="0"/>
        <v>Medium</v>
      </c>
      <c r="F41" s="8" t="str">
        <f t="shared" si="1"/>
        <v>Medium</v>
      </c>
      <c r="G41" s="7" t="str">
        <f t="shared" si="2"/>
        <v>No</v>
      </c>
      <c r="H41" s="7" t="str">
        <f>IF(OR('Raw Data'!D42=1,D41&lt;0.1),"Yes - Desirable","No")</f>
        <v>No</v>
      </c>
      <c r="I41" s="7" t="str">
        <f t="shared" si="3"/>
        <v>Safe Area</v>
      </c>
      <c r="J41" s="7" t="str">
        <f t="shared" si="4"/>
        <v>Grade C - Average</v>
      </c>
    </row>
    <row r="42" spans="1:10" x14ac:dyDescent="0.25">
      <c r="A42" s="7">
        <v>40</v>
      </c>
      <c r="B42" s="7">
        <f>'Raw Data'!N43</f>
        <v>30.8</v>
      </c>
      <c r="C42" s="7">
        <f>'Raw Data'!F43</f>
        <v>6.5949999999999998</v>
      </c>
      <c r="D42" s="7">
        <f>'Raw Data'!A43</f>
        <v>2.7629999999999998E-2</v>
      </c>
      <c r="E42" s="7" t="str">
        <f t="shared" si="0"/>
        <v>High</v>
      </c>
      <c r="F42" s="8" t="str">
        <f t="shared" si="1"/>
        <v>High</v>
      </c>
      <c r="G42" s="7" t="str">
        <f t="shared" si="2"/>
        <v>No</v>
      </c>
      <c r="H42" s="7" t="str">
        <f>IF(OR('Raw Data'!D43=1,D42&lt;0.1),"Yes - Desirable","No")</f>
        <v>Yes - Desirable</v>
      </c>
      <c r="I42" s="7" t="str">
        <f t="shared" si="3"/>
        <v>Safe Area</v>
      </c>
      <c r="J42" s="7" t="str">
        <f t="shared" si="4"/>
        <v>Grade C - Average</v>
      </c>
    </row>
    <row r="43" spans="1:10" x14ac:dyDescent="0.25">
      <c r="A43" s="7">
        <v>41</v>
      </c>
      <c r="B43" s="7">
        <f>'Raw Data'!N44</f>
        <v>34.9</v>
      </c>
      <c r="C43" s="7">
        <f>'Raw Data'!F44</f>
        <v>7.024</v>
      </c>
      <c r="D43" s="7">
        <f>'Raw Data'!A44</f>
        <v>3.3590000000000002E-2</v>
      </c>
      <c r="E43" s="7" t="str">
        <f t="shared" si="0"/>
        <v>High</v>
      </c>
      <c r="F43" s="8" t="str">
        <f t="shared" si="1"/>
        <v>High</v>
      </c>
      <c r="G43" s="7" t="str">
        <f t="shared" si="2"/>
        <v>No</v>
      </c>
      <c r="H43" s="7" t="str">
        <f>IF(OR('Raw Data'!D44=1,D43&lt;0.1),"Yes - Desirable","No")</f>
        <v>Yes - Desirable</v>
      </c>
      <c r="I43" s="7" t="str">
        <f t="shared" si="3"/>
        <v>Safe Area</v>
      </c>
      <c r="J43" s="7" t="str">
        <f t="shared" si="4"/>
        <v>Grade C - Average</v>
      </c>
    </row>
    <row r="44" spans="1:10" x14ac:dyDescent="0.25">
      <c r="A44" s="7">
        <v>42</v>
      </c>
      <c r="B44" s="7">
        <f>'Raw Data'!N45</f>
        <v>26.6</v>
      </c>
      <c r="C44" s="7">
        <f>'Raw Data'!F45</f>
        <v>6.77</v>
      </c>
      <c r="D44" s="7">
        <f>'Raw Data'!A45</f>
        <v>0.12744</v>
      </c>
      <c r="E44" s="7" t="str">
        <f t="shared" si="0"/>
        <v>High</v>
      </c>
      <c r="F44" s="8" t="str">
        <f t="shared" si="1"/>
        <v>Medium</v>
      </c>
      <c r="G44" s="7" t="str">
        <f t="shared" si="2"/>
        <v>No</v>
      </c>
      <c r="H44" s="7" t="str">
        <f>IF(OR('Raw Data'!D45=1,D44&lt;0.1),"Yes - Desirable","No")</f>
        <v>No</v>
      </c>
      <c r="I44" s="7" t="str">
        <f t="shared" si="3"/>
        <v>Safe Area</v>
      </c>
      <c r="J44" s="7" t="str">
        <f t="shared" si="4"/>
        <v>Grade C - Average</v>
      </c>
    </row>
    <row r="45" spans="1:10" x14ac:dyDescent="0.25">
      <c r="A45" s="7">
        <v>43</v>
      </c>
      <c r="B45" s="7">
        <f>'Raw Data'!N46</f>
        <v>25.3</v>
      </c>
      <c r="C45" s="7">
        <f>'Raw Data'!F46</f>
        <v>6.1689999999999996</v>
      </c>
      <c r="D45" s="7">
        <f>'Raw Data'!A46</f>
        <v>0.14149999999999999</v>
      </c>
      <c r="E45" s="7" t="str">
        <f t="shared" si="0"/>
        <v>High</v>
      </c>
      <c r="F45" s="8" t="str">
        <f t="shared" si="1"/>
        <v>Medium</v>
      </c>
      <c r="G45" s="7" t="str">
        <f t="shared" si="2"/>
        <v>No</v>
      </c>
      <c r="H45" s="7" t="str">
        <f>IF(OR('Raw Data'!D46=1,D45&lt;0.1),"Yes - Desirable","No")</f>
        <v>No</v>
      </c>
      <c r="I45" s="7" t="str">
        <f t="shared" si="3"/>
        <v>Safe Area</v>
      </c>
      <c r="J45" s="7" t="str">
        <f t="shared" si="4"/>
        <v>Grade C - Average</v>
      </c>
    </row>
    <row r="46" spans="1:10" x14ac:dyDescent="0.25">
      <c r="A46" s="7">
        <v>44</v>
      </c>
      <c r="B46" s="7">
        <f>'Raw Data'!N47</f>
        <v>24.7</v>
      </c>
      <c r="C46" s="7">
        <f>'Raw Data'!F47</f>
        <v>6.2110000000000003</v>
      </c>
      <c r="D46" s="7">
        <f>'Raw Data'!A47</f>
        <v>0.15936</v>
      </c>
      <c r="E46" s="7" t="str">
        <f t="shared" si="0"/>
        <v>Medium</v>
      </c>
      <c r="F46" s="8" t="str">
        <f t="shared" si="1"/>
        <v>Medium</v>
      </c>
      <c r="G46" s="7" t="str">
        <f t="shared" si="2"/>
        <v>No</v>
      </c>
      <c r="H46" s="7" t="str">
        <f>IF(OR('Raw Data'!D47=1,D46&lt;0.1),"Yes - Desirable","No")</f>
        <v>No</v>
      </c>
      <c r="I46" s="7" t="str">
        <f t="shared" si="3"/>
        <v>Safe Area</v>
      </c>
      <c r="J46" s="7" t="str">
        <f t="shared" si="4"/>
        <v>Grade C - Average</v>
      </c>
    </row>
    <row r="47" spans="1:10" x14ac:dyDescent="0.25">
      <c r="A47" s="7">
        <v>45</v>
      </c>
      <c r="B47" s="7">
        <f>'Raw Data'!N48</f>
        <v>21.2</v>
      </c>
      <c r="C47" s="7">
        <f>'Raw Data'!F48</f>
        <v>6.069</v>
      </c>
      <c r="D47" s="7">
        <f>'Raw Data'!A48</f>
        <v>0.12268999999999999</v>
      </c>
      <c r="E47" s="7" t="str">
        <f t="shared" si="0"/>
        <v>Medium</v>
      </c>
      <c r="F47" s="8" t="str">
        <f t="shared" si="1"/>
        <v>Medium</v>
      </c>
      <c r="G47" s="7" t="str">
        <f t="shared" si="2"/>
        <v>Yes - Affordable &amp; Spacious</v>
      </c>
      <c r="H47" s="7" t="str">
        <f>IF(OR('Raw Data'!D48=1,D47&lt;0.1),"Yes - Desirable","No")</f>
        <v>No</v>
      </c>
      <c r="I47" s="7" t="str">
        <f t="shared" si="3"/>
        <v>Safe Area</v>
      </c>
      <c r="J47" s="7" t="str">
        <f t="shared" si="4"/>
        <v>Grade C - Average</v>
      </c>
    </row>
    <row r="48" spans="1:10" x14ac:dyDescent="0.25">
      <c r="A48" s="7">
        <v>46</v>
      </c>
      <c r="B48" s="7">
        <f>'Raw Data'!N49</f>
        <v>19.3</v>
      </c>
      <c r="C48" s="7">
        <f>'Raw Data'!F49</f>
        <v>5.6820000000000004</v>
      </c>
      <c r="D48" s="7">
        <f>'Raw Data'!A49</f>
        <v>0.17141999999999999</v>
      </c>
      <c r="E48" s="7" t="str">
        <f t="shared" si="0"/>
        <v>Medium</v>
      </c>
      <c r="F48" s="8" t="str">
        <f t="shared" si="1"/>
        <v>Low</v>
      </c>
      <c r="G48" s="7" t="str">
        <f t="shared" si="2"/>
        <v>No</v>
      </c>
      <c r="H48" s="7" t="str">
        <f>IF(OR('Raw Data'!D49=1,D48&lt;0.1),"Yes - Desirable","No")</f>
        <v>No</v>
      </c>
      <c r="I48" s="7" t="str">
        <f t="shared" si="3"/>
        <v>Safe Area</v>
      </c>
      <c r="J48" s="7" t="str">
        <f t="shared" si="4"/>
        <v>Grade D - Low Value</v>
      </c>
    </row>
    <row r="49" spans="1:10" x14ac:dyDescent="0.25">
      <c r="A49" s="7">
        <v>47</v>
      </c>
      <c r="B49" s="7">
        <f>'Raw Data'!N50</f>
        <v>20</v>
      </c>
      <c r="C49" s="7">
        <f>'Raw Data'!F50</f>
        <v>5.7859999999999996</v>
      </c>
      <c r="D49" s="7">
        <f>'Raw Data'!A50</f>
        <v>0.18836</v>
      </c>
      <c r="E49" s="7" t="str">
        <f t="shared" si="0"/>
        <v>Medium</v>
      </c>
      <c r="F49" s="8" t="str">
        <f t="shared" si="1"/>
        <v>Low</v>
      </c>
      <c r="G49" s="7" t="str">
        <f t="shared" si="2"/>
        <v>No</v>
      </c>
      <c r="H49" s="7" t="str">
        <f>IF(OR('Raw Data'!D50=1,D49&lt;0.1),"Yes - Desirable","No")</f>
        <v>No</v>
      </c>
      <c r="I49" s="7" t="str">
        <f t="shared" si="3"/>
        <v>Safe Area</v>
      </c>
      <c r="J49" s="7" t="str">
        <f t="shared" si="4"/>
        <v>Grade C - Average</v>
      </c>
    </row>
    <row r="50" spans="1:10" x14ac:dyDescent="0.25">
      <c r="A50" s="7">
        <v>48</v>
      </c>
      <c r="B50" s="7">
        <f>'Raw Data'!N51</f>
        <v>16.600000000000001</v>
      </c>
      <c r="C50" s="7">
        <f>'Raw Data'!F51</f>
        <v>6.03</v>
      </c>
      <c r="D50" s="7">
        <f>'Raw Data'!A51</f>
        <v>0.22927</v>
      </c>
      <c r="E50" s="7" t="str">
        <f t="shared" si="0"/>
        <v>Medium</v>
      </c>
      <c r="F50" s="8" t="str">
        <f t="shared" si="1"/>
        <v>Low</v>
      </c>
      <c r="G50" s="7" t="str">
        <f t="shared" si="2"/>
        <v>Yes - Affordable &amp; Spacious</v>
      </c>
      <c r="H50" s="7" t="str">
        <f>IF(OR('Raw Data'!D51=1,D50&lt;0.1),"Yes - Desirable","No")</f>
        <v>No</v>
      </c>
      <c r="I50" s="7" t="str">
        <f t="shared" si="3"/>
        <v>Safe Area</v>
      </c>
      <c r="J50" s="7" t="str">
        <f t="shared" si="4"/>
        <v>Grade D - Low Value</v>
      </c>
    </row>
    <row r="51" spans="1:10" x14ac:dyDescent="0.25">
      <c r="A51" s="7">
        <v>49</v>
      </c>
      <c r="B51" s="7">
        <f>'Raw Data'!N52</f>
        <v>14.4</v>
      </c>
      <c r="C51" s="7">
        <f>'Raw Data'!F52</f>
        <v>5.399</v>
      </c>
      <c r="D51" s="7">
        <f>'Raw Data'!A52</f>
        <v>0.25386999999999998</v>
      </c>
      <c r="E51" s="7" t="str">
        <f t="shared" si="0"/>
        <v>Low</v>
      </c>
      <c r="F51" s="8" t="str">
        <f t="shared" si="1"/>
        <v>Low</v>
      </c>
      <c r="G51" s="7" t="str">
        <f t="shared" si="2"/>
        <v>No</v>
      </c>
      <c r="H51" s="7" t="str">
        <f>IF(OR('Raw Data'!D52=1,D51&lt;0.1),"Yes - Desirable","No")</f>
        <v>No</v>
      </c>
      <c r="I51" s="7" t="str">
        <f t="shared" si="3"/>
        <v>Safe Area</v>
      </c>
      <c r="J51" s="7" t="str">
        <f t="shared" si="4"/>
        <v>Grade D - Low Value</v>
      </c>
    </row>
    <row r="52" spans="1:10" x14ac:dyDescent="0.25">
      <c r="A52" s="7">
        <v>50</v>
      </c>
      <c r="B52" s="7">
        <f>'Raw Data'!N53</f>
        <v>19.399999999999999</v>
      </c>
      <c r="C52" s="7">
        <f>'Raw Data'!F53</f>
        <v>5.6020000000000003</v>
      </c>
      <c r="D52" s="7">
        <f>'Raw Data'!A53</f>
        <v>0.21976999999999999</v>
      </c>
      <c r="E52" s="7" t="str">
        <f t="shared" si="0"/>
        <v>Medium</v>
      </c>
      <c r="F52" s="8" t="str">
        <f t="shared" si="1"/>
        <v>Low</v>
      </c>
      <c r="G52" s="7" t="str">
        <f t="shared" si="2"/>
        <v>No</v>
      </c>
      <c r="H52" s="7" t="str">
        <f>IF(OR('Raw Data'!D53=1,D52&lt;0.1),"Yes - Desirable","No")</f>
        <v>No</v>
      </c>
      <c r="I52" s="7" t="str">
        <f t="shared" si="3"/>
        <v>Safe Area</v>
      </c>
      <c r="J52" s="7" t="str">
        <f t="shared" si="4"/>
        <v>Grade D - Low Value</v>
      </c>
    </row>
    <row r="53" spans="1:10" x14ac:dyDescent="0.25">
      <c r="A53" s="7">
        <v>51</v>
      </c>
      <c r="B53" s="7">
        <f>'Raw Data'!N54</f>
        <v>19.7</v>
      </c>
      <c r="C53" s="7">
        <f>'Raw Data'!F54</f>
        <v>5.9630000000000001</v>
      </c>
      <c r="D53" s="7">
        <f>'Raw Data'!A54</f>
        <v>8.8730000000000003E-2</v>
      </c>
      <c r="E53" s="7" t="str">
        <f t="shared" si="0"/>
        <v>Medium</v>
      </c>
      <c r="F53" s="8" t="str">
        <f t="shared" si="1"/>
        <v>Low</v>
      </c>
      <c r="G53" s="7" t="str">
        <f t="shared" si="2"/>
        <v>No</v>
      </c>
      <c r="H53" s="7" t="str">
        <f>IF(OR('Raw Data'!D54=1,D53&lt;0.1),"Yes - Desirable","No")</f>
        <v>Yes - Desirable</v>
      </c>
      <c r="I53" s="7" t="str">
        <f t="shared" si="3"/>
        <v>Safe Area</v>
      </c>
      <c r="J53" s="7" t="str">
        <f t="shared" si="4"/>
        <v>Grade D - Low Value</v>
      </c>
    </row>
    <row r="54" spans="1:10" x14ac:dyDescent="0.25">
      <c r="A54" s="7">
        <v>52</v>
      </c>
      <c r="B54" s="7">
        <f>'Raw Data'!N55</f>
        <v>20.5</v>
      </c>
      <c r="C54" s="7">
        <f>'Raw Data'!F55</f>
        <v>6.1150000000000002</v>
      </c>
      <c r="D54" s="7">
        <f>'Raw Data'!A55</f>
        <v>4.3369999999999999E-2</v>
      </c>
      <c r="E54" s="7" t="str">
        <f t="shared" si="0"/>
        <v>Medium</v>
      </c>
      <c r="F54" s="8" t="str">
        <f t="shared" si="1"/>
        <v>Medium</v>
      </c>
      <c r="G54" s="7" t="str">
        <f t="shared" si="2"/>
        <v>Yes - Affordable &amp; Spacious</v>
      </c>
      <c r="H54" s="7" t="str">
        <f>IF(OR('Raw Data'!D55=1,D54&lt;0.1),"Yes - Desirable","No")</f>
        <v>Yes - Desirable</v>
      </c>
      <c r="I54" s="7" t="str">
        <f t="shared" si="3"/>
        <v>Safe Area</v>
      </c>
      <c r="J54" s="7" t="str">
        <f t="shared" si="4"/>
        <v>Grade C - Average</v>
      </c>
    </row>
    <row r="55" spans="1:10" x14ac:dyDescent="0.25">
      <c r="A55" s="7">
        <v>53</v>
      </c>
      <c r="B55" s="7">
        <f>'Raw Data'!N56</f>
        <v>25</v>
      </c>
      <c r="C55" s="7">
        <f>'Raw Data'!F56</f>
        <v>6.5110000000000001</v>
      </c>
      <c r="D55" s="7">
        <f>'Raw Data'!A56</f>
        <v>5.3600000000000002E-2</v>
      </c>
      <c r="E55" s="7" t="str">
        <f t="shared" si="0"/>
        <v>Medium</v>
      </c>
      <c r="F55" s="8" t="str">
        <f t="shared" si="1"/>
        <v>Medium</v>
      </c>
      <c r="G55" s="7" t="str">
        <f t="shared" si="2"/>
        <v>No</v>
      </c>
      <c r="H55" s="7" t="str">
        <f>IF(OR('Raw Data'!D56=1,D55&lt;0.1),"Yes - Desirable","No")</f>
        <v>Yes - Desirable</v>
      </c>
      <c r="I55" s="7" t="str">
        <f t="shared" si="3"/>
        <v>Safe Area</v>
      </c>
      <c r="J55" s="7" t="str">
        <f t="shared" si="4"/>
        <v>Grade C - Average</v>
      </c>
    </row>
    <row r="56" spans="1:10" x14ac:dyDescent="0.25">
      <c r="A56" s="7">
        <v>54</v>
      </c>
      <c r="B56" s="7">
        <f>'Raw Data'!N57</f>
        <v>23.4</v>
      </c>
      <c r="C56" s="7">
        <f>'Raw Data'!F57</f>
        <v>5.9980000000000002</v>
      </c>
      <c r="D56" s="7">
        <f>'Raw Data'!A57</f>
        <v>4.981E-2</v>
      </c>
      <c r="E56" s="7" t="str">
        <f t="shared" si="0"/>
        <v>Medium</v>
      </c>
      <c r="F56" s="8" t="str">
        <f t="shared" si="1"/>
        <v>Medium</v>
      </c>
      <c r="G56" s="7" t="str">
        <f t="shared" si="2"/>
        <v>No</v>
      </c>
      <c r="H56" s="7" t="str">
        <f>IF(OR('Raw Data'!D57=1,D56&lt;0.1),"Yes - Desirable","No")</f>
        <v>Yes - Desirable</v>
      </c>
      <c r="I56" s="7" t="str">
        <f t="shared" si="3"/>
        <v>Safe Area</v>
      </c>
      <c r="J56" s="7" t="str">
        <f t="shared" si="4"/>
        <v>Grade C - Average</v>
      </c>
    </row>
    <row r="57" spans="1:10" x14ac:dyDescent="0.25">
      <c r="A57" s="7">
        <v>55</v>
      </c>
      <c r="B57" s="7">
        <f>'Raw Data'!N58</f>
        <v>18.899999999999999</v>
      </c>
      <c r="C57" s="7">
        <f>'Raw Data'!F58</f>
        <v>5.8879999999999999</v>
      </c>
      <c r="D57" s="7">
        <f>'Raw Data'!A58</f>
        <v>1.3599999999999999E-2</v>
      </c>
      <c r="E57" s="7" t="str">
        <f t="shared" si="0"/>
        <v>Medium</v>
      </c>
      <c r="F57" s="8" t="str">
        <f t="shared" si="1"/>
        <v>Low</v>
      </c>
      <c r="G57" s="7" t="str">
        <f t="shared" si="2"/>
        <v>No</v>
      </c>
      <c r="H57" s="7" t="str">
        <f>IF(OR('Raw Data'!D58=1,D57&lt;0.1),"Yes - Desirable","No")</f>
        <v>Yes - Desirable</v>
      </c>
      <c r="I57" s="7" t="str">
        <f t="shared" si="3"/>
        <v>Safe Area</v>
      </c>
      <c r="J57" s="7" t="str">
        <f t="shared" si="4"/>
        <v>Grade D - Low Value</v>
      </c>
    </row>
    <row r="58" spans="1:10" x14ac:dyDescent="0.25">
      <c r="A58" s="7">
        <v>56</v>
      </c>
      <c r="B58" s="7">
        <f>'Raw Data'!N59</f>
        <v>35.4</v>
      </c>
      <c r="C58" s="7">
        <f>'Raw Data'!F59</f>
        <v>7.2489999999999997</v>
      </c>
      <c r="D58" s="7">
        <f>'Raw Data'!A59</f>
        <v>1.311E-2</v>
      </c>
      <c r="E58" s="7" t="str">
        <f t="shared" si="0"/>
        <v>High</v>
      </c>
      <c r="F58" s="8" t="str">
        <f t="shared" si="1"/>
        <v>High</v>
      </c>
      <c r="G58" s="7" t="str">
        <f t="shared" si="2"/>
        <v>No</v>
      </c>
      <c r="H58" s="7" t="str">
        <f>IF(OR('Raw Data'!D59=1,D58&lt;0.1),"Yes - Desirable","No")</f>
        <v>Yes - Desirable</v>
      </c>
      <c r="I58" s="7" t="str">
        <f t="shared" si="3"/>
        <v>Safe Area</v>
      </c>
      <c r="J58" s="7" t="str">
        <f t="shared" si="4"/>
        <v>Grade A - Premium</v>
      </c>
    </row>
    <row r="59" spans="1:10" x14ac:dyDescent="0.25">
      <c r="A59" s="7">
        <v>57</v>
      </c>
      <c r="B59" s="7">
        <f>'Raw Data'!N60</f>
        <v>24.7</v>
      </c>
      <c r="C59" s="7">
        <f>'Raw Data'!F60</f>
        <v>6.383</v>
      </c>
      <c r="D59" s="7">
        <f>'Raw Data'!A60</f>
        <v>2.0549999999999999E-2</v>
      </c>
      <c r="E59" s="7" t="str">
        <f t="shared" si="0"/>
        <v>Medium</v>
      </c>
      <c r="F59" s="8" t="str">
        <f t="shared" si="1"/>
        <v>Medium</v>
      </c>
      <c r="G59" s="7" t="str">
        <f t="shared" si="2"/>
        <v>No</v>
      </c>
      <c r="H59" s="7" t="str">
        <f>IF(OR('Raw Data'!D60=1,D59&lt;0.1),"Yes - Desirable","No")</f>
        <v>Yes - Desirable</v>
      </c>
      <c r="I59" s="7" t="str">
        <f t="shared" si="3"/>
        <v>Safe Area</v>
      </c>
      <c r="J59" s="7" t="str">
        <f t="shared" si="4"/>
        <v>Grade C - Average</v>
      </c>
    </row>
    <row r="60" spans="1:10" x14ac:dyDescent="0.25">
      <c r="A60" s="7">
        <v>58</v>
      </c>
      <c r="B60" s="7">
        <f>'Raw Data'!N61</f>
        <v>31.6</v>
      </c>
      <c r="C60" s="7">
        <f>'Raw Data'!F61</f>
        <v>6.8159999999999998</v>
      </c>
      <c r="D60" s="7">
        <f>'Raw Data'!A61</f>
        <v>1.4319999999999999E-2</v>
      </c>
      <c r="E60" s="7" t="str">
        <f t="shared" si="0"/>
        <v>High</v>
      </c>
      <c r="F60" s="8" t="str">
        <f t="shared" si="1"/>
        <v>High</v>
      </c>
      <c r="G60" s="7" t="str">
        <f t="shared" si="2"/>
        <v>No</v>
      </c>
      <c r="H60" s="7" t="str">
        <f>IF(OR('Raw Data'!D61=1,D60&lt;0.1),"Yes - Desirable","No")</f>
        <v>Yes - Desirable</v>
      </c>
      <c r="I60" s="7" t="str">
        <f t="shared" si="3"/>
        <v>Safe Area</v>
      </c>
      <c r="J60" s="7" t="str">
        <f t="shared" si="4"/>
        <v>Grade C - Average</v>
      </c>
    </row>
    <row r="61" spans="1:10" x14ac:dyDescent="0.25">
      <c r="A61" s="7">
        <v>59</v>
      </c>
      <c r="B61" s="7">
        <f>'Raw Data'!N62</f>
        <v>23.3</v>
      </c>
      <c r="C61" s="7">
        <f>'Raw Data'!F62</f>
        <v>6.1449999999999996</v>
      </c>
      <c r="D61" s="7">
        <f>'Raw Data'!A62</f>
        <v>0.15445</v>
      </c>
      <c r="E61" s="7" t="str">
        <f t="shared" si="0"/>
        <v>Medium</v>
      </c>
      <c r="F61" s="8" t="str">
        <f t="shared" si="1"/>
        <v>Medium</v>
      </c>
      <c r="G61" s="7" t="str">
        <f t="shared" si="2"/>
        <v>No</v>
      </c>
      <c r="H61" s="7" t="str">
        <f>IF(OR('Raw Data'!D62=1,D61&lt;0.1),"Yes - Desirable","No")</f>
        <v>No</v>
      </c>
      <c r="I61" s="7" t="str">
        <f t="shared" si="3"/>
        <v>Safe Area</v>
      </c>
      <c r="J61" s="7" t="str">
        <f t="shared" si="4"/>
        <v>Grade C - Average</v>
      </c>
    </row>
    <row r="62" spans="1:10" x14ac:dyDescent="0.25">
      <c r="A62" s="7">
        <v>60</v>
      </c>
      <c r="B62" s="7">
        <f>'Raw Data'!N63</f>
        <v>19.600000000000001</v>
      </c>
      <c r="C62" s="7">
        <f>'Raw Data'!F63</f>
        <v>5.9269999999999996</v>
      </c>
      <c r="D62" s="7">
        <f>'Raw Data'!A63</f>
        <v>0.10328</v>
      </c>
      <c r="E62" s="7" t="str">
        <f t="shared" si="0"/>
        <v>Medium</v>
      </c>
      <c r="F62" s="8" t="str">
        <f t="shared" si="1"/>
        <v>Low</v>
      </c>
      <c r="G62" s="7" t="str">
        <f t="shared" si="2"/>
        <v>No</v>
      </c>
      <c r="H62" s="7" t="str">
        <f>IF(OR('Raw Data'!D63=1,D62&lt;0.1),"Yes - Desirable","No")</f>
        <v>No</v>
      </c>
      <c r="I62" s="7" t="str">
        <f t="shared" si="3"/>
        <v>Safe Area</v>
      </c>
      <c r="J62" s="7" t="str">
        <f t="shared" si="4"/>
        <v>Grade D - Low Value</v>
      </c>
    </row>
    <row r="63" spans="1:10" x14ac:dyDescent="0.25">
      <c r="A63" s="7">
        <v>61</v>
      </c>
      <c r="B63" s="7">
        <f>'Raw Data'!N64</f>
        <v>18.7</v>
      </c>
      <c r="C63" s="7">
        <f>'Raw Data'!F64</f>
        <v>5.7409999999999997</v>
      </c>
      <c r="D63" s="7">
        <f>'Raw Data'!A64</f>
        <v>0.14932000000000001</v>
      </c>
      <c r="E63" s="7" t="str">
        <f t="shared" si="0"/>
        <v>Medium</v>
      </c>
      <c r="F63" s="8" t="str">
        <f t="shared" si="1"/>
        <v>Low</v>
      </c>
      <c r="G63" s="7" t="str">
        <f t="shared" si="2"/>
        <v>No</v>
      </c>
      <c r="H63" s="7" t="str">
        <f>IF(OR('Raw Data'!D64=1,D63&lt;0.1),"Yes - Desirable","No")</f>
        <v>No</v>
      </c>
      <c r="I63" s="7" t="str">
        <f t="shared" si="3"/>
        <v>Safe Area</v>
      </c>
      <c r="J63" s="7" t="str">
        <f t="shared" si="4"/>
        <v>Grade D - Low Value</v>
      </c>
    </row>
    <row r="64" spans="1:10" x14ac:dyDescent="0.25">
      <c r="A64" s="7">
        <v>62</v>
      </c>
      <c r="B64" s="7">
        <f>'Raw Data'!N65</f>
        <v>16</v>
      </c>
      <c r="C64" s="7">
        <f>'Raw Data'!F65</f>
        <v>5.9660000000000002</v>
      </c>
      <c r="D64" s="7">
        <f>'Raw Data'!A65</f>
        <v>0.17171</v>
      </c>
      <c r="E64" s="7" t="str">
        <f t="shared" si="0"/>
        <v>Medium</v>
      </c>
      <c r="F64" s="8" t="str">
        <f t="shared" si="1"/>
        <v>Low</v>
      </c>
      <c r="G64" s="7" t="str">
        <f t="shared" si="2"/>
        <v>No</v>
      </c>
      <c r="H64" s="7" t="str">
        <f>IF(OR('Raw Data'!D65=1,D64&lt;0.1),"Yes - Desirable","No")</f>
        <v>No</v>
      </c>
      <c r="I64" s="7" t="str">
        <f t="shared" si="3"/>
        <v>Safe Area</v>
      </c>
      <c r="J64" s="7" t="str">
        <f t="shared" si="4"/>
        <v>Grade D - Low Value</v>
      </c>
    </row>
    <row r="65" spans="1:10" x14ac:dyDescent="0.25">
      <c r="A65" s="7">
        <v>63</v>
      </c>
      <c r="B65" s="7">
        <f>'Raw Data'!N66</f>
        <v>22.2</v>
      </c>
      <c r="C65" s="7">
        <f>'Raw Data'!F66</f>
        <v>6.4560000000000004</v>
      </c>
      <c r="D65" s="7">
        <f>'Raw Data'!A66</f>
        <v>0.11027000000000001</v>
      </c>
      <c r="E65" s="7" t="str">
        <f t="shared" si="0"/>
        <v>Medium</v>
      </c>
      <c r="F65" s="8" t="str">
        <f t="shared" si="1"/>
        <v>Medium</v>
      </c>
      <c r="G65" s="7" t="str">
        <f t="shared" si="2"/>
        <v>No</v>
      </c>
      <c r="H65" s="7" t="str">
        <f>IF(OR('Raw Data'!D66=1,D65&lt;0.1),"Yes - Desirable","No")</f>
        <v>No</v>
      </c>
      <c r="I65" s="7" t="str">
        <f t="shared" si="3"/>
        <v>Safe Area</v>
      </c>
      <c r="J65" s="7" t="str">
        <f t="shared" si="4"/>
        <v>Grade C - Average</v>
      </c>
    </row>
    <row r="66" spans="1:10" x14ac:dyDescent="0.25">
      <c r="A66" s="7">
        <v>64</v>
      </c>
      <c r="B66" s="7">
        <f>'Raw Data'!N67</f>
        <v>25</v>
      </c>
      <c r="C66" s="7">
        <f>'Raw Data'!F67</f>
        <v>6.7619999999999996</v>
      </c>
      <c r="D66" s="7">
        <f>'Raw Data'!A67</f>
        <v>0.1265</v>
      </c>
      <c r="E66" s="7" t="str">
        <f t="shared" si="0"/>
        <v>Medium</v>
      </c>
      <c r="F66" s="8" t="str">
        <f t="shared" si="1"/>
        <v>Medium</v>
      </c>
      <c r="G66" s="7" t="str">
        <f t="shared" si="2"/>
        <v>No</v>
      </c>
      <c r="H66" s="7" t="str">
        <f>IF(OR('Raw Data'!D67=1,D66&lt;0.1),"Yes - Desirable","No")</f>
        <v>No</v>
      </c>
      <c r="I66" s="7" t="str">
        <f t="shared" si="3"/>
        <v>Safe Area</v>
      </c>
      <c r="J66" s="7" t="str">
        <f t="shared" si="4"/>
        <v>Grade C - Average</v>
      </c>
    </row>
    <row r="67" spans="1:10" x14ac:dyDescent="0.25">
      <c r="A67" s="7">
        <v>65</v>
      </c>
      <c r="B67" s="7">
        <f>'Raw Data'!N68</f>
        <v>33</v>
      </c>
      <c r="C67" s="7">
        <f>'Raw Data'!F68</f>
        <v>7.1040000000000001</v>
      </c>
      <c r="D67" s="7">
        <f>'Raw Data'!A68</f>
        <v>1.951E-2</v>
      </c>
      <c r="E67" s="7" t="str">
        <f t="shared" si="0"/>
        <v>High</v>
      </c>
      <c r="F67" s="8" t="str">
        <f t="shared" si="1"/>
        <v>High</v>
      </c>
      <c r="G67" s="7" t="str">
        <f t="shared" si="2"/>
        <v>No</v>
      </c>
      <c r="H67" s="7" t="str">
        <f>IF(OR('Raw Data'!D68=1,D67&lt;0.1),"Yes - Desirable","No")</f>
        <v>Yes - Desirable</v>
      </c>
      <c r="I67" s="7" t="str">
        <f t="shared" si="3"/>
        <v>Safe Area</v>
      </c>
      <c r="J67" s="7" t="str">
        <f t="shared" si="4"/>
        <v>Grade C - Average</v>
      </c>
    </row>
    <row r="68" spans="1:10" x14ac:dyDescent="0.25">
      <c r="A68" s="7">
        <v>66</v>
      </c>
      <c r="B68" s="7">
        <f>'Raw Data'!N69</f>
        <v>23.5</v>
      </c>
      <c r="C68" s="7">
        <f>'Raw Data'!F69</f>
        <v>6.29</v>
      </c>
      <c r="D68" s="7">
        <f>'Raw Data'!A69</f>
        <v>3.5839999999999997E-2</v>
      </c>
      <c r="E68" s="7" t="str">
        <f t="shared" ref="E68:E131" si="5">IF(B68&lt;=15,"Low",IF(B68&lt;=25,"Medium","High"))</f>
        <v>Medium</v>
      </c>
      <c r="F68" s="8" t="str">
        <f t="shared" ref="F68:F131" si="6">IF(B68&lt;=10,"Very Low",IF(B68&lt;=20,"Low",IF(B68&lt;=30,"Medium",IF(B68&lt;=40,"High","Very High"))))</f>
        <v>Medium</v>
      </c>
      <c r="G68" s="7" t="str">
        <f t="shared" ref="G68:G131" si="7">IF(AND(B68&lt;=22,C68&gt;=6),"Yes - Affordable &amp; Spacious","No")</f>
        <v>No</v>
      </c>
      <c r="H68" s="7" t="str">
        <f>IF(OR('Raw Data'!D69=1,D68&lt;0.1),"Yes - Desirable","No")</f>
        <v>Yes - Desirable</v>
      </c>
      <c r="I68" s="7" t="str">
        <f t="shared" ref="I68:I131" si="8">IF(NOT(D68&gt;=1),"Safe Area","High Crime")</f>
        <v>Safe Area</v>
      </c>
      <c r="J68" s="7" t="str">
        <f t="shared" ref="J68:J131" si="9">IF(B68&gt;=35,IF(D68&lt;0.5,"Grade A - Premium","Grade B - Good"),IF(B68&gt;=20,"Grade C - Average","Grade D - Low Value"))</f>
        <v>Grade C - Average</v>
      </c>
    </row>
    <row r="69" spans="1:10" x14ac:dyDescent="0.25">
      <c r="A69" s="7">
        <v>67</v>
      </c>
      <c r="B69" s="7">
        <f>'Raw Data'!N70</f>
        <v>19.399999999999999</v>
      </c>
      <c r="C69" s="7">
        <f>'Raw Data'!F70</f>
        <v>5.7869999999999999</v>
      </c>
      <c r="D69" s="7">
        <f>'Raw Data'!A70</f>
        <v>4.3790000000000003E-2</v>
      </c>
      <c r="E69" s="7" t="str">
        <f t="shared" si="5"/>
        <v>Medium</v>
      </c>
      <c r="F69" s="8" t="str">
        <f t="shared" si="6"/>
        <v>Low</v>
      </c>
      <c r="G69" s="7" t="str">
        <f t="shared" si="7"/>
        <v>No</v>
      </c>
      <c r="H69" s="7" t="str">
        <f>IF(OR('Raw Data'!D70=1,D69&lt;0.1),"Yes - Desirable","No")</f>
        <v>Yes - Desirable</v>
      </c>
      <c r="I69" s="7" t="str">
        <f t="shared" si="8"/>
        <v>Safe Area</v>
      </c>
      <c r="J69" s="7" t="str">
        <f t="shared" si="9"/>
        <v>Grade D - Low Value</v>
      </c>
    </row>
    <row r="70" spans="1:10" x14ac:dyDescent="0.25">
      <c r="A70" s="7">
        <v>68</v>
      </c>
      <c r="B70" s="7">
        <f>'Raw Data'!N71</f>
        <v>22</v>
      </c>
      <c r="C70" s="7">
        <f>'Raw Data'!F71</f>
        <v>5.8780000000000001</v>
      </c>
      <c r="D70" s="7">
        <f>'Raw Data'!A71</f>
        <v>5.7889999999999997E-2</v>
      </c>
      <c r="E70" s="7" t="str">
        <f t="shared" si="5"/>
        <v>Medium</v>
      </c>
      <c r="F70" s="8" t="str">
        <f t="shared" si="6"/>
        <v>Medium</v>
      </c>
      <c r="G70" s="7" t="str">
        <f t="shared" si="7"/>
        <v>No</v>
      </c>
      <c r="H70" s="7" t="str">
        <f>IF(OR('Raw Data'!D71=1,D70&lt;0.1),"Yes - Desirable","No")</f>
        <v>Yes - Desirable</v>
      </c>
      <c r="I70" s="7" t="str">
        <f t="shared" si="8"/>
        <v>Safe Area</v>
      </c>
      <c r="J70" s="7" t="str">
        <f t="shared" si="9"/>
        <v>Grade C - Average</v>
      </c>
    </row>
    <row r="71" spans="1:10" x14ac:dyDescent="0.25">
      <c r="A71" s="7">
        <v>69</v>
      </c>
      <c r="B71" s="7">
        <f>'Raw Data'!N72</f>
        <v>17.399999999999999</v>
      </c>
      <c r="C71" s="7">
        <f>'Raw Data'!F72</f>
        <v>5.5940000000000003</v>
      </c>
      <c r="D71" s="7">
        <f>'Raw Data'!A72</f>
        <v>0.13553999999999999</v>
      </c>
      <c r="E71" s="7" t="str">
        <f t="shared" si="5"/>
        <v>Medium</v>
      </c>
      <c r="F71" s="8" t="str">
        <f t="shared" si="6"/>
        <v>Low</v>
      </c>
      <c r="G71" s="7" t="str">
        <f t="shared" si="7"/>
        <v>No</v>
      </c>
      <c r="H71" s="7" t="str">
        <f>IF(OR('Raw Data'!D72=1,D71&lt;0.1),"Yes - Desirable","No")</f>
        <v>No</v>
      </c>
      <c r="I71" s="7" t="str">
        <f t="shared" si="8"/>
        <v>Safe Area</v>
      </c>
      <c r="J71" s="7" t="str">
        <f t="shared" si="9"/>
        <v>Grade D - Low Value</v>
      </c>
    </row>
    <row r="72" spans="1:10" x14ac:dyDescent="0.25">
      <c r="A72" s="7">
        <v>70</v>
      </c>
      <c r="B72" s="7">
        <f>'Raw Data'!N73</f>
        <v>20.9</v>
      </c>
      <c r="C72" s="7">
        <f>'Raw Data'!F73</f>
        <v>5.8849999999999998</v>
      </c>
      <c r="D72" s="7">
        <f>'Raw Data'!A73</f>
        <v>0.12816</v>
      </c>
      <c r="E72" s="7" t="str">
        <f t="shared" si="5"/>
        <v>Medium</v>
      </c>
      <c r="F72" s="8" t="str">
        <f t="shared" si="6"/>
        <v>Medium</v>
      </c>
      <c r="G72" s="7" t="str">
        <f t="shared" si="7"/>
        <v>No</v>
      </c>
      <c r="H72" s="7" t="str">
        <f>IF(OR('Raw Data'!D73=1,D72&lt;0.1),"Yes - Desirable","No")</f>
        <v>No</v>
      </c>
      <c r="I72" s="7" t="str">
        <f t="shared" si="8"/>
        <v>Safe Area</v>
      </c>
      <c r="J72" s="7" t="str">
        <f t="shared" si="9"/>
        <v>Grade C - Average</v>
      </c>
    </row>
    <row r="73" spans="1:10" x14ac:dyDescent="0.25">
      <c r="A73" s="7">
        <v>71</v>
      </c>
      <c r="B73" s="7">
        <f>'Raw Data'!N74</f>
        <v>24.2</v>
      </c>
      <c r="C73" s="7">
        <f>'Raw Data'!F74</f>
        <v>6.4169999999999998</v>
      </c>
      <c r="D73" s="7">
        <f>'Raw Data'!A74</f>
        <v>8.8260000000000005E-2</v>
      </c>
      <c r="E73" s="7" t="str">
        <f t="shared" si="5"/>
        <v>Medium</v>
      </c>
      <c r="F73" s="8" t="str">
        <f t="shared" si="6"/>
        <v>Medium</v>
      </c>
      <c r="G73" s="7" t="str">
        <f t="shared" si="7"/>
        <v>No</v>
      </c>
      <c r="H73" s="7" t="str">
        <f>IF(OR('Raw Data'!D74=1,D73&lt;0.1),"Yes - Desirable","No")</f>
        <v>Yes - Desirable</v>
      </c>
      <c r="I73" s="7" t="str">
        <f t="shared" si="8"/>
        <v>Safe Area</v>
      </c>
      <c r="J73" s="7" t="str">
        <f t="shared" si="9"/>
        <v>Grade C - Average</v>
      </c>
    </row>
    <row r="74" spans="1:10" x14ac:dyDescent="0.25">
      <c r="A74" s="7">
        <v>72</v>
      </c>
      <c r="B74" s="7">
        <f>'Raw Data'!N75</f>
        <v>21.7</v>
      </c>
      <c r="C74" s="7">
        <f>'Raw Data'!F75</f>
        <v>5.9610000000000003</v>
      </c>
      <c r="D74" s="7">
        <f>'Raw Data'!A75</f>
        <v>0.15876000000000001</v>
      </c>
      <c r="E74" s="7" t="str">
        <f t="shared" si="5"/>
        <v>Medium</v>
      </c>
      <c r="F74" s="8" t="str">
        <f t="shared" si="6"/>
        <v>Medium</v>
      </c>
      <c r="G74" s="7" t="str">
        <f t="shared" si="7"/>
        <v>No</v>
      </c>
      <c r="H74" s="7" t="str">
        <f>IF(OR('Raw Data'!D75=1,D74&lt;0.1),"Yes - Desirable","No")</f>
        <v>No</v>
      </c>
      <c r="I74" s="7" t="str">
        <f t="shared" si="8"/>
        <v>Safe Area</v>
      </c>
      <c r="J74" s="7" t="str">
        <f t="shared" si="9"/>
        <v>Grade C - Average</v>
      </c>
    </row>
    <row r="75" spans="1:10" x14ac:dyDescent="0.25">
      <c r="A75" s="7">
        <v>73</v>
      </c>
      <c r="B75" s="7">
        <f>'Raw Data'!N76</f>
        <v>22.8</v>
      </c>
      <c r="C75" s="7">
        <f>'Raw Data'!F76</f>
        <v>6.0650000000000004</v>
      </c>
      <c r="D75" s="7">
        <f>'Raw Data'!A76</f>
        <v>9.1639999999999999E-2</v>
      </c>
      <c r="E75" s="7" t="str">
        <f t="shared" si="5"/>
        <v>Medium</v>
      </c>
      <c r="F75" s="8" t="str">
        <f t="shared" si="6"/>
        <v>Medium</v>
      </c>
      <c r="G75" s="7" t="str">
        <f t="shared" si="7"/>
        <v>No</v>
      </c>
      <c r="H75" s="7" t="str">
        <f>IF(OR('Raw Data'!D76=1,D75&lt;0.1),"Yes - Desirable","No")</f>
        <v>Yes - Desirable</v>
      </c>
      <c r="I75" s="7" t="str">
        <f t="shared" si="8"/>
        <v>Safe Area</v>
      </c>
      <c r="J75" s="7" t="str">
        <f t="shared" si="9"/>
        <v>Grade C - Average</v>
      </c>
    </row>
    <row r="76" spans="1:10" x14ac:dyDescent="0.25">
      <c r="A76" s="7">
        <v>74</v>
      </c>
      <c r="B76" s="7">
        <f>'Raw Data'!N77</f>
        <v>23.4</v>
      </c>
      <c r="C76" s="7">
        <f>'Raw Data'!F77</f>
        <v>6.2450000000000001</v>
      </c>
      <c r="D76" s="7">
        <f>'Raw Data'!A77</f>
        <v>0.19539000000000001</v>
      </c>
      <c r="E76" s="7" t="str">
        <f t="shared" si="5"/>
        <v>Medium</v>
      </c>
      <c r="F76" s="8" t="str">
        <f t="shared" si="6"/>
        <v>Medium</v>
      </c>
      <c r="G76" s="7" t="str">
        <f t="shared" si="7"/>
        <v>No</v>
      </c>
      <c r="H76" s="7" t="str">
        <f>IF(OR('Raw Data'!D77=1,D76&lt;0.1),"Yes - Desirable","No")</f>
        <v>No</v>
      </c>
      <c r="I76" s="7" t="str">
        <f t="shared" si="8"/>
        <v>Safe Area</v>
      </c>
      <c r="J76" s="7" t="str">
        <f t="shared" si="9"/>
        <v>Grade C - Average</v>
      </c>
    </row>
    <row r="77" spans="1:10" x14ac:dyDescent="0.25">
      <c r="A77" s="7">
        <v>75</v>
      </c>
      <c r="B77" s="7">
        <f>'Raw Data'!N78</f>
        <v>24.1</v>
      </c>
      <c r="C77" s="7">
        <f>'Raw Data'!F78</f>
        <v>6.2729999999999997</v>
      </c>
      <c r="D77" s="7">
        <f>'Raw Data'!A78</f>
        <v>7.8960000000000002E-2</v>
      </c>
      <c r="E77" s="7" t="str">
        <f t="shared" si="5"/>
        <v>Medium</v>
      </c>
      <c r="F77" s="8" t="str">
        <f t="shared" si="6"/>
        <v>Medium</v>
      </c>
      <c r="G77" s="7" t="str">
        <f t="shared" si="7"/>
        <v>No</v>
      </c>
      <c r="H77" s="7" t="str">
        <f>IF(OR('Raw Data'!D78=1,D77&lt;0.1),"Yes - Desirable","No")</f>
        <v>Yes - Desirable</v>
      </c>
      <c r="I77" s="7" t="str">
        <f t="shared" si="8"/>
        <v>Safe Area</v>
      </c>
      <c r="J77" s="7" t="str">
        <f t="shared" si="9"/>
        <v>Grade C - Average</v>
      </c>
    </row>
    <row r="78" spans="1:10" x14ac:dyDescent="0.25">
      <c r="A78" s="7">
        <v>76</v>
      </c>
      <c r="B78" s="7">
        <f>'Raw Data'!N79</f>
        <v>21.4</v>
      </c>
      <c r="C78" s="7">
        <f>'Raw Data'!F79</f>
        <v>6.2859999999999996</v>
      </c>
      <c r="D78" s="7">
        <f>'Raw Data'!A79</f>
        <v>9.5119999999999996E-2</v>
      </c>
      <c r="E78" s="7" t="str">
        <f t="shared" si="5"/>
        <v>Medium</v>
      </c>
      <c r="F78" s="8" t="str">
        <f t="shared" si="6"/>
        <v>Medium</v>
      </c>
      <c r="G78" s="7" t="str">
        <f t="shared" si="7"/>
        <v>Yes - Affordable &amp; Spacious</v>
      </c>
      <c r="H78" s="7" t="str">
        <f>IF(OR('Raw Data'!D79=1,D78&lt;0.1),"Yes - Desirable","No")</f>
        <v>Yes - Desirable</v>
      </c>
      <c r="I78" s="7" t="str">
        <f t="shared" si="8"/>
        <v>Safe Area</v>
      </c>
      <c r="J78" s="7" t="str">
        <f t="shared" si="9"/>
        <v>Grade C - Average</v>
      </c>
    </row>
    <row r="79" spans="1:10" x14ac:dyDescent="0.25">
      <c r="A79" s="7">
        <v>77</v>
      </c>
      <c r="B79" s="7">
        <f>'Raw Data'!N80</f>
        <v>20</v>
      </c>
      <c r="C79" s="7">
        <f>'Raw Data'!F80</f>
        <v>6.2789999999999999</v>
      </c>
      <c r="D79" s="7">
        <f>'Raw Data'!A80</f>
        <v>0.10153</v>
      </c>
      <c r="E79" s="7" t="str">
        <f t="shared" si="5"/>
        <v>Medium</v>
      </c>
      <c r="F79" s="8" t="str">
        <f t="shared" si="6"/>
        <v>Low</v>
      </c>
      <c r="G79" s="7" t="str">
        <f t="shared" si="7"/>
        <v>Yes - Affordable &amp; Spacious</v>
      </c>
      <c r="H79" s="7" t="str">
        <f>IF(OR('Raw Data'!D80=1,D79&lt;0.1),"Yes - Desirable","No")</f>
        <v>No</v>
      </c>
      <c r="I79" s="7" t="str">
        <f t="shared" si="8"/>
        <v>Safe Area</v>
      </c>
      <c r="J79" s="7" t="str">
        <f t="shared" si="9"/>
        <v>Grade C - Average</v>
      </c>
    </row>
    <row r="80" spans="1:10" x14ac:dyDescent="0.25">
      <c r="A80" s="7">
        <v>78</v>
      </c>
      <c r="B80" s="7">
        <f>'Raw Data'!N81</f>
        <v>20.8</v>
      </c>
      <c r="C80" s="7">
        <f>'Raw Data'!F81</f>
        <v>6.14</v>
      </c>
      <c r="D80" s="7">
        <f>'Raw Data'!A81</f>
        <v>8.7069999999999995E-2</v>
      </c>
      <c r="E80" s="7" t="str">
        <f t="shared" si="5"/>
        <v>Medium</v>
      </c>
      <c r="F80" s="8" t="str">
        <f t="shared" si="6"/>
        <v>Medium</v>
      </c>
      <c r="G80" s="7" t="str">
        <f t="shared" si="7"/>
        <v>Yes - Affordable &amp; Spacious</v>
      </c>
      <c r="H80" s="7" t="str">
        <f>IF(OR('Raw Data'!D81=1,D80&lt;0.1),"Yes - Desirable","No")</f>
        <v>Yes - Desirable</v>
      </c>
      <c r="I80" s="7" t="str">
        <f t="shared" si="8"/>
        <v>Safe Area</v>
      </c>
      <c r="J80" s="7" t="str">
        <f t="shared" si="9"/>
        <v>Grade C - Average</v>
      </c>
    </row>
    <row r="81" spans="1:10" x14ac:dyDescent="0.25">
      <c r="A81" s="7">
        <v>79</v>
      </c>
      <c r="B81" s="7">
        <f>'Raw Data'!N82</f>
        <v>21.2</v>
      </c>
      <c r="C81" s="7">
        <f>'Raw Data'!F82</f>
        <v>6.2320000000000002</v>
      </c>
      <c r="D81" s="7">
        <f>'Raw Data'!A82</f>
        <v>5.6460000000000003E-2</v>
      </c>
      <c r="E81" s="7" t="str">
        <f t="shared" si="5"/>
        <v>Medium</v>
      </c>
      <c r="F81" s="8" t="str">
        <f t="shared" si="6"/>
        <v>Medium</v>
      </c>
      <c r="G81" s="7" t="str">
        <f t="shared" si="7"/>
        <v>Yes - Affordable &amp; Spacious</v>
      </c>
      <c r="H81" s="7" t="str">
        <f>IF(OR('Raw Data'!D82=1,D81&lt;0.1),"Yes - Desirable","No")</f>
        <v>Yes - Desirable</v>
      </c>
      <c r="I81" s="7" t="str">
        <f t="shared" si="8"/>
        <v>Safe Area</v>
      </c>
      <c r="J81" s="7" t="str">
        <f t="shared" si="9"/>
        <v>Grade C - Average</v>
      </c>
    </row>
    <row r="82" spans="1:10" x14ac:dyDescent="0.25">
      <c r="A82" s="7">
        <v>80</v>
      </c>
      <c r="B82" s="7">
        <f>'Raw Data'!N83</f>
        <v>20.3</v>
      </c>
      <c r="C82" s="7">
        <f>'Raw Data'!F83</f>
        <v>5.8739999999999997</v>
      </c>
      <c r="D82" s="7">
        <f>'Raw Data'!A83</f>
        <v>8.387E-2</v>
      </c>
      <c r="E82" s="7" t="str">
        <f t="shared" si="5"/>
        <v>Medium</v>
      </c>
      <c r="F82" s="8" t="str">
        <f t="shared" si="6"/>
        <v>Medium</v>
      </c>
      <c r="G82" s="7" t="str">
        <f t="shared" si="7"/>
        <v>No</v>
      </c>
      <c r="H82" s="7" t="str">
        <f>IF(OR('Raw Data'!D83=1,D82&lt;0.1),"Yes - Desirable","No")</f>
        <v>Yes - Desirable</v>
      </c>
      <c r="I82" s="7" t="str">
        <f t="shared" si="8"/>
        <v>Safe Area</v>
      </c>
      <c r="J82" s="7" t="str">
        <f t="shared" si="9"/>
        <v>Grade C - Average</v>
      </c>
    </row>
    <row r="83" spans="1:10" x14ac:dyDescent="0.25">
      <c r="A83" s="7">
        <v>81</v>
      </c>
      <c r="B83" s="7">
        <f>'Raw Data'!N84</f>
        <v>28</v>
      </c>
      <c r="C83" s="7">
        <f>'Raw Data'!F84</f>
        <v>6.7270000000000003</v>
      </c>
      <c r="D83" s="7">
        <f>'Raw Data'!A84</f>
        <v>4.113E-2</v>
      </c>
      <c r="E83" s="7" t="str">
        <f t="shared" si="5"/>
        <v>High</v>
      </c>
      <c r="F83" s="8" t="str">
        <f t="shared" si="6"/>
        <v>Medium</v>
      </c>
      <c r="G83" s="7" t="str">
        <f t="shared" si="7"/>
        <v>No</v>
      </c>
      <c r="H83" s="7" t="str">
        <f>IF(OR('Raw Data'!D84=1,D83&lt;0.1),"Yes - Desirable","No")</f>
        <v>Yes - Desirable</v>
      </c>
      <c r="I83" s="7" t="str">
        <f t="shared" si="8"/>
        <v>Safe Area</v>
      </c>
      <c r="J83" s="7" t="str">
        <f t="shared" si="9"/>
        <v>Grade C - Average</v>
      </c>
    </row>
    <row r="84" spans="1:10" x14ac:dyDescent="0.25">
      <c r="A84" s="7">
        <v>82</v>
      </c>
      <c r="B84" s="7">
        <f>'Raw Data'!N85</f>
        <v>23.9</v>
      </c>
      <c r="C84" s="7">
        <f>'Raw Data'!F85</f>
        <v>6.6189999999999998</v>
      </c>
      <c r="D84" s="7">
        <f>'Raw Data'!A85</f>
        <v>4.462E-2</v>
      </c>
      <c r="E84" s="7" t="str">
        <f t="shared" si="5"/>
        <v>Medium</v>
      </c>
      <c r="F84" s="8" t="str">
        <f t="shared" si="6"/>
        <v>Medium</v>
      </c>
      <c r="G84" s="7" t="str">
        <f t="shared" si="7"/>
        <v>No</v>
      </c>
      <c r="H84" s="7" t="str">
        <f>IF(OR('Raw Data'!D85=1,D84&lt;0.1),"Yes - Desirable","No")</f>
        <v>Yes - Desirable</v>
      </c>
      <c r="I84" s="7" t="str">
        <f t="shared" si="8"/>
        <v>Safe Area</v>
      </c>
      <c r="J84" s="7" t="str">
        <f t="shared" si="9"/>
        <v>Grade C - Average</v>
      </c>
    </row>
    <row r="85" spans="1:10" x14ac:dyDescent="0.25">
      <c r="A85" s="7">
        <v>83</v>
      </c>
      <c r="B85" s="7">
        <f>'Raw Data'!N86</f>
        <v>24.8</v>
      </c>
      <c r="C85" s="7">
        <f>'Raw Data'!F86</f>
        <v>6.3019999999999996</v>
      </c>
      <c r="D85" s="7">
        <f>'Raw Data'!A86</f>
        <v>3.6589999999999998E-2</v>
      </c>
      <c r="E85" s="7" t="str">
        <f t="shared" si="5"/>
        <v>Medium</v>
      </c>
      <c r="F85" s="8" t="str">
        <f t="shared" si="6"/>
        <v>Medium</v>
      </c>
      <c r="G85" s="7" t="str">
        <f t="shared" si="7"/>
        <v>No</v>
      </c>
      <c r="H85" s="7" t="str">
        <f>IF(OR('Raw Data'!D86=1,D85&lt;0.1),"Yes - Desirable","No")</f>
        <v>Yes - Desirable</v>
      </c>
      <c r="I85" s="7" t="str">
        <f t="shared" si="8"/>
        <v>Safe Area</v>
      </c>
      <c r="J85" s="7" t="str">
        <f t="shared" si="9"/>
        <v>Grade C - Average</v>
      </c>
    </row>
    <row r="86" spans="1:10" x14ac:dyDescent="0.25">
      <c r="A86" s="7">
        <v>84</v>
      </c>
      <c r="B86" s="7">
        <f>'Raw Data'!N87</f>
        <v>22.9</v>
      </c>
      <c r="C86" s="7">
        <f>'Raw Data'!F87</f>
        <v>6.1669999999999998</v>
      </c>
      <c r="D86" s="7">
        <f>'Raw Data'!A87</f>
        <v>3.551E-2</v>
      </c>
      <c r="E86" s="7" t="str">
        <f t="shared" si="5"/>
        <v>Medium</v>
      </c>
      <c r="F86" s="8" t="str">
        <f t="shared" si="6"/>
        <v>Medium</v>
      </c>
      <c r="G86" s="7" t="str">
        <f t="shared" si="7"/>
        <v>No</v>
      </c>
      <c r="H86" s="7" t="str">
        <f>IF(OR('Raw Data'!D87=1,D86&lt;0.1),"Yes - Desirable","No")</f>
        <v>Yes - Desirable</v>
      </c>
      <c r="I86" s="7" t="str">
        <f t="shared" si="8"/>
        <v>Safe Area</v>
      </c>
      <c r="J86" s="7" t="str">
        <f t="shared" si="9"/>
        <v>Grade C - Average</v>
      </c>
    </row>
    <row r="87" spans="1:10" x14ac:dyDescent="0.25">
      <c r="A87" s="7">
        <v>85</v>
      </c>
      <c r="B87" s="7">
        <f>'Raw Data'!N88</f>
        <v>23.9</v>
      </c>
      <c r="C87" s="7">
        <f>'Raw Data'!F88</f>
        <v>6.3890000000000002</v>
      </c>
      <c r="D87" s="7">
        <f>'Raw Data'!A88</f>
        <v>5.0590000000000003E-2</v>
      </c>
      <c r="E87" s="7" t="str">
        <f t="shared" si="5"/>
        <v>Medium</v>
      </c>
      <c r="F87" s="8" t="str">
        <f t="shared" si="6"/>
        <v>Medium</v>
      </c>
      <c r="G87" s="7" t="str">
        <f t="shared" si="7"/>
        <v>No</v>
      </c>
      <c r="H87" s="7" t="str">
        <f>IF(OR('Raw Data'!D88=1,D87&lt;0.1),"Yes - Desirable","No")</f>
        <v>Yes - Desirable</v>
      </c>
      <c r="I87" s="7" t="str">
        <f t="shared" si="8"/>
        <v>Safe Area</v>
      </c>
      <c r="J87" s="7" t="str">
        <f t="shared" si="9"/>
        <v>Grade C - Average</v>
      </c>
    </row>
    <row r="88" spans="1:10" x14ac:dyDescent="0.25">
      <c r="A88" s="7">
        <v>86</v>
      </c>
      <c r="B88" s="7">
        <f>'Raw Data'!N89</f>
        <v>26.6</v>
      </c>
      <c r="C88" s="7">
        <f>'Raw Data'!F89</f>
        <v>6.63</v>
      </c>
      <c r="D88" s="7">
        <f>'Raw Data'!A89</f>
        <v>5.7349999999999998E-2</v>
      </c>
      <c r="E88" s="7" t="str">
        <f t="shared" si="5"/>
        <v>High</v>
      </c>
      <c r="F88" s="8" t="str">
        <f t="shared" si="6"/>
        <v>Medium</v>
      </c>
      <c r="G88" s="7" t="str">
        <f t="shared" si="7"/>
        <v>No</v>
      </c>
      <c r="H88" s="7" t="str">
        <f>IF(OR('Raw Data'!D89=1,D88&lt;0.1),"Yes - Desirable","No")</f>
        <v>Yes - Desirable</v>
      </c>
      <c r="I88" s="7" t="str">
        <f t="shared" si="8"/>
        <v>Safe Area</v>
      </c>
      <c r="J88" s="7" t="str">
        <f t="shared" si="9"/>
        <v>Grade C - Average</v>
      </c>
    </row>
    <row r="89" spans="1:10" x14ac:dyDescent="0.25">
      <c r="A89" s="7">
        <v>87</v>
      </c>
      <c r="B89" s="7">
        <f>'Raw Data'!N90</f>
        <v>22.5</v>
      </c>
      <c r="C89" s="7">
        <f>'Raw Data'!F90</f>
        <v>6.0149999999999997</v>
      </c>
      <c r="D89" s="7">
        <f>'Raw Data'!A90</f>
        <v>5.1880000000000003E-2</v>
      </c>
      <c r="E89" s="7" t="str">
        <f t="shared" si="5"/>
        <v>Medium</v>
      </c>
      <c r="F89" s="8" t="str">
        <f t="shared" si="6"/>
        <v>Medium</v>
      </c>
      <c r="G89" s="7" t="str">
        <f t="shared" si="7"/>
        <v>No</v>
      </c>
      <c r="H89" s="7" t="str">
        <f>IF(OR('Raw Data'!D90=1,D89&lt;0.1),"Yes - Desirable","No")</f>
        <v>Yes - Desirable</v>
      </c>
      <c r="I89" s="7" t="str">
        <f t="shared" si="8"/>
        <v>Safe Area</v>
      </c>
      <c r="J89" s="7" t="str">
        <f t="shared" si="9"/>
        <v>Grade C - Average</v>
      </c>
    </row>
    <row r="90" spans="1:10" x14ac:dyDescent="0.25">
      <c r="A90" s="7">
        <v>88</v>
      </c>
      <c r="B90" s="7">
        <f>'Raw Data'!N91</f>
        <v>22.2</v>
      </c>
      <c r="C90" s="7">
        <f>'Raw Data'!F91</f>
        <v>6.1210000000000004</v>
      </c>
      <c r="D90" s="7">
        <f>'Raw Data'!A91</f>
        <v>7.1510000000000004E-2</v>
      </c>
      <c r="E90" s="7" t="str">
        <f t="shared" si="5"/>
        <v>Medium</v>
      </c>
      <c r="F90" s="8" t="str">
        <f t="shared" si="6"/>
        <v>Medium</v>
      </c>
      <c r="G90" s="7" t="str">
        <f t="shared" si="7"/>
        <v>No</v>
      </c>
      <c r="H90" s="7" t="str">
        <f>IF(OR('Raw Data'!D91=1,D90&lt;0.1),"Yes - Desirable","No")</f>
        <v>Yes - Desirable</v>
      </c>
      <c r="I90" s="7" t="str">
        <f t="shared" si="8"/>
        <v>Safe Area</v>
      </c>
      <c r="J90" s="7" t="str">
        <f t="shared" si="9"/>
        <v>Grade C - Average</v>
      </c>
    </row>
    <row r="91" spans="1:10" x14ac:dyDescent="0.25">
      <c r="A91" s="7">
        <v>89</v>
      </c>
      <c r="B91" s="7">
        <f>'Raw Data'!N92</f>
        <v>23.6</v>
      </c>
      <c r="C91" s="7">
        <f>'Raw Data'!F92</f>
        <v>7.0069999999999997</v>
      </c>
      <c r="D91" s="7">
        <f>'Raw Data'!A92</f>
        <v>5.6599999999999998E-2</v>
      </c>
      <c r="E91" s="7" t="str">
        <f t="shared" si="5"/>
        <v>Medium</v>
      </c>
      <c r="F91" s="8" t="str">
        <f t="shared" si="6"/>
        <v>Medium</v>
      </c>
      <c r="G91" s="7" t="str">
        <f t="shared" si="7"/>
        <v>No</v>
      </c>
      <c r="H91" s="7" t="str">
        <f>IF(OR('Raw Data'!D92=1,D91&lt;0.1),"Yes - Desirable","No")</f>
        <v>Yes - Desirable</v>
      </c>
      <c r="I91" s="7" t="str">
        <f t="shared" si="8"/>
        <v>Safe Area</v>
      </c>
      <c r="J91" s="7" t="str">
        <f t="shared" si="9"/>
        <v>Grade C - Average</v>
      </c>
    </row>
    <row r="92" spans="1:10" x14ac:dyDescent="0.25">
      <c r="A92" s="7">
        <v>90</v>
      </c>
      <c r="B92" s="7">
        <f>'Raw Data'!N93</f>
        <v>28.7</v>
      </c>
      <c r="C92" s="7">
        <f>'Raw Data'!F93</f>
        <v>7.0789999999999997</v>
      </c>
      <c r="D92" s="7">
        <f>'Raw Data'!A93</f>
        <v>5.3019999999999998E-2</v>
      </c>
      <c r="E92" s="7" t="str">
        <f t="shared" si="5"/>
        <v>High</v>
      </c>
      <c r="F92" s="8" t="str">
        <f t="shared" si="6"/>
        <v>Medium</v>
      </c>
      <c r="G92" s="7" t="str">
        <f t="shared" si="7"/>
        <v>No</v>
      </c>
      <c r="H92" s="7" t="str">
        <f>IF(OR('Raw Data'!D93=1,D92&lt;0.1),"Yes - Desirable","No")</f>
        <v>Yes - Desirable</v>
      </c>
      <c r="I92" s="7" t="str">
        <f t="shared" si="8"/>
        <v>Safe Area</v>
      </c>
      <c r="J92" s="7" t="str">
        <f t="shared" si="9"/>
        <v>Grade C - Average</v>
      </c>
    </row>
    <row r="93" spans="1:10" x14ac:dyDescent="0.25">
      <c r="A93" s="7">
        <v>91</v>
      </c>
      <c r="B93" s="7">
        <f>'Raw Data'!N94</f>
        <v>22.6</v>
      </c>
      <c r="C93" s="7">
        <f>'Raw Data'!F94</f>
        <v>6.4169999999999998</v>
      </c>
      <c r="D93" s="7">
        <f>'Raw Data'!A94</f>
        <v>4.684E-2</v>
      </c>
      <c r="E93" s="7" t="str">
        <f t="shared" si="5"/>
        <v>Medium</v>
      </c>
      <c r="F93" s="8" t="str">
        <f t="shared" si="6"/>
        <v>Medium</v>
      </c>
      <c r="G93" s="7" t="str">
        <f t="shared" si="7"/>
        <v>No</v>
      </c>
      <c r="H93" s="7" t="str">
        <f>IF(OR('Raw Data'!D94=1,D93&lt;0.1),"Yes - Desirable","No")</f>
        <v>Yes - Desirable</v>
      </c>
      <c r="I93" s="7" t="str">
        <f t="shared" si="8"/>
        <v>Safe Area</v>
      </c>
      <c r="J93" s="7" t="str">
        <f t="shared" si="9"/>
        <v>Grade C - Average</v>
      </c>
    </row>
    <row r="94" spans="1:10" x14ac:dyDescent="0.25">
      <c r="A94" s="7">
        <v>92</v>
      </c>
      <c r="B94" s="7">
        <f>'Raw Data'!N95</f>
        <v>22</v>
      </c>
      <c r="C94" s="7">
        <f>'Raw Data'!F95</f>
        <v>6.4050000000000002</v>
      </c>
      <c r="D94" s="7">
        <f>'Raw Data'!A95</f>
        <v>3.9320000000000001E-2</v>
      </c>
      <c r="E94" s="7" t="str">
        <f t="shared" si="5"/>
        <v>Medium</v>
      </c>
      <c r="F94" s="8" t="str">
        <f t="shared" si="6"/>
        <v>Medium</v>
      </c>
      <c r="G94" s="7" t="str">
        <f t="shared" si="7"/>
        <v>Yes - Affordable &amp; Spacious</v>
      </c>
      <c r="H94" s="7" t="str">
        <f>IF(OR('Raw Data'!D95=1,D94&lt;0.1),"Yes - Desirable","No")</f>
        <v>Yes - Desirable</v>
      </c>
      <c r="I94" s="7" t="str">
        <f t="shared" si="8"/>
        <v>Safe Area</v>
      </c>
      <c r="J94" s="7" t="str">
        <f t="shared" si="9"/>
        <v>Grade C - Average</v>
      </c>
    </row>
    <row r="95" spans="1:10" x14ac:dyDescent="0.25">
      <c r="A95" s="7">
        <v>93</v>
      </c>
      <c r="B95" s="7">
        <f>'Raw Data'!N96</f>
        <v>22.9</v>
      </c>
      <c r="C95" s="7">
        <f>'Raw Data'!F96</f>
        <v>6.4420000000000002</v>
      </c>
      <c r="D95" s="7">
        <f>'Raw Data'!A96</f>
        <v>4.2029999999999998E-2</v>
      </c>
      <c r="E95" s="7" t="str">
        <f t="shared" si="5"/>
        <v>Medium</v>
      </c>
      <c r="F95" s="8" t="str">
        <f t="shared" si="6"/>
        <v>Medium</v>
      </c>
      <c r="G95" s="7" t="str">
        <f t="shared" si="7"/>
        <v>No</v>
      </c>
      <c r="H95" s="7" t="str">
        <f>IF(OR('Raw Data'!D96=1,D95&lt;0.1),"Yes - Desirable","No")</f>
        <v>Yes - Desirable</v>
      </c>
      <c r="I95" s="7" t="str">
        <f t="shared" si="8"/>
        <v>Safe Area</v>
      </c>
      <c r="J95" s="7" t="str">
        <f t="shared" si="9"/>
        <v>Grade C - Average</v>
      </c>
    </row>
    <row r="96" spans="1:10" x14ac:dyDescent="0.25">
      <c r="A96" s="7">
        <v>94</v>
      </c>
      <c r="B96" s="7">
        <f>'Raw Data'!N97</f>
        <v>25</v>
      </c>
      <c r="C96" s="7">
        <f>'Raw Data'!F97</f>
        <v>6.2110000000000003</v>
      </c>
      <c r="D96" s="7">
        <f>'Raw Data'!A97</f>
        <v>2.8750000000000001E-2</v>
      </c>
      <c r="E96" s="7" t="str">
        <f t="shared" si="5"/>
        <v>Medium</v>
      </c>
      <c r="F96" s="8" t="str">
        <f t="shared" si="6"/>
        <v>Medium</v>
      </c>
      <c r="G96" s="7" t="str">
        <f t="shared" si="7"/>
        <v>No</v>
      </c>
      <c r="H96" s="7" t="str">
        <f>IF(OR('Raw Data'!D97=1,D96&lt;0.1),"Yes - Desirable","No")</f>
        <v>Yes - Desirable</v>
      </c>
      <c r="I96" s="7" t="str">
        <f t="shared" si="8"/>
        <v>Safe Area</v>
      </c>
      <c r="J96" s="7" t="str">
        <f t="shared" si="9"/>
        <v>Grade C - Average</v>
      </c>
    </row>
    <row r="97" spans="1:10" x14ac:dyDescent="0.25">
      <c r="A97" s="7">
        <v>95</v>
      </c>
      <c r="B97" s="7">
        <f>'Raw Data'!N98</f>
        <v>20.6</v>
      </c>
      <c r="C97" s="7">
        <f>'Raw Data'!F98</f>
        <v>6.2489999999999997</v>
      </c>
      <c r="D97" s="7">
        <f>'Raw Data'!A98</f>
        <v>4.2939999999999999E-2</v>
      </c>
      <c r="E97" s="7" t="str">
        <f t="shared" si="5"/>
        <v>Medium</v>
      </c>
      <c r="F97" s="8" t="str">
        <f t="shared" si="6"/>
        <v>Medium</v>
      </c>
      <c r="G97" s="7" t="str">
        <f t="shared" si="7"/>
        <v>Yes - Affordable &amp; Spacious</v>
      </c>
      <c r="H97" s="7" t="str">
        <f>IF(OR('Raw Data'!D98=1,D97&lt;0.1),"Yes - Desirable","No")</f>
        <v>Yes - Desirable</v>
      </c>
      <c r="I97" s="7" t="str">
        <f t="shared" si="8"/>
        <v>Safe Area</v>
      </c>
      <c r="J97" s="7" t="str">
        <f t="shared" si="9"/>
        <v>Grade C - Average</v>
      </c>
    </row>
    <row r="98" spans="1:10" x14ac:dyDescent="0.25">
      <c r="A98" s="7">
        <v>96</v>
      </c>
      <c r="B98" s="7">
        <f>'Raw Data'!N99</f>
        <v>28.4</v>
      </c>
      <c r="C98" s="7">
        <f>'Raw Data'!F99</f>
        <v>6.625</v>
      </c>
      <c r="D98" s="7">
        <f>'Raw Data'!A99</f>
        <v>0.12204</v>
      </c>
      <c r="E98" s="7" t="str">
        <f t="shared" si="5"/>
        <v>High</v>
      </c>
      <c r="F98" s="8" t="str">
        <f t="shared" si="6"/>
        <v>Medium</v>
      </c>
      <c r="G98" s="7" t="str">
        <f t="shared" si="7"/>
        <v>No</v>
      </c>
      <c r="H98" s="7" t="str">
        <f>IF(OR('Raw Data'!D99=1,D98&lt;0.1),"Yes - Desirable","No")</f>
        <v>No</v>
      </c>
      <c r="I98" s="7" t="str">
        <f t="shared" si="8"/>
        <v>Safe Area</v>
      </c>
      <c r="J98" s="7" t="str">
        <f t="shared" si="9"/>
        <v>Grade C - Average</v>
      </c>
    </row>
    <row r="99" spans="1:10" x14ac:dyDescent="0.25">
      <c r="A99" s="7">
        <v>97</v>
      </c>
      <c r="B99" s="7">
        <f>'Raw Data'!N100</f>
        <v>21.4</v>
      </c>
      <c r="C99" s="7">
        <f>'Raw Data'!F100</f>
        <v>6.1630000000000003</v>
      </c>
      <c r="D99" s="7">
        <f>'Raw Data'!A100</f>
        <v>0.11504</v>
      </c>
      <c r="E99" s="7" t="str">
        <f t="shared" si="5"/>
        <v>Medium</v>
      </c>
      <c r="F99" s="8" t="str">
        <f t="shared" si="6"/>
        <v>Medium</v>
      </c>
      <c r="G99" s="7" t="str">
        <f t="shared" si="7"/>
        <v>Yes - Affordable &amp; Spacious</v>
      </c>
      <c r="H99" s="7" t="str">
        <f>IF(OR('Raw Data'!D100=1,D99&lt;0.1),"Yes - Desirable","No")</f>
        <v>No</v>
      </c>
      <c r="I99" s="7" t="str">
        <f t="shared" si="8"/>
        <v>Safe Area</v>
      </c>
      <c r="J99" s="7" t="str">
        <f t="shared" si="9"/>
        <v>Grade C - Average</v>
      </c>
    </row>
    <row r="100" spans="1:10" x14ac:dyDescent="0.25">
      <c r="A100" s="7">
        <v>98</v>
      </c>
      <c r="B100" s="7">
        <f>'Raw Data'!N101</f>
        <v>38.700000000000003</v>
      </c>
      <c r="C100" s="7">
        <f>'Raw Data'!F101</f>
        <v>8.0690000000000008</v>
      </c>
      <c r="D100" s="7">
        <f>'Raw Data'!A101</f>
        <v>0.12083000000000001</v>
      </c>
      <c r="E100" s="7" t="str">
        <f t="shared" si="5"/>
        <v>High</v>
      </c>
      <c r="F100" s="8" t="str">
        <f t="shared" si="6"/>
        <v>High</v>
      </c>
      <c r="G100" s="7" t="str">
        <f t="shared" si="7"/>
        <v>No</v>
      </c>
      <c r="H100" s="7" t="str">
        <f>IF(OR('Raw Data'!D101=1,D100&lt;0.1),"Yes - Desirable","No")</f>
        <v>No</v>
      </c>
      <c r="I100" s="7" t="str">
        <f t="shared" si="8"/>
        <v>Safe Area</v>
      </c>
      <c r="J100" s="7" t="str">
        <f t="shared" si="9"/>
        <v>Grade A - Premium</v>
      </c>
    </row>
    <row r="101" spans="1:10" x14ac:dyDescent="0.25">
      <c r="A101" s="7">
        <v>99</v>
      </c>
      <c r="B101" s="7">
        <f>'Raw Data'!N102</f>
        <v>43.8</v>
      </c>
      <c r="C101" s="7">
        <f>'Raw Data'!F102</f>
        <v>7.82</v>
      </c>
      <c r="D101" s="7">
        <f>'Raw Data'!A102</f>
        <v>8.1869999999999998E-2</v>
      </c>
      <c r="E101" s="7" t="str">
        <f t="shared" si="5"/>
        <v>High</v>
      </c>
      <c r="F101" s="8" t="str">
        <f t="shared" si="6"/>
        <v>Very High</v>
      </c>
      <c r="G101" s="7" t="str">
        <f t="shared" si="7"/>
        <v>No</v>
      </c>
      <c r="H101" s="7" t="str">
        <f>IF(OR('Raw Data'!D102=1,D101&lt;0.1),"Yes - Desirable","No")</f>
        <v>Yes - Desirable</v>
      </c>
      <c r="I101" s="7" t="str">
        <f t="shared" si="8"/>
        <v>Safe Area</v>
      </c>
      <c r="J101" s="7" t="str">
        <f t="shared" si="9"/>
        <v>Grade A - Premium</v>
      </c>
    </row>
    <row r="102" spans="1:10" x14ac:dyDescent="0.25">
      <c r="A102" s="7">
        <v>100</v>
      </c>
      <c r="B102" s="7">
        <f>'Raw Data'!N103</f>
        <v>33.200000000000003</v>
      </c>
      <c r="C102" s="7">
        <f>'Raw Data'!F103</f>
        <v>7.4160000000000004</v>
      </c>
      <c r="D102" s="7">
        <f>'Raw Data'!A103</f>
        <v>6.8599999999999994E-2</v>
      </c>
      <c r="E102" s="7" t="str">
        <f t="shared" si="5"/>
        <v>High</v>
      </c>
      <c r="F102" s="8" t="str">
        <f t="shared" si="6"/>
        <v>High</v>
      </c>
      <c r="G102" s="7" t="str">
        <f t="shared" si="7"/>
        <v>No</v>
      </c>
      <c r="H102" s="7" t="str">
        <f>IF(OR('Raw Data'!D103=1,D102&lt;0.1),"Yes - Desirable","No")</f>
        <v>Yes - Desirable</v>
      </c>
      <c r="I102" s="7" t="str">
        <f t="shared" si="8"/>
        <v>Safe Area</v>
      </c>
      <c r="J102" s="7" t="str">
        <f t="shared" si="9"/>
        <v>Grade C - Average</v>
      </c>
    </row>
    <row r="103" spans="1:10" x14ac:dyDescent="0.25">
      <c r="A103" s="7">
        <v>101</v>
      </c>
      <c r="B103" s="7">
        <f>'Raw Data'!N104</f>
        <v>27.5</v>
      </c>
      <c r="C103" s="7">
        <f>'Raw Data'!F104</f>
        <v>6.7270000000000003</v>
      </c>
      <c r="D103" s="7">
        <f>'Raw Data'!A104</f>
        <v>0.14865999999999999</v>
      </c>
      <c r="E103" s="7" t="str">
        <f t="shared" si="5"/>
        <v>High</v>
      </c>
      <c r="F103" s="8" t="str">
        <f t="shared" si="6"/>
        <v>Medium</v>
      </c>
      <c r="G103" s="7" t="str">
        <f t="shared" si="7"/>
        <v>No</v>
      </c>
      <c r="H103" s="7" t="str">
        <f>IF(OR('Raw Data'!D104=1,D103&lt;0.1),"Yes - Desirable","No")</f>
        <v>No</v>
      </c>
      <c r="I103" s="7" t="str">
        <f t="shared" si="8"/>
        <v>Safe Area</v>
      </c>
      <c r="J103" s="7" t="str">
        <f t="shared" si="9"/>
        <v>Grade C - Average</v>
      </c>
    </row>
    <row r="104" spans="1:10" x14ac:dyDescent="0.25">
      <c r="A104" s="7">
        <v>102</v>
      </c>
      <c r="B104" s="7">
        <f>'Raw Data'!N105</f>
        <v>26.5</v>
      </c>
      <c r="C104" s="7">
        <f>'Raw Data'!F105</f>
        <v>6.7809999999999997</v>
      </c>
      <c r="D104" s="7">
        <f>'Raw Data'!A105</f>
        <v>0.11432</v>
      </c>
      <c r="E104" s="7" t="str">
        <f t="shared" si="5"/>
        <v>High</v>
      </c>
      <c r="F104" s="8" t="str">
        <f t="shared" si="6"/>
        <v>Medium</v>
      </c>
      <c r="G104" s="7" t="str">
        <f t="shared" si="7"/>
        <v>No</v>
      </c>
      <c r="H104" s="7" t="str">
        <f>IF(OR('Raw Data'!D105=1,D104&lt;0.1),"Yes - Desirable","No")</f>
        <v>No</v>
      </c>
      <c r="I104" s="7" t="str">
        <f t="shared" si="8"/>
        <v>Safe Area</v>
      </c>
      <c r="J104" s="7" t="str">
        <f t="shared" si="9"/>
        <v>Grade C - Average</v>
      </c>
    </row>
    <row r="105" spans="1:10" x14ac:dyDescent="0.25">
      <c r="A105" s="7">
        <v>103</v>
      </c>
      <c r="B105" s="7">
        <f>'Raw Data'!N106</f>
        <v>18.600000000000001</v>
      </c>
      <c r="C105" s="7">
        <f>'Raw Data'!F106</f>
        <v>6.4050000000000002</v>
      </c>
      <c r="D105" s="7">
        <f>'Raw Data'!A106</f>
        <v>0.22875999999999999</v>
      </c>
      <c r="E105" s="7" t="str">
        <f t="shared" si="5"/>
        <v>Medium</v>
      </c>
      <c r="F105" s="8" t="str">
        <f t="shared" si="6"/>
        <v>Low</v>
      </c>
      <c r="G105" s="7" t="str">
        <f t="shared" si="7"/>
        <v>Yes - Affordable &amp; Spacious</v>
      </c>
      <c r="H105" s="7" t="str">
        <f>IF(OR('Raw Data'!D106=1,D105&lt;0.1),"Yes - Desirable","No")</f>
        <v>No</v>
      </c>
      <c r="I105" s="7" t="str">
        <f t="shared" si="8"/>
        <v>Safe Area</v>
      </c>
      <c r="J105" s="7" t="str">
        <f t="shared" si="9"/>
        <v>Grade D - Low Value</v>
      </c>
    </row>
    <row r="106" spans="1:10" x14ac:dyDescent="0.25">
      <c r="A106" s="7">
        <v>104</v>
      </c>
      <c r="B106" s="7">
        <f>'Raw Data'!N107</f>
        <v>19.3</v>
      </c>
      <c r="C106" s="7">
        <f>'Raw Data'!F107</f>
        <v>6.1369999999999996</v>
      </c>
      <c r="D106" s="7">
        <f>'Raw Data'!A107</f>
        <v>0.21160999999999999</v>
      </c>
      <c r="E106" s="7" t="str">
        <f t="shared" si="5"/>
        <v>Medium</v>
      </c>
      <c r="F106" s="8" t="str">
        <f t="shared" si="6"/>
        <v>Low</v>
      </c>
      <c r="G106" s="7" t="str">
        <f t="shared" si="7"/>
        <v>Yes - Affordable &amp; Spacious</v>
      </c>
      <c r="H106" s="7" t="str">
        <f>IF(OR('Raw Data'!D107=1,D106&lt;0.1),"Yes - Desirable","No")</f>
        <v>No</v>
      </c>
      <c r="I106" s="7" t="str">
        <f t="shared" si="8"/>
        <v>Safe Area</v>
      </c>
      <c r="J106" s="7" t="str">
        <f t="shared" si="9"/>
        <v>Grade D - Low Value</v>
      </c>
    </row>
    <row r="107" spans="1:10" x14ac:dyDescent="0.25">
      <c r="A107" s="7">
        <v>105</v>
      </c>
      <c r="B107" s="7">
        <f>'Raw Data'!N108</f>
        <v>20.100000000000001</v>
      </c>
      <c r="C107" s="7">
        <f>'Raw Data'!F108</f>
        <v>6.1669999999999998</v>
      </c>
      <c r="D107" s="7">
        <f>'Raw Data'!A108</f>
        <v>0.1396</v>
      </c>
      <c r="E107" s="7" t="str">
        <f t="shared" si="5"/>
        <v>Medium</v>
      </c>
      <c r="F107" s="8" t="str">
        <f t="shared" si="6"/>
        <v>Medium</v>
      </c>
      <c r="G107" s="7" t="str">
        <f t="shared" si="7"/>
        <v>Yes - Affordable &amp; Spacious</v>
      </c>
      <c r="H107" s="7" t="str">
        <f>IF(OR('Raw Data'!D108=1,D107&lt;0.1),"Yes - Desirable","No")</f>
        <v>No</v>
      </c>
      <c r="I107" s="7" t="str">
        <f t="shared" si="8"/>
        <v>Safe Area</v>
      </c>
      <c r="J107" s="7" t="str">
        <f t="shared" si="9"/>
        <v>Grade C - Average</v>
      </c>
    </row>
    <row r="108" spans="1:10" x14ac:dyDescent="0.25">
      <c r="A108" s="7">
        <v>106</v>
      </c>
      <c r="B108" s="7">
        <f>'Raw Data'!N109</f>
        <v>19.5</v>
      </c>
      <c r="C108" s="7">
        <f>'Raw Data'!F109</f>
        <v>5.851</v>
      </c>
      <c r="D108" s="7">
        <f>'Raw Data'!A109</f>
        <v>0.13261999999999999</v>
      </c>
      <c r="E108" s="7" t="str">
        <f t="shared" si="5"/>
        <v>Medium</v>
      </c>
      <c r="F108" s="8" t="str">
        <f t="shared" si="6"/>
        <v>Low</v>
      </c>
      <c r="G108" s="7" t="str">
        <f t="shared" si="7"/>
        <v>No</v>
      </c>
      <c r="H108" s="7" t="str">
        <f>IF(OR('Raw Data'!D109=1,D108&lt;0.1),"Yes - Desirable","No")</f>
        <v>No</v>
      </c>
      <c r="I108" s="7" t="str">
        <f t="shared" si="8"/>
        <v>Safe Area</v>
      </c>
      <c r="J108" s="7" t="str">
        <f t="shared" si="9"/>
        <v>Grade D - Low Value</v>
      </c>
    </row>
    <row r="109" spans="1:10" x14ac:dyDescent="0.25">
      <c r="A109" s="7">
        <v>107</v>
      </c>
      <c r="B109" s="7">
        <f>'Raw Data'!N110</f>
        <v>19.5</v>
      </c>
      <c r="C109" s="7">
        <f>'Raw Data'!F110</f>
        <v>5.8360000000000003</v>
      </c>
      <c r="D109" s="7">
        <f>'Raw Data'!A110</f>
        <v>0.17119999999999999</v>
      </c>
      <c r="E109" s="7" t="str">
        <f t="shared" si="5"/>
        <v>Medium</v>
      </c>
      <c r="F109" s="8" t="str">
        <f t="shared" si="6"/>
        <v>Low</v>
      </c>
      <c r="G109" s="7" t="str">
        <f t="shared" si="7"/>
        <v>No</v>
      </c>
      <c r="H109" s="7" t="str">
        <f>IF(OR('Raw Data'!D110=1,D109&lt;0.1),"Yes - Desirable","No")</f>
        <v>No</v>
      </c>
      <c r="I109" s="7" t="str">
        <f t="shared" si="8"/>
        <v>Safe Area</v>
      </c>
      <c r="J109" s="7" t="str">
        <f t="shared" si="9"/>
        <v>Grade D - Low Value</v>
      </c>
    </row>
    <row r="110" spans="1:10" x14ac:dyDescent="0.25">
      <c r="A110" s="7">
        <v>108</v>
      </c>
      <c r="B110" s="7">
        <f>'Raw Data'!N111</f>
        <v>20.399999999999999</v>
      </c>
      <c r="C110" s="7">
        <f>'Raw Data'!F111</f>
        <v>6.1269999999999998</v>
      </c>
      <c r="D110" s="7">
        <f>'Raw Data'!A111</f>
        <v>0.13117000000000001</v>
      </c>
      <c r="E110" s="7" t="str">
        <f t="shared" si="5"/>
        <v>Medium</v>
      </c>
      <c r="F110" s="8" t="str">
        <f t="shared" si="6"/>
        <v>Medium</v>
      </c>
      <c r="G110" s="7" t="str">
        <f t="shared" si="7"/>
        <v>Yes - Affordable &amp; Spacious</v>
      </c>
      <c r="H110" s="7" t="str">
        <f>IF(OR('Raw Data'!D111=1,D110&lt;0.1),"Yes - Desirable","No")</f>
        <v>No</v>
      </c>
      <c r="I110" s="7" t="str">
        <f t="shared" si="8"/>
        <v>Safe Area</v>
      </c>
      <c r="J110" s="7" t="str">
        <f t="shared" si="9"/>
        <v>Grade C - Average</v>
      </c>
    </row>
    <row r="111" spans="1:10" x14ac:dyDescent="0.25">
      <c r="A111" s="7">
        <v>109</v>
      </c>
      <c r="B111" s="7">
        <f>'Raw Data'!N112</f>
        <v>19.8</v>
      </c>
      <c r="C111" s="7">
        <f>'Raw Data'!F112</f>
        <v>6.4740000000000002</v>
      </c>
      <c r="D111" s="7">
        <f>'Raw Data'!A112</f>
        <v>0.12801999999999999</v>
      </c>
      <c r="E111" s="7" t="str">
        <f t="shared" si="5"/>
        <v>Medium</v>
      </c>
      <c r="F111" s="8" t="str">
        <f t="shared" si="6"/>
        <v>Low</v>
      </c>
      <c r="G111" s="7" t="str">
        <f t="shared" si="7"/>
        <v>Yes - Affordable &amp; Spacious</v>
      </c>
      <c r="H111" s="7" t="str">
        <f>IF(OR('Raw Data'!D112=1,D111&lt;0.1),"Yes - Desirable","No")</f>
        <v>No</v>
      </c>
      <c r="I111" s="7" t="str">
        <f t="shared" si="8"/>
        <v>Safe Area</v>
      </c>
      <c r="J111" s="7" t="str">
        <f t="shared" si="9"/>
        <v>Grade D - Low Value</v>
      </c>
    </row>
    <row r="112" spans="1:10" x14ac:dyDescent="0.25">
      <c r="A112" s="7">
        <v>110</v>
      </c>
      <c r="B112" s="7">
        <f>'Raw Data'!N113</f>
        <v>19.399999999999999</v>
      </c>
      <c r="C112" s="7">
        <f>'Raw Data'!F113</f>
        <v>6.2290000000000001</v>
      </c>
      <c r="D112" s="7">
        <f>'Raw Data'!A113</f>
        <v>0.26362999999999998</v>
      </c>
      <c r="E112" s="7" t="str">
        <f t="shared" si="5"/>
        <v>Medium</v>
      </c>
      <c r="F112" s="8" t="str">
        <f t="shared" si="6"/>
        <v>Low</v>
      </c>
      <c r="G112" s="7" t="str">
        <f t="shared" si="7"/>
        <v>Yes - Affordable &amp; Spacious</v>
      </c>
      <c r="H112" s="7" t="str">
        <f>IF(OR('Raw Data'!D113=1,D112&lt;0.1),"Yes - Desirable","No")</f>
        <v>No</v>
      </c>
      <c r="I112" s="7" t="str">
        <f t="shared" si="8"/>
        <v>Safe Area</v>
      </c>
      <c r="J112" s="7" t="str">
        <f t="shared" si="9"/>
        <v>Grade D - Low Value</v>
      </c>
    </row>
    <row r="113" spans="1:10" x14ac:dyDescent="0.25">
      <c r="A113" s="7">
        <v>111</v>
      </c>
      <c r="B113" s="7">
        <f>'Raw Data'!N114</f>
        <v>21.7</v>
      </c>
      <c r="C113" s="7">
        <f>'Raw Data'!F114</f>
        <v>6.1950000000000003</v>
      </c>
      <c r="D113" s="7">
        <f>'Raw Data'!A114</f>
        <v>0.10793</v>
      </c>
      <c r="E113" s="7" t="str">
        <f t="shared" si="5"/>
        <v>Medium</v>
      </c>
      <c r="F113" s="8" t="str">
        <f t="shared" si="6"/>
        <v>Medium</v>
      </c>
      <c r="G113" s="7" t="str">
        <f t="shared" si="7"/>
        <v>Yes - Affordable &amp; Spacious</v>
      </c>
      <c r="H113" s="7" t="str">
        <f>IF(OR('Raw Data'!D114=1,D113&lt;0.1),"Yes - Desirable","No")</f>
        <v>No</v>
      </c>
      <c r="I113" s="7" t="str">
        <f t="shared" si="8"/>
        <v>Safe Area</v>
      </c>
      <c r="J113" s="7" t="str">
        <f t="shared" si="9"/>
        <v>Grade C - Average</v>
      </c>
    </row>
    <row r="114" spans="1:10" x14ac:dyDescent="0.25">
      <c r="A114" s="7">
        <v>112</v>
      </c>
      <c r="B114" s="7">
        <f>'Raw Data'!N115</f>
        <v>22.8</v>
      </c>
      <c r="C114" s="7">
        <f>'Raw Data'!F115</f>
        <v>6.7149999999999999</v>
      </c>
      <c r="D114" s="7">
        <f>'Raw Data'!A115</f>
        <v>0.10084</v>
      </c>
      <c r="E114" s="7" t="str">
        <f t="shared" si="5"/>
        <v>Medium</v>
      </c>
      <c r="F114" s="8" t="str">
        <f t="shared" si="6"/>
        <v>Medium</v>
      </c>
      <c r="G114" s="7" t="str">
        <f t="shared" si="7"/>
        <v>No</v>
      </c>
      <c r="H114" s="7" t="str">
        <f>IF(OR('Raw Data'!D115=1,D114&lt;0.1),"Yes - Desirable","No")</f>
        <v>No</v>
      </c>
      <c r="I114" s="7" t="str">
        <f t="shared" si="8"/>
        <v>Safe Area</v>
      </c>
      <c r="J114" s="7" t="str">
        <f t="shared" si="9"/>
        <v>Grade C - Average</v>
      </c>
    </row>
    <row r="115" spans="1:10" x14ac:dyDescent="0.25">
      <c r="A115" s="7">
        <v>113</v>
      </c>
      <c r="B115" s="7">
        <f>'Raw Data'!N116</f>
        <v>18.8</v>
      </c>
      <c r="C115" s="7">
        <f>'Raw Data'!F116</f>
        <v>5.9130000000000003</v>
      </c>
      <c r="D115" s="7">
        <f>'Raw Data'!A116</f>
        <v>0.12329</v>
      </c>
      <c r="E115" s="7" t="str">
        <f t="shared" si="5"/>
        <v>Medium</v>
      </c>
      <c r="F115" s="8" t="str">
        <f t="shared" si="6"/>
        <v>Low</v>
      </c>
      <c r="G115" s="7" t="str">
        <f t="shared" si="7"/>
        <v>No</v>
      </c>
      <c r="H115" s="7" t="str">
        <f>IF(OR('Raw Data'!D116=1,D115&lt;0.1),"Yes - Desirable","No")</f>
        <v>No</v>
      </c>
      <c r="I115" s="7" t="str">
        <f t="shared" si="8"/>
        <v>Safe Area</v>
      </c>
      <c r="J115" s="7" t="str">
        <f t="shared" si="9"/>
        <v>Grade D - Low Value</v>
      </c>
    </row>
    <row r="116" spans="1:10" x14ac:dyDescent="0.25">
      <c r="A116" s="7">
        <v>114</v>
      </c>
      <c r="B116" s="7">
        <f>'Raw Data'!N117</f>
        <v>18.7</v>
      </c>
      <c r="C116" s="7">
        <f>'Raw Data'!F117</f>
        <v>6.0919999999999996</v>
      </c>
      <c r="D116" s="7">
        <f>'Raw Data'!A117</f>
        <v>0.22212000000000001</v>
      </c>
      <c r="E116" s="7" t="str">
        <f t="shared" si="5"/>
        <v>Medium</v>
      </c>
      <c r="F116" s="8" t="str">
        <f t="shared" si="6"/>
        <v>Low</v>
      </c>
      <c r="G116" s="7" t="str">
        <f t="shared" si="7"/>
        <v>Yes - Affordable &amp; Spacious</v>
      </c>
      <c r="H116" s="7" t="str">
        <f>IF(OR('Raw Data'!D117=1,D116&lt;0.1),"Yes - Desirable","No")</f>
        <v>No</v>
      </c>
      <c r="I116" s="7" t="str">
        <f t="shared" si="8"/>
        <v>Safe Area</v>
      </c>
      <c r="J116" s="7" t="str">
        <f t="shared" si="9"/>
        <v>Grade D - Low Value</v>
      </c>
    </row>
    <row r="117" spans="1:10" x14ac:dyDescent="0.25">
      <c r="A117" s="7">
        <v>115</v>
      </c>
      <c r="B117" s="7">
        <f>'Raw Data'!N118</f>
        <v>18.5</v>
      </c>
      <c r="C117" s="7">
        <f>'Raw Data'!F118</f>
        <v>6.2539999999999996</v>
      </c>
      <c r="D117" s="7">
        <f>'Raw Data'!A118</f>
        <v>0.14230999999999999</v>
      </c>
      <c r="E117" s="7" t="str">
        <f t="shared" si="5"/>
        <v>Medium</v>
      </c>
      <c r="F117" s="8" t="str">
        <f t="shared" si="6"/>
        <v>Low</v>
      </c>
      <c r="G117" s="7" t="str">
        <f t="shared" si="7"/>
        <v>Yes - Affordable &amp; Spacious</v>
      </c>
      <c r="H117" s="7" t="str">
        <f>IF(OR('Raw Data'!D118=1,D117&lt;0.1),"Yes - Desirable","No")</f>
        <v>No</v>
      </c>
      <c r="I117" s="7" t="str">
        <f t="shared" si="8"/>
        <v>Safe Area</v>
      </c>
      <c r="J117" s="7" t="str">
        <f t="shared" si="9"/>
        <v>Grade D - Low Value</v>
      </c>
    </row>
    <row r="118" spans="1:10" x14ac:dyDescent="0.25">
      <c r="A118" s="7">
        <v>116</v>
      </c>
      <c r="B118" s="7">
        <f>'Raw Data'!N119</f>
        <v>18.3</v>
      </c>
      <c r="C118" s="7">
        <f>'Raw Data'!F119</f>
        <v>5.9279999999999999</v>
      </c>
      <c r="D118" s="7">
        <f>'Raw Data'!A119</f>
        <v>0.17133999999999999</v>
      </c>
      <c r="E118" s="7" t="str">
        <f t="shared" si="5"/>
        <v>Medium</v>
      </c>
      <c r="F118" s="8" t="str">
        <f t="shared" si="6"/>
        <v>Low</v>
      </c>
      <c r="G118" s="7" t="str">
        <f t="shared" si="7"/>
        <v>No</v>
      </c>
      <c r="H118" s="7" t="str">
        <f>IF(OR('Raw Data'!D119=1,D118&lt;0.1),"Yes - Desirable","No")</f>
        <v>No</v>
      </c>
      <c r="I118" s="7" t="str">
        <f t="shared" si="8"/>
        <v>Safe Area</v>
      </c>
      <c r="J118" s="7" t="str">
        <f t="shared" si="9"/>
        <v>Grade D - Low Value</v>
      </c>
    </row>
    <row r="119" spans="1:10" x14ac:dyDescent="0.25">
      <c r="A119" s="7">
        <v>117</v>
      </c>
      <c r="B119" s="7">
        <f>'Raw Data'!N120</f>
        <v>21.2</v>
      </c>
      <c r="C119" s="7">
        <f>'Raw Data'!F120</f>
        <v>6.1760000000000002</v>
      </c>
      <c r="D119" s="7">
        <f>'Raw Data'!A120</f>
        <v>0.13158</v>
      </c>
      <c r="E119" s="7" t="str">
        <f t="shared" si="5"/>
        <v>Medium</v>
      </c>
      <c r="F119" s="8" t="str">
        <f t="shared" si="6"/>
        <v>Medium</v>
      </c>
      <c r="G119" s="7" t="str">
        <f t="shared" si="7"/>
        <v>Yes - Affordable &amp; Spacious</v>
      </c>
      <c r="H119" s="7" t="str">
        <f>IF(OR('Raw Data'!D120=1,D119&lt;0.1),"Yes - Desirable","No")</f>
        <v>No</v>
      </c>
      <c r="I119" s="7" t="str">
        <f t="shared" si="8"/>
        <v>Safe Area</v>
      </c>
      <c r="J119" s="7" t="str">
        <f t="shared" si="9"/>
        <v>Grade C - Average</v>
      </c>
    </row>
    <row r="120" spans="1:10" x14ac:dyDescent="0.25">
      <c r="A120" s="7">
        <v>118</v>
      </c>
      <c r="B120" s="7">
        <f>'Raw Data'!N121</f>
        <v>19.2</v>
      </c>
      <c r="C120" s="7">
        <f>'Raw Data'!F121</f>
        <v>6.0209999999999999</v>
      </c>
      <c r="D120" s="7">
        <f>'Raw Data'!A121</f>
        <v>0.15098</v>
      </c>
      <c r="E120" s="7" t="str">
        <f t="shared" si="5"/>
        <v>Medium</v>
      </c>
      <c r="F120" s="8" t="str">
        <f t="shared" si="6"/>
        <v>Low</v>
      </c>
      <c r="G120" s="7" t="str">
        <f t="shared" si="7"/>
        <v>Yes - Affordable &amp; Spacious</v>
      </c>
      <c r="H120" s="7" t="str">
        <f>IF(OR('Raw Data'!D121=1,D120&lt;0.1),"Yes - Desirable","No")</f>
        <v>No</v>
      </c>
      <c r="I120" s="7" t="str">
        <f t="shared" si="8"/>
        <v>Safe Area</v>
      </c>
      <c r="J120" s="7" t="str">
        <f t="shared" si="9"/>
        <v>Grade D - Low Value</v>
      </c>
    </row>
    <row r="121" spans="1:10" x14ac:dyDescent="0.25">
      <c r="A121" s="7">
        <v>119</v>
      </c>
      <c r="B121" s="7">
        <f>'Raw Data'!N122</f>
        <v>20.399999999999999</v>
      </c>
      <c r="C121" s="7">
        <f>'Raw Data'!F122</f>
        <v>5.8719999999999999</v>
      </c>
      <c r="D121" s="7">
        <f>'Raw Data'!A122</f>
        <v>0.13058</v>
      </c>
      <c r="E121" s="7" t="str">
        <f t="shared" si="5"/>
        <v>Medium</v>
      </c>
      <c r="F121" s="8" t="str">
        <f t="shared" si="6"/>
        <v>Medium</v>
      </c>
      <c r="G121" s="7" t="str">
        <f t="shared" si="7"/>
        <v>No</v>
      </c>
      <c r="H121" s="7" t="str">
        <f>IF(OR('Raw Data'!D122=1,D121&lt;0.1),"Yes - Desirable","No")</f>
        <v>No</v>
      </c>
      <c r="I121" s="7" t="str">
        <f t="shared" si="8"/>
        <v>Safe Area</v>
      </c>
      <c r="J121" s="7" t="str">
        <f t="shared" si="9"/>
        <v>Grade C - Average</v>
      </c>
    </row>
    <row r="122" spans="1:10" x14ac:dyDescent="0.25">
      <c r="A122" s="7">
        <v>120</v>
      </c>
      <c r="B122" s="7">
        <f>'Raw Data'!N123</f>
        <v>19.3</v>
      </c>
      <c r="C122" s="7">
        <f>'Raw Data'!F123</f>
        <v>5.7309999999999999</v>
      </c>
      <c r="D122" s="7">
        <f>'Raw Data'!A123</f>
        <v>0.14476</v>
      </c>
      <c r="E122" s="7" t="str">
        <f t="shared" si="5"/>
        <v>Medium</v>
      </c>
      <c r="F122" s="8" t="str">
        <f t="shared" si="6"/>
        <v>Low</v>
      </c>
      <c r="G122" s="7" t="str">
        <f t="shared" si="7"/>
        <v>No</v>
      </c>
      <c r="H122" s="7" t="str">
        <f>IF(OR('Raw Data'!D123=1,D122&lt;0.1),"Yes - Desirable","No")</f>
        <v>No</v>
      </c>
      <c r="I122" s="7" t="str">
        <f t="shared" si="8"/>
        <v>Safe Area</v>
      </c>
      <c r="J122" s="7" t="str">
        <f t="shared" si="9"/>
        <v>Grade D - Low Value</v>
      </c>
    </row>
    <row r="123" spans="1:10" x14ac:dyDescent="0.25">
      <c r="A123" s="7">
        <v>121</v>
      </c>
      <c r="B123" s="7">
        <f>'Raw Data'!N124</f>
        <v>22</v>
      </c>
      <c r="C123" s="7">
        <f>'Raw Data'!F124</f>
        <v>5.87</v>
      </c>
      <c r="D123" s="7">
        <f>'Raw Data'!A124</f>
        <v>6.8989999999999996E-2</v>
      </c>
      <c r="E123" s="7" t="str">
        <f t="shared" si="5"/>
        <v>Medium</v>
      </c>
      <c r="F123" s="8" t="str">
        <f t="shared" si="6"/>
        <v>Medium</v>
      </c>
      <c r="G123" s="7" t="str">
        <f t="shared" si="7"/>
        <v>No</v>
      </c>
      <c r="H123" s="7" t="str">
        <f>IF(OR('Raw Data'!D124=1,D123&lt;0.1),"Yes - Desirable","No")</f>
        <v>Yes - Desirable</v>
      </c>
      <c r="I123" s="7" t="str">
        <f t="shared" si="8"/>
        <v>Safe Area</v>
      </c>
      <c r="J123" s="7" t="str">
        <f t="shared" si="9"/>
        <v>Grade C - Average</v>
      </c>
    </row>
    <row r="124" spans="1:10" x14ac:dyDescent="0.25">
      <c r="A124" s="7">
        <v>122</v>
      </c>
      <c r="B124" s="7">
        <f>'Raw Data'!N125</f>
        <v>20.3</v>
      </c>
      <c r="C124" s="7">
        <f>'Raw Data'!F125</f>
        <v>6.0039999999999996</v>
      </c>
      <c r="D124" s="7">
        <f>'Raw Data'!A125</f>
        <v>7.1650000000000005E-2</v>
      </c>
      <c r="E124" s="7" t="str">
        <f t="shared" si="5"/>
        <v>Medium</v>
      </c>
      <c r="F124" s="8" t="str">
        <f t="shared" si="6"/>
        <v>Medium</v>
      </c>
      <c r="G124" s="7" t="str">
        <f t="shared" si="7"/>
        <v>Yes - Affordable &amp; Spacious</v>
      </c>
      <c r="H124" s="7" t="str">
        <f>IF(OR('Raw Data'!D125=1,D124&lt;0.1),"Yes - Desirable","No")</f>
        <v>Yes - Desirable</v>
      </c>
      <c r="I124" s="7" t="str">
        <f t="shared" si="8"/>
        <v>Safe Area</v>
      </c>
      <c r="J124" s="7" t="str">
        <f t="shared" si="9"/>
        <v>Grade C - Average</v>
      </c>
    </row>
    <row r="125" spans="1:10" x14ac:dyDescent="0.25">
      <c r="A125" s="7">
        <v>123</v>
      </c>
      <c r="B125" s="7">
        <f>'Raw Data'!N126</f>
        <v>20.5</v>
      </c>
      <c r="C125" s="7">
        <f>'Raw Data'!F126</f>
        <v>5.9610000000000003</v>
      </c>
      <c r="D125" s="7">
        <f>'Raw Data'!A126</f>
        <v>9.2990000000000003E-2</v>
      </c>
      <c r="E125" s="7" t="str">
        <f t="shared" si="5"/>
        <v>Medium</v>
      </c>
      <c r="F125" s="8" t="str">
        <f t="shared" si="6"/>
        <v>Medium</v>
      </c>
      <c r="G125" s="7" t="str">
        <f t="shared" si="7"/>
        <v>No</v>
      </c>
      <c r="H125" s="7" t="str">
        <f>IF(OR('Raw Data'!D126=1,D125&lt;0.1),"Yes - Desirable","No")</f>
        <v>Yes - Desirable</v>
      </c>
      <c r="I125" s="7" t="str">
        <f t="shared" si="8"/>
        <v>Safe Area</v>
      </c>
      <c r="J125" s="7" t="str">
        <f t="shared" si="9"/>
        <v>Grade C - Average</v>
      </c>
    </row>
    <row r="126" spans="1:10" x14ac:dyDescent="0.25">
      <c r="A126" s="7">
        <v>124</v>
      </c>
      <c r="B126" s="7">
        <f>'Raw Data'!N127</f>
        <v>17.3</v>
      </c>
      <c r="C126" s="7">
        <f>'Raw Data'!F127</f>
        <v>5.8559999999999999</v>
      </c>
      <c r="D126" s="7">
        <f>'Raw Data'!A127</f>
        <v>0.15038000000000001</v>
      </c>
      <c r="E126" s="7" t="str">
        <f t="shared" si="5"/>
        <v>Medium</v>
      </c>
      <c r="F126" s="8" t="str">
        <f t="shared" si="6"/>
        <v>Low</v>
      </c>
      <c r="G126" s="7" t="str">
        <f t="shared" si="7"/>
        <v>No</v>
      </c>
      <c r="H126" s="7" t="str">
        <f>IF(OR('Raw Data'!D127=1,D126&lt;0.1),"Yes - Desirable","No")</f>
        <v>No</v>
      </c>
      <c r="I126" s="7" t="str">
        <f t="shared" si="8"/>
        <v>Safe Area</v>
      </c>
      <c r="J126" s="7" t="str">
        <f t="shared" si="9"/>
        <v>Grade D - Low Value</v>
      </c>
    </row>
    <row r="127" spans="1:10" x14ac:dyDescent="0.25">
      <c r="A127" s="7">
        <v>125</v>
      </c>
      <c r="B127" s="7">
        <f>'Raw Data'!N128</f>
        <v>18.8</v>
      </c>
      <c r="C127" s="7">
        <f>'Raw Data'!F128</f>
        <v>5.8789999999999996</v>
      </c>
      <c r="D127" s="7">
        <f>'Raw Data'!A128</f>
        <v>9.8489999999999994E-2</v>
      </c>
      <c r="E127" s="7" t="str">
        <f t="shared" si="5"/>
        <v>Medium</v>
      </c>
      <c r="F127" s="8" t="str">
        <f t="shared" si="6"/>
        <v>Low</v>
      </c>
      <c r="G127" s="7" t="str">
        <f t="shared" si="7"/>
        <v>No</v>
      </c>
      <c r="H127" s="7" t="str">
        <f>IF(OR('Raw Data'!D128=1,D127&lt;0.1),"Yes - Desirable","No")</f>
        <v>Yes - Desirable</v>
      </c>
      <c r="I127" s="7" t="str">
        <f t="shared" si="8"/>
        <v>Safe Area</v>
      </c>
      <c r="J127" s="7" t="str">
        <f t="shared" si="9"/>
        <v>Grade D - Low Value</v>
      </c>
    </row>
    <row r="128" spans="1:10" x14ac:dyDescent="0.25">
      <c r="A128" s="7">
        <v>126</v>
      </c>
      <c r="B128" s="7">
        <f>'Raw Data'!N129</f>
        <v>21.4</v>
      </c>
      <c r="C128" s="7">
        <f>'Raw Data'!F129</f>
        <v>5.9859999999999998</v>
      </c>
      <c r="D128" s="7">
        <f>'Raw Data'!A129</f>
        <v>0.16902</v>
      </c>
      <c r="E128" s="7" t="str">
        <f t="shared" si="5"/>
        <v>Medium</v>
      </c>
      <c r="F128" s="8" t="str">
        <f t="shared" si="6"/>
        <v>Medium</v>
      </c>
      <c r="G128" s="7" t="str">
        <f t="shared" si="7"/>
        <v>No</v>
      </c>
      <c r="H128" s="7" t="str">
        <f>IF(OR('Raw Data'!D129=1,D128&lt;0.1),"Yes - Desirable","No")</f>
        <v>No</v>
      </c>
      <c r="I128" s="7" t="str">
        <f t="shared" si="8"/>
        <v>Safe Area</v>
      </c>
      <c r="J128" s="7" t="str">
        <f t="shared" si="9"/>
        <v>Grade C - Average</v>
      </c>
    </row>
    <row r="129" spans="1:10" x14ac:dyDescent="0.25">
      <c r="A129" s="7">
        <v>127</v>
      </c>
      <c r="B129" s="7">
        <f>'Raw Data'!N130</f>
        <v>15.7</v>
      </c>
      <c r="C129" s="7">
        <f>'Raw Data'!F130</f>
        <v>5.6130000000000004</v>
      </c>
      <c r="D129" s="7">
        <f>'Raw Data'!A130</f>
        <v>0.38735000000000003</v>
      </c>
      <c r="E129" s="7" t="str">
        <f t="shared" si="5"/>
        <v>Medium</v>
      </c>
      <c r="F129" s="8" t="str">
        <f t="shared" si="6"/>
        <v>Low</v>
      </c>
      <c r="G129" s="7" t="str">
        <f t="shared" si="7"/>
        <v>No</v>
      </c>
      <c r="H129" s="7" t="str">
        <f>IF(OR('Raw Data'!D130=1,D129&lt;0.1),"Yes - Desirable","No")</f>
        <v>No</v>
      </c>
      <c r="I129" s="7" t="str">
        <f t="shared" si="8"/>
        <v>Safe Area</v>
      </c>
      <c r="J129" s="7" t="str">
        <f t="shared" si="9"/>
        <v>Grade D - Low Value</v>
      </c>
    </row>
    <row r="130" spans="1:10" x14ac:dyDescent="0.25">
      <c r="A130" s="7">
        <v>128</v>
      </c>
      <c r="B130" s="7">
        <f>'Raw Data'!N131</f>
        <v>16.2</v>
      </c>
      <c r="C130" s="7">
        <f>'Raw Data'!F131</f>
        <v>5.6929999999999996</v>
      </c>
      <c r="D130" s="7">
        <f>'Raw Data'!A131</f>
        <v>0.25914999999999999</v>
      </c>
      <c r="E130" s="7" t="str">
        <f t="shared" si="5"/>
        <v>Medium</v>
      </c>
      <c r="F130" s="8" t="str">
        <f t="shared" si="6"/>
        <v>Low</v>
      </c>
      <c r="G130" s="7" t="str">
        <f t="shared" si="7"/>
        <v>No</v>
      </c>
      <c r="H130" s="7" t="str">
        <f>IF(OR('Raw Data'!D131=1,D130&lt;0.1),"Yes - Desirable","No")</f>
        <v>No</v>
      </c>
      <c r="I130" s="7" t="str">
        <f t="shared" si="8"/>
        <v>Safe Area</v>
      </c>
      <c r="J130" s="7" t="str">
        <f t="shared" si="9"/>
        <v>Grade D - Low Value</v>
      </c>
    </row>
    <row r="131" spans="1:10" x14ac:dyDescent="0.25">
      <c r="A131" s="7">
        <v>129</v>
      </c>
      <c r="B131" s="7">
        <f>'Raw Data'!N132</f>
        <v>18</v>
      </c>
      <c r="C131" s="7">
        <f>'Raw Data'!F132</f>
        <v>6.431</v>
      </c>
      <c r="D131" s="7">
        <f>'Raw Data'!A132</f>
        <v>0.32543</v>
      </c>
      <c r="E131" s="7" t="str">
        <f t="shared" si="5"/>
        <v>Medium</v>
      </c>
      <c r="F131" s="8" t="str">
        <f t="shared" si="6"/>
        <v>Low</v>
      </c>
      <c r="G131" s="7" t="str">
        <f t="shared" si="7"/>
        <v>Yes - Affordable &amp; Spacious</v>
      </c>
      <c r="H131" s="7" t="str">
        <f>IF(OR('Raw Data'!D132=1,D131&lt;0.1),"Yes - Desirable","No")</f>
        <v>No</v>
      </c>
      <c r="I131" s="7" t="str">
        <f t="shared" si="8"/>
        <v>Safe Area</v>
      </c>
      <c r="J131" s="7" t="str">
        <f t="shared" si="9"/>
        <v>Grade D - Low Value</v>
      </c>
    </row>
    <row r="132" spans="1:10" x14ac:dyDescent="0.25">
      <c r="A132" s="7">
        <v>130</v>
      </c>
      <c r="B132" s="7">
        <f>'Raw Data'!N133</f>
        <v>14.3</v>
      </c>
      <c r="C132" s="7">
        <f>'Raw Data'!F133</f>
        <v>5.6369999999999996</v>
      </c>
      <c r="D132" s="7">
        <f>'Raw Data'!A133</f>
        <v>0.88124999999999998</v>
      </c>
      <c r="E132" s="7" t="str">
        <f t="shared" ref="E132:E195" si="10">IF(B132&lt;=15,"Low",IF(B132&lt;=25,"Medium","High"))</f>
        <v>Low</v>
      </c>
      <c r="F132" s="8" t="str">
        <f t="shared" ref="F132:F195" si="11">IF(B132&lt;=10,"Very Low",IF(B132&lt;=20,"Low",IF(B132&lt;=30,"Medium",IF(B132&lt;=40,"High","Very High"))))</f>
        <v>Low</v>
      </c>
      <c r="G132" s="7" t="str">
        <f t="shared" ref="G132:G195" si="12">IF(AND(B132&lt;=22,C132&gt;=6),"Yes - Affordable &amp; Spacious","No")</f>
        <v>No</v>
      </c>
      <c r="H132" s="7" t="str">
        <f>IF(OR('Raw Data'!D133=1,D132&lt;0.1),"Yes - Desirable","No")</f>
        <v>No</v>
      </c>
      <c r="I132" s="7" t="str">
        <f t="shared" ref="I132:I195" si="13">IF(NOT(D132&gt;=1),"Safe Area","High Crime")</f>
        <v>Safe Area</v>
      </c>
      <c r="J132" s="7" t="str">
        <f t="shared" ref="J132:J195" si="14">IF(B132&gt;=35,IF(D132&lt;0.5,"Grade A - Premium","Grade B - Good"),IF(B132&gt;=20,"Grade C - Average","Grade D - Low Value"))</f>
        <v>Grade D - Low Value</v>
      </c>
    </row>
    <row r="133" spans="1:10" x14ac:dyDescent="0.25">
      <c r="A133" s="7">
        <v>131</v>
      </c>
      <c r="B133" s="7">
        <f>'Raw Data'!N134</f>
        <v>19.2</v>
      </c>
      <c r="C133" s="7">
        <f>'Raw Data'!F134</f>
        <v>6.4580000000000002</v>
      </c>
      <c r="D133" s="7">
        <f>'Raw Data'!A134</f>
        <v>0.34005999999999997</v>
      </c>
      <c r="E133" s="7" t="str">
        <f t="shared" si="10"/>
        <v>Medium</v>
      </c>
      <c r="F133" s="8" t="str">
        <f t="shared" si="11"/>
        <v>Low</v>
      </c>
      <c r="G133" s="7" t="str">
        <f t="shared" si="12"/>
        <v>Yes - Affordable &amp; Spacious</v>
      </c>
      <c r="H133" s="7" t="str">
        <f>IF(OR('Raw Data'!D134=1,D133&lt;0.1),"Yes - Desirable","No")</f>
        <v>No</v>
      </c>
      <c r="I133" s="7" t="str">
        <f t="shared" si="13"/>
        <v>Safe Area</v>
      </c>
      <c r="J133" s="7" t="str">
        <f t="shared" si="14"/>
        <v>Grade D - Low Value</v>
      </c>
    </row>
    <row r="134" spans="1:10" x14ac:dyDescent="0.25">
      <c r="A134" s="7">
        <v>132</v>
      </c>
      <c r="B134" s="7">
        <f>'Raw Data'!N135</f>
        <v>19.600000000000001</v>
      </c>
      <c r="C134" s="7">
        <f>'Raw Data'!F135</f>
        <v>6.3259999999999996</v>
      </c>
      <c r="D134" s="7">
        <f>'Raw Data'!A135</f>
        <v>1.1929399999999999</v>
      </c>
      <c r="E134" s="7" t="str">
        <f t="shared" si="10"/>
        <v>Medium</v>
      </c>
      <c r="F134" s="8" t="str">
        <f t="shared" si="11"/>
        <v>Low</v>
      </c>
      <c r="G134" s="7" t="str">
        <f t="shared" si="12"/>
        <v>Yes - Affordable &amp; Spacious</v>
      </c>
      <c r="H134" s="7" t="str">
        <f>IF(OR('Raw Data'!D135=1,D134&lt;0.1),"Yes - Desirable","No")</f>
        <v>No</v>
      </c>
      <c r="I134" s="7" t="str">
        <f t="shared" si="13"/>
        <v>High Crime</v>
      </c>
      <c r="J134" s="7" t="str">
        <f t="shared" si="14"/>
        <v>Grade D - Low Value</v>
      </c>
    </row>
    <row r="135" spans="1:10" x14ac:dyDescent="0.25">
      <c r="A135" s="7">
        <v>133</v>
      </c>
      <c r="B135" s="7">
        <f>'Raw Data'!N136</f>
        <v>23</v>
      </c>
      <c r="C135" s="7">
        <f>'Raw Data'!F136</f>
        <v>6.3719999999999999</v>
      </c>
      <c r="D135" s="7">
        <f>'Raw Data'!A136</f>
        <v>0.59004999999999996</v>
      </c>
      <c r="E135" s="7" t="str">
        <f t="shared" si="10"/>
        <v>Medium</v>
      </c>
      <c r="F135" s="8" t="str">
        <f t="shared" si="11"/>
        <v>Medium</v>
      </c>
      <c r="G135" s="7" t="str">
        <f t="shared" si="12"/>
        <v>No</v>
      </c>
      <c r="H135" s="7" t="str">
        <f>IF(OR('Raw Data'!D136=1,D135&lt;0.1),"Yes - Desirable","No")</f>
        <v>No</v>
      </c>
      <c r="I135" s="7" t="str">
        <f t="shared" si="13"/>
        <v>Safe Area</v>
      </c>
      <c r="J135" s="7" t="str">
        <f t="shared" si="14"/>
        <v>Grade C - Average</v>
      </c>
    </row>
    <row r="136" spans="1:10" x14ac:dyDescent="0.25">
      <c r="A136" s="7">
        <v>134</v>
      </c>
      <c r="B136" s="7">
        <f>'Raw Data'!N137</f>
        <v>18.399999999999999</v>
      </c>
      <c r="C136" s="7">
        <f>'Raw Data'!F137</f>
        <v>5.8220000000000001</v>
      </c>
      <c r="D136" s="7">
        <f>'Raw Data'!A137</f>
        <v>0.32982</v>
      </c>
      <c r="E136" s="7" t="str">
        <f t="shared" si="10"/>
        <v>Medium</v>
      </c>
      <c r="F136" s="8" t="str">
        <f t="shared" si="11"/>
        <v>Low</v>
      </c>
      <c r="G136" s="7" t="str">
        <f t="shared" si="12"/>
        <v>No</v>
      </c>
      <c r="H136" s="7" t="str">
        <f>IF(OR('Raw Data'!D137=1,D136&lt;0.1),"Yes - Desirable","No")</f>
        <v>No</v>
      </c>
      <c r="I136" s="7" t="str">
        <f t="shared" si="13"/>
        <v>Safe Area</v>
      </c>
      <c r="J136" s="7" t="str">
        <f t="shared" si="14"/>
        <v>Grade D - Low Value</v>
      </c>
    </row>
    <row r="137" spans="1:10" x14ac:dyDescent="0.25">
      <c r="A137" s="7">
        <v>135</v>
      </c>
      <c r="B137" s="7">
        <f>'Raw Data'!N138</f>
        <v>15.6</v>
      </c>
      <c r="C137" s="7">
        <f>'Raw Data'!F138</f>
        <v>5.7569999999999997</v>
      </c>
      <c r="D137" s="7">
        <f>'Raw Data'!A138</f>
        <v>0.97616999999999998</v>
      </c>
      <c r="E137" s="7" t="str">
        <f t="shared" si="10"/>
        <v>Medium</v>
      </c>
      <c r="F137" s="8" t="str">
        <f t="shared" si="11"/>
        <v>Low</v>
      </c>
      <c r="G137" s="7" t="str">
        <f t="shared" si="12"/>
        <v>No</v>
      </c>
      <c r="H137" s="7" t="str">
        <f>IF(OR('Raw Data'!D138=1,D137&lt;0.1),"Yes - Desirable","No")</f>
        <v>No</v>
      </c>
      <c r="I137" s="7" t="str">
        <f t="shared" si="13"/>
        <v>Safe Area</v>
      </c>
      <c r="J137" s="7" t="str">
        <f t="shared" si="14"/>
        <v>Grade D - Low Value</v>
      </c>
    </row>
    <row r="138" spans="1:10" x14ac:dyDescent="0.25">
      <c r="A138" s="7">
        <v>136</v>
      </c>
      <c r="B138" s="7">
        <f>'Raw Data'!N139</f>
        <v>18.100000000000001</v>
      </c>
      <c r="C138" s="7">
        <f>'Raw Data'!F139</f>
        <v>6.335</v>
      </c>
      <c r="D138" s="7">
        <f>'Raw Data'!A139</f>
        <v>0.55778000000000005</v>
      </c>
      <c r="E138" s="7" t="str">
        <f t="shared" si="10"/>
        <v>Medium</v>
      </c>
      <c r="F138" s="8" t="str">
        <f t="shared" si="11"/>
        <v>Low</v>
      </c>
      <c r="G138" s="7" t="str">
        <f t="shared" si="12"/>
        <v>Yes - Affordable &amp; Spacious</v>
      </c>
      <c r="H138" s="7" t="str">
        <f>IF(OR('Raw Data'!D139=1,D138&lt;0.1),"Yes - Desirable","No")</f>
        <v>No</v>
      </c>
      <c r="I138" s="7" t="str">
        <f t="shared" si="13"/>
        <v>Safe Area</v>
      </c>
      <c r="J138" s="7" t="str">
        <f t="shared" si="14"/>
        <v>Grade D - Low Value</v>
      </c>
    </row>
    <row r="139" spans="1:10" x14ac:dyDescent="0.25">
      <c r="A139" s="7">
        <v>137</v>
      </c>
      <c r="B139" s="7">
        <f>'Raw Data'!N140</f>
        <v>17.399999999999999</v>
      </c>
      <c r="C139" s="7">
        <f>'Raw Data'!F140</f>
        <v>5.9420000000000002</v>
      </c>
      <c r="D139" s="7">
        <f>'Raw Data'!A140</f>
        <v>0.32263999999999998</v>
      </c>
      <c r="E139" s="7" t="str">
        <f t="shared" si="10"/>
        <v>Medium</v>
      </c>
      <c r="F139" s="8" t="str">
        <f t="shared" si="11"/>
        <v>Low</v>
      </c>
      <c r="G139" s="7" t="str">
        <f t="shared" si="12"/>
        <v>No</v>
      </c>
      <c r="H139" s="7" t="str">
        <f>IF(OR('Raw Data'!D140=1,D139&lt;0.1),"Yes - Desirable","No")</f>
        <v>No</v>
      </c>
      <c r="I139" s="7" t="str">
        <f t="shared" si="13"/>
        <v>Safe Area</v>
      </c>
      <c r="J139" s="7" t="str">
        <f t="shared" si="14"/>
        <v>Grade D - Low Value</v>
      </c>
    </row>
    <row r="140" spans="1:10" x14ac:dyDescent="0.25">
      <c r="A140" s="7">
        <v>138</v>
      </c>
      <c r="B140" s="7">
        <f>'Raw Data'!N141</f>
        <v>17.100000000000001</v>
      </c>
      <c r="C140" s="7">
        <f>'Raw Data'!F141</f>
        <v>6.4539999999999997</v>
      </c>
      <c r="D140" s="7">
        <f>'Raw Data'!A141</f>
        <v>0.35232999999999998</v>
      </c>
      <c r="E140" s="7" t="str">
        <f t="shared" si="10"/>
        <v>Medium</v>
      </c>
      <c r="F140" s="8" t="str">
        <f t="shared" si="11"/>
        <v>Low</v>
      </c>
      <c r="G140" s="7" t="str">
        <f t="shared" si="12"/>
        <v>Yes - Affordable &amp; Spacious</v>
      </c>
      <c r="H140" s="7" t="str">
        <f>IF(OR('Raw Data'!D141=1,D140&lt;0.1),"Yes - Desirable","No")</f>
        <v>No</v>
      </c>
      <c r="I140" s="7" t="str">
        <f t="shared" si="13"/>
        <v>Safe Area</v>
      </c>
      <c r="J140" s="7" t="str">
        <f t="shared" si="14"/>
        <v>Grade D - Low Value</v>
      </c>
    </row>
    <row r="141" spans="1:10" x14ac:dyDescent="0.25">
      <c r="A141" s="7">
        <v>139</v>
      </c>
      <c r="B141" s="7">
        <f>'Raw Data'!N142</f>
        <v>13.3</v>
      </c>
      <c r="C141" s="7">
        <f>'Raw Data'!F142</f>
        <v>5.8570000000000002</v>
      </c>
      <c r="D141" s="7">
        <f>'Raw Data'!A142</f>
        <v>0.24979999999999999</v>
      </c>
      <c r="E141" s="7" t="str">
        <f t="shared" si="10"/>
        <v>Low</v>
      </c>
      <c r="F141" s="8" t="str">
        <f t="shared" si="11"/>
        <v>Low</v>
      </c>
      <c r="G141" s="7" t="str">
        <f t="shared" si="12"/>
        <v>No</v>
      </c>
      <c r="H141" s="7" t="str">
        <f>IF(OR('Raw Data'!D142=1,D141&lt;0.1),"Yes - Desirable","No")</f>
        <v>No</v>
      </c>
      <c r="I141" s="7" t="str">
        <f t="shared" si="13"/>
        <v>Safe Area</v>
      </c>
      <c r="J141" s="7" t="str">
        <f t="shared" si="14"/>
        <v>Grade D - Low Value</v>
      </c>
    </row>
    <row r="142" spans="1:10" x14ac:dyDescent="0.25">
      <c r="A142" s="7">
        <v>140</v>
      </c>
      <c r="B142" s="7">
        <f>'Raw Data'!N143</f>
        <v>17.8</v>
      </c>
      <c r="C142" s="7">
        <f>'Raw Data'!F143</f>
        <v>6.1509999999999998</v>
      </c>
      <c r="D142" s="7">
        <f>'Raw Data'!A143</f>
        <v>0.54452</v>
      </c>
      <c r="E142" s="7" t="str">
        <f t="shared" si="10"/>
        <v>Medium</v>
      </c>
      <c r="F142" s="8" t="str">
        <f t="shared" si="11"/>
        <v>Low</v>
      </c>
      <c r="G142" s="7" t="str">
        <f t="shared" si="12"/>
        <v>Yes - Affordable &amp; Spacious</v>
      </c>
      <c r="H142" s="7" t="str">
        <f>IF(OR('Raw Data'!D143=1,D142&lt;0.1),"Yes - Desirable","No")</f>
        <v>No</v>
      </c>
      <c r="I142" s="7" t="str">
        <f t="shared" si="13"/>
        <v>Safe Area</v>
      </c>
      <c r="J142" s="7" t="str">
        <f t="shared" si="14"/>
        <v>Grade D - Low Value</v>
      </c>
    </row>
    <row r="143" spans="1:10" x14ac:dyDescent="0.25">
      <c r="A143" s="7">
        <v>141</v>
      </c>
      <c r="B143" s="7">
        <f>'Raw Data'!N144</f>
        <v>14</v>
      </c>
      <c r="C143" s="7">
        <f>'Raw Data'!F144</f>
        <v>6.1740000000000004</v>
      </c>
      <c r="D143" s="7">
        <f>'Raw Data'!A144</f>
        <v>0.29089999999999999</v>
      </c>
      <c r="E143" s="7" t="str">
        <f t="shared" si="10"/>
        <v>Low</v>
      </c>
      <c r="F143" s="8" t="str">
        <f t="shared" si="11"/>
        <v>Low</v>
      </c>
      <c r="G143" s="7" t="str">
        <f t="shared" si="12"/>
        <v>Yes - Affordable &amp; Spacious</v>
      </c>
      <c r="H143" s="7" t="str">
        <f>IF(OR('Raw Data'!D144=1,D143&lt;0.1),"Yes - Desirable","No")</f>
        <v>No</v>
      </c>
      <c r="I143" s="7" t="str">
        <f t="shared" si="13"/>
        <v>Safe Area</v>
      </c>
      <c r="J143" s="7" t="str">
        <f t="shared" si="14"/>
        <v>Grade D - Low Value</v>
      </c>
    </row>
    <row r="144" spans="1:10" x14ac:dyDescent="0.25">
      <c r="A144" s="7">
        <v>142</v>
      </c>
      <c r="B144" s="7">
        <f>'Raw Data'!N145</f>
        <v>14.4</v>
      </c>
      <c r="C144" s="7">
        <f>'Raw Data'!F145</f>
        <v>5.0190000000000001</v>
      </c>
      <c r="D144" s="7">
        <f>'Raw Data'!A145</f>
        <v>1.6286400000000001</v>
      </c>
      <c r="E144" s="7" t="str">
        <f t="shared" si="10"/>
        <v>Low</v>
      </c>
      <c r="F144" s="8" t="str">
        <f t="shared" si="11"/>
        <v>Low</v>
      </c>
      <c r="G144" s="7" t="str">
        <f t="shared" si="12"/>
        <v>No</v>
      </c>
      <c r="H144" s="7" t="str">
        <f>IF(OR('Raw Data'!D145=1,D144&lt;0.1),"Yes - Desirable","No")</f>
        <v>No</v>
      </c>
      <c r="I144" s="7" t="str">
        <f t="shared" si="13"/>
        <v>High Crime</v>
      </c>
      <c r="J144" s="7" t="str">
        <f t="shared" si="14"/>
        <v>Grade D - Low Value</v>
      </c>
    </row>
    <row r="145" spans="1:10" x14ac:dyDescent="0.25">
      <c r="A145" s="7">
        <v>143</v>
      </c>
      <c r="B145" s="7">
        <f>'Raw Data'!N146</f>
        <v>13.4</v>
      </c>
      <c r="C145" s="7">
        <f>'Raw Data'!F146</f>
        <v>5.4029999999999996</v>
      </c>
      <c r="D145" s="7">
        <f>'Raw Data'!A146</f>
        <v>3.3210500000000001</v>
      </c>
      <c r="E145" s="7" t="str">
        <f t="shared" si="10"/>
        <v>Low</v>
      </c>
      <c r="F145" s="8" t="str">
        <f t="shared" si="11"/>
        <v>Low</v>
      </c>
      <c r="G145" s="7" t="str">
        <f t="shared" si="12"/>
        <v>No</v>
      </c>
      <c r="H145" s="7" t="str">
        <f>IF(OR('Raw Data'!D146=1,D145&lt;0.1),"Yes - Desirable","No")</f>
        <v>Yes - Desirable</v>
      </c>
      <c r="I145" s="7" t="str">
        <f t="shared" si="13"/>
        <v>High Crime</v>
      </c>
      <c r="J145" s="7" t="str">
        <f t="shared" si="14"/>
        <v>Grade D - Low Value</v>
      </c>
    </row>
    <row r="146" spans="1:10" x14ac:dyDescent="0.25">
      <c r="A146" s="7">
        <v>144</v>
      </c>
      <c r="B146" s="7">
        <f>'Raw Data'!N147</f>
        <v>15.6</v>
      </c>
      <c r="C146" s="7">
        <f>'Raw Data'!F147</f>
        <v>5.468</v>
      </c>
      <c r="D146" s="7">
        <f>'Raw Data'!A147</f>
        <v>4.0974000000000004</v>
      </c>
      <c r="E146" s="7" t="str">
        <f t="shared" si="10"/>
        <v>Medium</v>
      </c>
      <c r="F146" s="8" t="str">
        <f t="shared" si="11"/>
        <v>Low</v>
      </c>
      <c r="G146" s="7" t="str">
        <f t="shared" si="12"/>
        <v>No</v>
      </c>
      <c r="H146" s="7" t="str">
        <f>IF(OR('Raw Data'!D147=1,D146&lt;0.1),"Yes - Desirable","No")</f>
        <v>No</v>
      </c>
      <c r="I146" s="7" t="str">
        <f t="shared" si="13"/>
        <v>High Crime</v>
      </c>
      <c r="J146" s="7" t="str">
        <f t="shared" si="14"/>
        <v>Grade D - Low Value</v>
      </c>
    </row>
    <row r="147" spans="1:10" x14ac:dyDescent="0.25">
      <c r="A147" s="7">
        <v>145</v>
      </c>
      <c r="B147" s="7">
        <f>'Raw Data'!N148</f>
        <v>11.8</v>
      </c>
      <c r="C147" s="7">
        <f>'Raw Data'!F148</f>
        <v>4.9029999999999996</v>
      </c>
      <c r="D147" s="7">
        <f>'Raw Data'!A148</f>
        <v>2.7797399999999999</v>
      </c>
      <c r="E147" s="7" t="str">
        <f t="shared" si="10"/>
        <v>Low</v>
      </c>
      <c r="F147" s="8" t="str">
        <f t="shared" si="11"/>
        <v>Low</v>
      </c>
      <c r="G147" s="7" t="str">
        <f t="shared" si="12"/>
        <v>No</v>
      </c>
      <c r="H147" s="7" t="str">
        <f>IF(OR('Raw Data'!D148=1,D147&lt;0.1),"Yes - Desirable","No")</f>
        <v>No</v>
      </c>
      <c r="I147" s="7" t="str">
        <f t="shared" si="13"/>
        <v>High Crime</v>
      </c>
      <c r="J147" s="7" t="str">
        <f t="shared" si="14"/>
        <v>Grade D - Low Value</v>
      </c>
    </row>
    <row r="148" spans="1:10" x14ac:dyDescent="0.25">
      <c r="A148" s="7">
        <v>146</v>
      </c>
      <c r="B148" s="7">
        <f>'Raw Data'!N149</f>
        <v>13.8</v>
      </c>
      <c r="C148" s="7">
        <f>'Raw Data'!F149</f>
        <v>6.13</v>
      </c>
      <c r="D148" s="7">
        <f>'Raw Data'!A149</f>
        <v>2.37934</v>
      </c>
      <c r="E148" s="7" t="str">
        <f t="shared" si="10"/>
        <v>Low</v>
      </c>
      <c r="F148" s="8" t="str">
        <f t="shared" si="11"/>
        <v>Low</v>
      </c>
      <c r="G148" s="7" t="str">
        <f t="shared" si="12"/>
        <v>Yes - Affordable &amp; Spacious</v>
      </c>
      <c r="H148" s="7" t="str">
        <f>IF(OR('Raw Data'!D149=1,D148&lt;0.1),"Yes - Desirable","No")</f>
        <v>No</v>
      </c>
      <c r="I148" s="7" t="str">
        <f t="shared" si="13"/>
        <v>High Crime</v>
      </c>
      <c r="J148" s="7" t="str">
        <f t="shared" si="14"/>
        <v>Grade D - Low Value</v>
      </c>
    </row>
    <row r="149" spans="1:10" x14ac:dyDescent="0.25">
      <c r="A149" s="7">
        <v>147</v>
      </c>
      <c r="B149" s="7">
        <f>'Raw Data'!N150</f>
        <v>15.6</v>
      </c>
      <c r="C149" s="7">
        <f>'Raw Data'!F150</f>
        <v>5.6280000000000001</v>
      </c>
      <c r="D149" s="7">
        <f>'Raw Data'!A150</f>
        <v>2.1550500000000001</v>
      </c>
      <c r="E149" s="7" t="str">
        <f t="shared" si="10"/>
        <v>Medium</v>
      </c>
      <c r="F149" s="8" t="str">
        <f t="shared" si="11"/>
        <v>Low</v>
      </c>
      <c r="G149" s="7" t="str">
        <f t="shared" si="12"/>
        <v>No</v>
      </c>
      <c r="H149" s="7" t="str">
        <f>IF(OR('Raw Data'!D150=1,D149&lt;0.1),"Yes - Desirable","No")</f>
        <v>No</v>
      </c>
      <c r="I149" s="7" t="str">
        <f t="shared" si="13"/>
        <v>High Crime</v>
      </c>
      <c r="J149" s="7" t="str">
        <f t="shared" si="14"/>
        <v>Grade D - Low Value</v>
      </c>
    </row>
    <row r="150" spans="1:10" x14ac:dyDescent="0.25">
      <c r="A150" s="7">
        <v>148</v>
      </c>
      <c r="B150" s="7">
        <f>'Raw Data'!N151</f>
        <v>14.6</v>
      </c>
      <c r="C150" s="7">
        <f>'Raw Data'!F151</f>
        <v>4.9260000000000002</v>
      </c>
      <c r="D150" s="7">
        <f>'Raw Data'!A151</f>
        <v>2.3686199999999999</v>
      </c>
      <c r="E150" s="7" t="str">
        <f t="shared" si="10"/>
        <v>Low</v>
      </c>
      <c r="F150" s="8" t="str">
        <f t="shared" si="11"/>
        <v>Low</v>
      </c>
      <c r="G150" s="7" t="str">
        <f t="shared" si="12"/>
        <v>No</v>
      </c>
      <c r="H150" s="7" t="str">
        <f>IF(OR('Raw Data'!D151=1,D150&lt;0.1),"Yes - Desirable","No")</f>
        <v>No</v>
      </c>
      <c r="I150" s="7" t="str">
        <f t="shared" si="13"/>
        <v>High Crime</v>
      </c>
      <c r="J150" s="7" t="str">
        <f t="shared" si="14"/>
        <v>Grade D - Low Value</v>
      </c>
    </row>
    <row r="151" spans="1:10" x14ac:dyDescent="0.25">
      <c r="A151" s="7">
        <v>149</v>
      </c>
      <c r="B151" s="7">
        <f>'Raw Data'!N152</f>
        <v>17.8</v>
      </c>
      <c r="C151" s="7">
        <f>'Raw Data'!F152</f>
        <v>5.1859999999999999</v>
      </c>
      <c r="D151" s="7">
        <f>'Raw Data'!A152</f>
        <v>2.3309899999999999</v>
      </c>
      <c r="E151" s="7" t="str">
        <f t="shared" si="10"/>
        <v>Medium</v>
      </c>
      <c r="F151" s="8" t="str">
        <f t="shared" si="11"/>
        <v>Low</v>
      </c>
      <c r="G151" s="7" t="str">
        <f t="shared" si="12"/>
        <v>No</v>
      </c>
      <c r="H151" s="7" t="str">
        <f>IF(OR('Raw Data'!D152=1,D151&lt;0.1),"Yes - Desirable","No")</f>
        <v>No</v>
      </c>
      <c r="I151" s="7" t="str">
        <f t="shared" si="13"/>
        <v>High Crime</v>
      </c>
      <c r="J151" s="7" t="str">
        <f t="shared" si="14"/>
        <v>Grade D - Low Value</v>
      </c>
    </row>
    <row r="152" spans="1:10" x14ac:dyDescent="0.25">
      <c r="A152" s="7">
        <v>150</v>
      </c>
      <c r="B152" s="7">
        <f>'Raw Data'!N153</f>
        <v>15.4</v>
      </c>
      <c r="C152" s="7">
        <f>'Raw Data'!F153</f>
        <v>5.5970000000000004</v>
      </c>
      <c r="D152" s="7">
        <f>'Raw Data'!A153</f>
        <v>2.7339699999999998</v>
      </c>
      <c r="E152" s="7" t="str">
        <f t="shared" si="10"/>
        <v>Medium</v>
      </c>
      <c r="F152" s="8" t="str">
        <f t="shared" si="11"/>
        <v>Low</v>
      </c>
      <c r="G152" s="7" t="str">
        <f t="shared" si="12"/>
        <v>No</v>
      </c>
      <c r="H152" s="7" t="str">
        <f>IF(OR('Raw Data'!D153=1,D152&lt;0.1),"Yes - Desirable","No")</f>
        <v>No</v>
      </c>
      <c r="I152" s="7" t="str">
        <f t="shared" si="13"/>
        <v>High Crime</v>
      </c>
      <c r="J152" s="7" t="str">
        <f t="shared" si="14"/>
        <v>Grade D - Low Value</v>
      </c>
    </row>
    <row r="153" spans="1:10" x14ac:dyDescent="0.25">
      <c r="A153" s="7">
        <v>151</v>
      </c>
      <c r="B153" s="7">
        <f>'Raw Data'!N154</f>
        <v>21.5</v>
      </c>
      <c r="C153" s="7">
        <f>'Raw Data'!F154</f>
        <v>6.1219999999999999</v>
      </c>
      <c r="D153" s="7">
        <f>'Raw Data'!A154</f>
        <v>1.6566000000000001</v>
      </c>
      <c r="E153" s="7" t="str">
        <f t="shared" si="10"/>
        <v>Medium</v>
      </c>
      <c r="F153" s="8" t="str">
        <f t="shared" si="11"/>
        <v>Medium</v>
      </c>
      <c r="G153" s="7" t="str">
        <f t="shared" si="12"/>
        <v>Yes - Affordable &amp; Spacious</v>
      </c>
      <c r="H153" s="7" t="str">
        <f>IF(OR('Raw Data'!D154=1,D153&lt;0.1),"Yes - Desirable","No")</f>
        <v>No</v>
      </c>
      <c r="I153" s="7" t="str">
        <f t="shared" si="13"/>
        <v>High Crime</v>
      </c>
      <c r="J153" s="7" t="str">
        <f t="shared" si="14"/>
        <v>Grade C - Average</v>
      </c>
    </row>
    <row r="154" spans="1:10" x14ac:dyDescent="0.25">
      <c r="A154" s="7">
        <v>152</v>
      </c>
      <c r="B154" s="7">
        <f>'Raw Data'!N155</f>
        <v>19.600000000000001</v>
      </c>
      <c r="C154" s="7">
        <f>'Raw Data'!F155</f>
        <v>5.4039999999999999</v>
      </c>
      <c r="D154" s="7">
        <f>'Raw Data'!A155</f>
        <v>1.4963200000000001</v>
      </c>
      <c r="E154" s="7" t="str">
        <f t="shared" si="10"/>
        <v>Medium</v>
      </c>
      <c r="F154" s="8" t="str">
        <f t="shared" si="11"/>
        <v>Low</v>
      </c>
      <c r="G154" s="7" t="str">
        <f t="shared" si="12"/>
        <v>No</v>
      </c>
      <c r="H154" s="7" t="str">
        <f>IF(OR('Raw Data'!D155=1,D154&lt;0.1),"Yes - Desirable","No")</f>
        <v>No</v>
      </c>
      <c r="I154" s="7" t="str">
        <f t="shared" si="13"/>
        <v>High Crime</v>
      </c>
      <c r="J154" s="7" t="str">
        <f t="shared" si="14"/>
        <v>Grade D - Low Value</v>
      </c>
    </row>
    <row r="155" spans="1:10" x14ac:dyDescent="0.25">
      <c r="A155" s="7">
        <v>153</v>
      </c>
      <c r="B155" s="7">
        <f>'Raw Data'!N156</f>
        <v>15.3</v>
      </c>
      <c r="C155" s="7">
        <f>'Raw Data'!F156</f>
        <v>5.0119999999999996</v>
      </c>
      <c r="D155" s="7">
        <f>'Raw Data'!A156</f>
        <v>1.1265799999999999</v>
      </c>
      <c r="E155" s="7" t="str">
        <f t="shared" si="10"/>
        <v>Medium</v>
      </c>
      <c r="F155" s="8" t="str">
        <f t="shared" si="11"/>
        <v>Low</v>
      </c>
      <c r="G155" s="7" t="str">
        <f t="shared" si="12"/>
        <v>No</v>
      </c>
      <c r="H155" s="7" t="str">
        <f>IF(OR('Raw Data'!D156=1,D155&lt;0.1),"Yes - Desirable","No")</f>
        <v>Yes - Desirable</v>
      </c>
      <c r="I155" s="7" t="str">
        <f t="shared" si="13"/>
        <v>High Crime</v>
      </c>
      <c r="J155" s="7" t="str">
        <f t="shared" si="14"/>
        <v>Grade D - Low Value</v>
      </c>
    </row>
    <row r="156" spans="1:10" x14ac:dyDescent="0.25">
      <c r="A156" s="7">
        <v>154</v>
      </c>
      <c r="B156" s="7">
        <f>'Raw Data'!N157</f>
        <v>19.399999999999999</v>
      </c>
      <c r="C156" s="7">
        <f>'Raw Data'!F157</f>
        <v>5.7089999999999996</v>
      </c>
      <c r="D156" s="7">
        <f>'Raw Data'!A157</f>
        <v>2.1491799999999999</v>
      </c>
      <c r="E156" s="7" t="str">
        <f t="shared" si="10"/>
        <v>Medium</v>
      </c>
      <c r="F156" s="8" t="str">
        <f t="shared" si="11"/>
        <v>Low</v>
      </c>
      <c r="G156" s="7" t="str">
        <f t="shared" si="12"/>
        <v>No</v>
      </c>
      <c r="H156" s="7" t="str">
        <f>IF(OR('Raw Data'!D157=1,D156&lt;0.1),"Yes - Desirable","No")</f>
        <v>No</v>
      </c>
      <c r="I156" s="7" t="str">
        <f t="shared" si="13"/>
        <v>High Crime</v>
      </c>
      <c r="J156" s="7" t="str">
        <f t="shared" si="14"/>
        <v>Grade D - Low Value</v>
      </c>
    </row>
    <row r="157" spans="1:10" x14ac:dyDescent="0.25">
      <c r="A157" s="7">
        <v>155</v>
      </c>
      <c r="B157" s="7">
        <f>'Raw Data'!N158</f>
        <v>17</v>
      </c>
      <c r="C157" s="7">
        <f>'Raw Data'!F158</f>
        <v>6.1289999999999996</v>
      </c>
      <c r="D157" s="7">
        <f>'Raw Data'!A158</f>
        <v>1.4138500000000001</v>
      </c>
      <c r="E157" s="7" t="str">
        <f t="shared" si="10"/>
        <v>Medium</v>
      </c>
      <c r="F157" s="8" t="str">
        <f t="shared" si="11"/>
        <v>Low</v>
      </c>
      <c r="G157" s="7" t="str">
        <f t="shared" si="12"/>
        <v>Yes - Affordable &amp; Spacious</v>
      </c>
      <c r="H157" s="7" t="str">
        <f>IF(OR('Raw Data'!D158=1,D157&lt;0.1),"Yes - Desirable","No")</f>
        <v>Yes - Desirable</v>
      </c>
      <c r="I157" s="7" t="str">
        <f t="shared" si="13"/>
        <v>High Crime</v>
      </c>
      <c r="J157" s="7" t="str">
        <f t="shared" si="14"/>
        <v>Grade D - Low Value</v>
      </c>
    </row>
    <row r="158" spans="1:10" x14ac:dyDescent="0.25">
      <c r="A158" s="7">
        <v>156</v>
      </c>
      <c r="B158" s="7">
        <f>'Raw Data'!N159</f>
        <v>15.6</v>
      </c>
      <c r="C158" s="7">
        <f>'Raw Data'!F159</f>
        <v>6.1520000000000001</v>
      </c>
      <c r="D158" s="7">
        <f>'Raw Data'!A159</f>
        <v>3.5350100000000002</v>
      </c>
      <c r="E158" s="7" t="str">
        <f t="shared" si="10"/>
        <v>Medium</v>
      </c>
      <c r="F158" s="8" t="str">
        <f t="shared" si="11"/>
        <v>Low</v>
      </c>
      <c r="G158" s="7" t="str">
        <f t="shared" si="12"/>
        <v>Yes - Affordable &amp; Spacious</v>
      </c>
      <c r="H158" s="7" t="str">
        <f>IF(OR('Raw Data'!D159=1,D158&lt;0.1),"Yes - Desirable","No")</f>
        <v>Yes - Desirable</v>
      </c>
      <c r="I158" s="7" t="str">
        <f t="shared" si="13"/>
        <v>High Crime</v>
      </c>
      <c r="J158" s="7" t="str">
        <f t="shared" si="14"/>
        <v>Grade D - Low Value</v>
      </c>
    </row>
    <row r="159" spans="1:10" x14ac:dyDescent="0.25">
      <c r="A159" s="7">
        <v>157</v>
      </c>
      <c r="B159" s="7">
        <f>'Raw Data'!N160</f>
        <v>13.1</v>
      </c>
      <c r="C159" s="7">
        <f>'Raw Data'!F160</f>
        <v>5.2720000000000002</v>
      </c>
      <c r="D159" s="7">
        <f>'Raw Data'!A160</f>
        <v>2.4466800000000002</v>
      </c>
      <c r="E159" s="7" t="str">
        <f t="shared" si="10"/>
        <v>Low</v>
      </c>
      <c r="F159" s="8" t="str">
        <f t="shared" si="11"/>
        <v>Low</v>
      </c>
      <c r="G159" s="7" t="str">
        <f t="shared" si="12"/>
        <v>No</v>
      </c>
      <c r="H159" s="7" t="str">
        <f>IF(OR('Raw Data'!D160=1,D159&lt;0.1),"Yes - Desirable","No")</f>
        <v>No</v>
      </c>
      <c r="I159" s="7" t="str">
        <f t="shared" si="13"/>
        <v>High Crime</v>
      </c>
      <c r="J159" s="7" t="str">
        <f t="shared" si="14"/>
        <v>Grade D - Low Value</v>
      </c>
    </row>
    <row r="160" spans="1:10" x14ac:dyDescent="0.25">
      <c r="A160" s="7">
        <v>158</v>
      </c>
      <c r="B160" s="7">
        <f>'Raw Data'!N161</f>
        <v>41.3</v>
      </c>
      <c r="C160" s="7">
        <f>'Raw Data'!F161</f>
        <v>6.9429999999999996</v>
      </c>
      <c r="D160" s="7">
        <f>'Raw Data'!A161</f>
        <v>1.2235799999999999</v>
      </c>
      <c r="E160" s="7" t="str">
        <f t="shared" si="10"/>
        <v>High</v>
      </c>
      <c r="F160" s="8" t="str">
        <f t="shared" si="11"/>
        <v>Very High</v>
      </c>
      <c r="G160" s="7" t="str">
        <f t="shared" si="12"/>
        <v>No</v>
      </c>
      <c r="H160" s="7" t="str">
        <f>IF(OR('Raw Data'!D161=1,D160&lt;0.1),"Yes - Desirable","No")</f>
        <v>No</v>
      </c>
      <c r="I160" s="7" t="str">
        <f t="shared" si="13"/>
        <v>High Crime</v>
      </c>
      <c r="J160" s="7" t="str">
        <f t="shared" si="14"/>
        <v>Grade B - Good</v>
      </c>
    </row>
    <row r="161" spans="1:10" x14ac:dyDescent="0.25">
      <c r="A161" s="7">
        <v>159</v>
      </c>
      <c r="B161" s="7">
        <f>'Raw Data'!N162</f>
        <v>24.3</v>
      </c>
      <c r="C161" s="7">
        <f>'Raw Data'!F162</f>
        <v>6.0659999999999998</v>
      </c>
      <c r="D161" s="7">
        <f>'Raw Data'!A162</f>
        <v>1.34284</v>
      </c>
      <c r="E161" s="7" t="str">
        <f t="shared" si="10"/>
        <v>Medium</v>
      </c>
      <c r="F161" s="8" t="str">
        <f t="shared" si="11"/>
        <v>Medium</v>
      </c>
      <c r="G161" s="7" t="str">
        <f t="shared" si="12"/>
        <v>No</v>
      </c>
      <c r="H161" s="7" t="str">
        <f>IF(OR('Raw Data'!D162=1,D161&lt;0.1),"Yes - Desirable","No")</f>
        <v>No</v>
      </c>
      <c r="I161" s="7" t="str">
        <f t="shared" si="13"/>
        <v>High Crime</v>
      </c>
      <c r="J161" s="7" t="str">
        <f t="shared" si="14"/>
        <v>Grade C - Average</v>
      </c>
    </row>
    <row r="162" spans="1:10" x14ac:dyDescent="0.25">
      <c r="A162" s="7">
        <v>160</v>
      </c>
      <c r="B162" s="7">
        <f>'Raw Data'!N163</f>
        <v>23.3</v>
      </c>
      <c r="C162" s="7">
        <f>'Raw Data'!F163</f>
        <v>6.51</v>
      </c>
      <c r="D162" s="7">
        <f>'Raw Data'!A163</f>
        <v>1.42502</v>
      </c>
      <c r="E162" s="7" t="str">
        <f t="shared" si="10"/>
        <v>Medium</v>
      </c>
      <c r="F162" s="8" t="str">
        <f t="shared" si="11"/>
        <v>Medium</v>
      </c>
      <c r="G162" s="7" t="str">
        <f t="shared" si="12"/>
        <v>No</v>
      </c>
      <c r="H162" s="7" t="str">
        <f>IF(OR('Raw Data'!D163=1,D162&lt;0.1),"Yes - Desirable","No")</f>
        <v>No</v>
      </c>
      <c r="I162" s="7" t="str">
        <f t="shared" si="13"/>
        <v>High Crime</v>
      </c>
      <c r="J162" s="7" t="str">
        <f t="shared" si="14"/>
        <v>Grade C - Average</v>
      </c>
    </row>
    <row r="163" spans="1:10" x14ac:dyDescent="0.25">
      <c r="A163" s="7">
        <v>161</v>
      </c>
      <c r="B163" s="7">
        <f>'Raw Data'!N164</f>
        <v>27</v>
      </c>
      <c r="C163" s="7">
        <f>'Raw Data'!F164</f>
        <v>6.25</v>
      </c>
      <c r="D163" s="7">
        <f>'Raw Data'!A164</f>
        <v>1.27346</v>
      </c>
      <c r="E163" s="7" t="str">
        <f t="shared" si="10"/>
        <v>High</v>
      </c>
      <c r="F163" s="8" t="str">
        <f t="shared" si="11"/>
        <v>Medium</v>
      </c>
      <c r="G163" s="7" t="str">
        <f t="shared" si="12"/>
        <v>No</v>
      </c>
      <c r="H163" s="7" t="str">
        <f>IF(OR('Raw Data'!D164=1,D163&lt;0.1),"Yes - Desirable","No")</f>
        <v>Yes - Desirable</v>
      </c>
      <c r="I163" s="7" t="str">
        <f t="shared" si="13"/>
        <v>High Crime</v>
      </c>
      <c r="J163" s="7" t="str">
        <f t="shared" si="14"/>
        <v>Grade C - Average</v>
      </c>
    </row>
    <row r="164" spans="1:10" x14ac:dyDescent="0.25">
      <c r="A164" s="7">
        <v>162</v>
      </c>
      <c r="B164" s="7">
        <f>'Raw Data'!N165</f>
        <v>50</v>
      </c>
      <c r="C164" s="7">
        <f>'Raw Data'!F165</f>
        <v>7.4889999999999999</v>
      </c>
      <c r="D164" s="7">
        <f>'Raw Data'!A165</f>
        <v>1.46336</v>
      </c>
      <c r="E164" s="7" t="str">
        <f t="shared" si="10"/>
        <v>High</v>
      </c>
      <c r="F164" s="8" t="str">
        <f t="shared" si="11"/>
        <v>Very High</v>
      </c>
      <c r="G164" s="7" t="str">
        <f t="shared" si="12"/>
        <v>No</v>
      </c>
      <c r="H164" s="7" t="str">
        <f>IF(OR('Raw Data'!D165=1,D164&lt;0.1),"Yes - Desirable","No")</f>
        <v>No</v>
      </c>
      <c r="I164" s="7" t="str">
        <f t="shared" si="13"/>
        <v>High Crime</v>
      </c>
      <c r="J164" s="7" t="str">
        <f t="shared" si="14"/>
        <v>Grade B - Good</v>
      </c>
    </row>
    <row r="165" spans="1:10" x14ac:dyDescent="0.25">
      <c r="A165" s="7">
        <v>163</v>
      </c>
      <c r="B165" s="7">
        <f>'Raw Data'!N166</f>
        <v>50</v>
      </c>
      <c r="C165" s="7">
        <f>'Raw Data'!F166</f>
        <v>7.8019999999999996</v>
      </c>
      <c r="D165" s="7">
        <f>'Raw Data'!A166</f>
        <v>1.8337699999999999</v>
      </c>
      <c r="E165" s="7" t="str">
        <f t="shared" si="10"/>
        <v>High</v>
      </c>
      <c r="F165" s="8" t="str">
        <f t="shared" si="11"/>
        <v>Very High</v>
      </c>
      <c r="G165" s="7" t="str">
        <f t="shared" si="12"/>
        <v>No</v>
      </c>
      <c r="H165" s="7" t="str">
        <f>IF(OR('Raw Data'!D166=1,D165&lt;0.1),"Yes - Desirable","No")</f>
        <v>Yes - Desirable</v>
      </c>
      <c r="I165" s="7" t="str">
        <f t="shared" si="13"/>
        <v>High Crime</v>
      </c>
      <c r="J165" s="7" t="str">
        <f t="shared" si="14"/>
        <v>Grade B - Good</v>
      </c>
    </row>
    <row r="166" spans="1:10" x14ac:dyDescent="0.25">
      <c r="A166" s="7">
        <v>164</v>
      </c>
      <c r="B166" s="7">
        <f>'Raw Data'!N167</f>
        <v>50</v>
      </c>
      <c r="C166" s="7">
        <f>'Raw Data'!F167</f>
        <v>8.375</v>
      </c>
      <c r="D166" s="7">
        <f>'Raw Data'!A167</f>
        <v>1.51902</v>
      </c>
      <c r="E166" s="7" t="str">
        <f t="shared" si="10"/>
        <v>High</v>
      </c>
      <c r="F166" s="8" t="str">
        <f t="shared" si="11"/>
        <v>Very High</v>
      </c>
      <c r="G166" s="7" t="str">
        <f t="shared" si="12"/>
        <v>No</v>
      </c>
      <c r="H166" s="7" t="str">
        <f>IF(OR('Raw Data'!D167=1,D166&lt;0.1),"Yes - Desirable","No")</f>
        <v>Yes - Desirable</v>
      </c>
      <c r="I166" s="7" t="str">
        <f t="shared" si="13"/>
        <v>High Crime</v>
      </c>
      <c r="J166" s="7" t="str">
        <f t="shared" si="14"/>
        <v>Grade B - Good</v>
      </c>
    </row>
    <row r="167" spans="1:10" x14ac:dyDescent="0.25">
      <c r="A167" s="7">
        <v>165</v>
      </c>
      <c r="B167" s="7">
        <f>'Raw Data'!N168</f>
        <v>22.7</v>
      </c>
      <c r="C167" s="7">
        <f>'Raw Data'!F168</f>
        <v>5.8540000000000001</v>
      </c>
      <c r="D167" s="7">
        <f>'Raw Data'!A168</f>
        <v>2.2423600000000001</v>
      </c>
      <c r="E167" s="7" t="str">
        <f t="shared" si="10"/>
        <v>Medium</v>
      </c>
      <c r="F167" s="8" t="str">
        <f t="shared" si="11"/>
        <v>Medium</v>
      </c>
      <c r="G167" s="7" t="str">
        <f t="shared" si="12"/>
        <v>No</v>
      </c>
      <c r="H167" s="7" t="str">
        <f>IF(OR('Raw Data'!D168=1,D167&lt;0.1),"Yes - Desirable","No")</f>
        <v>No</v>
      </c>
      <c r="I167" s="7" t="str">
        <f t="shared" si="13"/>
        <v>High Crime</v>
      </c>
      <c r="J167" s="7" t="str">
        <f t="shared" si="14"/>
        <v>Grade C - Average</v>
      </c>
    </row>
    <row r="168" spans="1:10" x14ac:dyDescent="0.25">
      <c r="A168" s="7">
        <v>166</v>
      </c>
      <c r="B168" s="7">
        <f>'Raw Data'!N169</f>
        <v>25</v>
      </c>
      <c r="C168" s="7">
        <f>'Raw Data'!F169</f>
        <v>6.101</v>
      </c>
      <c r="D168" s="7">
        <f>'Raw Data'!A169</f>
        <v>2.9239999999999999</v>
      </c>
      <c r="E168" s="7" t="str">
        <f t="shared" si="10"/>
        <v>Medium</v>
      </c>
      <c r="F168" s="8" t="str">
        <f t="shared" si="11"/>
        <v>Medium</v>
      </c>
      <c r="G168" s="7" t="str">
        <f t="shared" si="12"/>
        <v>No</v>
      </c>
      <c r="H168" s="7" t="str">
        <f>IF(OR('Raw Data'!D169=1,D168&lt;0.1),"Yes - Desirable","No")</f>
        <v>No</v>
      </c>
      <c r="I168" s="7" t="str">
        <f t="shared" si="13"/>
        <v>High Crime</v>
      </c>
      <c r="J168" s="7" t="str">
        <f t="shared" si="14"/>
        <v>Grade C - Average</v>
      </c>
    </row>
    <row r="169" spans="1:10" x14ac:dyDescent="0.25">
      <c r="A169" s="7">
        <v>167</v>
      </c>
      <c r="B169" s="7">
        <f>'Raw Data'!N170</f>
        <v>50</v>
      </c>
      <c r="C169" s="7">
        <f>'Raw Data'!F170</f>
        <v>7.9290000000000003</v>
      </c>
      <c r="D169" s="7">
        <f>'Raw Data'!A170</f>
        <v>2.0101900000000001</v>
      </c>
      <c r="E169" s="7" t="str">
        <f t="shared" si="10"/>
        <v>High</v>
      </c>
      <c r="F169" s="8" t="str">
        <f t="shared" si="11"/>
        <v>Very High</v>
      </c>
      <c r="G169" s="7" t="str">
        <f t="shared" si="12"/>
        <v>No</v>
      </c>
      <c r="H169" s="7" t="str">
        <f>IF(OR('Raw Data'!D170=1,D169&lt;0.1),"Yes - Desirable","No")</f>
        <v>No</v>
      </c>
      <c r="I169" s="7" t="str">
        <f t="shared" si="13"/>
        <v>High Crime</v>
      </c>
      <c r="J169" s="7" t="str">
        <f t="shared" si="14"/>
        <v>Grade B - Good</v>
      </c>
    </row>
    <row r="170" spans="1:10" x14ac:dyDescent="0.25">
      <c r="A170" s="7">
        <v>168</v>
      </c>
      <c r="B170" s="7">
        <f>'Raw Data'!N171</f>
        <v>23.8</v>
      </c>
      <c r="C170" s="7">
        <f>'Raw Data'!F171</f>
        <v>5.8769999999999998</v>
      </c>
      <c r="D170" s="7">
        <f>'Raw Data'!A171</f>
        <v>1.8002800000000001</v>
      </c>
      <c r="E170" s="7" t="str">
        <f t="shared" si="10"/>
        <v>Medium</v>
      </c>
      <c r="F170" s="8" t="str">
        <f t="shared" si="11"/>
        <v>Medium</v>
      </c>
      <c r="G170" s="7" t="str">
        <f t="shared" si="12"/>
        <v>No</v>
      </c>
      <c r="H170" s="7" t="str">
        <f>IF(OR('Raw Data'!D171=1,D170&lt;0.1),"Yes - Desirable","No")</f>
        <v>No</v>
      </c>
      <c r="I170" s="7" t="str">
        <f t="shared" si="13"/>
        <v>High Crime</v>
      </c>
      <c r="J170" s="7" t="str">
        <f t="shared" si="14"/>
        <v>Grade C - Average</v>
      </c>
    </row>
    <row r="171" spans="1:10" x14ac:dyDescent="0.25">
      <c r="A171" s="7">
        <v>169</v>
      </c>
      <c r="B171" s="7">
        <f>'Raw Data'!N172</f>
        <v>23.8</v>
      </c>
      <c r="C171" s="7">
        <f>'Raw Data'!F172</f>
        <v>6.319</v>
      </c>
      <c r="D171" s="7">
        <f>'Raw Data'!A172</f>
        <v>2.3003999999999998</v>
      </c>
      <c r="E171" s="7" t="str">
        <f t="shared" si="10"/>
        <v>Medium</v>
      </c>
      <c r="F171" s="8" t="str">
        <f t="shared" si="11"/>
        <v>Medium</v>
      </c>
      <c r="G171" s="7" t="str">
        <f t="shared" si="12"/>
        <v>No</v>
      </c>
      <c r="H171" s="7" t="str">
        <f>IF(OR('Raw Data'!D172=1,D171&lt;0.1),"Yes - Desirable","No")</f>
        <v>No</v>
      </c>
      <c r="I171" s="7" t="str">
        <f t="shared" si="13"/>
        <v>High Crime</v>
      </c>
      <c r="J171" s="7" t="str">
        <f t="shared" si="14"/>
        <v>Grade C - Average</v>
      </c>
    </row>
    <row r="172" spans="1:10" x14ac:dyDescent="0.25">
      <c r="A172" s="7">
        <v>170</v>
      </c>
      <c r="B172" s="7">
        <f>'Raw Data'!N173</f>
        <v>22.3</v>
      </c>
      <c r="C172" s="7">
        <f>'Raw Data'!F173</f>
        <v>6.4020000000000001</v>
      </c>
      <c r="D172" s="7">
        <f>'Raw Data'!A173</f>
        <v>2.4495300000000002</v>
      </c>
      <c r="E172" s="7" t="str">
        <f t="shared" si="10"/>
        <v>Medium</v>
      </c>
      <c r="F172" s="8" t="str">
        <f t="shared" si="11"/>
        <v>Medium</v>
      </c>
      <c r="G172" s="7" t="str">
        <f t="shared" si="12"/>
        <v>No</v>
      </c>
      <c r="H172" s="7" t="str">
        <f>IF(OR('Raw Data'!D173=1,D172&lt;0.1),"Yes - Desirable","No")</f>
        <v>No</v>
      </c>
      <c r="I172" s="7" t="str">
        <f t="shared" si="13"/>
        <v>High Crime</v>
      </c>
      <c r="J172" s="7" t="str">
        <f t="shared" si="14"/>
        <v>Grade C - Average</v>
      </c>
    </row>
    <row r="173" spans="1:10" x14ac:dyDescent="0.25">
      <c r="A173" s="7">
        <v>171</v>
      </c>
      <c r="B173" s="7">
        <f>'Raw Data'!N174</f>
        <v>17.399999999999999</v>
      </c>
      <c r="C173" s="7">
        <f>'Raw Data'!F174</f>
        <v>5.875</v>
      </c>
      <c r="D173" s="7">
        <f>'Raw Data'!A174</f>
        <v>1.2074199999999999</v>
      </c>
      <c r="E173" s="7" t="str">
        <f t="shared" si="10"/>
        <v>Medium</v>
      </c>
      <c r="F173" s="8" t="str">
        <f t="shared" si="11"/>
        <v>Low</v>
      </c>
      <c r="G173" s="7" t="str">
        <f t="shared" si="12"/>
        <v>No</v>
      </c>
      <c r="H173" s="7" t="str">
        <f>IF(OR('Raw Data'!D174=1,D173&lt;0.1),"Yes - Desirable","No")</f>
        <v>No</v>
      </c>
      <c r="I173" s="7" t="str">
        <f t="shared" si="13"/>
        <v>High Crime</v>
      </c>
      <c r="J173" s="7" t="str">
        <f t="shared" si="14"/>
        <v>Grade D - Low Value</v>
      </c>
    </row>
    <row r="174" spans="1:10" x14ac:dyDescent="0.25">
      <c r="A174" s="7">
        <v>172</v>
      </c>
      <c r="B174" s="7">
        <f>'Raw Data'!N175</f>
        <v>19.100000000000001</v>
      </c>
      <c r="C174" s="7">
        <f>'Raw Data'!F175</f>
        <v>5.88</v>
      </c>
      <c r="D174" s="7">
        <f>'Raw Data'!A175</f>
        <v>2.3138999999999998</v>
      </c>
      <c r="E174" s="7" t="str">
        <f t="shared" si="10"/>
        <v>Medium</v>
      </c>
      <c r="F174" s="8" t="str">
        <f t="shared" si="11"/>
        <v>Low</v>
      </c>
      <c r="G174" s="7" t="str">
        <f t="shared" si="12"/>
        <v>No</v>
      </c>
      <c r="H174" s="7" t="str">
        <f>IF(OR('Raw Data'!D175=1,D174&lt;0.1),"Yes - Desirable","No")</f>
        <v>No</v>
      </c>
      <c r="I174" s="7" t="str">
        <f t="shared" si="13"/>
        <v>High Crime</v>
      </c>
      <c r="J174" s="7" t="str">
        <f t="shared" si="14"/>
        <v>Grade D - Low Value</v>
      </c>
    </row>
    <row r="175" spans="1:10" x14ac:dyDescent="0.25">
      <c r="A175" s="7">
        <v>173</v>
      </c>
      <c r="B175" s="7">
        <f>'Raw Data'!N176</f>
        <v>23.1</v>
      </c>
      <c r="C175" s="7">
        <f>'Raw Data'!F176</f>
        <v>5.5720000000000001</v>
      </c>
      <c r="D175" s="7">
        <f>'Raw Data'!A176</f>
        <v>0.13914000000000001</v>
      </c>
      <c r="E175" s="7" t="str">
        <f t="shared" si="10"/>
        <v>Medium</v>
      </c>
      <c r="F175" s="8" t="str">
        <f t="shared" si="11"/>
        <v>Medium</v>
      </c>
      <c r="G175" s="7" t="str">
        <f t="shared" si="12"/>
        <v>No</v>
      </c>
      <c r="H175" s="7" t="str">
        <f>IF(OR('Raw Data'!D176=1,D175&lt;0.1),"Yes - Desirable","No")</f>
        <v>No</v>
      </c>
      <c r="I175" s="7" t="str">
        <f t="shared" si="13"/>
        <v>Safe Area</v>
      </c>
      <c r="J175" s="7" t="str">
        <f t="shared" si="14"/>
        <v>Grade C - Average</v>
      </c>
    </row>
    <row r="176" spans="1:10" x14ac:dyDescent="0.25">
      <c r="A176" s="7">
        <v>174</v>
      </c>
      <c r="B176" s="7">
        <f>'Raw Data'!N177</f>
        <v>23.6</v>
      </c>
      <c r="C176" s="7">
        <f>'Raw Data'!F177</f>
        <v>6.4160000000000004</v>
      </c>
      <c r="D176" s="7">
        <f>'Raw Data'!A177</f>
        <v>9.178E-2</v>
      </c>
      <c r="E176" s="7" t="str">
        <f t="shared" si="10"/>
        <v>Medium</v>
      </c>
      <c r="F176" s="8" t="str">
        <f t="shared" si="11"/>
        <v>Medium</v>
      </c>
      <c r="G176" s="7" t="str">
        <f t="shared" si="12"/>
        <v>No</v>
      </c>
      <c r="H176" s="7" t="str">
        <f>IF(OR('Raw Data'!D177=1,D176&lt;0.1),"Yes - Desirable","No")</f>
        <v>Yes - Desirable</v>
      </c>
      <c r="I176" s="7" t="str">
        <f t="shared" si="13"/>
        <v>Safe Area</v>
      </c>
      <c r="J176" s="7" t="str">
        <f t="shared" si="14"/>
        <v>Grade C - Average</v>
      </c>
    </row>
    <row r="177" spans="1:10" x14ac:dyDescent="0.25">
      <c r="A177" s="7">
        <v>175</v>
      </c>
      <c r="B177" s="7">
        <f>'Raw Data'!N178</f>
        <v>22.6</v>
      </c>
      <c r="C177" s="7">
        <f>'Raw Data'!F178</f>
        <v>5.859</v>
      </c>
      <c r="D177" s="7">
        <f>'Raw Data'!A178</f>
        <v>8.4470000000000003E-2</v>
      </c>
      <c r="E177" s="7" t="str">
        <f t="shared" si="10"/>
        <v>Medium</v>
      </c>
      <c r="F177" s="8" t="str">
        <f t="shared" si="11"/>
        <v>Medium</v>
      </c>
      <c r="G177" s="7" t="str">
        <f t="shared" si="12"/>
        <v>No</v>
      </c>
      <c r="H177" s="7" t="str">
        <f>IF(OR('Raw Data'!D178=1,D177&lt;0.1),"Yes - Desirable","No")</f>
        <v>Yes - Desirable</v>
      </c>
      <c r="I177" s="7" t="str">
        <f t="shared" si="13"/>
        <v>Safe Area</v>
      </c>
      <c r="J177" s="7" t="str">
        <f t="shared" si="14"/>
        <v>Grade C - Average</v>
      </c>
    </row>
    <row r="178" spans="1:10" x14ac:dyDescent="0.25">
      <c r="A178" s="7">
        <v>176</v>
      </c>
      <c r="B178" s="7">
        <f>'Raw Data'!N179</f>
        <v>29.4</v>
      </c>
      <c r="C178" s="7">
        <f>'Raw Data'!F179</f>
        <v>6.5460000000000003</v>
      </c>
      <c r="D178" s="7">
        <f>'Raw Data'!A179</f>
        <v>6.6640000000000005E-2</v>
      </c>
      <c r="E178" s="7" t="str">
        <f t="shared" si="10"/>
        <v>High</v>
      </c>
      <c r="F178" s="8" t="str">
        <f t="shared" si="11"/>
        <v>Medium</v>
      </c>
      <c r="G178" s="7" t="str">
        <f t="shared" si="12"/>
        <v>No</v>
      </c>
      <c r="H178" s="7" t="str">
        <f>IF(OR('Raw Data'!D179=1,D178&lt;0.1),"Yes - Desirable","No")</f>
        <v>Yes - Desirable</v>
      </c>
      <c r="I178" s="7" t="str">
        <f t="shared" si="13"/>
        <v>Safe Area</v>
      </c>
      <c r="J178" s="7" t="str">
        <f t="shared" si="14"/>
        <v>Grade C - Average</v>
      </c>
    </row>
    <row r="179" spans="1:10" x14ac:dyDescent="0.25">
      <c r="A179" s="7">
        <v>177</v>
      </c>
      <c r="B179" s="7">
        <f>'Raw Data'!N180</f>
        <v>23.2</v>
      </c>
      <c r="C179" s="7">
        <f>'Raw Data'!F180</f>
        <v>6.02</v>
      </c>
      <c r="D179" s="7">
        <f>'Raw Data'!A180</f>
        <v>7.0220000000000005E-2</v>
      </c>
      <c r="E179" s="7" t="str">
        <f t="shared" si="10"/>
        <v>Medium</v>
      </c>
      <c r="F179" s="8" t="str">
        <f t="shared" si="11"/>
        <v>Medium</v>
      </c>
      <c r="G179" s="7" t="str">
        <f t="shared" si="12"/>
        <v>No</v>
      </c>
      <c r="H179" s="7" t="str">
        <f>IF(OR('Raw Data'!D180=1,D179&lt;0.1),"Yes - Desirable","No")</f>
        <v>Yes - Desirable</v>
      </c>
      <c r="I179" s="7" t="str">
        <f t="shared" si="13"/>
        <v>Safe Area</v>
      </c>
      <c r="J179" s="7" t="str">
        <f t="shared" si="14"/>
        <v>Grade C - Average</v>
      </c>
    </row>
    <row r="180" spans="1:10" x14ac:dyDescent="0.25">
      <c r="A180" s="7">
        <v>178</v>
      </c>
      <c r="B180" s="7">
        <f>'Raw Data'!N181</f>
        <v>24.6</v>
      </c>
      <c r="C180" s="7">
        <f>'Raw Data'!F181</f>
        <v>6.3150000000000004</v>
      </c>
      <c r="D180" s="7">
        <f>'Raw Data'!A181</f>
        <v>5.425E-2</v>
      </c>
      <c r="E180" s="7" t="str">
        <f t="shared" si="10"/>
        <v>Medium</v>
      </c>
      <c r="F180" s="8" t="str">
        <f t="shared" si="11"/>
        <v>Medium</v>
      </c>
      <c r="G180" s="7" t="str">
        <f t="shared" si="12"/>
        <v>No</v>
      </c>
      <c r="H180" s="7" t="str">
        <f>IF(OR('Raw Data'!D181=1,D180&lt;0.1),"Yes - Desirable","No")</f>
        <v>Yes - Desirable</v>
      </c>
      <c r="I180" s="7" t="str">
        <f t="shared" si="13"/>
        <v>Safe Area</v>
      </c>
      <c r="J180" s="7" t="str">
        <f t="shared" si="14"/>
        <v>Grade C - Average</v>
      </c>
    </row>
    <row r="181" spans="1:10" x14ac:dyDescent="0.25">
      <c r="A181" s="7">
        <v>179</v>
      </c>
      <c r="B181" s="7">
        <f>'Raw Data'!N182</f>
        <v>29.9</v>
      </c>
      <c r="C181" s="7">
        <f>'Raw Data'!F182</f>
        <v>6.86</v>
      </c>
      <c r="D181" s="7">
        <f>'Raw Data'!A182</f>
        <v>6.6420000000000007E-2</v>
      </c>
      <c r="E181" s="7" t="str">
        <f t="shared" si="10"/>
        <v>High</v>
      </c>
      <c r="F181" s="8" t="str">
        <f t="shared" si="11"/>
        <v>Medium</v>
      </c>
      <c r="G181" s="7" t="str">
        <f t="shared" si="12"/>
        <v>No</v>
      </c>
      <c r="H181" s="7" t="str">
        <f>IF(OR('Raw Data'!D182=1,D181&lt;0.1),"Yes - Desirable","No")</f>
        <v>Yes - Desirable</v>
      </c>
      <c r="I181" s="7" t="str">
        <f t="shared" si="13"/>
        <v>Safe Area</v>
      </c>
      <c r="J181" s="7" t="str">
        <f t="shared" si="14"/>
        <v>Grade C - Average</v>
      </c>
    </row>
    <row r="182" spans="1:10" x14ac:dyDescent="0.25">
      <c r="A182" s="7">
        <v>180</v>
      </c>
      <c r="B182" s="7">
        <f>'Raw Data'!N183</f>
        <v>37.200000000000003</v>
      </c>
      <c r="C182" s="7">
        <f>'Raw Data'!F183</f>
        <v>6.98</v>
      </c>
      <c r="D182" s="7">
        <f>'Raw Data'!A183</f>
        <v>5.7799999999999997E-2</v>
      </c>
      <c r="E182" s="7" t="str">
        <f t="shared" si="10"/>
        <v>High</v>
      </c>
      <c r="F182" s="8" t="str">
        <f t="shared" si="11"/>
        <v>High</v>
      </c>
      <c r="G182" s="7" t="str">
        <f t="shared" si="12"/>
        <v>No</v>
      </c>
      <c r="H182" s="7" t="str">
        <f>IF(OR('Raw Data'!D183=1,D182&lt;0.1),"Yes - Desirable","No")</f>
        <v>Yes - Desirable</v>
      </c>
      <c r="I182" s="7" t="str">
        <f t="shared" si="13"/>
        <v>Safe Area</v>
      </c>
      <c r="J182" s="7" t="str">
        <f t="shared" si="14"/>
        <v>Grade A - Premium</v>
      </c>
    </row>
    <row r="183" spans="1:10" x14ac:dyDescent="0.25">
      <c r="A183" s="7">
        <v>181</v>
      </c>
      <c r="B183" s="7">
        <f>'Raw Data'!N184</f>
        <v>39.799999999999997</v>
      </c>
      <c r="C183" s="7">
        <f>'Raw Data'!F184</f>
        <v>7.7649999999999997</v>
      </c>
      <c r="D183" s="7">
        <f>'Raw Data'!A184</f>
        <v>6.5879999999999994E-2</v>
      </c>
      <c r="E183" s="7" t="str">
        <f t="shared" si="10"/>
        <v>High</v>
      </c>
      <c r="F183" s="8" t="str">
        <f t="shared" si="11"/>
        <v>High</v>
      </c>
      <c r="G183" s="7" t="str">
        <f t="shared" si="12"/>
        <v>No</v>
      </c>
      <c r="H183" s="7" t="str">
        <f>IF(OR('Raw Data'!D184=1,D183&lt;0.1),"Yes - Desirable","No")</f>
        <v>Yes - Desirable</v>
      </c>
      <c r="I183" s="7" t="str">
        <f t="shared" si="13"/>
        <v>Safe Area</v>
      </c>
      <c r="J183" s="7" t="str">
        <f t="shared" si="14"/>
        <v>Grade A - Premium</v>
      </c>
    </row>
    <row r="184" spans="1:10" x14ac:dyDescent="0.25">
      <c r="A184" s="7">
        <v>182</v>
      </c>
      <c r="B184" s="7">
        <f>'Raw Data'!N185</f>
        <v>36.200000000000003</v>
      </c>
      <c r="C184" s="7">
        <f>'Raw Data'!F185</f>
        <v>6.1440000000000001</v>
      </c>
      <c r="D184" s="7">
        <f>'Raw Data'!A185</f>
        <v>6.8879999999999997E-2</v>
      </c>
      <c r="E184" s="7" t="str">
        <f t="shared" si="10"/>
        <v>High</v>
      </c>
      <c r="F184" s="8" t="str">
        <f t="shared" si="11"/>
        <v>High</v>
      </c>
      <c r="G184" s="7" t="str">
        <f t="shared" si="12"/>
        <v>No</v>
      </c>
      <c r="H184" s="7" t="str">
        <f>IF(OR('Raw Data'!D185=1,D184&lt;0.1),"Yes - Desirable","No")</f>
        <v>Yes - Desirable</v>
      </c>
      <c r="I184" s="7" t="str">
        <f t="shared" si="13"/>
        <v>Safe Area</v>
      </c>
      <c r="J184" s="7" t="str">
        <f t="shared" si="14"/>
        <v>Grade A - Premium</v>
      </c>
    </row>
    <row r="185" spans="1:10" x14ac:dyDescent="0.25">
      <c r="A185" s="7">
        <v>183</v>
      </c>
      <c r="B185" s="7">
        <f>'Raw Data'!N186</f>
        <v>37.9</v>
      </c>
      <c r="C185" s="7">
        <f>'Raw Data'!F186</f>
        <v>7.1550000000000002</v>
      </c>
      <c r="D185" s="7">
        <f>'Raw Data'!A186</f>
        <v>9.103E-2</v>
      </c>
      <c r="E185" s="7" t="str">
        <f t="shared" si="10"/>
        <v>High</v>
      </c>
      <c r="F185" s="8" t="str">
        <f t="shared" si="11"/>
        <v>High</v>
      </c>
      <c r="G185" s="7" t="str">
        <f t="shared" si="12"/>
        <v>No</v>
      </c>
      <c r="H185" s="7" t="str">
        <f>IF(OR('Raw Data'!D186=1,D185&lt;0.1),"Yes - Desirable","No")</f>
        <v>Yes - Desirable</v>
      </c>
      <c r="I185" s="7" t="str">
        <f t="shared" si="13"/>
        <v>Safe Area</v>
      </c>
      <c r="J185" s="7" t="str">
        <f t="shared" si="14"/>
        <v>Grade A - Premium</v>
      </c>
    </row>
    <row r="186" spans="1:10" x14ac:dyDescent="0.25">
      <c r="A186" s="7">
        <v>184</v>
      </c>
      <c r="B186" s="7">
        <f>'Raw Data'!N187</f>
        <v>32.5</v>
      </c>
      <c r="C186" s="7">
        <f>'Raw Data'!F187</f>
        <v>6.5629999999999997</v>
      </c>
      <c r="D186" s="7">
        <f>'Raw Data'!A187</f>
        <v>0.10008</v>
      </c>
      <c r="E186" s="7" t="str">
        <f t="shared" si="10"/>
        <v>High</v>
      </c>
      <c r="F186" s="8" t="str">
        <f t="shared" si="11"/>
        <v>High</v>
      </c>
      <c r="G186" s="7" t="str">
        <f t="shared" si="12"/>
        <v>No</v>
      </c>
      <c r="H186" s="7" t="str">
        <f>IF(OR('Raw Data'!D187=1,D186&lt;0.1),"Yes - Desirable","No")</f>
        <v>No</v>
      </c>
      <c r="I186" s="7" t="str">
        <f t="shared" si="13"/>
        <v>Safe Area</v>
      </c>
      <c r="J186" s="7" t="str">
        <f t="shared" si="14"/>
        <v>Grade C - Average</v>
      </c>
    </row>
    <row r="187" spans="1:10" x14ac:dyDescent="0.25">
      <c r="A187" s="7">
        <v>185</v>
      </c>
      <c r="B187" s="7">
        <f>'Raw Data'!N188</f>
        <v>26.4</v>
      </c>
      <c r="C187" s="7">
        <f>'Raw Data'!F188</f>
        <v>5.6040000000000001</v>
      </c>
      <c r="D187" s="7">
        <f>'Raw Data'!A188</f>
        <v>8.3080000000000001E-2</v>
      </c>
      <c r="E187" s="7" t="str">
        <f t="shared" si="10"/>
        <v>High</v>
      </c>
      <c r="F187" s="8" t="str">
        <f t="shared" si="11"/>
        <v>Medium</v>
      </c>
      <c r="G187" s="7" t="str">
        <f t="shared" si="12"/>
        <v>No</v>
      </c>
      <c r="H187" s="7" t="str">
        <f>IF(OR('Raw Data'!D188=1,D187&lt;0.1),"Yes - Desirable","No")</f>
        <v>Yes - Desirable</v>
      </c>
      <c r="I187" s="7" t="str">
        <f t="shared" si="13"/>
        <v>Safe Area</v>
      </c>
      <c r="J187" s="7" t="str">
        <f t="shared" si="14"/>
        <v>Grade C - Average</v>
      </c>
    </row>
    <row r="188" spans="1:10" x14ac:dyDescent="0.25">
      <c r="A188" s="7">
        <v>186</v>
      </c>
      <c r="B188" s="7">
        <f>'Raw Data'!N189</f>
        <v>29.6</v>
      </c>
      <c r="C188" s="7">
        <f>'Raw Data'!F189</f>
        <v>6.1529999999999996</v>
      </c>
      <c r="D188" s="7">
        <f>'Raw Data'!A189</f>
        <v>6.0470000000000003E-2</v>
      </c>
      <c r="E188" s="7" t="str">
        <f t="shared" si="10"/>
        <v>High</v>
      </c>
      <c r="F188" s="8" t="str">
        <f t="shared" si="11"/>
        <v>Medium</v>
      </c>
      <c r="G188" s="7" t="str">
        <f t="shared" si="12"/>
        <v>No</v>
      </c>
      <c r="H188" s="7" t="str">
        <f>IF(OR('Raw Data'!D189=1,D188&lt;0.1),"Yes - Desirable","No")</f>
        <v>Yes - Desirable</v>
      </c>
      <c r="I188" s="7" t="str">
        <f t="shared" si="13"/>
        <v>Safe Area</v>
      </c>
      <c r="J188" s="7" t="str">
        <f t="shared" si="14"/>
        <v>Grade C - Average</v>
      </c>
    </row>
    <row r="189" spans="1:10" x14ac:dyDescent="0.25">
      <c r="A189" s="7">
        <v>187</v>
      </c>
      <c r="B189" s="7">
        <f>'Raw Data'!N190</f>
        <v>50</v>
      </c>
      <c r="C189" s="7">
        <f>'Raw Data'!F190</f>
        <v>7.8310000000000004</v>
      </c>
      <c r="D189" s="7">
        <f>'Raw Data'!A190</f>
        <v>5.602E-2</v>
      </c>
      <c r="E189" s="7" t="str">
        <f t="shared" si="10"/>
        <v>High</v>
      </c>
      <c r="F189" s="8" t="str">
        <f t="shared" si="11"/>
        <v>Very High</v>
      </c>
      <c r="G189" s="7" t="str">
        <f t="shared" si="12"/>
        <v>No</v>
      </c>
      <c r="H189" s="7" t="str">
        <f>IF(OR('Raw Data'!D190=1,D189&lt;0.1),"Yes - Desirable","No")</f>
        <v>Yes - Desirable</v>
      </c>
      <c r="I189" s="7" t="str">
        <f t="shared" si="13"/>
        <v>Safe Area</v>
      </c>
      <c r="J189" s="7" t="str">
        <f t="shared" si="14"/>
        <v>Grade A - Premium</v>
      </c>
    </row>
    <row r="190" spans="1:10" x14ac:dyDescent="0.25">
      <c r="A190" s="7">
        <v>188</v>
      </c>
      <c r="B190" s="7">
        <f>'Raw Data'!N191</f>
        <v>32</v>
      </c>
      <c r="C190" s="7">
        <f>'Raw Data'!F191</f>
        <v>6.782</v>
      </c>
      <c r="D190" s="7">
        <f>'Raw Data'!A191</f>
        <v>7.8750000000000001E-2</v>
      </c>
      <c r="E190" s="7" t="str">
        <f t="shared" si="10"/>
        <v>High</v>
      </c>
      <c r="F190" s="8" t="str">
        <f t="shared" si="11"/>
        <v>High</v>
      </c>
      <c r="G190" s="7" t="str">
        <f t="shared" si="12"/>
        <v>No</v>
      </c>
      <c r="H190" s="7" t="str">
        <f>IF(OR('Raw Data'!D191=1,D190&lt;0.1),"Yes - Desirable","No")</f>
        <v>Yes - Desirable</v>
      </c>
      <c r="I190" s="7" t="str">
        <f t="shared" si="13"/>
        <v>Safe Area</v>
      </c>
      <c r="J190" s="7" t="str">
        <f t="shared" si="14"/>
        <v>Grade C - Average</v>
      </c>
    </row>
    <row r="191" spans="1:10" x14ac:dyDescent="0.25">
      <c r="A191" s="7">
        <v>189</v>
      </c>
      <c r="B191" s="7">
        <f>'Raw Data'!N192</f>
        <v>29.8</v>
      </c>
      <c r="C191" s="7">
        <f>'Raw Data'!F192</f>
        <v>6.556</v>
      </c>
      <c r="D191" s="7">
        <f>'Raw Data'!A192</f>
        <v>0.12579000000000001</v>
      </c>
      <c r="E191" s="7" t="str">
        <f t="shared" si="10"/>
        <v>High</v>
      </c>
      <c r="F191" s="8" t="str">
        <f t="shared" si="11"/>
        <v>Medium</v>
      </c>
      <c r="G191" s="7" t="str">
        <f t="shared" si="12"/>
        <v>No</v>
      </c>
      <c r="H191" s="7" t="str">
        <f>IF(OR('Raw Data'!D192=1,D191&lt;0.1),"Yes - Desirable","No")</f>
        <v>No</v>
      </c>
      <c r="I191" s="7" t="str">
        <f t="shared" si="13"/>
        <v>Safe Area</v>
      </c>
      <c r="J191" s="7" t="str">
        <f t="shared" si="14"/>
        <v>Grade C - Average</v>
      </c>
    </row>
    <row r="192" spans="1:10" x14ac:dyDescent="0.25">
      <c r="A192" s="7">
        <v>190</v>
      </c>
      <c r="B192" s="7">
        <f>'Raw Data'!N193</f>
        <v>34.9</v>
      </c>
      <c r="C192" s="7">
        <f>'Raw Data'!F193</f>
        <v>7.1849999999999996</v>
      </c>
      <c r="D192" s="7">
        <f>'Raw Data'!A193</f>
        <v>8.3699999999999997E-2</v>
      </c>
      <c r="E192" s="7" t="str">
        <f t="shared" si="10"/>
        <v>High</v>
      </c>
      <c r="F192" s="8" t="str">
        <f t="shared" si="11"/>
        <v>High</v>
      </c>
      <c r="G192" s="7" t="str">
        <f t="shared" si="12"/>
        <v>No</v>
      </c>
      <c r="H192" s="7" t="str">
        <f>IF(OR('Raw Data'!D193=1,D192&lt;0.1),"Yes - Desirable","No")</f>
        <v>Yes - Desirable</v>
      </c>
      <c r="I192" s="7" t="str">
        <f t="shared" si="13"/>
        <v>Safe Area</v>
      </c>
      <c r="J192" s="7" t="str">
        <f t="shared" si="14"/>
        <v>Grade C - Average</v>
      </c>
    </row>
    <row r="193" spans="1:10" x14ac:dyDescent="0.25">
      <c r="A193" s="7">
        <v>191</v>
      </c>
      <c r="B193" s="7">
        <f>'Raw Data'!N194</f>
        <v>37</v>
      </c>
      <c r="C193" s="7">
        <f>'Raw Data'!F194</f>
        <v>6.9509999999999996</v>
      </c>
      <c r="D193" s="7">
        <f>'Raw Data'!A194</f>
        <v>9.0679999999999997E-2</v>
      </c>
      <c r="E193" s="7" t="str">
        <f t="shared" si="10"/>
        <v>High</v>
      </c>
      <c r="F193" s="8" t="str">
        <f t="shared" si="11"/>
        <v>High</v>
      </c>
      <c r="G193" s="7" t="str">
        <f t="shared" si="12"/>
        <v>No</v>
      </c>
      <c r="H193" s="7" t="str">
        <f>IF(OR('Raw Data'!D194=1,D193&lt;0.1),"Yes - Desirable","No")</f>
        <v>Yes - Desirable</v>
      </c>
      <c r="I193" s="7" t="str">
        <f t="shared" si="13"/>
        <v>Safe Area</v>
      </c>
      <c r="J193" s="7" t="str">
        <f t="shared" si="14"/>
        <v>Grade A - Premium</v>
      </c>
    </row>
    <row r="194" spans="1:10" x14ac:dyDescent="0.25">
      <c r="A194" s="7">
        <v>192</v>
      </c>
      <c r="B194" s="7">
        <f>'Raw Data'!N195</f>
        <v>30.5</v>
      </c>
      <c r="C194" s="7">
        <f>'Raw Data'!F195</f>
        <v>6.7389999999999999</v>
      </c>
      <c r="D194" s="7">
        <f>'Raw Data'!A195</f>
        <v>6.9110000000000005E-2</v>
      </c>
      <c r="E194" s="7" t="str">
        <f t="shared" si="10"/>
        <v>High</v>
      </c>
      <c r="F194" s="8" t="str">
        <f t="shared" si="11"/>
        <v>High</v>
      </c>
      <c r="G194" s="7" t="str">
        <f t="shared" si="12"/>
        <v>No</v>
      </c>
      <c r="H194" s="7" t="str">
        <f>IF(OR('Raw Data'!D195=1,D194&lt;0.1),"Yes - Desirable","No")</f>
        <v>Yes - Desirable</v>
      </c>
      <c r="I194" s="7" t="str">
        <f t="shared" si="13"/>
        <v>Safe Area</v>
      </c>
      <c r="J194" s="7" t="str">
        <f t="shared" si="14"/>
        <v>Grade C - Average</v>
      </c>
    </row>
    <row r="195" spans="1:10" x14ac:dyDescent="0.25">
      <c r="A195" s="7">
        <v>193</v>
      </c>
      <c r="B195" s="7">
        <f>'Raw Data'!N196</f>
        <v>36.4</v>
      </c>
      <c r="C195" s="7">
        <f>'Raw Data'!F196</f>
        <v>7.1779999999999999</v>
      </c>
      <c r="D195" s="7">
        <f>'Raw Data'!A196</f>
        <v>8.6639999999999995E-2</v>
      </c>
      <c r="E195" s="7" t="str">
        <f t="shared" si="10"/>
        <v>High</v>
      </c>
      <c r="F195" s="8" t="str">
        <f t="shared" si="11"/>
        <v>High</v>
      </c>
      <c r="G195" s="7" t="str">
        <f t="shared" si="12"/>
        <v>No</v>
      </c>
      <c r="H195" s="7" t="str">
        <f>IF(OR('Raw Data'!D196=1,D195&lt;0.1),"Yes - Desirable","No")</f>
        <v>Yes - Desirable</v>
      </c>
      <c r="I195" s="7" t="str">
        <f t="shared" si="13"/>
        <v>Safe Area</v>
      </c>
      <c r="J195" s="7" t="str">
        <f t="shared" si="14"/>
        <v>Grade A - Premium</v>
      </c>
    </row>
    <row r="196" spans="1:10" x14ac:dyDescent="0.25">
      <c r="A196" s="7">
        <v>194</v>
      </c>
      <c r="B196" s="7">
        <f>'Raw Data'!N197</f>
        <v>31.1</v>
      </c>
      <c r="C196" s="7">
        <f>'Raw Data'!F197</f>
        <v>6.8</v>
      </c>
      <c r="D196" s="7">
        <f>'Raw Data'!A197</f>
        <v>2.1870000000000001E-2</v>
      </c>
      <c r="E196" s="7" t="str">
        <f t="shared" ref="E196:E259" si="15">IF(B196&lt;=15,"Low",IF(B196&lt;=25,"Medium","High"))</f>
        <v>High</v>
      </c>
      <c r="F196" s="8" t="str">
        <f t="shared" ref="F196:F259" si="16">IF(B196&lt;=10,"Very Low",IF(B196&lt;=20,"Low",IF(B196&lt;=30,"Medium",IF(B196&lt;=40,"High","Very High"))))</f>
        <v>High</v>
      </c>
      <c r="G196" s="7" t="str">
        <f t="shared" ref="G196:G259" si="17">IF(AND(B196&lt;=22,C196&gt;=6),"Yes - Affordable &amp; Spacious","No")</f>
        <v>No</v>
      </c>
      <c r="H196" s="7" t="str">
        <f>IF(OR('Raw Data'!D197=1,D196&lt;0.1),"Yes - Desirable","No")</f>
        <v>Yes - Desirable</v>
      </c>
      <c r="I196" s="7" t="str">
        <f t="shared" ref="I196:I259" si="18">IF(NOT(D196&gt;=1),"Safe Area","High Crime")</f>
        <v>Safe Area</v>
      </c>
      <c r="J196" s="7" t="str">
        <f t="shared" ref="J196:J259" si="19">IF(B196&gt;=35,IF(D196&lt;0.5,"Grade A - Premium","Grade B - Good"),IF(B196&gt;=20,"Grade C - Average","Grade D - Low Value"))</f>
        <v>Grade C - Average</v>
      </c>
    </row>
    <row r="197" spans="1:10" x14ac:dyDescent="0.25">
      <c r="A197" s="7">
        <v>195</v>
      </c>
      <c r="B197" s="7">
        <f>'Raw Data'!N198</f>
        <v>29.1</v>
      </c>
      <c r="C197" s="7">
        <f>'Raw Data'!F198</f>
        <v>6.6040000000000001</v>
      </c>
      <c r="D197" s="7">
        <f>'Raw Data'!A198</f>
        <v>1.439E-2</v>
      </c>
      <c r="E197" s="7" t="str">
        <f t="shared" si="15"/>
        <v>High</v>
      </c>
      <c r="F197" s="8" t="str">
        <f t="shared" si="16"/>
        <v>Medium</v>
      </c>
      <c r="G197" s="7" t="str">
        <f t="shared" si="17"/>
        <v>No</v>
      </c>
      <c r="H197" s="7" t="str">
        <f>IF(OR('Raw Data'!D198=1,D197&lt;0.1),"Yes - Desirable","No")</f>
        <v>Yes - Desirable</v>
      </c>
      <c r="I197" s="7" t="str">
        <f t="shared" si="18"/>
        <v>Safe Area</v>
      </c>
      <c r="J197" s="7" t="str">
        <f t="shared" si="19"/>
        <v>Grade C - Average</v>
      </c>
    </row>
    <row r="198" spans="1:10" x14ac:dyDescent="0.25">
      <c r="A198" s="7">
        <v>196</v>
      </c>
      <c r="B198" s="7">
        <f>'Raw Data'!N199</f>
        <v>50</v>
      </c>
      <c r="C198" s="7">
        <f>'Raw Data'!F199</f>
        <v>7.875</v>
      </c>
      <c r="D198" s="7">
        <f>'Raw Data'!A199</f>
        <v>1.3809999999999999E-2</v>
      </c>
      <c r="E198" s="7" t="str">
        <f t="shared" si="15"/>
        <v>High</v>
      </c>
      <c r="F198" s="8" t="str">
        <f t="shared" si="16"/>
        <v>Very High</v>
      </c>
      <c r="G198" s="7" t="str">
        <f t="shared" si="17"/>
        <v>No</v>
      </c>
      <c r="H198" s="7" t="str">
        <f>IF(OR('Raw Data'!D199=1,D198&lt;0.1),"Yes - Desirable","No")</f>
        <v>Yes - Desirable</v>
      </c>
      <c r="I198" s="7" t="str">
        <f t="shared" si="18"/>
        <v>Safe Area</v>
      </c>
      <c r="J198" s="7" t="str">
        <f t="shared" si="19"/>
        <v>Grade A - Premium</v>
      </c>
    </row>
    <row r="199" spans="1:10" x14ac:dyDescent="0.25">
      <c r="A199" s="7">
        <v>197</v>
      </c>
      <c r="B199" s="7">
        <f>'Raw Data'!N200</f>
        <v>33.299999999999997</v>
      </c>
      <c r="C199" s="7">
        <f>'Raw Data'!F200</f>
        <v>7.2869999999999999</v>
      </c>
      <c r="D199" s="7">
        <f>'Raw Data'!A200</f>
        <v>4.011E-2</v>
      </c>
      <c r="E199" s="7" t="str">
        <f t="shared" si="15"/>
        <v>High</v>
      </c>
      <c r="F199" s="8" t="str">
        <f t="shared" si="16"/>
        <v>High</v>
      </c>
      <c r="G199" s="7" t="str">
        <f t="shared" si="17"/>
        <v>No</v>
      </c>
      <c r="H199" s="7" t="str">
        <f>IF(OR('Raw Data'!D200=1,D199&lt;0.1),"Yes - Desirable","No")</f>
        <v>Yes - Desirable</v>
      </c>
      <c r="I199" s="7" t="str">
        <f t="shared" si="18"/>
        <v>Safe Area</v>
      </c>
      <c r="J199" s="7" t="str">
        <f t="shared" si="19"/>
        <v>Grade C - Average</v>
      </c>
    </row>
    <row r="200" spans="1:10" x14ac:dyDescent="0.25">
      <c r="A200" s="7">
        <v>198</v>
      </c>
      <c r="B200" s="7">
        <f>'Raw Data'!N201</f>
        <v>30.3</v>
      </c>
      <c r="C200" s="7">
        <f>'Raw Data'!F201</f>
        <v>7.1070000000000002</v>
      </c>
      <c r="D200" s="7">
        <f>'Raw Data'!A201</f>
        <v>4.666E-2</v>
      </c>
      <c r="E200" s="7" t="str">
        <f t="shared" si="15"/>
        <v>High</v>
      </c>
      <c r="F200" s="8" t="str">
        <f t="shared" si="16"/>
        <v>High</v>
      </c>
      <c r="G200" s="7" t="str">
        <f t="shared" si="17"/>
        <v>No</v>
      </c>
      <c r="H200" s="7" t="str">
        <f>IF(OR('Raw Data'!D201=1,D200&lt;0.1),"Yes - Desirable","No")</f>
        <v>Yes - Desirable</v>
      </c>
      <c r="I200" s="7" t="str">
        <f t="shared" si="18"/>
        <v>Safe Area</v>
      </c>
      <c r="J200" s="7" t="str">
        <f t="shared" si="19"/>
        <v>Grade C - Average</v>
      </c>
    </row>
    <row r="201" spans="1:10" x14ac:dyDescent="0.25">
      <c r="A201" s="7">
        <v>199</v>
      </c>
      <c r="B201" s="7">
        <f>'Raw Data'!N202</f>
        <v>34.6</v>
      </c>
      <c r="C201" s="7">
        <f>'Raw Data'!F202</f>
        <v>7.274</v>
      </c>
      <c r="D201" s="7">
        <f>'Raw Data'!A202</f>
        <v>3.7679999999999998E-2</v>
      </c>
      <c r="E201" s="7" t="str">
        <f t="shared" si="15"/>
        <v>High</v>
      </c>
      <c r="F201" s="8" t="str">
        <f t="shared" si="16"/>
        <v>High</v>
      </c>
      <c r="G201" s="7" t="str">
        <f t="shared" si="17"/>
        <v>No</v>
      </c>
      <c r="H201" s="7" t="str">
        <f>IF(OR('Raw Data'!D202=1,D201&lt;0.1),"Yes - Desirable","No")</f>
        <v>Yes - Desirable</v>
      </c>
      <c r="I201" s="7" t="str">
        <f t="shared" si="18"/>
        <v>Safe Area</v>
      </c>
      <c r="J201" s="7" t="str">
        <f t="shared" si="19"/>
        <v>Grade C - Average</v>
      </c>
    </row>
    <row r="202" spans="1:10" x14ac:dyDescent="0.25">
      <c r="A202" s="7">
        <v>200</v>
      </c>
      <c r="B202" s="7">
        <f>'Raw Data'!N203</f>
        <v>34.9</v>
      </c>
      <c r="C202" s="7">
        <f>'Raw Data'!F203</f>
        <v>6.9749999999999996</v>
      </c>
      <c r="D202" s="7">
        <f>'Raw Data'!A203</f>
        <v>3.15E-2</v>
      </c>
      <c r="E202" s="7" t="str">
        <f t="shared" si="15"/>
        <v>High</v>
      </c>
      <c r="F202" s="8" t="str">
        <f t="shared" si="16"/>
        <v>High</v>
      </c>
      <c r="G202" s="7" t="str">
        <f t="shared" si="17"/>
        <v>No</v>
      </c>
      <c r="H202" s="7" t="str">
        <f>IF(OR('Raw Data'!D203=1,D202&lt;0.1),"Yes - Desirable","No")</f>
        <v>Yes - Desirable</v>
      </c>
      <c r="I202" s="7" t="str">
        <f t="shared" si="18"/>
        <v>Safe Area</v>
      </c>
      <c r="J202" s="7" t="str">
        <f t="shared" si="19"/>
        <v>Grade C - Average</v>
      </c>
    </row>
    <row r="203" spans="1:10" x14ac:dyDescent="0.25">
      <c r="A203" s="7">
        <v>201</v>
      </c>
      <c r="B203" s="7">
        <f>'Raw Data'!N204</f>
        <v>32.9</v>
      </c>
      <c r="C203" s="7">
        <f>'Raw Data'!F204</f>
        <v>7.1349999999999998</v>
      </c>
      <c r="D203" s="7">
        <f>'Raw Data'!A204</f>
        <v>1.7780000000000001E-2</v>
      </c>
      <c r="E203" s="7" t="str">
        <f t="shared" si="15"/>
        <v>High</v>
      </c>
      <c r="F203" s="8" t="str">
        <f t="shared" si="16"/>
        <v>High</v>
      </c>
      <c r="G203" s="7" t="str">
        <f t="shared" si="17"/>
        <v>No</v>
      </c>
      <c r="H203" s="7" t="str">
        <f>IF(OR('Raw Data'!D204=1,D203&lt;0.1),"Yes - Desirable","No")</f>
        <v>Yes - Desirable</v>
      </c>
      <c r="I203" s="7" t="str">
        <f t="shared" si="18"/>
        <v>Safe Area</v>
      </c>
      <c r="J203" s="7" t="str">
        <f t="shared" si="19"/>
        <v>Grade C - Average</v>
      </c>
    </row>
    <row r="204" spans="1:10" x14ac:dyDescent="0.25">
      <c r="A204" s="7">
        <v>202</v>
      </c>
      <c r="B204" s="7">
        <f>'Raw Data'!N205</f>
        <v>24.1</v>
      </c>
      <c r="C204" s="7">
        <f>'Raw Data'!F205</f>
        <v>6.1619999999999999</v>
      </c>
      <c r="D204" s="7">
        <f>'Raw Data'!A205</f>
        <v>3.4450000000000001E-2</v>
      </c>
      <c r="E204" s="7" t="str">
        <f t="shared" si="15"/>
        <v>Medium</v>
      </c>
      <c r="F204" s="8" t="str">
        <f t="shared" si="16"/>
        <v>Medium</v>
      </c>
      <c r="G204" s="7" t="str">
        <f t="shared" si="17"/>
        <v>No</v>
      </c>
      <c r="H204" s="7" t="str">
        <f>IF(OR('Raw Data'!D205=1,D204&lt;0.1),"Yes - Desirable","No")</f>
        <v>Yes - Desirable</v>
      </c>
      <c r="I204" s="7" t="str">
        <f t="shared" si="18"/>
        <v>Safe Area</v>
      </c>
      <c r="J204" s="7" t="str">
        <f t="shared" si="19"/>
        <v>Grade C - Average</v>
      </c>
    </row>
    <row r="205" spans="1:10" x14ac:dyDescent="0.25">
      <c r="A205" s="7">
        <v>203</v>
      </c>
      <c r="B205" s="7">
        <f>'Raw Data'!N206</f>
        <v>42.3</v>
      </c>
      <c r="C205" s="7">
        <f>'Raw Data'!F206</f>
        <v>7.61</v>
      </c>
      <c r="D205" s="7">
        <f>'Raw Data'!A206</f>
        <v>2.1770000000000001E-2</v>
      </c>
      <c r="E205" s="7" t="str">
        <f t="shared" si="15"/>
        <v>High</v>
      </c>
      <c r="F205" s="8" t="str">
        <f t="shared" si="16"/>
        <v>Very High</v>
      </c>
      <c r="G205" s="7" t="str">
        <f t="shared" si="17"/>
        <v>No</v>
      </c>
      <c r="H205" s="7" t="str">
        <f>IF(OR('Raw Data'!D206=1,D205&lt;0.1),"Yes - Desirable","No")</f>
        <v>Yes - Desirable</v>
      </c>
      <c r="I205" s="7" t="str">
        <f t="shared" si="18"/>
        <v>Safe Area</v>
      </c>
      <c r="J205" s="7" t="str">
        <f t="shared" si="19"/>
        <v>Grade A - Premium</v>
      </c>
    </row>
    <row r="206" spans="1:10" x14ac:dyDescent="0.25">
      <c r="A206" s="7">
        <v>204</v>
      </c>
      <c r="B206" s="7">
        <f>'Raw Data'!N207</f>
        <v>48.5</v>
      </c>
      <c r="C206" s="7">
        <f>'Raw Data'!F207</f>
        <v>7.8529999999999998</v>
      </c>
      <c r="D206" s="7">
        <f>'Raw Data'!A207</f>
        <v>3.5099999999999999E-2</v>
      </c>
      <c r="E206" s="7" t="str">
        <f t="shared" si="15"/>
        <v>High</v>
      </c>
      <c r="F206" s="8" t="str">
        <f t="shared" si="16"/>
        <v>Very High</v>
      </c>
      <c r="G206" s="7" t="str">
        <f t="shared" si="17"/>
        <v>No</v>
      </c>
      <c r="H206" s="7" t="str">
        <f>IF(OR('Raw Data'!D207=1,D206&lt;0.1),"Yes - Desirable","No")</f>
        <v>Yes - Desirable</v>
      </c>
      <c r="I206" s="7" t="str">
        <f t="shared" si="18"/>
        <v>Safe Area</v>
      </c>
      <c r="J206" s="7" t="str">
        <f t="shared" si="19"/>
        <v>Grade A - Premium</v>
      </c>
    </row>
    <row r="207" spans="1:10" x14ac:dyDescent="0.25">
      <c r="A207" s="7">
        <v>205</v>
      </c>
      <c r="B207" s="7">
        <f>'Raw Data'!N208</f>
        <v>50</v>
      </c>
      <c r="C207" s="7">
        <f>'Raw Data'!F208</f>
        <v>8.0340000000000007</v>
      </c>
      <c r="D207" s="7">
        <f>'Raw Data'!A208</f>
        <v>2.009E-2</v>
      </c>
      <c r="E207" s="7" t="str">
        <f t="shared" si="15"/>
        <v>High</v>
      </c>
      <c r="F207" s="8" t="str">
        <f t="shared" si="16"/>
        <v>Very High</v>
      </c>
      <c r="G207" s="7" t="str">
        <f t="shared" si="17"/>
        <v>No</v>
      </c>
      <c r="H207" s="7" t="str">
        <f>IF(OR('Raw Data'!D208=1,D207&lt;0.1),"Yes - Desirable","No")</f>
        <v>Yes - Desirable</v>
      </c>
      <c r="I207" s="7" t="str">
        <f t="shared" si="18"/>
        <v>Safe Area</v>
      </c>
      <c r="J207" s="7" t="str">
        <f t="shared" si="19"/>
        <v>Grade A - Premium</v>
      </c>
    </row>
    <row r="208" spans="1:10" x14ac:dyDescent="0.25">
      <c r="A208" s="7">
        <v>206</v>
      </c>
      <c r="B208" s="7">
        <f>'Raw Data'!N209</f>
        <v>22.6</v>
      </c>
      <c r="C208" s="7">
        <f>'Raw Data'!F209</f>
        <v>5.891</v>
      </c>
      <c r="D208" s="7">
        <f>'Raw Data'!A209</f>
        <v>0.13642000000000001</v>
      </c>
      <c r="E208" s="7" t="str">
        <f t="shared" si="15"/>
        <v>Medium</v>
      </c>
      <c r="F208" s="8" t="str">
        <f t="shared" si="16"/>
        <v>Medium</v>
      </c>
      <c r="G208" s="7" t="str">
        <f t="shared" si="17"/>
        <v>No</v>
      </c>
      <c r="H208" s="7" t="str">
        <f>IF(OR('Raw Data'!D209=1,D208&lt;0.1),"Yes - Desirable","No")</f>
        <v>No</v>
      </c>
      <c r="I208" s="7" t="str">
        <f t="shared" si="18"/>
        <v>Safe Area</v>
      </c>
      <c r="J208" s="7" t="str">
        <f t="shared" si="19"/>
        <v>Grade C - Average</v>
      </c>
    </row>
    <row r="209" spans="1:10" x14ac:dyDescent="0.25">
      <c r="A209" s="7">
        <v>207</v>
      </c>
      <c r="B209" s="7">
        <f>'Raw Data'!N210</f>
        <v>24.4</v>
      </c>
      <c r="C209" s="7">
        <f>'Raw Data'!F210</f>
        <v>6.3259999999999996</v>
      </c>
      <c r="D209" s="7">
        <f>'Raw Data'!A210</f>
        <v>0.22969000000000001</v>
      </c>
      <c r="E209" s="7" t="str">
        <f t="shared" si="15"/>
        <v>Medium</v>
      </c>
      <c r="F209" s="8" t="str">
        <f t="shared" si="16"/>
        <v>Medium</v>
      </c>
      <c r="G209" s="7" t="str">
        <f t="shared" si="17"/>
        <v>No</v>
      </c>
      <c r="H209" s="7" t="str">
        <f>IF(OR('Raw Data'!D210=1,D209&lt;0.1),"Yes - Desirable","No")</f>
        <v>No</v>
      </c>
      <c r="I209" s="7" t="str">
        <f t="shared" si="18"/>
        <v>Safe Area</v>
      </c>
      <c r="J209" s="7" t="str">
        <f t="shared" si="19"/>
        <v>Grade C - Average</v>
      </c>
    </row>
    <row r="210" spans="1:10" x14ac:dyDescent="0.25">
      <c r="A210" s="7">
        <v>208</v>
      </c>
      <c r="B210" s="7">
        <f>'Raw Data'!N211</f>
        <v>22.5</v>
      </c>
      <c r="C210" s="7">
        <f>'Raw Data'!F211</f>
        <v>5.7830000000000004</v>
      </c>
      <c r="D210" s="7">
        <f>'Raw Data'!A211</f>
        <v>0.25198999999999999</v>
      </c>
      <c r="E210" s="7" t="str">
        <f t="shared" si="15"/>
        <v>Medium</v>
      </c>
      <c r="F210" s="8" t="str">
        <f t="shared" si="16"/>
        <v>Medium</v>
      </c>
      <c r="G210" s="7" t="str">
        <f t="shared" si="17"/>
        <v>No</v>
      </c>
      <c r="H210" s="7" t="str">
        <f>IF(OR('Raw Data'!D211=1,D210&lt;0.1),"Yes - Desirable","No")</f>
        <v>No</v>
      </c>
      <c r="I210" s="7" t="str">
        <f t="shared" si="18"/>
        <v>Safe Area</v>
      </c>
      <c r="J210" s="7" t="str">
        <f t="shared" si="19"/>
        <v>Grade C - Average</v>
      </c>
    </row>
    <row r="211" spans="1:10" x14ac:dyDescent="0.25">
      <c r="A211" s="7">
        <v>209</v>
      </c>
      <c r="B211" s="7">
        <f>'Raw Data'!N212</f>
        <v>24.4</v>
      </c>
      <c r="C211" s="7">
        <f>'Raw Data'!F212</f>
        <v>6.0640000000000001</v>
      </c>
      <c r="D211" s="7">
        <f>'Raw Data'!A212</f>
        <v>0.13586999999999999</v>
      </c>
      <c r="E211" s="7" t="str">
        <f t="shared" si="15"/>
        <v>Medium</v>
      </c>
      <c r="F211" s="8" t="str">
        <f t="shared" si="16"/>
        <v>Medium</v>
      </c>
      <c r="G211" s="7" t="str">
        <f t="shared" si="17"/>
        <v>No</v>
      </c>
      <c r="H211" s="7" t="str">
        <f>IF(OR('Raw Data'!D212=1,D211&lt;0.1),"Yes - Desirable","No")</f>
        <v>Yes - Desirable</v>
      </c>
      <c r="I211" s="7" t="str">
        <f t="shared" si="18"/>
        <v>Safe Area</v>
      </c>
      <c r="J211" s="7" t="str">
        <f t="shared" si="19"/>
        <v>Grade C - Average</v>
      </c>
    </row>
    <row r="212" spans="1:10" x14ac:dyDescent="0.25">
      <c r="A212" s="7">
        <v>210</v>
      </c>
      <c r="B212" s="7">
        <f>'Raw Data'!N213</f>
        <v>20</v>
      </c>
      <c r="C212" s="7">
        <f>'Raw Data'!F213</f>
        <v>5.3440000000000003</v>
      </c>
      <c r="D212" s="7">
        <f>'Raw Data'!A213</f>
        <v>0.43570999999999999</v>
      </c>
      <c r="E212" s="7" t="str">
        <f t="shared" si="15"/>
        <v>Medium</v>
      </c>
      <c r="F212" s="8" t="str">
        <f t="shared" si="16"/>
        <v>Low</v>
      </c>
      <c r="G212" s="7" t="str">
        <f t="shared" si="17"/>
        <v>No</v>
      </c>
      <c r="H212" s="7" t="str">
        <f>IF(OR('Raw Data'!D213=1,D212&lt;0.1),"Yes - Desirable","No")</f>
        <v>Yes - Desirable</v>
      </c>
      <c r="I212" s="7" t="str">
        <f t="shared" si="18"/>
        <v>Safe Area</v>
      </c>
      <c r="J212" s="7" t="str">
        <f t="shared" si="19"/>
        <v>Grade C - Average</v>
      </c>
    </row>
    <row r="213" spans="1:10" x14ac:dyDescent="0.25">
      <c r="A213" s="7">
        <v>211</v>
      </c>
      <c r="B213" s="7">
        <f>'Raw Data'!N214</f>
        <v>21.7</v>
      </c>
      <c r="C213" s="7">
        <f>'Raw Data'!F214</f>
        <v>5.96</v>
      </c>
      <c r="D213" s="7">
        <f>'Raw Data'!A214</f>
        <v>0.17446</v>
      </c>
      <c r="E213" s="7" t="str">
        <f t="shared" si="15"/>
        <v>Medium</v>
      </c>
      <c r="F213" s="8" t="str">
        <f t="shared" si="16"/>
        <v>Medium</v>
      </c>
      <c r="G213" s="7" t="str">
        <f t="shared" si="17"/>
        <v>No</v>
      </c>
      <c r="H213" s="7" t="str">
        <f>IF(OR('Raw Data'!D214=1,D213&lt;0.1),"Yes - Desirable","No")</f>
        <v>Yes - Desirable</v>
      </c>
      <c r="I213" s="7" t="str">
        <f t="shared" si="18"/>
        <v>Safe Area</v>
      </c>
      <c r="J213" s="7" t="str">
        <f t="shared" si="19"/>
        <v>Grade C - Average</v>
      </c>
    </row>
    <row r="214" spans="1:10" x14ac:dyDescent="0.25">
      <c r="A214" s="7">
        <v>212</v>
      </c>
      <c r="B214" s="7">
        <f>'Raw Data'!N215</f>
        <v>19.3</v>
      </c>
      <c r="C214" s="7">
        <f>'Raw Data'!F215</f>
        <v>5.4039999999999999</v>
      </c>
      <c r="D214" s="7">
        <f>'Raw Data'!A215</f>
        <v>0.37578</v>
      </c>
      <c r="E214" s="7" t="str">
        <f t="shared" si="15"/>
        <v>Medium</v>
      </c>
      <c r="F214" s="8" t="str">
        <f t="shared" si="16"/>
        <v>Low</v>
      </c>
      <c r="G214" s="7" t="str">
        <f t="shared" si="17"/>
        <v>No</v>
      </c>
      <c r="H214" s="7" t="str">
        <f>IF(OR('Raw Data'!D215=1,D214&lt;0.1),"Yes - Desirable","No")</f>
        <v>Yes - Desirable</v>
      </c>
      <c r="I214" s="7" t="str">
        <f t="shared" si="18"/>
        <v>Safe Area</v>
      </c>
      <c r="J214" s="7" t="str">
        <f t="shared" si="19"/>
        <v>Grade D - Low Value</v>
      </c>
    </row>
    <row r="215" spans="1:10" x14ac:dyDescent="0.25">
      <c r="A215" s="7">
        <v>213</v>
      </c>
      <c r="B215" s="7">
        <f>'Raw Data'!N216</f>
        <v>22.4</v>
      </c>
      <c r="C215" s="7">
        <f>'Raw Data'!F216</f>
        <v>5.8070000000000004</v>
      </c>
      <c r="D215" s="7">
        <f>'Raw Data'!A216</f>
        <v>0.21718999999999999</v>
      </c>
      <c r="E215" s="7" t="str">
        <f t="shared" si="15"/>
        <v>Medium</v>
      </c>
      <c r="F215" s="8" t="str">
        <f t="shared" si="16"/>
        <v>Medium</v>
      </c>
      <c r="G215" s="7" t="str">
        <f t="shared" si="17"/>
        <v>No</v>
      </c>
      <c r="H215" s="7" t="str">
        <f>IF(OR('Raw Data'!D216=1,D215&lt;0.1),"Yes - Desirable","No")</f>
        <v>Yes - Desirable</v>
      </c>
      <c r="I215" s="7" t="str">
        <f t="shared" si="18"/>
        <v>Safe Area</v>
      </c>
      <c r="J215" s="7" t="str">
        <f t="shared" si="19"/>
        <v>Grade C - Average</v>
      </c>
    </row>
    <row r="216" spans="1:10" x14ac:dyDescent="0.25">
      <c r="A216" s="7">
        <v>214</v>
      </c>
      <c r="B216" s="7">
        <f>'Raw Data'!N217</f>
        <v>28.1</v>
      </c>
      <c r="C216" s="7">
        <f>'Raw Data'!F217</f>
        <v>6.375</v>
      </c>
      <c r="D216" s="7">
        <f>'Raw Data'!A217</f>
        <v>0.14052000000000001</v>
      </c>
      <c r="E216" s="7" t="str">
        <f t="shared" si="15"/>
        <v>High</v>
      </c>
      <c r="F216" s="8" t="str">
        <f t="shared" si="16"/>
        <v>Medium</v>
      </c>
      <c r="G216" s="7" t="str">
        <f t="shared" si="17"/>
        <v>No</v>
      </c>
      <c r="H216" s="7" t="str">
        <f>IF(OR('Raw Data'!D217=1,D216&lt;0.1),"Yes - Desirable","No")</f>
        <v>No</v>
      </c>
      <c r="I216" s="7" t="str">
        <f t="shared" si="18"/>
        <v>Safe Area</v>
      </c>
      <c r="J216" s="7" t="str">
        <f t="shared" si="19"/>
        <v>Grade C - Average</v>
      </c>
    </row>
    <row r="217" spans="1:10" x14ac:dyDescent="0.25">
      <c r="A217" s="7">
        <v>215</v>
      </c>
      <c r="B217" s="7">
        <f>'Raw Data'!N218</f>
        <v>23.7</v>
      </c>
      <c r="C217" s="7">
        <f>'Raw Data'!F218</f>
        <v>5.4119999999999999</v>
      </c>
      <c r="D217" s="7">
        <f>'Raw Data'!A218</f>
        <v>0.28954999999999997</v>
      </c>
      <c r="E217" s="7" t="str">
        <f t="shared" si="15"/>
        <v>Medium</v>
      </c>
      <c r="F217" s="8" t="str">
        <f t="shared" si="16"/>
        <v>Medium</v>
      </c>
      <c r="G217" s="7" t="str">
        <f t="shared" si="17"/>
        <v>No</v>
      </c>
      <c r="H217" s="7" t="str">
        <f>IF(OR('Raw Data'!D218=1,D217&lt;0.1),"Yes - Desirable","No")</f>
        <v>No</v>
      </c>
      <c r="I217" s="7" t="str">
        <f t="shared" si="18"/>
        <v>Safe Area</v>
      </c>
      <c r="J217" s="7" t="str">
        <f t="shared" si="19"/>
        <v>Grade C - Average</v>
      </c>
    </row>
    <row r="218" spans="1:10" x14ac:dyDescent="0.25">
      <c r="A218" s="7">
        <v>216</v>
      </c>
      <c r="B218" s="7">
        <f>'Raw Data'!N219</f>
        <v>25</v>
      </c>
      <c r="C218" s="7">
        <f>'Raw Data'!F219</f>
        <v>6.1820000000000004</v>
      </c>
      <c r="D218" s="7">
        <f>'Raw Data'!A219</f>
        <v>0.19802</v>
      </c>
      <c r="E218" s="7" t="str">
        <f t="shared" si="15"/>
        <v>Medium</v>
      </c>
      <c r="F218" s="8" t="str">
        <f t="shared" si="16"/>
        <v>Medium</v>
      </c>
      <c r="G218" s="7" t="str">
        <f t="shared" si="17"/>
        <v>No</v>
      </c>
      <c r="H218" s="7" t="str">
        <f>IF(OR('Raw Data'!D219=1,D218&lt;0.1),"Yes - Desirable","No")</f>
        <v>No</v>
      </c>
      <c r="I218" s="7" t="str">
        <f t="shared" si="18"/>
        <v>Safe Area</v>
      </c>
      <c r="J218" s="7" t="str">
        <f t="shared" si="19"/>
        <v>Grade C - Average</v>
      </c>
    </row>
    <row r="219" spans="1:10" x14ac:dyDescent="0.25">
      <c r="A219" s="7">
        <v>217</v>
      </c>
      <c r="B219" s="7">
        <f>'Raw Data'!N220</f>
        <v>23.3</v>
      </c>
      <c r="C219" s="7">
        <f>'Raw Data'!F220</f>
        <v>5.8879999999999999</v>
      </c>
      <c r="D219" s="7">
        <f>'Raw Data'!A220</f>
        <v>4.5600000000000002E-2</v>
      </c>
      <c r="E219" s="7" t="str">
        <f t="shared" si="15"/>
        <v>Medium</v>
      </c>
      <c r="F219" s="8" t="str">
        <f t="shared" si="16"/>
        <v>Medium</v>
      </c>
      <c r="G219" s="7" t="str">
        <f t="shared" si="17"/>
        <v>No</v>
      </c>
      <c r="H219" s="7" t="str">
        <f>IF(OR('Raw Data'!D220=1,D219&lt;0.1),"Yes - Desirable","No")</f>
        <v>Yes - Desirable</v>
      </c>
      <c r="I219" s="7" t="str">
        <f t="shared" si="18"/>
        <v>Safe Area</v>
      </c>
      <c r="J219" s="7" t="str">
        <f t="shared" si="19"/>
        <v>Grade C - Average</v>
      </c>
    </row>
    <row r="220" spans="1:10" x14ac:dyDescent="0.25">
      <c r="A220" s="7">
        <v>218</v>
      </c>
      <c r="B220" s="7">
        <f>'Raw Data'!N221</f>
        <v>28.7</v>
      </c>
      <c r="C220" s="7">
        <f>'Raw Data'!F221</f>
        <v>6.6420000000000003</v>
      </c>
      <c r="D220" s="7">
        <f>'Raw Data'!A221</f>
        <v>7.0129999999999998E-2</v>
      </c>
      <c r="E220" s="7" t="str">
        <f t="shared" si="15"/>
        <v>High</v>
      </c>
      <c r="F220" s="8" t="str">
        <f t="shared" si="16"/>
        <v>Medium</v>
      </c>
      <c r="G220" s="7" t="str">
        <f t="shared" si="17"/>
        <v>No</v>
      </c>
      <c r="H220" s="7" t="str">
        <f>IF(OR('Raw Data'!D221=1,D220&lt;0.1),"Yes - Desirable","No")</f>
        <v>Yes - Desirable</v>
      </c>
      <c r="I220" s="7" t="str">
        <f t="shared" si="18"/>
        <v>Safe Area</v>
      </c>
      <c r="J220" s="7" t="str">
        <f t="shared" si="19"/>
        <v>Grade C - Average</v>
      </c>
    </row>
    <row r="221" spans="1:10" x14ac:dyDescent="0.25">
      <c r="A221" s="7">
        <v>219</v>
      </c>
      <c r="B221" s="7">
        <f>'Raw Data'!N222</f>
        <v>21.5</v>
      </c>
      <c r="C221" s="7">
        <f>'Raw Data'!F222</f>
        <v>5.9509999999999996</v>
      </c>
      <c r="D221" s="7">
        <f>'Raw Data'!A222</f>
        <v>0.11069</v>
      </c>
      <c r="E221" s="7" t="str">
        <f t="shared" si="15"/>
        <v>Medium</v>
      </c>
      <c r="F221" s="8" t="str">
        <f t="shared" si="16"/>
        <v>Medium</v>
      </c>
      <c r="G221" s="7" t="str">
        <f t="shared" si="17"/>
        <v>No</v>
      </c>
      <c r="H221" s="7" t="str">
        <f>IF(OR('Raw Data'!D222=1,D221&lt;0.1),"Yes - Desirable","No")</f>
        <v>Yes - Desirable</v>
      </c>
      <c r="I221" s="7" t="str">
        <f t="shared" si="18"/>
        <v>Safe Area</v>
      </c>
      <c r="J221" s="7" t="str">
        <f t="shared" si="19"/>
        <v>Grade C - Average</v>
      </c>
    </row>
    <row r="222" spans="1:10" x14ac:dyDescent="0.25">
      <c r="A222" s="7">
        <v>220</v>
      </c>
      <c r="B222" s="7">
        <f>'Raw Data'!N223</f>
        <v>23</v>
      </c>
      <c r="C222" s="7">
        <f>'Raw Data'!F223</f>
        <v>6.3730000000000002</v>
      </c>
      <c r="D222" s="7">
        <f>'Raw Data'!A223</f>
        <v>0.11425</v>
      </c>
      <c r="E222" s="7" t="str">
        <f t="shared" si="15"/>
        <v>Medium</v>
      </c>
      <c r="F222" s="8" t="str">
        <f t="shared" si="16"/>
        <v>Medium</v>
      </c>
      <c r="G222" s="7" t="str">
        <f t="shared" si="17"/>
        <v>No</v>
      </c>
      <c r="H222" s="7" t="str">
        <f>IF(OR('Raw Data'!D223=1,D222&lt;0.1),"Yes - Desirable","No")</f>
        <v>Yes - Desirable</v>
      </c>
      <c r="I222" s="7" t="str">
        <f t="shared" si="18"/>
        <v>Safe Area</v>
      </c>
      <c r="J222" s="7" t="str">
        <f t="shared" si="19"/>
        <v>Grade C - Average</v>
      </c>
    </row>
    <row r="223" spans="1:10" x14ac:dyDescent="0.25">
      <c r="A223" s="7">
        <v>221</v>
      </c>
      <c r="B223" s="7">
        <f>'Raw Data'!N224</f>
        <v>26.7</v>
      </c>
      <c r="C223" s="7">
        <f>'Raw Data'!F224</f>
        <v>6.9509999999999996</v>
      </c>
      <c r="D223" s="7">
        <f>'Raw Data'!A224</f>
        <v>0.35809000000000002</v>
      </c>
      <c r="E223" s="7" t="str">
        <f t="shared" si="15"/>
        <v>High</v>
      </c>
      <c r="F223" s="8" t="str">
        <f t="shared" si="16"/>
        <v>Medium</v>
      </c>
      <c r="G223" s="7" t="str">
        <f t="shared" si="17"/>
        <v>No</v>
      </c>
      <c r="H223" s="7" t="str">
        <f>IF(OR('Raw Data'!D224=1,D223&lt;0.1),"Yes - Desirable","No")</f>
        <v>Yes - Desirable</v>
      </c>
      <c r="I223" s="7" t="str">
        <f t="shared" si="18"/>
        <v>Safe Area</v>
      </c>
      <c r="J223" s="7" t="str">
        <f t="shared" si="19"/>
        <v>Grade C - Average</v>
      </c>
    </row>
    <row r="224" spans="1:10" x14ac:dyDescent="0.25">
      <c r="A224" s="7">
        <v>222</v>
      </c>
      <c r="B224" s="7">
        <f>'Raw Data'!N225</f>
        <v>21.7</v>
      </c>
      <c r="C224" s="7">
        <f>'Raw Data'!F225</f>
        <v>6.1639999999999997</v>
      </c>
      <c r="D224" s="7">
        <f>'Raw Data'!A225</f>
        <v>0.40771000000000002</v>
      </c>
      <c r="E224" s="7" t="str">
        <f t="shared" si="15"/>
        <v>Medium</v>
      </c>
      <c r="F224" s="8" t="str">
        <f t="shared" si="16"/>
        <v>Medium</v>
      </c>
      <c r="G224" s="7" t="str">
        <f t="shared" si="17"/>
        <v>Yes - Affordable &amp; Spacious</v>
      </c>
      <c r="H224" s="7" t="str">
        <f>IF(OR('Raw Data'!D225=1,D224&lt;0.1),"Yes - Desirable","No")</f>
        <v>Yes - Desirable</v>
      </c>
      <c r="I224" s="7" t="str">
        <f t="shared" si="18"/>
        <v>Safe Area</v>
      </c>
      <c r="J224" s="7" t="str">
        <f t="shared" si="19"/>
        <v>Grade C - Average</v>
      </c>
    </row>
    <row r="225" spans="1:10" x14ac:dyDescent="0.25">
      <c r="A225" s="7">
        <v>223</v>
      </c>
      <c r="B225" s="7">
        <f>'Raw Data'!N226</f>
        <v>27.5</v>
      </c>
      <c r="C225" s="7">
        <f>'Raw Data'!F226</f>
        <v>6.8789999999999996</v>
      </c>
      <c r="D225" s="7">
        <f>'Raw Data'!A226</f>
        <v>0.62356</v>
      </c>
      <c r="E225" s="7" t="str">
        <f t="shared" si="15"/>
        <v>High</v>
      </c>
      <c r="F225" s="8" t="str">
        <f t="shared" si="16"/>
        <v>Medium</v>
      </c>
      <c r="G225" s="7" t="str">
        <f t="shared" si="17"/>
        <v>No</v>
      </c>
      <c r="H225" s="7" t="str">
        <f>IF(OR('Raw Data'!D226=1,D225&lt;0.1),"Yes - Desirable","No")</f>
        <v>Yes - Desirable</v>
      </c>
      <c r="I225" s="7" t="str">
        <f t="shared" si="18"/>
        <v>Safe Area</v>
      </c>
      <c r="J225" s="7" t="str">
        <f t="shared" si="19"/>
        <v>Grade C - Average</v>
      </c>
    </row>
    <row r="226" spans="1:10" x14ac:dyDescent="0.25">
      <c r="A226" s="7">
        <v>224</v>
      </c>
      <c r="B226" s="7">
        <f>'Raw Data'!N227</f>
        <v>30.1</v>
      </c>
      <c r="C226" s="7">
        <f>'Raw Data'!F227</f>
        <v>6.6180000000000003</v>
      </c>
      <c r="D226" s="7">
        <f>'Raw Data'!A227</f>
        <v>0.61470000000000002</v>
      </c>
      <c r="E226" s="7" t="str">
        <f t="shared" si="15"/>
        <v>High</v>
      </c>
      <c r="F226" s="8" t="str">
        <f t="shared" si="16"/>
        <v>High</v>
      </c>
      <c r="G226" s="7" t="str">
        <f t="shared" si="17"/>
        <v>No</v>
      </c>
      <c r="H226" s="7" t="str">
        <f>IF(OR('Raw Data'!D227=1,D226&lt;0.1),"Yes - Desirable","No")</f>
        <v>No</v>
      </c>
      <c r="I226" s="7" t="str">
        <f t="shared" si="18"/>
        <v>Safe Area</v>
      </c>
      <c r="J226" s="7" t="str">
        <f t="shared" si="19"/>
        <v>Grade C - Average</v>
      </c>
    </row>
    <row r="227" spans="1:10" x14ac:dyDescent="0.25">
      <c r="A227" s="7">
        <v>225</v>
      </c>
      <c r="B227" s="7">
        <f>'Raw Data'!N228</f>
        <v>44.8</v>
      </c>
      <c r="C227" s="7">
        <f>'Raw Data'!F228</f>
        <v>8.266</v>
      </c>
      <c r="D227" s="7">
        <f>'Raw Data'!A228</f>
        <v>0.31533</v>
      </c>
      <c r="E227" s="7" t="str">
        <f t="shared" si="15"/>
        <v>High</v>
      </c>
      <c r="F227" s="8" t="str">
        <f t="shared" si="16"/>
        <v>Very High</v>
      </c>
      <c r="G227" s="7" t="str">
        <f t="shared" si="17"/>
        <v>No</v>
      </c>
      <c r="H227" s="7" t="str">
        <f>IF(OR('Raw Data'!D228=1,D227&lt;0.1),"Yes - Desirable","No")</f>
        <v>No</v>
      </c>
      <c r="I227" s="7" t="str">
        <f t="shared" si="18"/>
        <v>Safe Area</v>
      </c>
      <c r="J227" s="7" t="str">
        <f t="shared" si="19"/>
        <v>Grade A - Premium</v>
      </c>
    </row>
    <row r="228" spans="1:10" x14ac:dyDescent="0.25">
      <c r="A228" s="7">
        <v>226</v>
      </c>
      <c r="B228" s="7">
        <f>'Raw Data'!N229</f>
        <v>50</v>
      </c>
      <c r="C228" s="7">
        <f>'Raw Data'!F229</f>
        <v>8.7249999999999996</v>
      </c>
      <c r="D228" s="7">
        <f>'Raw Data'!A229</f>
        <v>0.52693000000000001</v>
      </c>
      <c r="E228" s="7" t="str">
        <f t="shared" si="15"/>
        <v>High</v>
      </c>
      <c r="F228" s="8" t="str">
        <f t="shared" si="16"/>
        <v>Very High</v>
      </c>
      <c r="G228" s="7" t="str">
        <f t="shared" si="17"/>
        <v>No</v>
      </c>
      <c r="H228" s="7" t="str">
        <f>IF(OR('Raw Data'!D229=1,D228&lt;0.1),"Yes - Desirable","No")</f>
        <v>No</v>
      </c>
      <c r="I228" s="7" t="str">
        <f t="shared" si="18"/>
        <v>Safe Area</v>
      </c>
      <c r="J228" s="7" t="str">
        <f t="shared" si="19"/>
        <v>Grade B - Good</v>
      </c>
    </row>
    <row r="229" spans="1:10" x14ac:dyDescent="0.25">
      <c r="A229" s="7">
        <v>227</v>
      </c>
      <c r="B229" s="7">
        <f>'Raw Data'!N230</f>
        <v>37.6</v>
      </c>
      <c r="C229" s="7">
        <f>'Raw Data'!F230</f>
        <v>8.0399999999999991</v>
      </c>
      <c r="D229" s="7">
        <f>'Raw Data'!A230</f>
        <v>0.38213999999999998</v>
      </c>
      <c r="E229" s="7" t="str">
        <f t="shared" si="15"/>
        <v>High</v>
      </c>
      <c r="F229" s="8" t="str">
        <f t="shared" si="16"/>
        <v>High</v>
      </c>
      <c r="G229" s="7" t="str">
        <f t="shared" si="17"/>
        <v>No</v>
      </c>
      <c r="H229" s="7" t="str">
        <f>IF(OR('Raw Data'!D230=1,D229&lt;0.1),"Yes - Desirable","No")</f>
        <v>No</v>
      </c>
      <c r="I229" s="7" t="str">
        <f t="shared" si="18"/>
        <v>Safe Area</v>
      </c>
      <c r="J229" s="7" t="str">
        <f t="shared" si="19"/>
        <v>Grade A - Premium</v>
      </c>
    </row>
    <row r="230" spans="1:10" x14ac:dyDescent="0.25">
      <c r="A230" s="7">
        <v>228</v>
      </c>
      <c r="B230" s="7">
        <f>'Raw Data'!N231</f>
        <v>31.6</v>
      </c>
      <c r="C230" s="7">
        <f>'Raw Data'!F231</f>
        <v>7.1630000000000003</v>
      </c>
      <c r="D230" s="7">
        <f>'Raw Data'!A231</f>
        <v>0.41238000000000002</v>
      </c>
      <c r="E230" s="7" t="str">
        <f t="shared" si="15"/>
        <v>High</v>
      </c>
      <c r="F230" s="8" t="str">
        <f t="shared" si="16"/>
        <v>High</v>
      </c>
      <c r="G230" s="7" t="str">
        <f t="shared" si="17"/>
        <v>No</v>
      </c>
      <c r="H230" s="7" t="str">
        <f>IF(OR('Raw Data'!D231=1,D230&lt;0.1),"Yes - Desirable","No")</f>
        <v>No</v>
      </c>
      <c r="I230" s="7" t="str">
        <f t="shared" si="18"/>
        <v>Safe Area</v>
      </c>
      <c r="J230" s="7" t="str">
        <f t="shared" si="19"/>
        <v>Grade C - Average</v>
      </c>
    </row>
    <row r="231" spans="1:10" x14ac:dyDescent="0.25">
      <c r="A231" s="7">
        <v>229</v>
      </c>
      <c r="B231" s="7">
        <f>'Raw Data'!N232</f>
        <v>46.7</v>
      </c>
      <c r="C231" s="7">
        <f>'Raw Data'!F232</f>
        <v>7.6859999999999999</v>
      </c>
      <c r="D231" s="7">
        <f>'Raw Data'!A232</f>
        <v>0.29819000000000001</v>
      </c>
      <c r="E231" s="7" t="str">
        <f t="shared" si="15"/>
        <v>High</v>
      </c>
      <c r="F231" s="8" t="str">
        <f t="shared" si="16"/>
        <v>Very High</v>
      </c>
      <c r="G231" s="7" t="str">
        <f t="shared" si="17"/>
        <v>No</v>
      </c>
      <c r="H231" s="7" t="str">
        <f>IF(OR('Raw Data'!D232=1,D231&lt;0.1),"Yes - Desirable","No")</f>
        <v>No</v>
      </c>
      <c r="I231" s="7" t="str">
        <f t="shared" si="18"/>
        <v>Safe Area</v>
      </c>
      <c r="J231" s="7" t="str">
        <f t="shared" si="19"/>
        <v>Grade A - Premium</v>
      </c>
    </row>
    <row r="232" spans="1:10" x14ac:dyDescent="0.25">
      <c r="A232" s="7">
        <v>230</v>
      </c>
      <c r="B232" s="7">
        <f>'Raw Data'!N233</f>
        <v>31.5</v>
      </c>
      <c r="C232" s="7">
        <f>'Raw Data'!F233</f>
        <v>6.5519999999999996</v>
      </c>
      <c r="D232" s="7">
        <f>'Raw Data'!A233</f>
        <v>0.44178000000000001</v>
      </c>
      <c r="E232" s="7" t="str">
        <f t="shared" si="15"/>
        <v>High</v>
      </c>
      <c r="F232" s="8" t="str">
        <f t="shared" si="16"/>
        <v>High</v>
      </c>
      <c r="G232" s="7" t="str">
        <f t="shared" si="17"/>
        <v>No</v>
      </c>
      <c r="H232" s="7" t="str">
        <f>IF(OR('Raw Data'!D233=1,D232&lt;0.1),"Yes - Desirable","No")</f>
        <v>No</v>
      </c>
      <c r="I232" s="7" t="str">
        <f t="shared" si="18"/>
        <v>Safe Area</v>
      </c>
      <c r="J232" s="7" t="str">
        <f t="shared" si="19"/>
        <v>Grade C - Average</v>
      </c>
    </row>
    <row r="233" spans="1:10" x14ac:dyDescent="0.25">
      <c r="A233" s="7">
        <v>231</v>
      </c>
      <c r="B233" s="7">
        <f>'Raw Data'!N234</f>
        <v>24.3</v>
      </c>
      <c r="C233" s="7">
        <f>'Raw Data'!F234</f>
        <v>5.9809999999999999</v>
      </c>
      <c r="D233" s="7">
        <f>'Raw Data'!A234</f>
        <v>0.53700000000000003</v>
      </c>
      <c r="E233" s="7" t="str">
        <f t="shared" si="15"/>
        <v>Medium</v>
      </c>
      <c r="F233" s="8" t="str">
        <f t="shared" si="16"/>
        <v>Medium</v>
      </c>
      <c r="G233" s="7" t="str">
        <f t="shared" si="17"/>
        <v>No</v>
      </c>
      <c r="H233" s="7" t="str">
        <f>IF(OR('Raw Data'!D234=1,D233&lt;0.1),"Yes - Desirable","No")</f>
        <v>No</v>
      </c>
      <c r="I233" s="7" t="str">
        <f t="shared" si="18"/>
        <v>Safe Area</v>
      </c>
      <c r="J233" s="7" t="str">
        <f t="shared" si="19"/>
        <v>Grade C - Average</v>
      </c>
    </row>
    <row r="234" spans="1:10" x14ac:dyDescent="0.25">
      <c r="A234" s="7">
        <v>232</v>
      </c>
      <c r="B234" s="7">
        <f>'Raw Data'!N235</f>
        <v>31.7</v>
      </c>
      <c r="C234" s="7">
        <f>'Raw Data'!F235</f>
        <v>7.4119999999999999</v>
      </c>
      <c r="D234" s="7">
        <f>'Raw Data'!A235</f>
        <v>0.46295999999999998</v>
      </c>
      <c r="E234" s="7" t="str">
        <f t="shared" si="15"/>
        <v>High</v>
      </c>
      <c r="F234" s="8" t="str">
        <f t="shared" si="16"/>
        <v>High</v>
      </c>
      <c r="G234" s="7" t="str">
        <f t="shared" si="17"/>
        <v>No</v>
      </c>
      <c r="H234" s="7" t="str">
        <f>IF(OR('Raw Data'!D235=1,D234&lt;0.1),"Yes - Desirable","No")</f>
        <v>No</v>
      </c>
      <c r="I234" s="7" t="str">
        <f t="shared" si="18"/>
        <v>Safe Area</v>
      </c>
      <c r="J234" s="7" t="str">
        <f t="shared" si="19"/>
        <v>Grade C - Average</v>
      </c>
    </row>
    <row r="235" spans="1:10" x14ac:dyDescent="0.25">
      <c r="A235" s="7">
        <v>233</v>
      </c>
      <c r="B235" s="7">
        <f>'Raw Data'!N236</f>
        <v>41.7</v>
      </c>
      <c r="C235" s="7">
        <f>'Raw Data'!F236</f>
        <v>8.3369999999999997</v>
      </c>
      <c r="D235" s="7">
        <f>'Raw Data'!A236</f>
        <v>0.57528999999999997</v>
      </c>
      <c r="E235" s="7" t="str">
        <f t="shared" si="15"/>
        <v>High</v>
      </c>
      <c r="F235" s="8" t="str">
        <f t="shared" si="16"/>
        <v>Very High</v>
      </c>
      <c r="G235" s="7" t="str">
        <f t="shared" si="17"/>
        <v>No</v>
      </c>
      <c r="H235" s="7" t="str">
        <f>IF(OR('Raw Data'!D236=1,D235&lt;0.1),"Yes - Desirable","No")</f>
        <v>No</v>
      </c>
      <c r="I235" s="7" t="str">
        <f t="shared" si="18"/>
        <v>Safe Area</v>
      </c>
      <c r="J235" s="7" t="str">
        <f t="shared" si="19"/>
        <v>Grade B - Good</v>
      </c>
    </row>
    <row r="236" spans="1:10" x14ac:dyDescent="0.25">
      <c r="A236" s="7">
        <v>234</v>
      </c>
      <c r="B236" s="7">
        <f>'Raw Data'!N237</f>
        <v>48.3</v>
      </c>
      <c r="C236" s="7">
        <f>'Raw Data'!F237</f>
        <v>8.2469999999999999</v>
      </c>
      <c r="D236" s="7">
        <f>'Raw Data'!A237</f>
        <v>0.33146999999999999</v>
      </c>
      <c r="E236" s="7" t="str">
        <f t="shared" si="15"/>
        <v>High</v>
      </c>
      <c r="F236" s="8" t="str">
        <f t="shared" si="16"/>
        <v>Very High</v>
      </c>
      <c r="G236" s="7" t="str">
        <f t="shared" si="17"/>
        <v>No</v>
      </c>
      <c r="H236" s="7" t="str">
        <f>IF(OR('Raw Data'!D237=1,D236&lt;0.1),"Yes - Desirable","No")</f>
        <v>No</v>
      </c>
      <c r="I236" s="7" t="str">
        <f t="shared" si="18"/>
        <v>Safe Area</v>
      </c>
      <c r="J236" s="7" t="str">
        <f t="shared" si="19"/>
        <v>Grade A - Premium</v>
      </c>
    </row>
    <row r="237" spans="1:10" x14ac:dyDescent="0.25">
      <c r="A237" s="7">
        <v>235</v>
      </c>
      <c r="B237" s="7">
        <f>'Raw Data'!N238</f>
        <v>29</v>
      </c>
      <c r="C237" s="7">
        <f>'Raw Data'!F238</f>
        <v>6.726</v>
      </c>
      <c r="D237" s="7">
        <f>'Raw Data'!A238</f>
        <v>0.44790999999999997</v>
      </c>
      <c r="E237" s="7" t="str">
        <f t="shared" si="15"/>
        <v>High</v>
      </c>
      <c r="F237" s="8" t="str">
        <f t="shared" si="16"/>
        <v>Medium</v>
      </c>
      <c r="G237" s="7" t="str">
        <f t="shared" si="17"/>
        <v>No</v>
      </c>
      <c r="H237" s="7" t="str">
        <f>IF(OR('Raw Data'!D238=1,D237&lt;0.1),"Yes - Desirable","No")</f>
        <v>Yes - Desirable</v>
      </c>
      <c r="I237" s="7" t="str">
        <f t="shared" si="18"/>
        <v>Safe Area</v>
      </c>
      <c r="J237" s="7" t="str">
        <f t="shared" si="19"/>
        <v>Grade C - Average</v>
      </c>
    </row>
    <row r="238" spans="1:10" x14ac:dyDescent="0.25">
      <c r="A238" s="7">
        <v>236</v>
      </c>
      <c r="B238" s="7">
        <f>'Raw Data'!N239</f>
        <v>24</v>
      </c>
      <c r="C238" s="7">
        <f>'Raw Data'!F239</f>
        <v>6.0860000000000003</v>
      </c>
      <c r="D238" s="7">
        <f>'Raw Data'!A239</f>
        <v>0.33045000000000002</v>
      </c>
      <c r="E238" s="7" t="str">
        <f t="shared" si="15"/>
        <v>Medium</v>
      </c>
      <c r="F238" s="8" t="str">
        <f t="shared" si="16"/>
        <v>Medium</v>
      </c>
      <c r="G238" s="7" t="str">
        <f t="shared" si="17"/>
        <v>No</v>
      </c>
      <c r="H238" s="7" t="str">
        <f>IF(OR('Raw Data'!D239=1,D238&lt;0.1),"Yes - Desirable","No")</f>
        <v>No</v>
      </c>
      <c r="I238" s="7" t="str">
        <f t="shared" si="18"/>
        <v>Safe Area</v>
      </c>
      <c r="J238" s="7" t="str">
        <f t="shared" si="19"/>
        <v>Grade C - Average</v>
      </c>
    </row>
    <row r="239" spans="1:10" x14ac:dyDescent="0.25">
      <c r="A239" s="7">
        <v>237</v>
      </c>
      <c r="B239" s="7">
        <f>'Raw Data'!N240</f>
        <v>25.1</v>
      </c>
      <c r="C239" s="7">
        <f>'Raw Data'!F240</f>
        <v>6.6310000000000002</v>
      </c>
      <c r="D239" s="7">
        <f>'Raw Data'!A240</f>
        <v>0.52058000000000004</v>
      </c>
      <c r="E239" s="7" t="str">
        <f t="shared" si="15"/>
        <v>High</v>
      </c>
      <c r="F239" s="8" t="str">
        <f t="shared" si="16"/>
        <v>Medium</v>
      </c>
      <c r="G239" s="7" t="str">
        <f t="shared" si="17"/>
        <v>No</v>
      </c>
      <c r="H239" s="7" t="str">
        <f>IF(OR('Raw Data'!D240=1,D239&lt;0.1),"Yes - Desirable","No")</f>
        <v>Yes - Desirable</v>
      </c>
      <c r="I239" s="7" t="str">
        <f t="shared" si="18"/>
        <v>Safe Area</v>
      </c>
      <c r="J239" s="7" t="str">
        <f t="shared" si="19"/>
        <v>Grade C - Average</v>
      </c>
    </row>
    <row r="240" spans="1:10" x14ac:dyDescent="0.25">
      <c r="A240" s="7">
        <v>238</v>
      </c>
      <c r="B240" s="7">
        <f>'Raw Data'!N241</f>
        <v>31.5</v>
      </c>
      <c r="C240" s="7">
        <f>'Raw Data'!F241</f>
        <v>7.3579999999999997</v>
      </c>
      <c r="D240" s="7">
        <f>'Raw Data'!A241</f>
        <v>0.51183000000000001</v>
      </c>
      <c r="E240" s="7" t="str">
        <f t="shared" si="15"/>
        <v>High</v>
      </c>
      <c r="F240" s="8" t="str">
        <f t="shared" si="16"/>
        <v>High</v>
      </c>
      <c r="G240" s="7" t="str">
        <f t="shared" si="17"/>
        <v>No</v>
      </c>
      <c r="H240" s="7" t="str">
        <f>IF(OR('Raw Data'!D241=1,D240&lt;0.1),"Yes - Desirable","No")</f>
        <v>No</v>
      </c>
      <c r="I240" s="7" t="str">
        <f t="shared" si="18"/>
        <v>Safe Area</v>
      </c>
      <c r="J240" s="7" t="str">
        <f t="shared" si="19"/>
        <v>Grade C - Average</v>
      </c>
    </row>
    <row r="241" spans="1:10" x14ac:dyDescent="0.25">
      <c r="A241" s="7">
        <v>239</v>
      </c>
      <c r="B241" s="7">
        <f>'Raw Data'!N242</f>
        <v>23.7</v>
      </c>
      <c r="C241" s="7">
        <f>'Raw Data'!F242</f>
        <v>6.4809999999999999</v>
      </c>
      <c r="D241" s="7">
        <f>'Raw Data'!A242</f>
        <v>8.2439999999999999E-2</v>
      </c>
      <c r="E241" s="7" t="str">
        <f t="shared" si="15"/>
        <v>Medium</v>
      </c>
      <c r="F241" s="8" t="str">
        <f t="shared" si="16"/>
        <v>Medium</v>
      </c>
      <c r="G241" s="7" t="str">
        <f t="shared" si="17"/>
        <v>No</v>
      </c>
      <c r="H241" s="7" t="str">
        <f>IF(OR('Raw Data'!D242=1,D241&lt;0.1),"Yes - Desirable","No")</f>
        <v>Yes - Desirable</v>
      </c>
      <c r="I241" s="7" t="str">
        <f t="shared" si="18"/>
        <v>Safe Area</v>
      </c>
      <c r="J241" s="7" t="str">
        <f t="shared" si="19"/>
        <v>Grade C - Average</v>
      </c>
    </row>
    <row r="242" spans="1:10" x14ac:dyDescent="0.25">
      <c r="A242" s="7">
        <v>240</v>
      </c>
      <c r="B242" s="7">
        <f>'Raw Data'!N243</f>
        <v>23.3</v>
      </c>
      <c r="C242" s="7">
        <f>'Raw Data'!F243</f>
        <v>6.6059999999999999</v>
      </c>
      <c r="D242" s="7">
        <f>'Raw Data'!A243</f>
        <v>9.2520000000000005E-2</v>
      </c>
      <c r="E242" s="7" t="str">
        <f t="shared" si="15"/>
        <v>Medium</v>
      </c>
      <c r="F242" s="8" t="str">
        <f t="shared" si="16"/>
        <v>Medium</v>
      </c>
      <c r="G242" s="7" t="str">
        <f t="shared" si="17"/>
        <v>No</v>
      </c>
      <c r="H242" s="7" t="str">
        <f>IF(OR('Raw Data'!D243=1,D242&lt;0.1),"Yes - Desirable","No")</f>
        <v>Yes - Desirable</v>
      </c>
      <c r="I242" s="7" t="str">
        <f t="shared" si="18"/>
        <v>Safe Area</v>
      </c>
      <c r="J242" s="7" t="str">
        <f t="shared" si="19"/>
        <v>Grade C - Average</v>
      </c>
    </row>
    <row r="243" spans="1:10" x14ac:dyDescent="0.25">
      <c r="A243" s="7">
        <v>241</v>
      </c>
      <c r="B243" s="7">
        <f>'Raw Data'!N244</f>
        <v>22</v>
      </c>
      <c r="C243" s="7">
        <f>'Raw Data'!F244</f>
        <v>6.8970000000000002</v>
      </c>
      <c r="D243" s="7">
        <f>'Raw Data'!A244</f>
        <v>0.11329</v>
      </c>
      <c r="E243" s="7" t="str">
        <f t="shared" si="15"/>
        <v>Medium</v>
      </c>
      <c r="F243" s="8" t="str">
        <f t="shared" si="16"/>
        <v>Medium</v>
      </c>
      <c r="G243" s="7" t="str">
        <f t="shared" si="17"/>
        <v>Yes - Affordable &amp; Spacious</v>
      </c>
      <c r="H243" s="7" t="str">
        <f>IF(OR('Raw Data'!D244=1,D243&lt;0.1),"Yes - Desirable","No")</f>
        <v>No</v>
      </c>
      <c r="I243" s="7" t="str">
        <f t="shared" si="18"/>
        <v>Safe Area</v>
      </c>
      <c r="J243" s="7" t="str">
        <f t="shared" si="19"/>
        <v>Grade C - Average</v>
      </c>
    </row>
    <row r="244" spans="1:10" x14ac:dyDescent="0.25">
      <c r="A244" s="7">
        <v>242</v>
      </c>
      <c r="B244" s="7">
        <f>'Raw Data'!N245</f>
        <v>20.100000000000001</v>
      </c>
      <c r="C244" s="7">
        <f>'Raw Data'!F245</f>
        <v>6.0949999999999998</v>
      </c>
      <c r="D244" s="7">
        <f>'Raw Data'!A245</f>
        <v>0.10612000000000001</v>
      </c>
      <c r="E244" s="7" t="str">
        <f t="shared" si="15"/>
        <v>Medium</v>
      </c>
      <c r="F244" s="8" t="str">
        <f t="shared" si="16"/>
        <v>Medium</v>
      </c>
      <c r="G244" s="7" t="str">
        <f t="shared" si="17"/>
        <v>Yes - Affordable &amp; Spacious</v>
      </c>
      <c r="H244" s="7" t="str">
        <f>IF(OR('Raw Data'!D245=1,D244&lt;0.1),"Yes - Desirable","No")</f>
        <v>No</v>
      </c>
      <c r="I244" s="7" t="str">
        <f t="shared" si="18"/>
        <v>Safe Area</v>
      </c>
      <c r="J244" s="7" t="str">
        <f t="shared" si="19"/>
        <v>Grade C - Average</v>
      </c>
    </row>
    <row r="245" spans="1:10" x14ac:dyDescent="0.25">
      <c r="A245" s="7">
        <v>243</v>
      </c>
      <c r="B245" s="7">
        <f>'Raw Data'!N246</f>
        <v>22.2</v>
      </c>
      <c r="C245" s="7">
        <f>'Raw Data'!F246</f>
        <v>6.3579999999999997</v>
      </c>
      <c r="D245" s="7">
        <f>'Raw Data'!A246</f>
        <v>0.10290000000000001</v>
      </c>
      <c r="E245" s="7" t="str">
        <f t="shared" si="15"/>
        <v>Medium</v>
      </c>
      <c r="F245" s="8" t="str">
        <f t="shared" si="16"/>
        <v>Medium</v>
      </c>
      <c r="G245" s="7" t="str">
        <f t="shared" si="17"/>
        <v>No</v>
      </c>
      <c r="H245" s="7" t="str">
        <f>IF(OR('Raw Data'!D246=1,D245&lt;0.1),"Yes - Desirable","No")</f>
        <v>No</v>
      </c>
      <c r="I245" s="7" t="str">
        <f t="shared" si="18"/>
        <v>Safe Area</v>
      </c>
      <c r="J245" s="7" t="str">
        <f t="shared" si="19"/>
        <v>Grade C - Average</v>
      </c>
    </row>
    <row r="246" spans="1:10" x14ac:dyDescent="0.25">
      <c r="A246" s="7">
        <v>244</v>
      </c>
      <c r="B246" s="7">
        <f>'Raw Data'!N247</f>
        <v>23.7</v>
      </c>
      <c r="C246" s="7">
        <f>'Raw Data'!F247</f>
        <v>6.3929999999999998</v>
      </c>
      <c r="D246" s="7">
        <f>'Raw Data'!A247</f>
        <v>0.12756999999999999</v>
      </c>
      <c r="E246" s="7" t="str">
        <f t="shared" si="15"/>
        <v>Medium</v>
      </c>
      <c r="F246" s="8" t="str">
        <f t="shared" si="16"/>
        <v>Medium</v>
      </c>
      <c r="G246" s="7" t="str">
        <f t="shared" si="17"/>
        <v>No</v>
      </c>
      <c r="H246" s="7" t="str">
        <f>IF(OR('Raw Data'!D247=1,D246&lt;0.1),"Yes - Desirable","No")</f>
        <v>No</v>
      </c>
      <c r="I246" s="7" t="str">
        <f t="shared" si="18"/>
        <v>Safe Area</v>
      </c>
      <c r="J246" s="7" t="str">
        <f t="shared" si="19"/>
        <v>Grade C - Average</v>
      </c>
    </row>
    <row r="247" spans="1:10" x14ac:dyDescent="0.25">
      <c r="A247" s="7">
        <v>245</v>
      </c>
      <c r="B247" s="7">
        <f>'Raw Data'!N248</f>
        <v>17.600000000000001</v>
      </c>
      <c r="C247" s="7">
        <f>'Raw Data'!F248</f>
        <v>5.593</v>
      </c>
      <c r="D247" s="7">
        <f>'Raw Data'!A248</f>
        <v>0.20608000000000001</v>
      </c>
      <c r="E247" s="7" t="str">
        <f t="shared" si="15"/>
        <v>Medium</v>
      </c>
      <c r="F247" s="8" t="str">
        <f t="shared" si="16"/>
        <v>Low</v>
      </c>
      <c r="G247" s="7" t="str">
        <f t="shared" si="17"/>
        <v>No</v>
      </c>
      <c r="H247" s="7" t="str">
        <f>IF(OR('Raw Data'!D248=1,D247&lt;0.1),"Yes - Desirable","No")</f>
        <v>No</v>
      </c>
      <c r="I247" s="7" t="str">
        <f t="shared" si="18"/>
        <v>Safe Area</v>
      </c>
      <c r="J247" s="7" t="str">
        <f t="shared" si="19"/>
        <v>Grade D - Low Value</v>
      </c>
    </row>
    <row r="248" spans="1:10" x14ac:dyDescent="0.25">
      <c r="A248" s="7">
        <v>246</v>
      </c>
      <c r="B248" s="7">
        <f>'Raw Data'!N249</f>
        <v>18.5</v>
      </c>
      <c r="C248" s="7">
        <f>'Raw Data'!F249</f>
        <v>5.6050000000000004</v>
      </c>
      <c r="D248" s="7">
        <f>'Raw Data'!A249</f>
        <v>0.19133</v>
      </c>
      <c r="E248" s="7" t="str">
        <f t="shared" si="15"/>
        <v>Medium</v>
      </c>
      <c r="F248" s="8" t="str">
        <f t="shared" si="16"/>
        <v>Low</v>
      </c>
      <c r="G248" s="7" t="str">
        <f t="shared" si="17"/>
        <v>No</v>
      </c>
      <c r="H248" s="7" t="str">
        <f>IF(OR('Raw Data'!D249=1,D248&lt;0.1),"Yes - Desirable","No")</f>
        <v>No</v>
      </c>
      <c r="I248" s="7" t="str">
        <f t="shared" si="18"/>
        <v>Safe Area</v>
      </c>
      <c r="J248" s="7" t="str">
        <f t="shared" si="19"/>
        <v>Grade D - Low Value</v>
      </c>
    </row>
    <row r="249" spans="1:10" x14ac:dyDescent="0.25">
      <c r="A249" s="7">
        <v>247</v>
      </c>
      <c r="B249" s="7">
        <f>'Raw Data'!N250</f>
        <v>24.3</v>
      </c>
      <c r="C249" s="7">
        <f>'Raw Data'!F250</f>
        <v>6.1079999999999997</v>
      </c>
      <c r="D249" s="7">
        <f>'Raw Data'!A250</f>
        <v>0.33983000000000002</v>
      </c>
      <c r="E249" s="7" t="str">
        <f t="shared" si="15"/>
        <v>Medium</v>
      </c>
      <c r="F249" s="8" t="str">
        <f t="shared" si="16"/>
        <v>Medium</v>
      </c>
      <c r="G249" s="7" t="str">
        <f t="shared" si="17"/>
        <v>No</v>
      </c>
      <c r="H249" s="7" t="str">
        <f>IF(OR('Raw Data'!D250=1,D249&lt;0.1),"Yes - Desirable","No")</f>
        <v>No</v>
      </c>
      <c r="I249" s="7" t="str">
        <f t="shared" si="18"/>
        <v>Safe Area</v>
      </c>
      <c r="J249" s="7" t="str">
        <f t="shared" si="19"/>
        <v>Grade C - Average</v>
      </c>
    </row>
    <row r="250" spans="1:10" x14ac:dyDescent="0.25">
      <c r="A250" s="7">
        <v>248</v>
      </c>
      <c r="B250" s="7">
        <f>'Raw Data'!N251</f>
        <v>20.5</v>
      </c>
      <c r="C250" s="7">
        <f>'Raw Data'!F251</f>
        <v>6.226</v>
      </c>
      <c r="D250" s="7">
        <f>'Raw Data'!A251</f>
        <v>0.19656999999999999</v>
      </c>
      <c r="E250" s="7" t="str">
        <f t="shared" si="15"/>
        <v>Medium</v>
      </c>
      <c r="F250" s="8" t="str">
        <f t="shared" si="16"/>
        <v>Medium</v>
      </c>
      <c r="G250" s="7" t="str">
        <f t="shared" si="17"/>
        <v>Yes - Affordable &amp; Spacious</v>
      </c>
      <c r="H250" s="7" t="str">
        <f>IF(OR('Raw Data'!D251=1,D250&lt;0.1),"Yes - Desirable","No")</f>
        <v>No</v>
      </c>
      <c r="I250" s="7" t="str">
        <f t="shared" si="18"/>
        <v>Safe Area</v>
      </c>
      <c r="J250" s="7" t="str">
        <f t="shared" si="19"/>
        <v>Grade C - Average</v>
      </c>
    </row>
    <row r="251" spans="1:10" x14ac:dyDescent="0.25">
      <c r="A251" s="7">
        <v>249</v>
      </c>
      <c r="B251" s="7">
        <f>'Raw Data'!N252</f>
        <v>24.5</v>
      </c>
      <c r="C251" s="7">
        <f>'Raw Data'!F252</f>
        <v>6.4329999999999998</v>
      </c>
      <c r="D251" s="7">
        <f>'Raw Data'!A252</f>
        <v>0.16439000000000001</v>
      </c>
      <c r="E251" s="7" t="str">
        <f t="shared" si="15"/>
        <v>Medium</v>
      </c>
      <c r="F251" s="8" t="str">
        <f t="shared" si="16"/>
        <v>Medium</v>
      </c>
      <c r="G251" s="7" t="str">
        <f t="shared" si="17"/>
        <v>No</v>
      </c>
      <c r="H251" s="7" t="str">
        <f>IF(OR('Raw Data'!D252=1,D251&lt;0.1),"Yes - Desirable","No")</f>
        <v>No</v>
      </c>
      <c r="I251" s="7" t="str">
        <f t="shared" si="18"/>
        <v>Safe Area</v>
      </c>
      <c r="J251" s="7" t="str">
        <f t="shared" si="19"/>
        <v>Grade C - Average</v>
      </c>
    </row>
    <row r="252" spans="1:10" x14ac:dyDescent="0.25">
      <c r="A252" s="7">
        <v>250</v>
      </c>
      <c r="B252" s="7">
        <f>'Raw Data'!N253</f>
        <v>26.2</v>
      </c>
      <c r="C252" s="7">
        <f>'Raw Data'!F253</f>
        <v>6.718</v>
      </c>
      <c r="D252" s="7">
        <f>'Raw Data'!A253</f>
        <v>0.19073000000000001</v>
      </c>
      <c r="E252" s="7" t="str">
        <f t="shared" si="15"/>
        <v>High</v>
      </c>
      <c r="F252" s="8" t="str">
        <f t="shared" si="16"/>
        <v>Medium</v>
      </c>
      <c r="G252" s="7" t="str">
        <f t="shared" si="17"/>
        <v>No</v>
      </c>
      <c r="H252" s="7" t="str">
        <f>IF(OR('Raw Data'!D253=1,D252&lt;0.1),"Yes - Desirable","No")</f>
        <v>No</v>
      </c>
      <c r="I252" s="7" t="str">
        <f t="shared" si="18"/>
        <v>Safe Area</v>
      </c>
      <c r="J252" s="7" t="str">
        <f t="shared" si="19"/>
        <v>Grade C - Average</v>
      </c>
    </row>
    <row r="253" spans="1:10" x14ac:dyDescent="0.25">
      <c r="A253" s="7">
        <v>251</v>
      </c>
      <c r="B253" s="7">
        <f>'Raw Data'!N254</f>
        <v>24.4</v>
      </c>
      <c r="C253" s="7">
        <f>'Raw Data'!F254</f>
        <v>6.4870000000000001</v>
      </c>
      <c r="D253" s="7">
        <f>'Raw Data'!A254</f>
        <v>0.14030000000000001</v>
      </c>
      <c r="E253" s="7" t="str">
        <f t="shared" si="15"/>
        <v>Medium</v>
      </c>
      <c r="F253" s="8" t="str">
        <f t="shared" si="16"/>
        <v>Medium</v>
      </c>
      <c r="G253" s="7" t="str">
        <f t="shared" si="17"/>
        <v>No</v>
      </c>
      <c r="H253" s="7" t="str">
        <f>IF(OR('Raw Data'!D254=1,D253&lt;0.1),"Yes - Desirable","No")</f>
        <v>No</v>
      </c>
      <c r="I253" s="7" t="str">
        <f t="shared" si="18"/>
        <v>Safe Area</v>
      </c>
      <c r="J253" s="7" t="str">
        <f t="shared" si="19"/>
        <v>Grade C - Average</v>
      </c>
    </row>
    <row r="254" spans="1:10" x14ac:dyDescent="0.25">
      <c r="A254" s="7">
        <v>252</v>
      </c>
      <c r="B254" s="7">
        <f>'Raw Data'!N255</f>
        <v>24.8</v>
      </c>
      <c r="C254" s="7">
        <f>'Raw Data'!F255</f>
        <v>6.4379999999999997</v>
      </c>
      <c r="D254" s="7">
        <f>'Raw Data'!A255</f>
        <v>0.21409</v>
      </c>
      <c r="E254" s="7" t="str">
        <f t="shared" si="15"/>
        <v>Medium</v>
      </c>
      <c r="F254" s="8" t="str">
        <f t="shared" si="16"/>
        <v>Medium</v>
      </c>
      <c r="G254" s="7" t="str">
        <f t="shared" si="17"/>
        <v>No</v>
      </c>
      <c r="H254" s="7" t="str">
        <f>IF(OR('Raw Data'!D255=1,D254&lt;0.1),"Yes - Desirable","No")</f>
        <v>No</v>
      </c>
      <c r="I254" s="7" t="str">
        <f t="shared" si="18"/>
        <v>Safe Area</v>
      </c>
      <c r="J254" s="7" t="str">
        <f t="shared" si="19"/>
        <v>Grade C - Average</v>
      </c>
    </row>
    <row r="255" spans="1:10" x14ac:dyDescent="0.25">
      <c r="A255" s="7">
        <v>253</v>
      </c>
      <c r="B255" s="7">
        <f>'Raw Data'!N256</f>
        <v>29.6</v>
      </c>
      <c r="C255" s="7">
        <f>'Raw Data'!F256</f>
        <v>6.9569999999999999</v>
      </c>
      <c r="D255" s="7">
        <f>'Raw Data'!A256</f>
        <v>8.2210000000000005E-2</v>
      </c>
      <c r="E255" s="7" t="str">
        <f t="shared" si="15"/>
        <v>High</v>
      </c>
      <c r="F255" s="8" t="str">
        <f t="shared" si="16"/>
        <v>Medium</v>
      </c>
      <c r="G255" s="7" t="str">
        <f t="shared" si="17"/>
        <v>No</v>
      </c>
      <c r="H255" s="7" t="str">
        <f>IF(OR('Raw Data'!D256=1,D255&lt;0.1),"Yes - Desirable","No")</f>
        <v>Yes - Desirable</v>
      </c>
      <c r="I255" s="7" t="str">
        <f t="shared" si="18"/>
        <v>Safe Area</v>
      </c>
      <c r="J255" s="7" t="str">
        <f t="shared" si="19"/>
        <v>Grade C - Average</v>
      </c>
    </row>
    <row r="256" spans="1:10" x14ac:dyDescent="0.25">
      <c r="A256" s="7">
        <v>254</v>
      </c>
      <c r="B256" s="7">
        <f>'Raw Data'!N257</f>
        <v>42.8</v>
      </c>
      <c r="C256" s="7">
        <f>'Raw Data'!F257</f>
        <v>8.2590000000000003</v>
      </c>
      <c r="D256" s="7">
        <f>'Raw Data'!A257</f>
        <v>0.36893999999999999</v>
      </c>
      <c r="E256" s="7" t="str">
        <f t="shared" si="15"/>
        <v>High</v>
      </c>
      <c r="F256" s="8" t="str">
        <f t="shared" si="16"/>
        <v>Very High</v>
      </c>
      <c r="G256" s="7" t="str">
        <f t="shared" si="17"/>
        <v>No</v>
      </c>
      <c r="H256" s="7" t="str">
        <f>IF(OR('Raw Data'!D257=1,D256&lt;0.1),"Yes - Desirable","No")</f>
        <v>No</v>
      </c>
      <c r="I256" s="7" t="str">
        <f t="shared" si="18"/>
        <v>Safe Area</v>
      </c>
      <c r="J256" s="7" t="str">
        <f t="shared" si="19"/>
        <v>Grade A - Premium</v>
      </c>
    </row>
    <row r="257" spans="1:10" x14ac:dyDescent="0.25">
      <c r="A257" s="7">
        <v>255</v>
      </c>
      <c r="B257" s="7">
        <f>'Raw Data'!N258</f>
        <v>21.9</v>
      </c>
      <c r="C257" s="7">
        <f>'Raw Data'!F258</f>
        <v>6.1079999999999997</v>
      </c>
      <c r="D257" s="7">
        <f>'Raw Data'!A258</f>
        <v>4.8189999999999997E-2</v>
      </c>
      <c r="E257" s="7" t="str">
        <f t="shared" si="15"/>
        <v>Medium</v>
      </c>
      <c r="F257" s="8" t="str">
        <f t="shared" si="16"/>
        <v>Medium</v>
      </c>
      <c r="G257" s="7" t="str">
        <f t="shared" si="17"/>
        <v>Yes - Affordable &amp; Spacious</v>
      </c>
      <c r="H257" s="7" t="str">
        <f>IF(OR('Raw Data'!D258=1,D257&lt;0.1),"Yes - Desirable","No")</f>
        <v>Yes - Desirable</v>
      </c>
      <c r="I257" s="7" t="str">
        <f t="shared" si="18"/>
        <v>Safe Area</v>
      </c>
      <c r="J257" s="7" t="str">
        <f t="shared" si="19"/>
        <v>Grade C - Average</v>
      </c>
    </row>
    <row r="258" spans="1:10" x14ac:dyDescent="0.25">
      <c r="A258" s="7">
        <v>256</v>
      </c>
      <c r="B258" s="7">
        <f>'Raw Data'!N259</f>
        <v>20.9</v>
      </c>
      <c r="C258" s="7">
        <f>'Raw Data'!F259</f>
        <v>5.8760000000000003</v>
      </c>
      <c r="D258" s="7">
        <f>'Raw Data'!A259</f>
        <v>3.5479999999999998E-2</v>
      </c>
      <c r="E258" s="7" t="str">
        <f t="shared" si="15"/>
        <v>Medium</v>
      </c>
      <c r="F258" s="8" t="str">
        <f t="shared" si="16"/>
        <v>Medium</v>
      </c>
      <c r="G258" s="7" t="str">
        <f t="shared" si="17"/>
        <v>No</v>
      </c>
      <c r="H258" s="7" t="str">
        <f>IF(OR('Raw Data'!D259=1,D258&lt;0.1),"Yes - Desirable","No")</f>
        <v>Yes - Desirable</v>
      </c>
      <c r="I258" s="7" t="str">
        <f t="shared" si="18"/>
        <v>Safe Area</v>
      </c>
      <c r="J258" s="7" t="str">
        <f t="shared" si="19"/>
        <v>Grade C - Average</v>
      </c>
    </row>
    <row r="259" spans="1:10" x14ac:dyDescent="0.25">
      <c r="A259" s="7">
        <v>257</v>
      </c>
      <c r="B259" s="7">
        <f>'Raw Data'!N260</f>
        <v>44</v>
      </c>
      <c r="C259" s="7">
        <f>'Raw Data'!F260</f>
        <v>7.4539999999999997</v>
      </c>
      <c r="D259" s="7">
        <f>'Raw Data'!A260</f>
        <v>1.538E-2</v>
      </c>
      <c r="E259" s="7" t="str">
        <f t="shared" si="15"/>
        <v>High</v>
      </c>
      <c r="F259" s="8" t="str">
        <f t="shared" si="16"/>
        <v>Very High</v>
      </c>
      <c r="G259" s="7" t="str">
        <f t="shared" si="17"/>
        <v>No</v>
      </c>
      <c r="H259" s="7" t="str">
        <f>IF(OR('Raw Data'!D260=1,D259&lt;0.1),"Yes - Desirable","No")</f>
        <v>Yes - Desirable</v>
      </c>
      <c r="I259" s="7" t="str">
        <f t="shared" si="18"/>
        <v>Safe Area</v>
      </c>
      <c r="J259" s="7" t="str">
        <f t="shared" si="19"/>
        <v>Grade A - Premium</v>
      </c>
    </row>
    <row r="260" spans="1:10" x14ac:dyDescent="0.25">
      <c r="A260" s="7">
        <v>258</v>
      </c>
      <c r="B260" s="7">
        <f>'Raw Data'!N261</f>
        <v>50</v>
      </c>
      <c r="C260" s="7">
        <f>'Raw Data'!F261</f>
        <v>8.7040000000000006</v>
      </c>
      <c r="D260" s="7">
        <f>'Raw Data'!A261</f>
        <v>0.61153999999999997</v>
      </c>
      <c r="E260" s="7" t="str">
        <f t="shared" ref="E260:E323" si="20">IF(B260&lt;=15,"Low",IF(B260&lt;=25,"Medium","High"))</f>
        <v>High</v>
      </c>
      <c r="F260" s="8" t="str">
        <f t="shared" ref="F260:F323" si="21">IF(B260&lt;=10,"Very Low",IF(B260&lt;=20,"Low",IF(B260&lt;=30,"Medium",IF(B260&lt;=40,"High","Very High"))))</f>
        <v>Very High</v>
      </c>
      <c r="G260" s="7" t="str">
        <f t="shared" ref="G260:G323" si="22">IF(AND(B260&lt;=22,C260&gt;=6),"Yes - Affordable &amp; Spacious","No")</f>
        <v>No</v>
      </c>
      <c r="H260" s="7" t="str">
        <f>IF(OR('Raw Data'!D261=1,D260&lt;0.1),"Yes - Desirable","No")</f>
        <v>No</v>
      </c>
      <c r="I260" s="7" t="str">
        <f t="shared" ref="I260:I323" si="23">IF(NOT(D260&gt;=1),"Safe Area","High Crime")</f>
        <v>Safe Area</v>
      </c>
      <c r="J260" s="7" t="str">
        <f t="shared" ref="J260:J323" si="24">IF(B260&gt;=35,IF(D260&lt;0.5,"Grade A - Premium","Grade B - Good"),IF(B260&gt;=20,"Grade C - Average","Grade D - Low Value"))</f>
        <v>Grade B - Good</v>
      </c>
    </row>
    <row r="261" spans="1:10" x14ac:dyDescent="0.25">
      <c r="A261" s="7">
        <v>259</v>
      </c>
      <c r="B261" s="7">
        <f>'Raw Data'!N262</f>
        <v>36</v>
      </c>
      <c r="C261" s="7">
        <f>'Raw Data'!F262</f>
        <v>7.3330000000000002</v>
      </c>
      <c r="D261" s="7">
        <f>'Raw Data'!A262</f>
        <v>0.66351000000000004</v>
      </c>
      <c r="E261" s="7" t="str">
        <f t="shared" si="20"/>
        <v>High</v>
      </c>
      <c r="F261" s="8" t="str">
        <f t="shared" si="21"/>
        <v>High</v>
      </c>
      <c r="G261" s="7" t="str">
        <f t="shared" si="22"/>
        <v>No</v>
      </c>
      <c r="H261" s="7" t="str">
        <f>IF(OR('Raw Data'!D262=1,D261&lt;0.1),"Yes - Desirable","No")</f>
        <v>No</v>
      </c>
      <c r="I261" s="7" t="str">
        <f t="shared" si="23"/>
        <v>Safe Area</v>
      </c>
      <c r="J261" s="7" t="str">
        <f t="shared" si="24"/>
        <v>Grade B - Good</v>
      </c>
    </row>
    <row r="262" spans="1:10" x14ac:dyDescent="0.25">
      <c r="A262" s="7">
        <v>260</v>
      </c>
      <c r="B262" s="7">
        <f>'Raw Data'!N263</f>
        <v>30.1</v>
      </c>
      <c r="C262" s="7">
        <f>'Raw Data'!F263</f>
        <v>6.8419999999999996</v>
      </c>
      <c r="D262" s="7">
        <f>'Raw Data'!A263</f>
        <v>0.65664999999999996</v>
      </c>
      <c r="E262" s="7" t="str">
        <f t="shared" si="20"/>
        <v>High</v>
      </c>
      <c r="F262" s="8" t="str">
        <f t="shared" si="21"/>
        <v>High</v>
      </c>
      <c r="G262" s="7" t="str">
        <f t="shared" si="22"/>
        <v>No</v>
      </c>
      <c r="H262" s="7" t="str">
        <f>IF(OR('Raw Data'!D263=1,D262&lt;0.1),"Yes - Desirable","No")</f>
        <v>No</v>
      </c>
      <c r="I262" s="7" t="str">
        <f t="shared" si="23"/>
        <v>Safe Area</v>
      </c>
      <c r="J262" s="7" t="str">
        <f t="shared" si="24"/>
        <v>Grade C - Average</v>
      </c>
    </row>
    <row r="263" spans="1:10" x14ac:dyDescent="0.25">
      <c r="A263" s="7">
        <v>261</v>
      </c>
      <c r="B263" s="7">
        <f>'Raw Data'!N264</f>
        <v>33.799999999999997</v>
      </c>
      <c r="C263" s="7">
        <f>'Raw Data'!F264</f>
        <v>7.2030000000000003</v>
      </c>
      <c r="D263" s="7">
        <f>'Raw Data'!A264</f>
        <v>0.54010999999999998</v>
      </c>
      <c r="E263" s="7" t="str">
        <f t="shared" si="20"/>
        <v>High</v>
      </c>
      <c r="F263" s="8" t="str">
        <f t="shared" si="21"/>
        <v>High</v>
      </c>
      <c r="G263" s="7" t="str">
        <f t="shared" si="22"/>
        <v>No</v>
      </c>
      <c r="H263" s="7" t="str">
        <f>IF(OR('Raw Data'!D264=1,D263&lt;0.1),"Yes - Desirable","No")</f>
        <v>No</v>
      </c>
      <c r="I263" s="7" t="str">
        <f t="shared" si="23"/>
        <v>Safe Area</v>
      </c>
      <c r="J263" s="7" t="str">
        <f t="shared" si="24"/>
        <v>Grade C - Average</v>
      </c>
    </row>
    <row r="264" spans="1:10" x14ac:dyDescent="0.25">
      <c r="A264" s="7">
        <v>262</v>
      </c>
      <c r="B264" s="7">
        <f>'Raw Data'!N265</f>
        <v>43.1</v>
      </c>
      <c r="C264" s="7">
        <f>'Raw Data'!F265</f>
        <v>7.52</v>
      </c>
      <c r="D264" s="7">
        <f>'Raw Data'!A265</f>
        <v>0.53412000000000004</v>
      </c>
      <c r="E264" s="7" t="str">
        <f t="shared" si="20"/>
        <v>High</v>
      </c>
      <c r="F264" s="8" t="str">
        <f t="shared" si="21"/>
        <v>Very High</v>
      </c>
      <c r="G264" s="7" t="str">
        <f t="shared" si="22"/>
        <v>No</v>
      </c>
      <c r="H264" s="7" t="str">
        <f>IF(OR('Raw Data'!D265=1,D264&lt;0.1),"Yes - Desirable","No")</f>
        <v>No</v>
      </c>
      <c r="I264" s="7" t="str">
        <f t="shared" si="23"/>
        <v>Safe Area</v>
      </c>
      <c r="J264" s="7" t="str">
        <f t="shared" si="24"/>
        <v>Grade B - Good</v>
      </c>
    </row>
    <row r="265" spans="1:10" x14ac:dyDescent="0.25">
      <c r="A265" s="7">
        <v>263</v>
      </c>
      <c r="B265" s="7">
        <f>'Raw Data'!N266</f>
        <v>48.8</v>
      </c>
      <c r="C265" s="7">
        <f>'Raw Data'!F266</f>
        <v>8.3979999999999997</v>
      </c>
      <c r="D265" s="7">
        <f>'Raw Data'!A266</f>
        <v>0.52014000000000005</v>
      </c>
      <c r="E265" s="7" t="str">
        <f t="shared" si="20"/>
        <v>High</v>
      </c>
      <c r="F265" s="8" t="str">
        <f t="shared" si="21"/>
        <v>Very High</v>
      </c>
      <c r="G265" s="7" t="str">
        <f t="shared" si="22"/>
        <v>No</v>
      </c>
      <c r="H265" s="7" t="str">
        <f>IF(OR('Raw Data'!D266=1,D265&lt;0.1),"Yes - Desirable","No")</f>
        <v>No</v>
      </c>
      <c r="I265" s="7" t="str">
        <f t="shared" si="23"/>
        <v>Safe Area</v>
      </c>
      <c r="J265" s="7" t="str">
        <f t="shared" si="24"/>
        <v>Grade B - Good</v>
      </c>
    </row>
    <row r="266" spans="1:10" x14ac:dyDescent="0.25">
      <c r="A266" s="7">
        <v>264</v>
      </c>
      <c r="B266" s="7">
        <f>'Raw Data'!N267</f>
        <v>31</v>
      </c>
      <c r="C266" s="7">
        <f>'Raw Data'!F267</f>
        <v>7.327</v>
      </c>
      <c r="D266" s="7">
        <f>'Raw Data'!A267</f>
        <v>0.82525999999999999</v>
      </c>
      <c r="E266" s="7" t="str">
        <f t="shared" si="20"/>
        <v>High</v>
      </c>
      <c r="F266" s="8" t="str">
        <f t="shared" si="21"/>
        <v>High</v>
      </c>
      <c r="G266" s="7" t="str">
        <f t="shared" si="22"/>
        <v>No</v>
      </c>
      <c r="H266" s="7" t="str">
        <f>IF(OR('Raw Data'!D267=1,D266&lt;0.1),"Yes - Desirable","No")</f>
        <v>No</v>
      </c>
      <c r="I266" s="7" t="str">
        <f t="shared" si="23"/>
        <v>Safe Area</v>
      </c>
      <c r="J266" s="7" t="str">
        <f t="shared" si="24"/>
        <v>Grade C - Average</v>
      </c>
    </row>
    <row r="267" spans="1:10" x14ac:dyDescent="0.25">
      <c r="A267" s="7">
        <v>265</v>
      </c>
      <c r="B267" s="7">
        <f>'Raw Data'!N268</f>
        <v>36.5</v>
      </c>
      <c r="C267" s="7">
        <f>'Raw Data'!F268</f>
        <v>7.2060000000000004</v>
      </c>
      <c r="D267" s="7">
        <f>'Raw Data'!A268</f>
        <v>0.55006999999999995</v>
      </c>
      <c r="E267" s="7" t="str">
        <f t="shared" si="20"/>
        <v>High</v>
      </c>
      <c r="F267" s="8" t="str">
        <f t="shared" si="21"/>
        <v>High</v>
      </c>
      <c r="G267" s="7" t="str">
        <f t="shared" si="22"/>
        <v>No</v>
      </c>
      <c r="H267" s="7" t="str">
        <f>IF(OR('Raw Data'!D268=1,D267&lt;0.1),"Yes - Desirable","No")</f>
        <v>No</v>
      </c>
      <c r="I267" s="7" t="str">
        <f t="shared" si="23"/>
        <v>Safe Area</v>
      </c>
      <c r="J267" s="7" t="str">
        <f t="shared" si="24"/>
        <v>Grade B - Good</v>
      </c>
    </row>
    <row r="268" spans="1:10" x14ac:dyDescent="0.25">
      <c r="A268" s="7">
        <v>266</v>
      </c>
      <c r="B268" s="7">
        <f>'Raw Data'!N269</f>
        <v>22.8</v>
      </c>
      <c r="C268" s="7">
        <f>'Raw Data'!F269</f>
        <v>5.56</v>
      </c>
      <c r="D268" s="7">
        <f>'Raw Data'!A269</f>
        <v>0.76161999999999996</v>
      </c>
      <c r="E268" s="7" t="str">
        <f t="shared" si="20"/>
        <v>Medium</v>
      </c>
      <c r="F268" s="8" t="str">
        <f t="shared" si="21"/>
        <v>Medium</v>
      </c>
      <c r="G268" s="7" t="str">
        <f t="shared" si="22"/>
        <v>No</v>
      </c>
      <c r="H268" s="7" t="str">
        <f>IF(OR('Raw Data'!D269=1,D268&lt;0.1),"Yes - Desirable","No")</f>
        <v>No</v>
      </c>
      <c r="I268" s="7" t="str">
        <f t="shared" si="23"/>
        <v>Safe Area</v>
      </c>
      <c r="J268" s="7" t="str">
        <f t="shared" si="24"/>
        <v>Grade C - Average</v>
      </c>
    </row>
    <row r="269" spans="1:10" x14ac:dyDescent="0.25">
      <c r="A269" s="7">
        <v>267</v>
      </c>
      <c r="B269" s="7">
        <f>'Raw Data'!N270</f>
        <v>30.7</v>
      </c>
      <c r="C269" s="7">
        <f>'Raw Data'!F270</f>
        <v>7.0140000000000002</v>
      </c>
      <c r="D269" s="7">
        <f>'Raw Data'!A270</f>
        <v>0.78569999999999995</v>
      </c>
      <c r="E269" s="7" t="str">
        <f t="shared" si="20"/>
        <v>High</v>
      </c>
      <c r="F269" s="8" t="str">
        <f t="shared" si="21"/>
        <v>High</v>
      </c>
      <c r="G269" s="7" t="str">
        <f t="shared" si="22"/>
        <v>No</v>
      </c>
      <c r="H269" s="7" t="str">
        <f>IF(OR('Raw Data'!D270=1,D269&lt;0.1),"Yes - Desirable","No")</f>
        <v>No</v>
      </c>
      <c r="I269" s="7" t="str">
        <f t="shared" si="23"/>
        <v>Safe Area</v>
      </c>
      <c r="J269" s="7" t="str">
        <f t="shared" si="24"/>
        <v>Grade C - Average</v>
      </c>
    </row>
    <row r="270" spans="1:10" x14ac:dyDescent="0.25">
      <c r="A270" s="7">
        <v>268</v>
      </c>
      <c r="B270" s="7">
        <f>'Raw Data'!N271</f>
        <v>50</v>
      </c>
      <c r="C270" s="7">
        <f>'Raw Data'!F271</f>
        <v>8.2970000000000006</v>
      </c>
      <c r="D270" s="7">
        <f>'Raw Data'!A271</f>
        <v>0.57833999999999997</v>
      </c>
      <c r="E270" s="7" t="str">
        <f t="shared" si="20"/>
        <v>High</v>
      </c>
      <c r="F270" s="8" t="str">
        <f t="shared" si="21"/>
        <v>Very High</v>
      </c>
      <c r="G270" s="7" t="str">
        <f t="shared" si="22"/>
        <v>No</v>
      </c>
      <c r="H270" s="7" t="str">
        <f>IF(OR('Raw Data'!D271=1,D270&lt;0.1),"Yes - Desirable","No")</f>
        <v>No</v>
      </c>
      <c r="I270" s="7" t="str">
        <f t="shared" si="23"/>
        <v>Safe Area</v>
      </c>
      <c r="J270" s="7" t="str">
        <f t="shared" si="24"/>
        <v>Grade B - Good</v>
      </c>
    </row>
    <row r="271" spans="1:10" x14ac:dyDescent="0.25">
      <c r="A271" s="7">
        <v>269</v>
      </c>
      <c r="B271" s="7">
        <f>'Raw Data'!N272</f>
        <v>43.5</v>
      </c>
      <c r="C271" s="7">
        <f>'Raw Data'!F272</f>
        <v>7.47</v>
      </c>
      <c r="D271" s="7">
        <f>'Raw Data'!A272</f>
        <v>0.54049999999999998</v>
      </c>
      <c r="E271" s="7" t="str">
        <f t="shared" si="20"/>
        <v>High</v>
      </c>
      <c r="F271" s="8" t="str">
        <f t="shared" si="21"/>
        <v>Very High</v>
      </c>
      <c r="G271" s="7" t="str">
        <f t="shared" si="22"/>
        <v>No</v>
      </c>
      <c r="H271" s="7" t="str">
        <f>IF(OR('Raw Data'!D272=1,D271&lt;0.1),"Yes - Desirable","No")</f>
        <v>No</v>
      </c>
      <c r="I271" s="7" t="str">
        <f t="shared" si="23"/>
        <v>Safe Area</v>
      </c>
      <c r="J271" s="7" t="str">
        <f t="shared" si="24"/>
        <v>Grade B - Good</v>
      </c>
    </row>
    <row r="272" spans="1:10" x14ac:dyDescent="0.25">
      <c r="A272" s="7">
        <v>270</v>
      </c>
      <c r="B272" s="7">
        <f>'Raw Data'!N273</f>
        <v>20.7</v>
      </c>
      <c r="C272" s="7">
        <f>'Raw Data'!F273</f>
        <v>5.92</v>
      </c>
      <c r="D272" s="7">
        <f>'Raw Data'!A273</f>
        <v>9.0649999999999994E-2</v>
      </c>
      <c r="E272" s="7" t="str">
        <f t="shared" si="20"/>
        <v>Medium</v>
      </c>
      <c r="F272" s="8" t="str">
        <f t="shared" si="21"/>
        <v>Medium</v>
      </c>
      <c r="G272" s="7" t="str">
        <f t="shared" si="22"/>
        <v>No</v>
      </c>
      <c r="H272" s="7" t="str">
        <f>IF(OR('Raw Data'!D273=1,D272&lt;0.1),"Yes - Desirable","No")</f>
        <v>Yes - Desirable</v>
      </c>
      <c r="I272" s="7" t="str">
        <f t="shared" si="23"/>
        <v>Safe Area</v>
      </c>
      <c r="J272" s="7" t="str">
        <f t="shared" si="24"/>
        <v>Grade C - Average</v>
      </c>
    </row>
    <row r="273" spans="1:10" x14ac:dyDescent="0.25">
      <c r="A273" s="7">
        <v>271</v>
      </c>
      <c r="B273" s="7">
        <f>'Raw Data'!N274</f>
        <v>21.1</v>
      </c>
      <c r="C273" s="7">
        <f>'Raw Data'!F274</f>
        <v>5.8559999999999999</v>
      </c>
      <c r="D273" s="7">
        <f>'Raw Data'!A274</f>
        <v>0.29915999999999998</v>
      </c>
      <c r="E273" s="7" t="str">
        <f t="shared" si="20"/>
        <v>Medium</v>
      </c>
      <c r="F273" s="8" t="str">
        <f t="shared" si="21"/>
        <v>Medium</v>
      </c>
      <c r="G273" s="7" t="str">
        <f t="shared" si="22"/>
        <v>No</v>
      </c>
      <c r="H273" s="7" t="str">
        <f>IF(OR('Raw Data'!D274=1,D273&lt;0.1),"Yes - Desirable","No")</f>
        <v>No</v>
      </c>
      <c r="I273" s="7" t="str">
        <f t="shared" si="23"/>
        <v>Safe Area</v>
      </c>
      <c r="J273" s="7" t="str">
        <f t="shared" si="24"/>
        <v>Grade C - Average</v>
      </c>
    </row>
    <row r="274" spans="1:10" x14ac:dyDescent="0.25">
      <c r="A274" s="7">
        <v>272</v>
      </c>
      <c r="B274" s="7">
        <f>'Raw Data'!N275</f>
        <v>25.2</v>
      </c>
      <c r="C274" s="7">
        <f>'Raw Data'!F275</f>
        <v>6.24</v>
      </c>
      <c r="D274" s="7">
        <f>'Raw Data'!A275</f>
        <v>0.16211</v>
      </c>
      <c r="E274" s="7" t="str">
        <f t="shared" si="20"/>
        <v>High</v>
      </c>
      <c r="F274" s="8" t="str">
        <f t="shared" si="21"/>
        <v>Medium</v>
      </c>
      <c r="G274" s="7" t="str">
        <f t="shared" si="22"/>
        <v>No</v>
      </c>
      <c r="H274" s="7" t="str">
        <f>IF(OR('Raw Data'!D275=1,D274&lt;0.1),"Yes - Desirable","No")</f>
        <v>No</v>
      </c>
      <c r="I274" s="7" t="str">
        <f t="shared" si="23"/>
        <v>Safe Area</v>
      </c>
      <c r="J274" s="7" t="str">
        <f t="shared" si="24"/>
        <v>Grade C - Average</v>
      </c>
    </row>
    <row r="275" spans="1:10" x14ac:dyDescent="0.25">
      <c r="A275" s="7">
        <v>273</v>
      </c>
      <c r="B275" s="7">
        <f>'Raw Data'!N276</f>
        <v>24.4</v>
      </c>
      <c r="C275" s="7">
        <f>'Raw Data'!F276</f>
        <v>6.5380000000000003</v>
      </c>
      <c r="D275" s="7">
        <f>'Raw Data'!A276</f>
        <v>0.11459999999999999</v>
      </c>
      <c r="E275" s="7" t="str">
        <f t="shared" si="20"/>
        <v>Medium</v>
      </c>
      <c r="F275" s="8" t="str">
        <f t="shared" si="21"/>
        <v>Medium</v>
      </c>
      <c r="G275" s="7" t="str">
        <f t="shared" si="22"/>
        <v>No</v>
      </c>
      <c r="H275" s="7" t="str">
        <f>IF(OR('Raw Data'!D276=1,D275&lt;0.1),"Yes - Desirable","No")</f>
        <v>No</v>
      </c>
      <c r="I275" s="7" t="str">
        <f t="shared" si="23"/>
        <v>Safe Area</v>
      </c>
      <c r="J275" s="7" t="str">
        <f t="shared" si="24"/>
        <v>Grade C - Average</v>
      </c>
    </row>
    <row r="276" spans="1:10" x14ac:dyDescent="0.25">
      <c r="A276" s="7">
        <v>274</v>
      </c>
      <c r="B276" s="7">
        <f>'Raw Data'!N277</f>
        <v>35.200000000000003</v>
      </c>
      <c r="C276" s="7">
        <f>'Raw Data'!F277</f>
        <v>7.6909999999999998</v>
      </c>
      <c r="D276" s="7">
        <f>'Raw Data'!A277</f>
        <v>0.22187999999999999</v>
      </c>
      <c r="E276" s="7" t="str">
        <f t="shared" si="20"/>
        <v>High</v>
      </c>
      <c r="F276" s="8" t="str">
        <f t="shared" si="21"/>
        <v>High</v>
      </c>
      <c r="G276" s="7" t="str">
        <f t="shared" si="22"/>
        <v>No</v>
      </c>
      <c r="H276" s="7" t="str">
        <f>IF(OR('Raw Data'!D277=1,D276&lt;0.1),"Yes - Desirable","No")</f>
        <v>Yes - Desirable</v>
      </c>
      <c r="I276" s="7" t="str">
        <f t="shared" si="23"/>
        <v>Safe Area</v>
      </c>
      <c r="J276" s="7" t="str">
        <f t="shared" si="24"/>
        <v>Grade A - Premium</v>
      </c>
    </row>
    <row r="277" spans="1:10" x14ac:dyDescent="0.25">
      <c r="A277" s="7">
        <v>275</v>
      </c>
      <c r="B277" s="7">
        <f>'Raw Data'!N278</f>
        <v>32.4</v>
      </c>
      <c r="C277" s="7">
        <f>'Raw Data'!F278</f>
        <v>6.758</v>
      </c>
      <c r="D277" s="7">
        <f>'Raw Data'!A278</f>
        <v>5.6439999999999997E-2</v>
      </c>
      <c r="E277" s="7" t="str">
        <f t="shared" si="20"/>
        <v>High</v>
      </c>
      <c r="F277" s="8" t="str">
        <f t="shared" si="21"/>
        <v>High</v>
      </c>
      <c r="G277" s="7" t="str">
        <f t="shared" si="22"/>
        <v>No</v>
      </c>
      <c r="H277" s="7" t="str">
        <f>IF(OR('Raw Data'!D278=1,D277&lt;0.1),"Yes - Desirable","No")</f>
        <v>Yes - Desirable</v>
      </c>
      <c r="I277" s="7" t="str">
        <f t="shared" si="23"/>
        <v>Safe Area</v>
      </c>
      <c r="J277" s="7" t="str">
        <f t="shared" si="24"/>
        <v>Grade C - Average</v>
      </c>
    </row>
    <row r="278" spans="1:10" x14ac:dyDescent="0.25">
      <c r="A278" s="7">
        <v>276</v>
      </c>
      <c r="B278" s="7">
        <f>'Raw Data'!N279</f>
        <v>32</v>
      </c>
      <c r="C278" s="7">
        <f>'Raw Data'!F279</f>
        <v>6.8540000000000001</v>
      </c>
      <c r="D278" s="7">
        <f>'Raw Data'!A279</f>
        <v>9.604E-2</v>
      </c>
      <c r="E278" s="7" t="str">
        <f t="shared" si="20"/>
        <v>High</v>
      </c>
      <c r="F278" s="8" t="str">
        <f t="shared" si="21"/>
        <v>High</v>
      </c>
      <c r="G278" s="7" t="str">
        <f t="shared" si="22"/>
        <v>No</v>
      </c>
      <c r="H278" s="7" t="str">
        <f>IF(OR('Raw Data'!D279=1,D278&lt;0.1),"Yes - Desirable","No")</f>
        <v>Yes - Desirable</v>
      </c>
      <c r="I278" s="7" t="str">
        <f t="shared" si="23"/>
        <v>Safe Area</v>
      </c>
      <c r="J278" s="7" t="str">
        <f t="shared" si="24"/>
        <v>Grade C - Average</v>
      </c>
    </row>
    <row r="279" spans="1:10" x14ac:dyDescent="0.25">
      <c r="A279" s="7">
        <v>277</v>
      </c>
      <c r="B279" s="7">
        <f>'Raw Data'!N280</f>
        <v>33.200000000000003</v>
      </c>
      <c r="C279" s="7">
        <f>'Raw Data'!F280</f>
        <v>7.2670000000000003</v>
      </c>
      <c r="D279" s="7">
        <f>'Raw Data'!A280</f>
        <v>0.10469000000000001</v>
      </c>
      <c r="E279" s="7" t="str">
        <f t="shared" si="20"/>
        <v>High</v>
      </c>
      <c r="F279" s="8" t="str">
        <f t="shared" si="21"/>
        <v>High</v>
      </c>
      <c r="G279" s="7" t="str">
        <f t="shared" si="22"/>
        <v>No</v>
      </c>
      <c r="H279" s="7" t="str">
        <f>IF(OR('Raw Data'!D280=1,D279&lt;0.1),"Yes - Desirable","No")</f>
        <v>Yes - Desirable</v>
      </c>
      <c r="I279" s="7" t="str">
        <f t="shared" si="23"/>
        <v>Safe Area</v>
      </c>
      <c r="J279" s="7" t="str">
        <f t="shared" si="24"/>
        <v>Grade C - Average</v>
      </c>
    </row>
    <row r="280" spans="1:10" x14ac:dyDescent="0.25">
      <c r="A280" s="7">
        <v>278</v>
      </c>
      <c r="B280" s="7">
        <f>'Raw Data'!N281</f>
        <v>33.1</v>
      </c>
      <c r="C280" s="7">
        <f>'Raw Data'!F281</f>
        <v>6.8259999999999996</v>
      </c>
      <c r="D280" s="7">
        <f>'Raw Data'!A281</f>
        <v>6.1269999999999998E-2</v>
      </c>
      <c r="E280" s="7" t="str">
        <f t="shared" si="20"/>
        <v>High</v>
      </c>
      <c r="F280" s="8" t="str">
        <f t="shared" si="21"/>
        <v>High</v>
      </c>
      <c r="G280" s="7" t="str">
        <f t="shared" si="22"/>
        <v>No</v>
      </c>
      <c r="H280" s="7" t="str">
        <f>IF(OR('Raw Data'!D281=1,D280&lt;0.1),"Yes - Desirable","No")</f>
        <v>Yes - Desirable</v>
      </c>
      <c r="I280" s="7" t="str">
        <f t="shared" si="23"/>
        <v>Safe Area</v>
      </c>
      <c r="J280" s="7" t="str">
        <f t="shared" si="24"/>
        <v>Grade C - Average</v>
      </c>
    </row>
    <row r="281" spans="1:10" x14ac:dyDescent="0.25">
      <c r="A281" s="7">
        <v>279</v>
      </c>
      <c r="B281" s="7">
        <f>'Raw Data'!N282</f>
        <v>29.1</v>
      </c>
      <c r="C281" s="7">
        <f>'Raw Data'!F282</f>
        <v>6.4820000000000002</v>
      </c>
      <c r="D281" s="7">
        <f>'Raw Data'!A282</f>
        <v>7.9780000000000004E-2</v>
      </c>
      <c r="E281" s="7" t="str">
        <f t="shared" si="20"/>
        <v>High</v>
      </c>
      <c r="F281" s="8" t="str">
        <f t="shared" si="21"/>
        <v>Medium</v>
      </c>
      <c r="G281" s="7" t="str">
        <f t="shared" si="22"/>
        <v>No</v>
      </c>
      <c r="H281" s="7" t="str">
        <f>IF(OR('Raw Data'!D282=1,D281&lt;0.1),"Yes - Desirable","No")</f>
        <v>Yes - Desirable</v>
      </c>
      <c r="I281" s="7" t="str">
        <f t="shared" si="23"/>
        <v>Safe Area</v>
      </c>
      <c r="J281" s="7" t="str">
        <f t="shared" si="24"/>
        <v>Grade C - Average</v>
      </c>
    </row>
    <row r="282" spans="1:10" x14ac:dyDescent="0.25">
      <c r="A282" s="7">
        <v>280</v>
      </c>
      <c r="B282" s="7">
        <f>'Raw Data'!N283</f>
        <v>35.1</v>
      </c>
      <c r="C282" s="7">
        <f>'Raw Data'!F283</f>
        <v>6.8120000000000003</v>
      </c>
      <c r="D282" s="7">
        <f>'Raw Data'!A283</f>
        <v>0.21038000000000001</v>
      </c>
      <c r="E282" s="7" t="str">
        <f t="shared" si="20"/>
        <v>High</v>
      </c>
      <c r="F282" s="8" t="str">
        <f t="shared" si="21"/>
        <v>High</v>
      </c>
      <c r="G282" s="7" t="str">
        <f t="shared" si="22"/>
        <v>No</v>
      </c>
      <c r="H282" s="7" t="str">
        <f>IF(OR('Raw Data'!D283=1,D282&lt;0.1),"Yes - Desirable","No")</f>
        <v>No</v>
      </c>
      <c r="I282" s="7" t="str">
        <f t="shared" si="23"/>
        <v>Safe Area</v>
      </c>
      <c r="J282" s="7" t="str">
        <f t="shared" si="24"/>
        <v>Grade A - Premium</v>
      </c>
    </row>
    <row r="283" spans="1:10" x14ac:dyDescent="0.25">
      <c r="A283" s="7">
        <v>281</v>
      </c>
      <c r="B283" s="7">
        <f>'Raw Data'!N284</f>
        <v>45.4</v>
      </c>
      <c r="C283" s="7">
        <f>'Raw Data'!F284</f>
        <v>7.82</v>
      </c>
      <c r="D283" s="7">
        <f>'Raw Data'!A284</f>
        <v>3.5779999999999999E-2</v>
      </c>
      <c r="E283" s="7" t="str">
        <f t="shared" si="20"/>
        <v>High</v>
      </c>
      <c r="F283" s="8" t="str">
        <f t="shared" si="21"/>
        <v>Very High</v>
      </c>
      <c r="G283" s="7" t="str">
        <f t="shared" si="22"/>
        <v>No</v>
      </c>
      <c r="H283" s="7" t="str">
        <f>IF(OR('Raw Data'!D284=1,D283&lt;0.1),"Yes - Desirable","No")</f>
        <v>Yes - Desirable</v>
      </c>
      <c r="I283" s="7" t="str">
        <f t="shared" si="23"/>
        <v>Safe Area</v>
      </c>
      <c r="J283" s="7" t="str">
        <f t="shared" si="24"/>
        <v>Grade A - Premium</v>
      </c>
    </row>
    <row r="284" spans="1:10" x14ac:dyDescent="0.25">
      <c r="A284" s="7">
        <v>282</v>
      </c>
      <c r="B284" s="7">
        <f>'Raw Data'!N285</f>
        <v>35.4</v>
      </c>
      <c r="C284" s="7">
        <f>'Raw Data'!F285</f>
        <v>6.968</v>
      </c>
      <c r="D284" s="7">
        <f>'Raw Data'!A285</f>
        <v>3.705E-2</v>
      </c>
      <c r="E284" s="7" t="str">
        <f t="shared" si="20"/>
        <v>High</v>
      </c>
      <c r="F284" s="8" t="str">
        <f t="shared" si="21"/>
        <v>High</v>
      </c>
      <c r="G284" s="7" t="str">
        <f t="shared" si="22"/>
        <v>No</v>
      </c>
      <c r="H284" s="7" t="str">
        <f>IF(OR('Raw Data'!D285=1,D284&lt;0.1),"Yes - Desirable","No")</f>
        <v>Yes - Desirable</v>
      </c>
      <c r="I284" s="7" t="str">
        <f t="shared" si="23"/>
        <v>Safe Area</v>
      </c>
      <c r="J284" s="7" t="str">
        <f t="shared" si="24"/>
        <v>Grade A - Premium</v>
      </c>
    </row>
    <row r="285" spans="1:10" x14ac:dyDescent="0.25">
      <c r="A285" s="7">
        <v>283</v>
      </c>
      <c r="B285" s="7">
        <f>'Raw Data'!N286</f>
        <v>46</v>
      </c>
      <c r="C285" s="7">
        <f>'Raw Data'!F286</f>
        <v>7.6449999999999996</v>
      </c>
      <c r="D285" s="7">
        <f>'Raw Data'!A286</f>
        <v>6.1289999999999997E-2</v>
      </c>
      <c r="E285" s="7" t="str">
        <f t="shared" si="20"/>
        <v>High</v>
      </c>
      <c r="F285" s="8" t="str">
        <f t="shared" si="21"/>
        <v>Very High</v>
      </c>
      <c r="G285" s="7" t="str">
        <f t="shared" si="22"/>
        <v>No</v>
      </c>
      <c r="H285" s="7" t="str">
        <f>IF(OR('Raw Data'!D286=1,D285&lt;0.1),"Yes - Desirable","No")</f>
        <v>Yes - Desirable</v>
      </c>
      <c r="I285" s="7" t="str">
        <f t="shared" si="23"/>
        <v>Safe Area</v>
      </c>
      <c r="J285" s="7" t="str">
        <f t="shared" si="24"/>
        <v>Grade A - Premium</v>
      </c>
    </row>
    <row r="286" spans="1:10" x14ac:dyDescent="0.25">
      <c r="A286" s="7">
        <v>284</v>
      </c>
      <c r="B286" s="7">
        <f>'Raw Data'!N287</f>
        <v>50</v>
      </c>
      <c r="C286" s="7">
        <f>'Raw Data'!F287</f>
        <v>7.923</v>
      </c>
      <c r="D286" s="7">
        <f>'Raw Data'!A287</f>
        <v>1.5010000000000001E-2</v>
      </c>
      <c r="E286" s="7" t="str">
        <f t="shared" si="20"/>
        <v>High</v>
      </c>
      <c r="F286" s="8" t="str">
        <f t="shared" si="21"/>
        <v>Very High</v>
      </c>
      <c r="G286" s="7" t="str">
        <f t="shared" si="22"/>
        <v>No</v>
      </c>
      <c r="H286" s="7" t="str">
        <f>IF(OR('Raw Data'!D287=1,D286&lt;0.1),"Yes - Desirable","No")</f>
        <v>Yes - Desirable</v>
      </c>
      <c r="I286" s="7" t="str">
        <f t="shared" si="23"/>
        <v>Safe Area</v>
      </c>
      <c r="J286" s="7" t="str">
        <f t="shared" si="24"/>
        <v>Grade A - Premium</v>
      </c>
    </row>
    <row r="287" spans="1:10" x14ac:dyDescent="0.25">
      <c r="A287" s="7">
        <v>285</v>
      </c>
      <c r="B287" s="7">
        <f>'Raw Data'!N288</f>
        <v>32.200000000000003</v>
      </c>
      <c r="C287" s="7">
        <f>'Raw Data'!F288</f>
        <v>7.0880000000000001</v>
      </c>
      <c r="D287" s="7">
        <f>'Raw Data'!A288</f>
        <v>9.0600000000000003E-3</v>
      </c>
      <c r="E287" s="7" t="str">
        <f t="shared" si="20"/>
        <v>High</v>
      </c>
      <c r="F287" s="8" t="str">
        <f t="shared" si="21"/>
        <v>High</v>
      </c>
      <c r="G287" s="7" t="str">
        <f t="shared" si="22"/>
        <v>No</v>
      </c>
      <c r="H287" s="7" t="str">
        <f>IF(OR('Raw Data'!D288=1,D287&lt;0.1),"Yes - Desirable","No")</f>
        <v>Yes - Desirable</v>
      </c>
      <c r="I287" s="7" t="str">
        <f t="shared" si="23"/>
        <v>Safe Area</v>
      </c>
      <c r="J287" s="7" t="str">
        <f t="shared" si="24"/>
        <v>Grade C - Average</v>
      </c>
    </row>
    <row r="288" spans="1:10" x14ac:dyDescent="0.25">
      <c r="A288" s="7">
        <v>286</v>
      </c>
      <c r="B288" s="7">
        <f>'Raw Data'!N289</f>
        <v>22</v>
      </c>
      <c r="C288" s="7">
        <f>'Raw Data'!F289</f>
        <v>6.4530000000000003</v>
      </c>
      <c r="D288" s="7">
        <f>'Raw Data'!A289</f>
        <v>1.0959999999999999E-2</v>
      </c>
      <c r="E288" s="7" t="str">
        <f t="shared" si="20"/>
        <v>Medium</v>
      </c>
      <c r="F288" s="8" t="str">
        <f t="shared" si="21"/>
        <v>Medium</v>
      </c>
      <c r="G288" s="7" t="str">
        <f t="shared" si="22"/>
        <v>Yes - Affordable &amp; Spacious</v>
      </c>
      <c r="H288" s="7" t="str">
        <f>IF(OR('Raw Data'!D289=1,D288&lt;0.1),"Yes - Desirable","No")</f>
        <v>Yes - Desirable</v>
      </c>
      <c r="I288" s="7" t="str">
        <f t="shared" si="23"/>
        <v>Safe Area</v>
      </c>
      <c r="J288" s="7" t="str">
        <f t="shared" si="24"/>
        <v>Grade C - Average</v>
      </c>
    </row>
    <row r="289" spans="1:10" x14ac:dyDescent="0.25">
      <c r="A289" s="7">
        <v>287</v>
      </c>
      <c r="B289" s="7">
        <f>'Raw Data'!N290</f>
        <v>20.100000000000001</v>
      </c>
      <c r="C289" s="7">
        <f>'Raw Data'!F290</f>
        <v>6.23</v>
      </c>
      <c r="D289" s="7">
        <f>'Raw Data'!A290</f>
        <v>1.9650000000000001E-2</v>
      </c>
      <c r="E289" s="7" t="str">
        <f t="shared" si="20"/>
        <v>Medium</v>
      </c>
      <c r="F289" s="8" t="str">
        <f t="shared" si="21"/>
        <v>Medium</v>
      </c>
      <c r="G289" s="7" t="str">
        <f t="shared" si="22"/>
        <v>Yes - Affordable &amp; Spacious</v>
      </c>
      <c r="H289" s="7" t="str">
        <f>IF(OR('Raw Data'!D290=1,D289&lt;0.1),"Yes - Desirable","No")</f>
        <v>Yes - Desirable</v>
      </c>
      <c r="I289" s="7" t="str">
        <f t="shared" si="23"/>
        <v>Safe Area</v>
      </c>
      <c r="J289" s="7" t="str">
        <f t="shared" si="24"/>
        <v>Grade C - Average</v>
      </c>
    </row>
    <row r="290" spans="1:10" x14ac:dyDescent="0.25">
      <c r="A290" s="7">
        <v>288</v>
      </c>
      <c r="B290" s="7">
        <f>'Raw Data'!N291</f>
        <v>23.2</v>
      </c>
      <c r="C290" s="7">
        <f>'Raw Data'!F291</f>
        <v>6.2089999999999996</v>
      </c>
      <c r="D290" s="7">
        <f>'Raw Data'!A291</f>
        <v>3.8710000000000001E-2</v>
      </c>
      <c r="E290" s="7" t="str">
        <f t="shared" si="20"/>
        <v>Medium</v>
      </c>
      <c r="F290" s="8" t="str">
        <f t="shared" si="21"/>
        <v>Medium</v>
      </c>
      <c r="G290" s="7" t="str">
        <f t="shared" si="22"/>
        <v>No</v>
      </c>
      <c r="H290" s="7" t="str">
        <f>IF(OR('Raw Data'!D291=1,D290&lt;0.1),"Yes - Desirable","No")</f>
        <v>Yes - Desirable</v>
      </c>
      <c r="I290" s="7" t="str">
        <f t="shared" si="23"/>
        <v>Safe Area</v>
      </c>
      <c r="J290" s="7" t="str">
        <f t="shared" si="24"/>
        <v>Grade C - Average</v>
      </c>
    </row>
    <row r="291" spans="1:10" x14ac:dyDescent="0.25">
      <c r="A291" s="7">
        <v>289</v>
      </c>
      <c r="B291" s="7">
        <f>'Raw Data'!N292</f>
        <v>22.3</v>
      </c>
      <c r="C291" s="7">
        <f>'Raw Data'!F292</f>
        <v>6.3150000000000004</v>
      </c>
      <c r="D291" s="7">
        <f>'Raw Data'!A292</f>
        <v>4.5900000000000003E-2</v>
      </c>
      <c r="E291" s="7" t="str">
        <f t="shared" si="20"/>
        <v>Medium</v>
      </c>
      <c r="F291" s="8" t="str">
        <f t="shared" si="21"/>
        <v>Medium</v>
      </c>
      <c r="G291" s="7" t="str">
        <f t="shared" si="22"/>
        <v>No</v>
      </c>
      <c r="H291" s="7" t="str">
        <f>IF(OR('Raw Data'!D292=1,D291&lt;0.1),"Yes - Desirable","No")</f>
        <v>Yes - Desirable</v>
      </c>
      <c r="I291" s="7" t="str">
        <f t="shared" si="23"/>
        <v>Safe Area</v>
      </c>
      <c r="J291" s="7" t="str">
        <f t="shared" si="24"/>
        <v>Grade C - Average</v>
      </c>
    </row>
    <row r="292" spans="1:10" x14ac:dyDescent="0.25">
      <c r="A292" s="7">
        <v>290</v>
      </c>
      <c r="B292" s="7">
        <f>'Raw Data'!N293</f>
        <v>24.8</v>
      </c>
      <c r="C292" s="7">
        <f>'Raw Data'!F293</f>
        <v>6.5650000000000004</v>
      </c>
      <c r="D292" s="7">
        <f>'Raw Data'!A293</f>
        <v>4.2970000000000001E-2</v>
      </c>
      <c r="E292" s="7" t="str">
        <f t="shared" si="20"/>
        <v>Medium</v>
      </c>
      <c r="F292" s="8" t="str">
        <f t="shared" si="21"/>
        <v>Medium</v>
      </c>
      <c r="G292" s="7" t="str">
        <f t="shared" si="22"/>
        <v>No</v>
      </c>
      <c r="H292" s="7" t="str">
        <f>IF(OR('Raw Data'!D293=1,D292&lt;0.1),"Yes - Desirable","No")</f>
        <v>Yes - Desirable</v>
      </c>
      <c r="I292" s="7" t="str">
        <f t="shared" si="23"/>
        <v>Safe Area</v>
      </c>
      <c r="J292" s="7" t="str">
        <f t="shared" si="24"/>
        <v>Grade C - Average</v>
      </c>
    </row>
    <row r="293" spans="1:10" x14ac:dyDescent="0.25">
      <c r="A293" s="7">
        <v>291</v>
      </c>
      <c r="B293" s="7">
        <f>'Raw Data'!N294</f>
        <v>28.5</v>
      </c>
      <c r="C293" s="7">
        <f>'Raw Data'!F294</f>
        <v>6.8609999999999998</v>
      </c>
      <c r="D293" s="7">
        <f>'Raw Data'!A294</f>
        <v>3.5020000000000003E-2</v>
      </c>
      <c r="E293" s="7" t="str">
        <f t="shared" si="20"/>
        <v>High</v>
      </c>
      <c r="F293" s="8" t="str">
        <f t="shared" si="21"/>
        <v>Medium</v>
      </c>
      <c r="G293" s="7" t="str">
        <f t="shared" si="22"/>
        <v>No</v>
      </c>
      <c r="H293" s="7" t="str">
        <f>IF(OR('Raw Data'!D294=1,D293&lt;0.1),"Yes - Desirable","No")</f>
        <v>Yes - Desirable</v>
      </c>
      <c r="I293" s="7" t="str">
        <f t="shared" si="23"/>
        <v>Safe Area</v>
      </c>
      <c r="J293" s="7" t="str">
        <f t="shared" si="24"/>
        <v>Grade C - Average</v>
      </c>
    </row>
    <row r="294" spans="1:10" x14ac:dyDescent="0.25">
      <c r="A294" s="7">
        <v>292</v>
      </c>
      <c r="B294" s="7">
        <f>'Raw Data'!N295</f>
        <v>37.299999999999997</v>
      </c>
      <c r="C294" s="7">
        <f>'Raw Data'!F295</f>
        <v>7.1479999999999997</v>
      </c>
      <c r="D294" s="7">
        <f>'Raw Data'!A295</f>
        <v>7.886E-2</v>
      </c>
      <c r="E294" s="7" t="str">
        <f t="shared" si="20"/>
        <v>High</v>
      </c>
      <c r="F294" s="8" t="str">
        <f t="shared" si="21"/>
        <v>High</v>
      </c>
      <c r="G294" s="7" t="str">
        <f t="shared" si="22"/>
        <v>No</v>
      </c>
      <c r="H294" s="7" t="str">
        <f>IF(OR('Raw Data'!D295=1,D294&lt;0.1),"Yes - Desirable","No")</f>
        <v>Yes - Desirable</v>
      </c>
      <c r="I294" s="7" t="str">
        <f t="shared" si="23"/>
        <v>Safe Area</v>
      </c>
      <c r="J294" s="7" t="str">
        <f t="shared" si="24"/>
        <v>Grade A - Premium</v>
      </c>
    </row>
    <row r="295" spans="1:10" x14ac:dyDescent="0.25">
      <c r="A295" s="7">
        <v>293</v>
      </c>
      <c r="B295" s="7">
        <f>'Raw Data'!N296</f>
        <v>27.9</v>
      </c>
      <c r="C295" s="7">
        <f>'Raw Data'!F296</f>
        <v>6.63</v>
      </c>
      <c r="D295" s="7">
        <f>'Raw Data'!A296</f>
        <v>3.6150000000000002E-2</v>
      </c>
      <c r="E295" s="7" t="str">
        <f t="shared" si="20"/>
        <v>High</v>
      </c>
      <c r="F295" s="8" t="str">
        <f t="shared" si="21"/>
        <v>Medium</v>
      </c>
      <c r="G295" s="7" t="str">
        <f t="shared" si="22"/>
        <v>No</v>
      </c>
      <c r="H295" s="7" t="str">
        <f>IF(OR('Raw Data'!D296=1,D295&lt;0.1),"Yes - Desirable","No")</f>
        <v>Yes - Desirable</v>
      </c>
      <c r="I295" s="7" t="str">
        <f t="shared" si="23"/>
        <v>Safe Area</v>
      </c>
      <c r="J295" s="7" t="str">
        <f t="shared" si="24"/>
        <v>Grade C - Average</v>
      </c>
    </row>
    <row r="296" spans="1:10" x14ac:dyDescent="0.25">
      <c r="A296" s="7">
        <v>294</v>
      </c>
      <c r="B296" s="7">
        <f>'Raw Data'!N297</f>
        <v>23.9</v>
      </c>
      <c r="C296" s="7">
        <f>'Raw Data'!F297</f>
        <v>6.1269999999999998</v>
      </c>
      <c r="D296" s="7">
        <f>'Raw Data'!A297</f>
        <v>8.2650000000000001E-2</v>
      </c>
      <c r="E296" s="7" t="str">
        <f t="shared" si="20"/>
        <v>Medium</v>
      </c>
      <c r="F296" s="8" t="str">
        <f t="shared" si="21"/>
        <v>Medium</v>
      </c>
      <c r="G296" s="7" t="str">
        <f t="shared" si="22"/>
        <v>No</v>
      </c>
      <c r="H296" s="7" t="str">
        <f>IF(OR('Raw Data'!D297=1,D296&lt;0.1),"Yes - Desirable","No")</f>
        <v>Yes - Desirable</v>
      </c>
      <c r="I296" s="7" t="str">
        <f t="shared" si="23"/>
        <v>Safe Area</v>
      </c>
      <c r="J296" s="7" t="str">
        <f t="shared" si="24"/>
        <v>Grade C - Average</v>
      </c>
    </row>
    <row r="297" spans="1:10" x14ac:dyDescent="0.25">
      <c r="A297" s="7">
        <v>295</v>
      </c>
      <c r="B297" s="7">
        <f>'Raw Data'!N298</f>
        <v>21.7</v>
      </c>
      <c r="C297" s="7">
        <f>'Raw Data'!F298</f>
        <v>6.0090000000000003</v>
      </c>
      <c r="D297" s="7">
        <f>'Raw Data'!A298</f>
        <v>8.1989999999999993E-2</v>
      </c>
      <c r="E297" s="7" t="str">
        <f t="shared" si="20"/>
        <v>Medium</v>
      </c>
      <c r="F297" s="8" t="str">
        <f t="shared" si="21"/>
        <v>Medium</v>
      </c>
      <c r="G297" s="7" t="str">
        <f t="shared" si="22"/>
        <v>Yes - Affordable &amp; Spacious</v>
      </c>
      <c r="H297" s="7" t="str">
        <f>IF(OR('Raw Data'!D298=1,D297&lt;0.1),"Yes - Desirable","No")</f>
        <v>Yes - Desirable</v>
      </c>
      <c r="I297" s="7" t="str">
        <f t="shared" si="23"/>
        <v>Safe Area</v>
      </c>
      <c r="J297" s="7" t="str">
        <f t="shared" si="24"/>
        <v>Grade C - Average</v>
      </c>
    </row>
    <row r="298" spans="1:10" x14ac:dyDescent="0.25">
      <c r="A298" s="7">
        <v>296</v>
      </c>
      <c r="B298" s="7">
        <f>'Raw Data'!N299</f>
        <v>28.6</v>
      </c>
      <c r="C298" s="7">
        <f>'Raw Data'!F299</f>
        <v>6.6779999999999999</v>
      </c>
      <c r="D298" s="7">
        <f>'Raw Data'!A299</f>
        <v>0.12931999999999999</v>
      </c>
      <c r="E298" s="7" t="str">
        <f t="shared" si="20"/>
        <v>High</v>
      </c>
      <c r="F298" s="8" t="str">
        <f t="shared" si="21"/>
        <v>Medium</v>
      </c>
      <c r="G298" s="7" t="str">
        <f t="shared" si="22"/>
        <v>No</v>
      </c>
      <c r="H298" s="7" t="str">
        <f>IF(OR('Raw Data'!D299=1,D298&lt;0.1),"Yes - Desirable","No")</f>
        <v>No</v>
      </c>
      <c r="I298" s="7" t="str">
        <f t="shared" si="23"/>
        <v>Safe Area</v>
      </c>
      <c r="J298" s="7" t="str">
        <f t="shared" si="24"/>
        <v>Grade C - Average</v>
      </c>
    </row>
    <row r="299" spans="1:10" x14ac:dyDescent="0.25">
      <c r="A299" s="7">
        <v>297</v>
      </c>
      <c r="B299" s="7">
        <f>'Raw Data'!N300</f>
        <v>27.1</v>
      </c>
      <c r="C299" s="7">
        <f>'Raw Data'!F300</f>
        <v>6.5490000000000004</v>
      </c>
      <c r="D299" s="7">
        <f>'Raw Data'!A300</f>
        <v>5.3719999999999997E-2</v>
      </c>
      <c r="E299" s="7" t="str">
        <f t="shared" si="20"/>
        <v>High</v>
      </c>
      <c r="F299" s="8" t="str">
        <f t="shared" si="21"/>
        <v>Medium</v>
      </c>
      <c r="G299" s="7" t="str">
        <f t="shared" si="22"/>
        <v>No</v>
      </c>
      <c r="H299" s="7" t="str">
        <f>IF(OR('Raw Data'!D300=1,D299&lt;0.1),"Yes - Desirable","No")</f>
        <v>Yes - Desirable</v>
      </c>
      <c r="I299" s="7" t="str">
        <f t="shared" si="23"/>
        <v>Safe Area</v>
      </c>
      <c r="J299" s="7" t="str">
        <f t="shared" si="24"/>
        <v>Grade C - Average</v>
      </c>
    </row>
    <row r="300" spans="1:10" x14ac:dyDescent="0.25">
      <c r="A300" s="7">
        <v>298</v>
      </c>
      <c r="B300" s="7">
        <f>'Raw Data'!N301</f>
        <v>20.3</v>
      </c>
      <c r="C300" s="7">
        <f>'Raw Data'!F301</f>
        <v>5.79</v>
      </c>
      <c r="D300" s="7">
        <f>'Raw Data'!A301</f>
        <v>0.14102999999999999</v>
      </c>
      <c r="E300" s="7" t="str">
        <f t="shared" si="20"/>
        <v>Medium</v>
      </c>
      <c r="F300" s="8" t="str">
        <f t="shared" si="21"/>
        <v>Medium</v>
      </c>
      <c r="G300" s="7" t="str">
        <f t="shared" si="22"/>
        <v>No</v>
      </c>
      <c r="H300" s="7" t="str">
        <f>IF(OR('Raw Data'!D301=1,D300&lt;0.1),"Yes - Desirable","No")</f>
        <v>No</v>
      </c>
      <c r="I300" s="7" t="str">
        <f t="shared" si="23"/>
        <v>Safe Area</v>
      </c>
      <c r="J300" s="7" t="str">
        <f t="shared" si="24"/>
        <v>Grade C - Average</v>
      </c>
    </row>
    <row r="301" spans="1:10" x14ac:dyDescent="0.25">
      <c r="A301" s="7">
        <v>299</v>
      </c>
      <c r="B301" s="7">
        <f>'Raw Data'!N302</f>
        <v>22.5</v>
      </c>
      <c r="C301" s="7">
        <f>'Raw Data'!F302</f>
        <v>6.3449999999999998</v>
      </c>
      <c r="D301" s="7">
        <f>'Raw Data'!A302</f>
        <v>6.4659999999999995E-2</v>
      </c>
      <c r="E301" s="7" t="str">
        <f t="shared" si="20"/>
        <v>Medium</v>
      </c>
      <c r="F301" s="8" t="str">
        <f t="shared" si="21"/>
        <v>Medium</v>
      </c>
      <c r="G301" s="7" t="str">
        <f t="shared" si="22"/>
        <v>No</v>
      </c>
      <c r="H301" s="7" t="str">
        <f>IF(OR('Raw Data'!D302=1,D301&lt;0.1),"Yes - Desirable","No")</f>
        <v>Yes - Desirable</v>
      </c>
      <c r="I301" s="7" t="str">
        <f t="shared" si="23"/>
        <v>Safe Area</v>
      </c>
      <c r="J301" s="7" t="str">
        <f t="shared" si="24"/>
        <v>Grade C - Average</v>
      </c>
    </row>
    <row r="302" spans="1:10" x14ac:dyDescent="0.25">
      <c r="A302" s="7">
        <v>300</v>
      </c>
      <c r="B302" s="7">
        <f>'Raw Data'!N303</f>
        <v>29</v>
      </c>
      <c r="C302" s="7">
        <f>'Raw Data'!F303</f>
        <v>7.0410000000000004</v>
      </c>
      <c r="D302" s="7">
        <f>'Raw Data'!A303</f>
        <v>5.561E-2</v>
      </c>
      <c r="E302" s="7" t="str">
        <f t="shared" si="20"/>
        <v>High</v>
      </c>
      <c r="F302" s="8" t="str">
        <f t="shared" si="21"/>
        <v>Medium</v>
      </c>
      <c r="G302" s="7" t="str">
        <f t="shared" si="22"/>
        <v>No</v>
      </c>
      <c r="H302" s="7" t="str">
        <f>IF(OR('Raw Data'!D303=1,D302&lt;0.1),"Yes - Desirable","No")</f>
        <v>Yes - Desirable</v>
      </c>
      <c r="I302" s="7" t="str">
        <f t="shared" si="23"/>
        <v>Safe Area</v>
      </c>
      <c r="J302" s="7" t="str">
        <f t="shared" si="24"/>
        <v>Grade C - Average</v>
      </c>
    </row>
    <row r="303" spans="1:10" x14ac:dyDescent="0.25">
      <c r="A303" s="7">
        <v>301</v>
      </c>
      <c r="B303" s="7">
        <f>'Raw Data'!N304</f>
        <v>24.8</v>
      </c>
      <c r="C303" s="7">
        <f>'Raw Data'!F304</f>
        <v>6.8710000000000004</v>
      </c>
      <c r="D303" s="7">
        <f>'Raw Data'!A304</f>
        <v>4.4170000000000001E-2</v>
      </c>
      <c r="E303" s="7" t="str">
        <f t="shared" si="20"/>
        <v>Medium</v>
      </c>
      <c r="F303" s="8" t="str">
        <f t="shared" si="21"/>
        <v>Medium</v>
      </c>
      <c r="G303" s="7" t="str">
        <f t="shared" si="22"/>
        <v>No</v>
      </c>
      <c r="H303" s="7" t="str">
        <f>IF(OR('Raw Data'!D304=1,D303&lt;0.1),"Yes - Desirable","No")</f>
        <v>Yes - Desirable</v>
      </c>
      <c r="I303" s="7" t="str">
        <f t="shared" si="23"/>
        <v>Safe Area</v>
      </c>
      <c r="J303" s="7" t="str">
        <f t="shared" si="24"/>
        <v>Grade C - Average</v>
      </c>
    </row>
    <row r="304" spans="1:10" x14ac:dyDescent="0.25">
      <c r="A304" s="7">
        <v>302</v>
      </c>
      <c r="B304" s="7">
        <f>'Raw Data'!N305</f>
        <v>22</v>
      </c>
      <c r="C304" s="7">
        <f>'Raw Data'!F305</f>
        <v>6.59</v>
      </c>
      <c r="D304" s="7">
        <f>'Raw Data'!A305</f>
        <v>3.5369999999999999E-2</v>
      </c>
      <c r="E304" s="7" t="str">
        <f t="shared" si="20"/>
        <v>Medium</v>
      </c>
      <c r="F304" s="8" t="str">
        <f t="shared" si="21"/>
        <v>Medium</v>
      </c>
      <c r="G304" s="7" t="str">
        <f t="shared" si="22"/>
        <v>Yes - Affordable &amp; Spacious</v>
      </c>
      <c r="H304" s="7" t="str">
        <f>IF(OR('Raw Data'!D305=1,D304&lt;0.1),"Yes - Desirable","No")</f>
        <v>Yes - Desirable</v>
      </c>
      <c r="I304" s="7" t="str">
        <f t="shared" si="23"/>
        <v>Safe Area</v>
      </c>
      <c r="J304" s="7" t="str">
        <f t="shared" si="24"/>
        <v>Grade C - Average</v>
      </c>
    </row>
    <row r="305" spans="1:10" x14ac:dyDescent="0.25">
      <c r="A305" s="7">
        <v>303</v>
      </c>
      <c r="B305" s="7">
        <f>'Raw Data'!N306</f>
        <v>26.4</v>
      </c>
      <c r="C305" s="7">
        <f>'Raw Data'!F306</f>
        <v>6.4950000000000001</v>
      </c>
      <c r="D305" s="7">
        <f>'Raw Data'!A306</f>
        <v>9.2660000000000006E-2</v>
      </c>
      <c r="E305" s="7" t="str">
        <f t="shared" si="20"/>
        <v>High</v>
      </c>
      <c r="F305" s="8" t="str">
        <f t="shared" si="21"/>
        <v>Medium</v>
      </c>
      <c r="G305" s="7" t="str">
        <f t="shared" si="22"/>
        <v>No</v>
      </c>
      <c r="H305" s="7" t="str">
        <f>IF(OR('Raw Data'!D306=1,D305&lt;0.1),"Yes - Desirable","No")</f>
        <v>Yes - Desirable</v>
      </c>
      <c r="I305" s="7" t="str">
        <f t="shared" si="23"/>
        <v>Safe Area</v>
      </c>
      <c r="J305" s="7" t="str">
        <f t="shared" si="24"/>
        <v>Grade C - Average</v>
      </c>
    </row>
    <row r="306" spans="1:10" x14ac:dyDescent="0.25">
      <c r="A306" s="7">
        <v>304</v>
      </c>
      <c r="B306" s="7">
        <f>'Raw Data'!N307</f>
        <v>33.1</v>
      </c>
      <c r="C306" s="7">
        <f>'Raw Data'!F307</f>
        <v>6.9820000000000002</v>
      </c>
      <c r="D306" s="7">
        <f>'Raw Data'!A307</f>
        <v>0.1</v>
      </c>
      <c r="E306" s="7" t="str">
        <f t="shared" si="20"/>
        <v>High</v>
      </c>
      <c r="F306" s="8" t="str">
        <f t="shared" si="21"/>
        <v>High</v>
      </c>
      <c r="G306" s="7" t="str">
        <f t="shared" si="22"/>
        <v>No</v>
      </c>
      <c r="H306" s="7" t="str">
        <f>IF(OR('Raw Data'!D307=1,D306&lt;0.1),"Yes - Desirable","No")</f>
        <v>No</v>
      </c>
      <c r="I306" s="7" t="str">
        <f t="shared" si="23"/>
        <v>Safe Area</v>
      </c>
      <c r="J306" s="7" t="str">
        <f t="shared" si="24"/>
        <v>Grade C - Average</v>
      </c>
    </row>
    <row r="307" spans="1:10" x14ac:dyDescent="0.25">
      <c r="A307" s="7">
        <v>305</v>
      </c>
      <c r="B307" s="7">
        <f>'Raw Data'!N308</f>
        <v>36.1</v>
      </c>
      <c r="C307" s="7">
        <f>'Raw Data'!F308</f>
        <v>7.2359999999999998</v>
      </c>
      <c r="D307" s="7">
        <f>'Raw Data'!A308</f>
        <v>5.5149999999999998E-2</v>
      </c>
      <c r="E307" s="7" t="str">
        <f t="shared" si="20"/>
        <v>High</v>
      </c>
      <c r="F307" s="8" t="str">
        <f t="shared" si="21"/>
        <v>High</v>
      </c>
      <c r="G307" s="7" t="str">
        <f t="shared" si="22"/>
        <v>No</v>
      </c>
      <c r="H307" s="7" t="str">
        <f>IF(OR('Raw Data'!D308=1,D307&lt;0.1),"Yes - Desirable","No")</f>
        <v>Yes - Desirable</v>
      </c>
      <c r="I307" s="7" t="str">
        <f t="shared" si="23"/>
        <v>Safe Area</v>
      </c>
      <c r="J307" s="7" t="str">
        <f t="shared" si="24"/>
        <v>Grade A - Premium</v>
      </c>
    </row>
    <row r="308" spans="1:10" x14ac:dyDescent="0.25">
      <c r="A308" s="7">
        <v>306</v>
      </c>
      <c r="B308" s="7">
        <f>'Raw Data'!N309</f>
        <v>28.4</v>
      </c>
      <c r="C308" s="7">
        <f>'Raw Data'!F309</f>
        <v>6.6159999999999997</v>
      </c>
      <c r="D308" s="7">
        <f>'Raw Data'!A309</f>
        <v>5.4789999999999998E-2</v>
      </c>
      <c r="E308" s="7" t="str">
        <f t="shared" si="20"/>
        <v>High</v>
      </c>
      <c r="F308" s="8" t="str">
        <f t="shared" si="21"/>
        <v>Medium</v>
      </c>
      <c r="G308" s="7" t="str">
        <f t="shared" si="22"/>
        <v>No</v>
      </c>
      <c r="H308" s="7" t="str">
        <f>IF(OR('Raw Data'!D309=1,D308&lt;0.1),"Yes - Desirable","No")</f>
        <v>Yes - Desirable</v>
      </c>
      <c r="I308" s="7" t="str">
        <f t="shared" si="23"/>
        <v>Safe Area</v>
      </c>
      <c r="J308" s="7" t="str">
        <f t="shared" si="24"/>
        <v>Grade C - Average</v>
      </c>
    </row>
    <row r="309" spans="1:10" x14ac:dyDescent="0.25">
      <c r="A309" s="7">
        <v>307</v>
      </c>
      <c r="B309" s="7">
        <f>'Raw Data'!N310</f>
        <v>33.4</v>
      </c>
      <c r="C309" s="7">
        <f>'Raw Data'!F310</f>
        <v>7.42</v>
      </c>
      <c r="D309" s="7">
        <f>'Raw Data'!A310</f>
        <v>7.5029999999999999E-2</v>
      </c>
      <c r="E309" s="7" t="str">
        <f t="shared" si="20"/>
        <v>High</v>
      </c>
      <c r="F309" s="8" t="str">
        <f t="shared" si="21"/>
        <v>High</v>
      </c>
      <c r="G309" s="7" t="str">
        <f t="shared" si="22"/>
        <v>No</v>
      </c>
      <c r="H309" s="7" t="str">
        <f>IF(OR('Raw Data'!D310=1,D309&lt;0.1),"Yes - Desirable","No")</f>
        <v>Yes - Desirable</v>
      </c>
      <c r="I309" s="7" t="str">
        <f t="shared" si="23"/>
        <v>Safe Area</v>
      </c>
      <c r="J309" s="7" t="str">
        <f t="shared" si="24"/>
        <v>Grade C - Average</v>
      </c>
    </row>
    <row r="310" spans="1:10" x14ac:dyDescent="0.25">
      <c r="A310" s="7">
        <v>308</v>
      </c>
      <c r="B310" s="7">
        <f>'Raw Data'!N311</f>
        <v>28.2</v>
      </c>
      <c r="C310" s="7">
        <f>'Raw Data'!F311</f>
        <v>6.8490000000000002</v>
      </c>
      <c r="D310" s="7">
        <f>'Raw Data'!A311</f>
        <v>4.9320000000000003E-2</v>
      </c>
      <c r="E310" s="7" t="str">
        <f t="shared" si="20"/>
        <v>High</v>
      </c>
      <c r="F310" s="8" t="str">
        <f t="shared" si="21"/>
        <v>Medium</v>
      </c>
      <c r="G310" s="7" t="str">
        <f t="shared" si="22"/>
        <v>No</v>
      </c>
      <c r="H310" s="7" t="str">
        <f>IF(OR('Raw Data'!D311=1,D310&lt;0.1),"Yes - Desirable","No")</f>
        <v>Yes - Desirable</v>
      </c>
      <c r="I310" s="7" t="str">
        <f t="shared" si="23"/>
        <v>Safe Area</v>
      </c>
      <c r="J310" s="7" t="str">
        <f t="shared" si="24"/>
        <v>Grade C - Average</v>
      </c>
    </row>
    <row r="311" spans="1:10" x14ac:dyDescent="0.25">
      <c r="A311" s="7">
        <v>309</v>
      </c>
      <c r="B311" s="7">
        <f>'Raw Data'!N312</f>
        <v>22.8</v>
      </c>
      <c r="C311" s="7">
        <f>'Raw Data'!F312</f>
        <v>6.6349999999999998</v>
      </c>
      <c r="D311" s="7">
        <f>'Raw Data'!A312</f>
        <v>0.49297999999999997</v>
      </c>
      <c r="E311" s="7" t="str">
        <f t="shared" si="20"/>
        <v>Medium</v>
      </c>
      <c r="F311" s="8" t="str">
        <f t="shared" si="21"/>
        <v>Medium</v>
      </c>
      <c r="G311" s="7" t="str">
        <f t="shared" si="22"/>
        <v>No</v>
      </c>
      <c r="H311" s="7" t="str">
        <f>IF(OR('Raw Data'!D312=1,D311&lt;0.1),"Yes - Desirable","No")</f>
        <v>No</v>
      </c>
      <c r="I311" s="7" t="str">
        <f t="shared" si="23"/>
        <v>Safe Area</v>
      </c>
      <c r="J311" s="7" t="str">
        <f t="shared" si="24"/>
        <v>Grade C - Average</v>
      </c>
    </row>
    <row r="312" spans="1:10" x14ac:dyDescent="0.25">
      <c r="A312" s="7">
        <v>310</v>
      </c>
      <c r="B312" s="7">
        <f>'Raw Data'!N313</f>
        <v>20.3</v>
      </c>
      <c r="C312" s="7">
        <f>'Raw Data'!F313</f>
        <v>5.9720000000000004</v>
      </c>
      <c r="D312" s="7">
        <f>'Raw Data'!A313</f>
        <v>0.34939999999999999</v>
      </c>
      <c r="E312" s="7" t="str">
        <f t="shared" si="20"/>
        <v>Medium</v>
      </c>
      <c r="F312" s="8" t="str">
        <f t="shared" si="21"/>
        <v>Medium</v>
      </c>
      <c r="G312" s="7" t="str">
        <f t="shared" si="22"/>
        <v>No</v>
      </c>
      <c r="H312" s="7" t="str">
        <f>IF(OR('Raw Data'!D313=1,D312&lt;0.1),"Yes - Desirable","No")</f>
        <v>No</v>
      </c>
      <c r="I312" s="7" t="str">
        <f t="shared" si="23"/>
        <v>Safe Area</v>
      </c>
      <c r="J312" s="7" t="str">
        <f t="shared" si="24"/>
        <v>Grade C - Average</v>
      </c>
    </row>
    <row r="313" spans="1:10" x14ac:dyDescent="0.25">
      <c r="A313" s="7">
        <v>311</v>
      </c>
      <c r="B313" s="7">
        <f>'Raw Data'!N314</f>
        <v>16.100000000000001</v>
      </c>
      <c r="C313" s="7">
        <f>'Raw Data'!F314</f>
        <v>4.9729999999999999</v>
      </c>
      <c r="D313" s="7">
        <f>'Raw Data'!A314</f>
        <v>2.6354799999999998</v>
      </c>
      <c r="E313" s="7" t="str">
        <f t="shared" si="20"/>
        <v>Medium</v>
      </c>
      <c r="F313" s="8" t="str">
        <f t="shared" si="21"/>
        <v>Low</v>
      </c>
      <c r="G313" s="7" t="str">
        <f t="shared" si="22"/>
        <v>No</v>
      </c>
      <c r="H313" s="7" t="str">
        <f>IF(OR('Raw Data'!D314=1,D313&lt;0.1),"Yes - Desirable","No")</f>
        <v>No</v>
      </c>
      <c r="I313" s="7" t="str">
        <f t="shared" si="23"/>
        <v>High Crime</v>
      </c>
      <c r="J313" s="7" t="str">
        <f t="shared" si="24"/>
        <v>Grade D - Low Value</v>
      </c>
    </row>
    <row r="314" spans="1:10" x14ac:dyDescent="0.25">
      <c r="A314" s="7">
        <v>312</v>
      </c>
      <c r="B314" s="7">
        <f>'Raw Data'!N315</f>
        <v>22.1</v>
      </c>
      <c r="C314" s="7">
        <f>'Raw Data'!F315</f>
        <v>6.1219999999999999</v>
      </c>
      <c r="D314" s="7">
        <f>'Raw Data'!A315</f>
        <v>0.79040999999999995</v>
      </c>
      <c r="E314" s="7" t="str">
        <f t="shared" si="20"/>
        <v>Medium</v>
      </c>
      <c r="F314" s="8" t="str">
        <f t="shared" si="21"/>
        <v>Medium</v>
      </c>
      <c r="G314" s="7" t="str">
        <f t="shared" si="22"/>
        <v>No</v>
      </c>
      <c r="H314" s="7" t="str">
        <f>IF(OR('Raw Data'!D315=1,D314&lt;0.1),"Yes - Desirable","No")</f>
        <v>No</v>
      </c>
      <c r="I314" s="7" t="str">
        <f t="shared" si="23"/>
        <v>Safe Area</v>
      </c>
      <c r="J314" s="7" t="str">
        <f t="shared" si="24"/>
        <v>Grade C - Average</v>
      </c>
    </row>
    <row r="315" spans="1:10" x14ac:dyDescent="0.25">
      <c r="A315" s="7">
        <v>313</v>
      </c>
      <c r="B315" s="7">
        <f>'Raw Data'!N316</f>
        <v>19.399999999999999</v>
      </c>
      <c r="C315" s="7">
        <f>'Raw Data'!F316</f>
        <v>6.0229999999999997</v>
      </c>
      <c r="D315" s="7">
        <f>'Raw Data'!A316</f>
        <v>0.26168999999999998</v>
      </c>
      <c r="E315" s="7" t="str">
        <f t="shared" si="20"/>
        <v>Medium</v>
      </c>
      <c r="F315" s="8" t="str">
        <f t="shared" si="21"/>
        <v>Low</v>
      </c>
      <c r="G315" s="7" t="str">
        <f t="shared" si="22"/>
        <v>Yes - Affordable &amp; Spacious</v>
      </c>
      <c r="H315" s="7" t="str">
        <f>IF(OR('Raw Data'!D316=1,D315&lt;0.1),"Yes - Desirable","No")</f>
        <v>No</v>
      </c>
      <c r="I315" s="7" t="str">
        <f t="shared" si="23"/>
        <v>Safe Area</v>
      </c>
      <c r="J315" s="7" t="str">
        <f t="shared" si="24"/>
        <v>Grade D - Low Value</v>
      </c>
    </row>
    <row r="316" spans="1:10" x14ac:dyDescent="0.25">
      <c r="A316" s="7">
        <v>314</v>
      </c>
      <c r="B316" s="7">
        <f>'Raw Data'!N317</f>
        <v>21.6</v>
      </c>
      <c r="C316" s="7">
        <f>'Raw Data'!F317</f>
        <v>6.266</v>
      </c>
      <c r="D316" s="7">
        <f>'Raw Data'!A317</f>
        <v>0.26938000000000001</v>
      </c>
      <c r="E316" s="7" t="str">
        <f t="shared" si="20"/>
        <v>Medium</v>
      </c>
      <c r="F316" s="8" t="str">
        <f t="shared" si="21"/>
        <v>Medium</v>
      </c>
      <c r="G316" s="7" t="str">
        <f t="shared" si="22"/>
        <v>Yes - Affordable &amp; Spacious</v>
      </c>
      <c r="H316" s="7" t="str">
        <f>IF(OR('Raw Data'!D317=1,D316&lt;0.1),"Yes - Desirable","No")</f>
        <v>No</v>
      </c>
      <c r="I316" s="7" t="str">
        <f t="shared" si="23"/>
        <v>Safe Area</v>
      </c>
      <c r="J316" s="7" t="str">
        <f t="shared" si="24"/>
        <v>Grade C - Average</v>
      </c>
    </row>
    <row r="317" spans="1:10" x14ac:dyDescent="0.25">
      <c r="A317" s="7">
        <v>315</v>
      </c>
      <c r="B317" s="7">
        <f>'Raw Data'!N318</f>
        <v>23.8</v>
      </c>
      <c r="C317" s="7">
        <f>'Raw Data'!F318</f>
        <v>6.5670000000000002</v>
      </c>
      <c r="D317" s="7">
        <f>'Raw Data'!A318</f>
        <v>0.36919999999999997</v>
      </c>
      <c r="E317" s="7" t="str">
        <f t="shared" si="20"/>
        <v>Medium</v>
      </c>
      <c r="F317" s="8" t="str">
        <f t="shared" si="21"/>
        <v>Medium</v>
      </c>
      <c r="G317" s="7" t="str">
        <f t="shared" si="22"/>
        <v>No</v>
      </c>
      <c r="H317" s="7" t="str">
        <f>IF(OR('Raw Data'!D318=1,D317&lt;0.1),"Yes - Desirable","No")</f>
        <v>No</v>
      </c>
      <c r="I317" s="7" t="str">
        <f t="shared" si="23"/>
        <v>Safe Area</v>
      </c>
      <c r="J317" s="7" t="str">
        <f t="shared" si="24"/>
        <v>Grade C - Average</v>
      </c>
    </row>
    <row r="318" spans="1:10" x14ac:dyDescent="0.25">
      <c r="A318" s="7">
        <v>316</v>
      </c>
      <c r="B318" s="7">
        <f>'Raw Data'!N319</f>
        <v>16.2</v>
      </c>
      <c r="C318" s="7">
        <f>'Raw Data'!F319</f>
        <v>5.7050000000000001</v>
      </c>
      <c r="D318" s="7">
        <f>'Raw Data'!A319</f>
        <v>0.25356000000000001</v>
      </c>
      <c r="E318" s="7" t="str">
        <f t="shared" si="20"/>
        <v>Medium</v>
      </c>
      <c r="F318" s="8" t="str">
        <f t="shared" si="21"/>
        <v>Low</v>
      </c>
      <c r="G318" s="7" t="str">
        <f t="shared" si="22"/>
        <v>No</v>
      </c>
      <c r="H318" s="7" t="str">
        <f>IF(OR('Raw Data'!D319=1,D318&lt;0.1),"Yes - Desirable","No")</f>
        <v>No</v>
      </c>
      <c r="I318" s="7" t="str">
        <f t="shared" si="23"/>
        <v>Safe Area</v>
      </c>
      <c r="J318" s="7" t="str">
        <f t="shared" si="24"/>
        <v>Grade D - Low Value</v>
      </c>
    </row>
    <row r="319" spans="1:10" x14ac:dyDescent="0.25">
      <c r="A319" s="7">
        <v>317</v>
      </c>
      <c r="B319" s="7">
        <f>'Raw Data'!N320</f>
        <v>17.8</v>
      </c>
      <c r="C319" s="7">
        <f>'Raw Data'!F320</f>
        <v>5.9139999999999997</v>
      </c>
      <c r="D319" s="7">
        <f>'Raw Data'!A320</f>
        <v>0.31827</v>
      </c>
      <c r="E319" s="7" t="str">
        <f t="shared" si="20"/>
        <v>Medium</v>
      </c>
      <c r="F319" s="8" t="str">
        <f t="shared" si="21"/>
        <v>Low</v>
      </c>
      <c r="G319" s="7" t="str">
        <f t="shared" si="22"/>
        <v>No</v>
      </c>
      <c r="H319" s="7" t="str">
        <f>IF(OR('Raw Data'!D320=1,D319&lt;0.1),"Yes - Desirable","No")</f>
        <v>No</v>
      </c>
      <c r="I319" s="7" t="str">
        <f t="shared" si="23"/>
        <v>Safe Area</v>
      </c>
      <c r="J319" s="7" t="str">
        <f t="shared" si="24"/>
        <v>Grade D - Low Value</v>
      </c>
    </row>
    <row r="320" spans="1:10" x14ac:dyDescent="0.25">
      <c r="A320" s="7">
        <v>318</v>
      </c>
      <c r="B320" s="7">
        <f>'Raw Data'!N321</f>
        <v>19.8</v>
      </c>
      <c r="C320" s="7">
        <f>'Raw Data'!F321</f>
        <v>5.782</v>
      </c>
      <c r="D320" s="7">
        <f>'Raw Data'!A321</f>
        <v>0.24521999999999999</v>
      </c>
      <c r="E320" s="7" t="str">
        <f t="shared" si="20"/>
        <v>Medium</v>
      </c>
      <c r="F320" s="8" t="str">
        <f t="shared" si="21"/>
        <v>Low</v>
      </c>
      <c r="G320" s="7" t="str">
        <f t="shared" si="22"/>
        <v>No</v>
      </c>
      <c r="H320" s="7" t="str">
        <f>IF(OR('Raw Data'!D321=1,D320&lt;0.1),"Yes - Desirable","No")</f>
        <v>No</v>
      </c>
      <c r="I320" s="7" t="str">
        <f t="shared" si="23"/>
        <v>Safe Area</v>
      </c>
      <c r="J320" s="7" t="str">
        <f t="shared" si="24"/>
        <v>Grade D - Low Value</v>
      </c>
    </row>
    <row r="321" spans="1:10" x14ac:dyDescent="0.25">
      <c r="A321" s="7">
        <v>319</v>
      </c>
      <c r="B321" s="7">
        <f>'Raw Data'!N322</f>
        <v>23.1</v>
      </c>
      <c r="C321" s="7">
        <f>'Raw Data'!F322</f>
        <v>6.3819999999999997</v>
      </c>
      <c r="D321" s="7">
        <f>'Raw Data'!A322</f>
        <v>0.40201999999999999</v>
      </c>
      <c r="E321" s="7" t="str">
        <f t="shared" si="20"/>
        <v>Medium</v>
      </c>
      <c r="F321" s="8" t="str">
        <f t="shared" si="21"/>
        <v>Medium</v>
      </c>
      <c r="G321" s="7" t="str">
        <f t="shared" si="22"/>
        <v>No</v>
      </c>
      <c r="H321" s="7" t="str">
        <f>IF(OR('Raw Data'!D322=1,D321&lt;0.1),"Yes - Desirable","No")</f>
        <v>No</v>
      </c>
      <c r="I321" s="7" t="str">
        <f t="shared" si="23"/>
        <v>Safe Area</v>
      </c>
      <c r="J321" s="7" t="str">
        <f t="shared" si="24"/>
        <v>Grade C - Average</v>
      </c>
    </row>
    <row r="322" spans="1:10" x14ac:dyDescent="0.25">
      <c r="A322" s="7">
        <v>320</v>
      </c>
      <c r="B322" s="7">
        <f>'Raw Data'!N323</f>
        <v>21</v>
      </c>
      <c r="C322" s="7">
        <f>'Raw Data'!F323</f>
        <v>6.1130000000000004</v>
      </c>
      <c r="D322" s="7">
        <f>'Raw Data'!A323</f>
        <v>0.47547</v>
      </c>
      <c r="E322" s="7" t="str">
        <f t="shared" si="20"/>
        <v>Medium</v>
      </c>
      <c r="F322" s="8" t="str">
        <f t="shared" si="21"/>
        <v>Medium</v>
      </c>
      <c r="G322" s="7" t="str">
        <f t="shared" si="22"/>
        <v>Yes - Affordable &amp; Spacious</v>
      </c>
      <c r="H322" s="7" t="str">
        <f>IF(OR('Raw Data'!D323=1,D322&lt;0.1),"Yes - Desirable","No")</f>
        <v>No</v>
      </c>
      <c r="I322" s="7" t="str">
        <f t="shared" si="23"/>
        <v>Safe Area</v>
      </c>
      <c r="J322" s="7" t="str">
        <f t="shared" si="24"/>
        <v>Grade C - Average</v>
      </c>
    </row>
    <row r="323" spans="1:10" x14ac:dyDescent="0.25">
      <c r="A323" s="7">
        <v>321</v>
      </c>
      <c r="B323" s="7">
        <f>'Raw Data'!N324</f>
        <v>23.8</v>
      </c>
      <c r="C323" s="7">
        <f>'Raw Data'!F324</f>
        <v>6.4260000000000002</v>
      </c>
      <c r="D323" s="7">
        <f>'Raw Data'!A324</f>
        <v>0.1676</v>
      </c>
      <c r="E323" s="7" t="str">
        <f t="shared" si="20"/>
        <v>Medium</v>
      </c>
      <c r="F323" s="8" t="str">
        <f t="shared" si="21"/>
        <v>Medium</v>
      </c>
      <c r="G323" s="7" t="str">
        <f t="shared" si="22"/>
        <v>No</v>
      </c>
      <c r="H323" s="7" t="str">
        <f>IF(OR('Raw Data'!D324=1,D323&lt;0.1),"Yes - Desirable","No")</f>
        <v>No</v>
      </c>
      <c r="I323" s="7" t="str">
        <f t="shared" si="23"/>
        <v>Safe Area</v>
      </c>
      <c r="J323" s="7" t="str">
        <f t="shared" si="24"/>
        <v>Grade C - Average</v>
      </c>
    </row>
    <row r="324" spans="1:10" x14ac:dyDescent="0.25">
      <c r="A324" s="7">
        <v>322</v>
      </c>
      <c r="B324" s="7">
        <f>'Raw Data'!N325</f>
        <v>23.1</v>
      </c>
      <c r="C324" s="7">
        <f>'Raw Data'!F325</f>
        <v>6.3760000000000003</v>
      </c>
      <c r="D324" s="7">
        <f>'Raw Data'!A325</f>
        <v>0.18159</v>
      </c>
      <c r="E324" s="7" t="str">
        <f t="shared" ref="E324:E387" si="25">IF(B324&lt;=15,"Low",IF(B324&lt;=25,"Medium","High"))</f>
        <v>Medium</v>
      </c>
      <c r="F324" s="8" t="str">
        <f t="shared" ref="F324:F387" si="26">IF(B324&lt;=10,"Very Low",IF(B324&lt;=20,"Low",IF(B324&lt;=30,"Medium",IF(B324&lt;=40,"High","Very High"))))</f>
        <v>Medium</v>
      </c>
      <c r="G324" s="7" t="str">
        <f t="shared" ref="G324:G387" si="27">IF(AND(B324&lt;=22,C324&gt;=6),"Yes - Affordable &amp; Spacious","No")</f>
        <v>No</v>
      </c>
      <c r="H324" s="7" t="str">
        <f>IF(OR('Raw Data'!D325=1,D324&lt;0.1),"Yes - Desirable","No")</f>
        <v>No</v>
      </c>
      <c r="I324" s="7" t="str">
        <f t="shared" ref="I324:I387" si="28">IF(NOT(D324&gt;=1),"Safe Area","High Crime")</f>
        <v>Safe Area</v>
      </c>
      <c r="J324" s="7" t="str">
        <f t="shared" ref="J324:J387" si="29">IF(B324&gt;=35,IF(D324&lt;0.5,"Grade A - Premium","Grade B - Good"),IF(B324&gt;=20,"Grade C - Average","Grade D - Low Value"))</f>
        <v>Grade C - Average</v>
      </c>
    </row>
    <row r="325" spans="1:10" x14ac:dyDescent="0.25">
      <c r="A325" s="7">
        <v>323</v>
      </c>
      <c r="B325" s="7">
        <f>'Raw Data'!N326</f>
        <v>20.399999999999999</v>
      </c>
      <c r="C325" s="7">
        <f>'Raw Data'!F326</f>
        <v>6.0410000000000004</v>
      </c>
      <c r="D325" s="7">
        <f>'Raw Data'!A326</f>
        <v>0.35114000000000001</v>
      </c>
      <c r="E325" s="7" t="str">
        <f t="shared" si="25"/>
        <v>Medium</v>
      </c>
      <c r="F325" s="8" t="str">
        <f t="shared" si="26"/>
        <v>Medium</v>
      </c>
      <c r="G325" s="7" t="str">
        <f t="shared" si="27"/>
        <v>Yes - Affordable &amp; Spacious</v>
      </c>
      <c r="H325" s="7" t="str">
        <f>IF(OR('Raw Data'!D326=1,D325&lt;0.1),"Yes - Desirable","No")</f>
        <v>No</v>
      </c>
      <c r="I325" s="7" t="str">
        <f t="shared" si="28"/>
        <v>Safe Area</v>
      </c>
      <c r="J325" s="7" t="str">
        <f t="shared" si="29"/>
        <v>Grade C - Average</v>
      </c>
    </row>
    <row r="326" spans="1:10" x14ac:dyDescent="0.25">
      <c r="A326" s="7">
        <v>324</v>
      </c>
      <c r="B326" s="7">
        <f>'Raw Data'!N327</f>
        <v>18.5</v>
      </c>
      <c r="C326" s="7">
        <f>'Raw Data'!F327</f>
        <v>5.7080000000000002</v>
      </c>
      <c r="D326" s="7">
        <f>'Raw Data'!A327</f>
        <v>0.28392000000000001</v>
      </c>
      <c r="E326" s="7" t="str">
        <f t="shared" si="25"/>
        <v>Medium</v>
      </c>
      <c r="F326" s="8" t="str">
        <f t="shared" si="26"/>
        <v>Low</v>
      </c>
      <c r="G326" s="7" t="str">
        <f t="shared" si="27"/>
        <v>No</v>
      </c>
      <c r="H326" s="7" t="str">
        <f>IF(OR('Raw Data'!D327=1,D326&lt;0.1),"Yes - Desirable","No")</f>
        <v>No</v>
      </c>
      <c r="I326" s="7" t="str">
        <f t="shared" si="28"/>
        <v>Safe Area</v>
      </c>
      <c r="J326" s="7" t="str">
        <f t="shared" si="29"/>
        <v>Grade D - Low Value</v>
      </c>
    </row>
    <row r="327" spans="1:10" x14ac:dyDescent="0.25">
      <c r="A327" s="7">
        <v>325</v>
      </c>
      <c r="B327" s="7">
        <f>'Raw Data'!N328</f>
        <v>25</v>
      </c>
      <c r="C327" s="7">
        <f>'Raw Data'!F328</f>
        <v>6.415</v>
      </c>
      <c r="D327" s="7">
        <f>'Raw Data'!A328</f>
        <v>0.34109</v>
      </c>
      <c r="E327" s="7" t="str">
        <f t="shared" si="25"/>
        <v>Medium</v>
      </c>
      <c r="F327" s="8" t="str">
        <f t="shared" si="26"/>
        <v>Medium</v>
      </c>
      <c r="G327" s="7" t="str">
        <f t="shared" si="27"/>
        <v>No</v>
      </c>
      <c r="H327" s="7" t="str">
        <f>IF(OR('Raw Data'!D328=1,D327&lt;0.1),"Yes - Desirable","No")</f>
        <v>No</v>
      </c>
      <c r="I327" s="7" t="str">
        <f t="shared" si="28"/>
        <v>Safe Area</v>
      </c>
      <c r="J327" s="7" t="str">
        <f t="shared" si="29"/>
        <v>Grade C - Average</v>
      </c>
    </row>
    <row r="328" spans="1:10" x14ac:dyDescent="0.25">
      <c r="A328" s="7">
        <v>326</v>
      </c>
      <c r="B328" s="7">
        <f>'Raw Data'!N329</f>
        <v>24.6</v>
      </c>
      <c r="C328" s="7">
        <f>'Raw Data'!F329</f>
        <v>6.431</v>
      </c>
      <c r="D328" s="7">
        <f>'Raw Data'!A329</f>
        <v>0.19186</v>
      </c>
      <c r="E328" s="7" t="str">
        <f t="shared" si="25"/>
        <v>Medium</v>
      </c>
      <c r="F328" s="8" t="str">
        <f t="shared" si="26"/>
        <v>Medium</v>
      </c>
      <c r="G328" s="7" t="str">
        <f t="shared" si="27"/>
        <v>No</v>
      </c>
      <c r="H328" s="7" t="str">
        <f>IF(OR('Raw Data'!D329=1,D328&lt;0.1),"Yes - Desirable","No")</f>
        <v>No</v>
      </c>
      <c r="I328" s="7" t="str">
        <f t="shared" si="28"/>
        <v>Safe Area</v>
      </c>
      <c r="J328" s="7" t="str">
        <f t="shared" si="29"/>
        <v>Grade C - Average</v>
      </c>
    </row>
    <row r="329" spans="1:10" x14ac:dyDescent="0.25">
      <c r="A329" s="7">
        <v>327</v>
      </c>
      <c r="B329" s="7">
        <f>'Raw Data'!N330</f>
        <v>23</v>
      </c>
      <c r="C329" s="7">
        <f>'Raw Data'!F330</f>
        <v>6.3120000000000003</v>
      </c>
      <c r="D329" s="7">
        <f>'Raw Data'!A330</f>
        <v>0.30347000000000002</v>
      </c>
      <c r="E329" s="7" t="str">
        <f t="shared" si="25"/>
        <v>Medium</v>
      </c>
      <c r="F329" s="8" t="str">
        <f t="shared" si="26"/>
        <v>Medium</v>
      </c>
      <c r="G329" s="7" t="str">
        <f t="shared" si="27"/>
        <v>No</v>
      </c>
      <c r="H329" s="7" t="str">
        <f>IF(OR('Raw Data'!D330=1,D329&lt;0.1),"Yes - Desirable","No")</f>
        <v>No</v>
      </c>
      <c r="I329" s="7" t="str">
        <f t="shared" si="28"/>
        <v>Safe Area</v>
      </c>
      <c r="J329" s="7" t="str">
        <f t="shared" si="29"/>
        <v>Grade C - Average</v>
      </c>
    </row>
    <row r="330" spans="1:10" x14ac:dyDescent="0.25">
      <c r="A330" s="7">
        <v>328</v>
      </c>
      <c r="B330" s="7">
        <f>'Raw Data'!N331</f>
        <v>22.2</v>
      </c>
      <c r="C330" s="7">
        <f>'Raw Data'!F331</f>
        <v>6.0830000000000002</v>
      </c>
      <c r="D330" s="7">
        <f>'Raw Data'!A331</f>
        <v>0.24102999999999999</v>
      </c>
      <c r="E330" s="7" t="str">
        <f t="shared" si="25"/>
        <v>Medium</v>
      </c>
      <c r="F330" s="8" t="str">
        <f t="shared" si="26"/>
        <v>Medium</v>
      </c>
      <c r="G330" s="7" t="str">
        <f t="shared" si="27"/>
        <v>No</v>
      </c>
      <c r="H330" s="7" t="str">
        <f>IF(OR('Raw Data'!D331=1,D330&lt;0.1),"Yes - Desirable","No")</f>
        <v>No</v>
      </c>
      <c r="I330" s="7" t="str">
        <f t="shared" si="28"/>
        <v>Safe Area</v>
      </c>
      <c r="J330" s="7" t="str">
        <f t="shared" si="29"/>
        <v>Grade C - Average</v>
      </c>
    </row>
    <row r="331" spans="1:10" x14ac:dyDescent="0.25">
      <c r="A331" s="7">
        <v>329</v>
      </c>
      <c r="B331" s="7">
        <f>'Raw Data'!N332</f>
        <v>19.3</v>
      </c>
      <c r="C331" s="7">
        <f>'Raw Data'!F332</f>
        <v>5.8680000000000003</v>
      </c>
      <c r="D331" s="7">
        <f>'Raw Data'!A332</f>
        <v>6.6170000000000007E-2</v>
      </c>
      <c r="E331" s="7" t="str">
        <f t="shared" si="25"/>
        <v>Medium</v>
      </c>
      <c r="F331" s="8" t="str">
        <f t="shared" si="26"/>
        <v>Low</v>
      </c>
      <c r="G331" s="7" t="str">
        <f t="shared" si="27"/>
        <v>No</v>
      </c>
      <c r="H331" s="7" t="str">
        <f>IF(OR('Raw Data'!D332=1,D331&lt;0.1),"Yes - Desirable","No")</f>
        <v>Yes - Desirable</v>
      </c>
      <c r="I331" s="7" t="str">
        <f t="shared" si="28"/>
        <v>Safe Area</v>
      </c>
      <c r="J331" s="7" t="str">
        <f t="shared" si="29"/>
        <v>Grade D - Low Value</v>
      </c>
    </row>
    <row r="332" spans="1:10" x14ac:dyDescent="0.25">
      <c r="A332" s="7">
        <v>330</v>
      </c>
      <c r="B332" s="7">
        <f>'Raw Data'!N333</f>
        <v>22.6</v>
      </c>
      <c r="C332" s="7">
        <f>'Raw Data'!F333</f>
        <v>6.3330000000000002</v>
      </c>
      <c r="D332" s="7">
        <f>'Raw Data'!A333</f>
        <v>6.7239999999999994E-2</v>
      </c>
      <c r="E332" s="7" t="str">
        <f t="shared" si="25"/>
        <v>Medium</v>
      </c>
      <c r="F332" s="8" t="str">
        <f t="shared" si="26"/>
        <v>Medium</v>
      </c>
      <c r="G332" s="7" t="str">
        <f t="shared" si="27"/>
        <v>No</v>
      </c>
      <c r="H332" s="7" t="str">
        <f>IF(OR('Raw Data'!D333=1,D332&lt;0.1),"Yes - Desirable","No")</f>
        <v>Yes - Desirable</v>
      </c>
      <c r="I332" s="7" t="str">
        <f t="shared" si="28"/>
        <v>Safe Area</v>
      </c>
      <c r="J332" s="7" t="str">
        <f t="shared" si="29"/>
        <v>Grade C - Average</v>
      </c>
    </row>
    <row r="333" spans="1:10" x14ac:dyDescent="0.25">
      <c r="A333" s="7">
        <v>331</v>
      </c>
      <c r="B333" s="7">
        <f>'Raw Data'!N334</f>
        <v>19.8</v>
      </c>
      <c r="C333" s="7">
        <f>'Raw Data'!F334</f>
        <v>6.1440000000000001</v>
      </c>
      <c r="D333" s="7">
        <f>'Raw Data'!A334</f>
        <v>4.5440000000000001E-2</v>
      </c>
      <c r="E333" s="7" t="str">
        <f t="shared" si="25"/>
        <v>Medium</v>
      </c>
      <c r="F333" s="8" t="str">
        <f t="shared" si="26"/>
        <v>Low</v>
      </c>
      <c r="G333" s="7" t="str">
        <f t="shared" si="27"/>
        <v>Yes - Affordable &amp; Spacious</v>
      </c>
      <c r="H333" s="7" t="str">
        <f>IF(OR('Raw Data'!D334=1,D333&lt;0.1),"Yes - Desirable","No")</f>
        <v>Yes - Desirable</v>
      </c>
      <c r="I333" s="7" t="str">
        <f t="shared" si="28"/>
        <v>Safe Area</v>
      </c>
      <c r="J333" s="7" t="str">
        <f t="shared" si="29"/>
        <v>Grade D - Low Value</v>
      </c>
    </row>
    <row r="334" spans="1:10" x14ac:dyDescent="0.25">
      <c r="A334" s="7">
        <v>332</v>
      </c>
      <c r="B334" s="7">
        <f>'Raw Data'!N335</f>
        <v>17.100000000000001</v>
      </c>
      <c r="C334" s="7">
        <f>'Raw Data'!F335</f>
        <v>5.7060000000000004</v>
      </c>
      <c r="D334" s="7">
        <f>'Raw Data'!A335</f>
        <v>5.0229999999999997E-2</v>
      </c>
      <c r="E334" s="7" t="str">
        <f t="shared" si="25"/>
        <v>Medium</v>
      </c>
      <c r="F334" s="8" t="str">
        <f t="shared" si="26"/>
        <v>Low</v>
      </c>
      <c r="G334" s="7" t="str">
        <f t="shared" si="27"/>
        <v>No</v>
      </c>
      <c r="H334" s="7" t="str">
        <f>IF(OR('Raw Data'!D335=1,D334&lt;0.1),"Yes - Desirable","No")</f>
        <v>Yes - Desirable</v>
      </c>
      <c r="I334" s="7" t="str">
        <f t="shared" si="28"/>
        <v>Safe Area</v>
      </c>
      <c r="J334" s="7" t="str">
        <f t="shared" si="29"/>
        <v>Grade D - Low Value</v>
      </c>
    </row>
    <row r="335" spans="1:10" x14ac:dyDescent="0.25">
      <c r="A335" s="7">
        <v>333</v>
      </c>
      <c r="B335" s="7">
        <f>'Raw Data'!N336</f>
        <v>19.399999999999999</v>
      </c>
      <c r="C335" s="7">
        <f>'Raw Data'!F336</f>
        <v>6.0309999999999997</v>
      </c>
      <c r="D335" s="7">
        <f>'Raw Data'!A336</f>
        <v>3.4660000000000003E-2</v>
      </c>
      <c r="E335" s="7" t="str">
        <f t="shared" si="25"/>
        <v>Medium</v>
      </c>
      <c r="F335" s="8" t="str">
        <f t="shared" si="26"/>
        <v>Low</v>
      </c>
      <c r="G335" s="7" t="str">
        <f t="shared" si="27"/>
        <v>Yes - Affordable &amp; Spacious</v>
      </c>
      <c r="H335" s="7" t="str">
        <f>IF(OR('Raw Data'!D336=1,D335&lt;0.1),"Yes - Desirable","No")</f>
        <v>Yes - Desirable</v>
      </c>
      <c r="I335" s="7" t="str">
        <f t="shared" si="28"/>
        <v>Safe Area</v>
      </c>
      <c r="J335" s="7" t="str">
        <f t="shared" si="29"/>
        <v>Grade D - Low Value</v>
      </c>
    </row>
    <row r="336" spans="1:10" x14ac:dyDescent="0.25">
      <c r="A336" s="7">
        <v>334</v>
      </c>
      <c r="B336" s="7">
        <f>'Raw Data'!N337</f>
        <v>22.2</v>
      </c>
      <c r="C336" s="7">
        <f>'Raw Data'!F337</f>
        <v>6.3159999999999998</v>
      </c>
      <c r="D336" s="7">
        <f>'Raw Data'!A337</f>
        <v>5.083E-2</v>
      </c>
      <c r="E336" s="7" t="str">
        <f t="shared" si="25"/>
        <v>Medium</v>
      </c>
      <c r="F336" s="8" t="str">
        <f t="shared" si="26"/>
        <v>Medium</v>
      </c>
      <c r="G336" s="7" t="str">
        <f t="shared" si="27"/>
        <v>No</v>
      </c>
      <c r="H336" s="7" t="str">
        <f>IF(OR('Raw Data'!D337=1,D336&lt;0.1),"Yes - Desirable","No")</f>
        <v>Yes - Desirable</v>
      </c>
      <c r="I336" s="7" t="str">
        <f t="shared" si="28"/>
        <v>Safe Area</v>
      </c>
      <c r="J336" s="7" t="str">
        <f t="shared" si="29"/>
        <v>Grade C - Average</v>
      </c>
    </row>
    <row r="337" spans="1:10" x14ac:dyDescent="0.25">
      <c r="A337" s="7">
        <v>335</v>
      </c>
      <c r="B337" s="7">
        <f>'Raw Data'!N338</f>
        <v>20.7</v>
      </c>
      <c r="C337" s="7">
        <f>'Raw Data'!F338</f>
        <v>6.31</v>
      </c>
      <c r="D337" s="7">
        <f>'Raw Data'!A338</f>
        <v>3.7379999999999997E-2</v>
      </c>
      <c r="E337" s="7" t="str">
        <f t="shared" si="25"/>
        <v>Medium</v>
      </c>
      <c r="F337" s="8" t="str">
        <f t="shared" si="26"/>
        <v>Medium</v>
      </c>
      <c r="G337" s="7" t="str">
        <f t="shared" si="27"/>
        <v>Yes - Affordable &amp; Spacious</v>
      </c>
      <c r="H337" s="7" t="str">
        <f>IF(OR('Raw Data'!D338=1,D337&lt;0.1),"Yes - Desirable","No")</f>
        <v>Yes - Desirable</v>
      </c>
      <c r="I337" s="7" t="str">
        <f t="shared" si="28"/>
        <v>Safe Area</v>
      </c>
      <c r="J337" s="7" t="str">
        <f t="shared" si="29"/>
        <v>Grade C - Average</v>
      </c>
    </row>
    <row r="338" spans="1:10" x14ac:dyDescent="0.25">
      <c r="A338" s="7">
        <v>336</v>
      </c>
      <c r="B338" s="7">
        <f>'Raw Data'!N339</f>
        <v>21.1</v>
      </c>
      <c r="C338" s="7">
        <f>'Raw Data'!F339</f>
        <v>6.0369999999999999</v>
      </c>
      <c r="D338" s="7">
        <f>'Raw Data'!A339</f>
        <v>3.9609999999999999E-2</v>
      </c>
      <c r="E338" s="7" t="str">
        <f t="shared" si="25"/>
        <v>Medium</v>
      </c>
      <c r="F338" s="8" t="str">
        <f t="shared" si="26"/>
        <v>Medium</v>
      </c>
      <c r="G338" s="7" t="str">
        <f t="shared" si="27"/>
        <v>Yes - Affordable &amp; Spacious</v>
      </c>
      <c r="H338" s="7" t="str">
        <f>IF(OR('Raw Data'!D339=1,D338&lt;0.1),"Yes - Desirable","No")</f>
        <v>Yes - Desirable</v>
      </c>
      <c r="I338" s="7" t="str">
        <f t="shared" si="28"/>
        <v>Safe Area</v>
      </c>
      <c r="J338" s="7" t="str">
        <f t="shared" si="29"/>
        <v>Grade C - Average</v>
      </c>
    </row>
    <row r="339" spans="1:10" x14ac:dyDescent="0.25">
      <c r="A339" s="7">
        <v>337</v>
      </c>
      <c r="B339" s="7">
        <f>'Raw Data'!N340</f>
        <v>19.5</v>
      </c>
      <c r="C339" s="7">
        <f>'Raw Data'!F340</f>
        <v>5.8689999999999998</v>
      </c>
      <c r="D339" s="7">
        <f>'Raw Data'!A340</f>
        <v>3.4270000000000002E-2</v>
      </c>
      <c r="E339" s="7" t="str">
        <f t="shared" si="25"/>
        <v>Medium</v>
      </c>
      <c r="F339" s="8" t="str">
        <f t="shared" si="26"/>
        <v>Low</v>
      </c>
      <c r="G339" s="7" t="str">
        <f t="shared" si="27"/>
        <v>No</v>
      </c>
      <c r="H339" s="7" t="str">
        <f>IF(OR('Raw Data'!D340=1,D339&lt;0.1),"Yes - Desirable","No")</f>
        <v>Yes - Desirable</v>
      </c>
      <c r="I339" s="7" t="str">
        <f t="shared" si="28"/>
        <v>Safe Area</v>
      </c>
      <c r="J339" s="7" t="str">
        <f t="shared" si="29"/>
        <v>Grade D - Low Value</v>
      </c>
    </row>
    <row r="340" spans="1:10" x14ac:dyDescent="0.25">
      <c r="A340" s="7">
        <v>338</v>
      </c>
      <c r="B340" s="7">
        <f>'Raw Data'!N341</f>
        <v>18.5</v>
      </c>
      <c r="C340" s="7">
        <f>'Raw Data'!F341</f>
        <v>5.8949999999999996</v>
      </c>
      <c r="D340" s="7">
        <f>'Raw Data'!A341</f>
        <v>3.041E-2</v>
      </c>
      <c r="E340" s="7" t="str">
        <f t="shared" si="25"/>
        <v>Medium</v>
      </c>
      <c r="F340" s="8" t="str">
        <f t="shared" si="26"/>
        <v>Low</v>
      </c>
      <c r="G340" s="7" t="str">
        <f t="shared" si="27"/>
        <v>No</v>
      </c>
      <c r="H340" s="7" t="str">
        <f>IF(OR('Raw Data'!D341=1,D340&lt;0.1),"Yes - Desirable","No")</f>
        <v>Yes - Desirable</v>
      </c>
      <c r="I340" s="7" t="str">
        <f t="shared" si="28"/>
        <v>Safe Area</v>
      </c>
      <c r="J340" s="7" t="str">
        <f t="shared" si="29"/>
        <v>Grade D - Low Value</v>
      </c>
    </row>
    <row r="341" spans="1:10" x14ac:dyDescent="0.25">
      <c r="A341" s="7">
        <v>339</v>
      </c>
      <c r="B341" s="7">
        <f>'Raw Data'!N342</f>
        <v>20.6</v>
      </c>
      <c r="C341" s="7">
        <f>'Raw Data'!F342</f>
        <v>6.0590000000000002</v>
      </c>
      <c r="D341" s="7">
        <f>'Raw Data'!A342</f>
        <v>3.3059999999999999E-2</v>
      </c>
      <c r="E341" s="7" t="str">
        <f t="shared" si="25"/>
        <v>Medium</v>
      </c>
      <c r="F341" s="8" t="str">
        <f t="shared" si="26"/>
        <v>Medium</v>
      </c>
      <c r="G341" s="7" t="str">
        <f t="shared" si="27"/>
        <v>Yes - Affordable &amp; Spacious</v>
      </c>
      <c r="H341" s="7" t="str">
        <f>IF(OR('Raw Data'!D342=1,D341&lt;0.1),"Yes - Desirable","No")</f>
        <v>Yes - Desirable</v>
      </c>
      <c r="I341" s="7" t="str">
        <f t="shared" si="28"/>
        <v>Safe Area</v>
      </c>
      <c r="J341" s="7" t="str">
        <f t="shared" si="29"/>
        <v>Grade C - Average</v>
      </c>
    </row>
    <row r="342" spans="1:10" x14ac:dyDescent="0.25">
      <c r="A342" s="7">
        <v>340</v>
      </c>
      <c r="B342" s="7">
        <f>'Raw Data'!N343</f>
        <v>19</v>
      </c>
      <c r="C342" s="7">
        <f>'Raw Data'!F343</f>
        <v>5.9850000000000003</v>
      </c>
      <c r="D342" s="7">
        <f>'Raw Data'!A343</f>
        <v>5.4969999999999998E-2</v>
      </c>
      <c r="E342" s="7" t="str">
        <f t="shared" si="25"/>
        <v>Medium</v>
      </c>
      <c r="F342" s="8" t="str">
        <f t="shared" si="26"/>
        <v>Low</v>
      </c>
      <c r="G342" s="7" t="str">
        <f t="shared" si="27"/>
        <v>No</v>
      </c>
      <c r="H342" s="7" t="str">
        <f>IF(OR('Raw Data'!D343=1,D342&lt;0.1),"Yes - Desirable","No")</f>
        <v>Yes - Desirable</v>
      </c>
      <c r="I342" s="7" t="str">
        <f t="shared" si="28"/>
        <v>Safe Area</v>
      </c>
      <c r="J342" s="7" t="str">
        <f t="shared" si="29"/>
        <v>Grade D - Low Value</v>
      </c>
    </row>
    <row r="343" spans="1:10" x14ac:dyDescent="0.25">
      <c r="A343" s="7">
        <v>341</v>
      </c>
      <c r="B343" s="7">
        <f>'Raw Data'!N344</f>
        <v>18.7</v>
      </c>
      <c r="C343" s="7">
        <f>'Raw Data'!F344</f>
        <v>5.968</v>
      </c>
      <c r="D343" s="7">
        <f>'Raw Data'!A344</f>
        <v>6.1510000000000002E-2</v>
      </c>
      <c r="E343" s="7" t="str">
        <f t="shared" si="25"/>
        <v>Medium</v>
      </c>
      <c r="F343" s="8" t="str">
        <f t="shared" si="26"/>
        <v>Low</v>
      </c>
      <c r="G343" s="7" t="str">
        <f t="shared" si="27"/>
        <v>No</v>
      </c>
      <c r="H343" s="7" t="str">
        <f>IF(OR('Raw Data'!D344=1,D343&lt;0.1),"Yes - Desirable","No")</f>
        <v>Yes - Desirable</v>
      </c>
      <c r="I343" s="7" t="str">
        <f t="shared" si="28"/>
        <v>Safe Area</v>
      </c>
      <c r="J343" s="7" t="str">
        <f t="shared" si="29"/>
        <v>Grade D - Low Value</v>
      </c>
    </row>
    <row r="344" spans="1:10" x14ac:dyDescent="0.25">
      <c r="A344" s="7">
        <v>342</v>
      </c>
      <c r="B344" s="7">
        <f>'Raw Data'!N345</f>
        <v>32.700000000000003</v>
      </c>
      <c r="C344" s="7">
        <f>'Raw Data'!F345</f>
        <v>7.2409999999999997</v>
      </c>
      <c r="D344" s="7">
        <f>'Raw Data'!A345</f>
        <v>1.3010000000000001E-2</v>
      </c>
      <c r="E344" s="7" t="str">
        <f t="shared" si="25"/>
        <v>High</v>
      </c>
      <c r="F344" s="8" t="str">
        <f t="shared" si="26"/>
        <v>High</v>
      </c>
      <c r="G344" s="7" t="str">
        <f t="shared" si="27"/>
        <v>No</v>
      </c>
      <c r="H344" s="7" t="str">
        <f>IF(OR('Raw Data'!D345=1,D344&lt;0.1),"Yes - Desirable","No")</f>
        <v>Yes - Desirable</v>
      </c>
      <c r="I344" s="7" t="str">
        <f t="shared" si="28"/>
        <v>Safe Area</v>
      </c>
      <c r="J344" s="7" t="str">
        <f t="shared" si="29"/>
        <v>Grade C - Average</v>
      </c>
    </row>
    <row r="345" spans="1:10" x14ac:dyDescent="0.25">
      <c r="A345" s="7">
        <v>343</v>
      </c>
      <c r="B345" s="7">
        <f>'Raw Data'!N346</f>
        <v>16.5</v>
      </c>
      <c r="C345" s="7">
        <f>'Raw Data'!F346</f>
        <v>6.54</v>
      </c>
      <c r="D345" s="7">
        <f>'Raw Data'!A346</f>
        <v>2.4979999999999999E-2</v>
      </c>
      <c r="E345" s="7" t="str">
        <f t="shared" si="25"/>
        <v>Medium</v>
      </c>
      <c r="F345" s="8" t="str">
        <f t="shared" si="26"/>
        <v>Low</v>
      </c>
      <c r="G345" s="7" t="str">
        <f t="shared" si="27"/>
        <v>Yes - Affordable &amp; Spacious</v>
      </c>
      <c r="H345" s="7" t="str">
        <f>IF(OR('Raw Data'!D346=1,D345&lt;0.1),"Yes - Desirable","No")</f>
        <v>Yes - Desirable</v>
      </c>
      <c r="I345" s="7" t="str">
        <f t="shared" si="28"/>
        <v>Safe Area</v>
      </c>
      <c r="J345" s="7" t="str">
        <f t="shared" si="29"/>
        <v>Grade D - Low Value</v>
      </c>
    </row>
    <row r="346" spans="1:10" x14ac:dyDescent="0.25">
      <c r="A346" s="7">
        <v>344</v>
      </c>
      <c r="B346" s="7">
        <f>'Raw Data'!N347</f>
        <v>23.9</v>
      </c>
      <c r="C346" s="7">
        <f>'Raw Data'!F347</f>
        <v>6.6959999999999997</v>
      </c>
      <c r="D346" s="7">
        <f>'Raw Data'!A347</f>
        <v>2.5430000000000001E-2</v>
      </c>
      <c r="E346" s="7" t="str">
        <f t="shared" si="25"/>
        <v>Medium</v>
      </c>
      <c r="F346" s="8" t="str">
        <f t="shared" si="26"/>
        <v>Medium</v>
      </c>
      <c r="G346" s="7" t="str">
        <f t="shared" si="27"/>
        <v>No</v>
      </c>
      <c r="H346" s="7" t="str">
        <f>IF(OR('Raw Data'!D347=1,D346&lt;0.1),"Yes - Desirable","No")</f>
        <v>Yes - Desirable</v>
      </c>
      <c r="I346" s="7" t="str">
        <f t="shared" si="28"/>
        <v>Safe Area</v>
      </c>
      <c r="J346" s="7" t="str">
        <f t="shared" si="29"/>
        <v>Grade C - Average</v>
      </c>
    </row>
    <row r="347" spans="1:10" x14ac:dyDescent="0.25">
      <c r="A347" s="7">
        <v>345</v>
      </c>
      <c r="B347" s="7">
        <f>'Raw Data'!N348</f>
        <v>31.2</v>
      </c>
      <c r="C347" s="7">
        <f>'Raw Data'!F348</f>
        <v>6.8739999999999997</v>
      </c>
      <c r="D347" s="7">
        <f>'Raw Data'!A348</f>
        <v>3.049E-2</v>
      </c>
      <c r="E347" s="7" t="str">
        <f t="shared" si="25"/>
        <v>High</v>
      </c>
      <c r="F347" s="8" t="str">
        <f t="shared" si="26"/>
        <v>High</v>
      </c>
      <c r="G347" s="7" t="str">
        <f t="shared" si="27"/>
        <v>No</v>
      </c>
      <c r="H347" s="7" t="str">
        <f>IF(OR('Raw Data'!D348=1,D347&lt;0.1),"Yes - Desirable","No")</f>
        <v>Yes - Desirable</v>
      </c>
      <c r="I347" s="7" t="str">
        <f t="shared" si="28"/>
        <v>Safe Area</v>
      </c>
      <c r="J347" s="7" t="str">
        <f t="shared" si="29"/>
        <v>Grade C - Average</v>
      </c>
    </row>
    <row r="348" spans="1:10" x14ac:dyDescent="0.25">
      <c r="A348" s="7">
        <v>346</v>
      </c>
      <c r="B348" s="7">
        <f>'Raw Data'!N349</f>
        <v>17.5</v>
      </c>
      <c r="C348" s="7">
        <f>'Raw Data'!F349</f>
        <v>6.0140000000000002</v>
      </c>
      <c r="D348" s="7">
        <f>'Raw Data'!A349</f>
        <v>3.1130000000000001E-2</v>
      </c>
      <c r="E348" s="7" t="str">
        <f t="shared" si="25"/>
        <v>Medium</v>
      </c>
      <c r="F348" s="8" t="str">
        <f t="shared" si="26"/>
        <v>Low</v>
      </c>
      <c r="G348" s="7" t="str">
        <f t="shared" si="27"/>
        <v>Yes - Affordable &amp; Spacious</v>
      </c>
      <c r="H348" s="7" t="str">
        <f>IF(OR('Raw Data'!D349=1,D348&lt;0.1),"Yes - Desirable","No")</f>
        <v>Yes - Desirable</v>
      </c>
      <c r="I348" s="7" t="str">
        <f t="shared" si="28"/>
        <v>Safe Area</v>
      </c>
      <c r="J348" s="7" t="str">
        <f t="shared" si="29"/>
        <v>Grade D - Low Value</v>
      </c>
    </row>
    <row r="349" spans="1:10" x14ac:dyDescent="0.25">
      <c r="A349" s="7">
        <v>347</v>
      </c>
      <c r="B349" s="7">
        <f>'Raw Data'!N350</f>
        <v>17.2</v>
      </c>
      <c r="C349" s="7">
        <f>'Raw Data'!F350</f>
        <v>5.8979999999999997</v>
      </c>
      <c r="D349" s="7">
        <f>'Raw Data'!A350</f>
        <v>6.1620000000000001E-2</v>
      </c>
      <c r="E349" s="7" t="str">
        <f t="shared" si="25"/>
        <v>Medium</v>
      </c>
      <c r="F349" s="8" t="str">
        <f t="shared" si="26"/>
        <v>Low</v>
      </c>
      <c r="G349" s="7" t="str">
        <f t="shared" si="27"/>
        <v>No</v>
      </c>
      <c r="H349" s="7" t="str">
        <f>IF(OR('Raw Data'!D350=1,D349&lt;0.1),"Yes - Desirable","No")</f>
        <v>Yes - Desirable</v>
      </c>
      <c r="I349" s="7" t="str">
        <f t="shared" si="28"/>
        <v>Safe Area</v>
      </c>
      <c r="J349" s="7" t="str">
        <f t="shared" si="29"/>
        <v>Grade D - Low Value</v>
      </c>
    </row>
    <row r="350" spans="1:10" x14ac:dyDescent="0.25">
      <c r="A350" s="7">
        <v>348</v>
      </c>
      <c r="B350" s="7">
        <f>'Raw Data'!N351</f>
        <v>23.1</v>
      </c>
      <c r="C350" s="7">
        <f>'Raw Data'!F351</f>
        <v>6.516</v>
      </c>
      <c r="D350" s="7">
        <f>'Raw Data'!A351</f>
        <v>1.8700000000000001E-2</v>
      </c>
      <c r="E350" s="7" t="str">
        <f t="shared" si="25"/>
        <v>Medium</v>
      </c>
      <c r="F350" s="8" t="str">
        <f t="shared" si="26"/>
        <v>Medium</v>
      </c>
      <c r="G350" s="7" t="str">
        <f t="shared" si="27"/>
        <v>No</v>
      </c>
      <c r="H350" s="7" t="str">
        <f>IF(OR('Raw Data'!D351=1,D350&lt;0.1),"Yes - Desirable","No")</f>
        <v>Yes - Desirable</v>
      </c>
      <c r="I350" s="7" t="str">
        <f t="shared" si="28"/>
        <v>Safe Area</v>
      </c>
      <c r="J350" s="7" t="str">
        <f t="shared" si="29"/>
        <v>Grade C - Average</v>
      </c>
    </row>
    <row r="351" spans="1:10" x14ac:dyDescent="0.25">
      <c r="A351" s="7">
        <v>349</v>
      </c>
      <c r="B351" s="7">
        <f>'Raw Data'!N352</f>
        <v>24.5</v>
      </c>
      <c r="C351" s="7">
        <f>'Raw Data'!F352</f>
        <v>6.6349999999999998</v>
      </c>
      <c r="D351" s="7">
        <f>'Raw Data'!A352</f>
        <v>1.5010000000000001E-2</v>
      </c>
      <c r="E351" s="7" t="str">
        <f t="shared" si="25"/>
        <v>Medium</v>
      </c>
      <c r="F351" s="8" t="str">
        <f t="shared" si="26"/>
        <v>Medium</v>
      </c>
      <c r="G351" s="7" t="str">
        <f t="shared" si="27"/>
        <v>No</v>
      </c>
      <c r="H351" s="7" t="str">
        <f>IF(OR('Raw Data'!D352=1,D351&lt;0.1),"Yes - Desirable","No")</f>
        <v>Yes - Desirable</v>
      </c>
      <c r="I351" s="7" t="str">
        <f t="shared" si="28"/>
        <v>Safe Area</v>
      </c>
      <c r="J351" s="7" t="str">
        <f t="shared" si="29"/>
        <v>Grade C - Average</v>
      </c>
    </row>
    <row r="352" spans="1:10" x14ac:dyDescent="0.25">
      <c r="A352" s="7">
        <v>350</v>
      </c>
      <c r="B352" s="7">
        <f>'Raw Data'!N353</f>
        <v>26.6</v>
      </c>
      <c r="C352" s="7">
        <f>'Raw Data'!F353</f>
        <v>6.9390000000000001</v>
      </c>
      <c r="D352" s="7">
        <f>'Raw Data'!A353</f>
        <v>2.8989999999999998E-2</v>
      </c>
      <c r="E352" s="7" t="str">
        <f t="shared" si="25"/>
        <v>High</v>
      </c>
      <c r="F352" s="8" t="str">
        <f t="shared" si="26"/>
        <v>Medium</v>
      </c>
      <c r="G352" s="7" t="str">
        <f t="shared" si="27"/>
        <v>No</v>
      </c>
      <c r="H352" s="7" t="str">
        <f>IF(OR('Raw Data'!D353=1,D352&lt;0.1),"Yes - Desirable","No")</f>
        <v>Yes - Desirable</v>
      </c>
      <c r="I352" s="7" t="str">
        <f t="shared" si="28"/>
        <v>Safe Area</v>
      </c>
      <c r="J352" s="7" t="str">
        <f t="shared" si="29"/>
        <v>Grade C - Average</v>
      </c>
    </row>
    <row r="353" spans="1:10" x14ac:dyDescent="0.25">
      <c r="A353" s="7">
        <v>351</v>
      </c>
      <c r="B353" s="7">
        <f>'Raw Data'!N354</f>
        <v>22.9</v>
      </c>
      <c r="C353" s="7">
        <f>'Raw Data'!F354</f>
        <v>6.49</v>
      </c>
      <c r="D353" s="7">
        <f>'Raw Data'!A354</f>
        <v>6.2109999999999999E-2</v>
      </c>
      <c r="E353" s="7" t="str">
        <f t="shared" si="25"/>
        <v>Medium</v>
      </c>
      <c r="F353" s="8" t="str">
        <f t="shared" si="26"/>
        <v>Medium</v>
      </c>
      <c r="G353" s="7" t="str">
        <f t="shared" si="27"/>
        <v>No</v>
      </c>
      <c r="H353" s="7" t="str">
        <f>IF(OR('Raw Data'!D354=1,D353&lt;0.1),"Yes - Desirable","No")</f>
        <v>Yes - Desirable</v>
      </c>
      <c r="I353" s="7" t="str">
        <f t="shared" si="28"/>
        <v>Safe Area</v>
      </c>
      <c r="J353" s="7" t="str">
        <f t="shared" si="29"/>
        <v>Grade C - Average</v>
      </c>
    </row>
    <row r="354" spans="1:10" x14ac:dyDescent="0.25">
      <c r="A354" s="7">
        <v>352</v>
      </c>
      <c r="B354" s="7">
        <f>'Raw Data'!N355</f>
        <v>24.1</v>
      </c>
      <c r="C354" s="7">
        <f>'Raw Data'!F355</f>
        <v>6.5789999999999997</v>
      </c>
      <c r="D354" s="7">
        <f>'Raw Data'!A355</f>
        <v>7.9500000000000001E-2</v>
      </c>
      <c r="E354" s="7" t="str">
        <f t="shared" si="25"/>
        <v>Medium</v>
      </c>
      <c r="F354" s="8" t="str">
        <f t="shared" si="26"/>
        <v>Medium</v>
      </c>
      <c r="G354" s="7" t="str">
        <f t="shared" si="27"/>
        <v>No</v>
      </c>
      <c r="H354" s="7" t="str">
        <f>IF(OR('Raw Data'!D355=1,D354&lt;0.1),"Yes - Desirable","No")</f>
        <v>Yes - Desirable</v>
      </c>
      <c r="I354" s="7" t="str">
        <f t="shared" si="28"/>
        <v>Safe Area</v>
      </c>
      <c r="J354" s="7" t="str">
        <f t="shared" si="29"/>
        <v>Grade C - Average</v>
      </c>
    </row>
    <row r="355" spans="1:10" x14ac:dyDescent="0.25">
      <c r="A355" s="7">
        <v>353</v>
      </c>
      <c r="B355" s="7">
        <f>'Raw Data'!N356</f>
        <v>18.600000000000001</v>
      </c>
      <c r="C355" s="7">
        <f>'Raw Data'!F356</f>
        <v>5.8840000000000003</v>
      </c>
      <c r="D355" s="7">
        <f>'Raw Data'!A356</f>
        <v>7.2440000000000004E-2</v>
      </c>
      <c r="E355" s="7" t="str">
        <f t="shared" si="25"/>
        <v>Medium</v>
      </c>
      <c r="F355" s="8" t="str">
        <f t="shared" si="26"/>
        <v>Low</v>
      </c>
      <c r="G355" s="7" t="str">
        <f t="shared" si="27"/>
        <v>No</v>
      </c>
      <c r="H355" s="7" t="str">
        <f>IF(OR('Raw Data'!D356=1,D355&lt;0.1),"Yes - Desirable","No")</f>
        <v>Yes - Desirable</v>
      </c>
      <c r="I355" s="7" t="str">
        <f t="shared" si="28"/>
        <v>Safe Area</v>
      </c>
      <c r="J355" s="7" t="str">
        <f t="shared" si="29"/>
        <v>Grade D - Low Value</v>
      </c>
    </row>
    <row r="356" spans="1:10" x14ac:dyDescent="0.25">
      <c r="A356" s="7">
        <v>354</v>
      </c>
      <c r="B356" s="7">
        <f>'Raw Data'!N357</f>
        <v>30.1</v>
      </c>
      <c r="C356" s="7">
        <f>'Raw Data'!F357</f>
        <v>6.7279999999999998</v>
      </c>
      <c r="D356" s="7">
        <f>'Raw Data'!A357</f>
        <v>1.7090000000000001E-2</v>
      </c>
      <c r="E356" s="7" t="str">
        <f t="shared" si="25"/>
        <v>High</v>
      </c>
      <c r="F356" s="8" t="str">
        <f t="shared" si="26"/>
        <v>High</v>
      </c>
      <c r="G356" s="7" t="str">
        <f t="shared" si="27"/>
        <v>No</v>
      </c>
      <c r="H356" s="7" t="str">
        <f>IF(OR('Raw Data'!D357=1,D356&lt;0.1),"Yes - Desirable","No")</f>
        <v>Yes - Desirable</v>
      </c>
      <c r="I356" s="7" t="str">
        <f t="shared" si="28"/>
        <v>Safe Area</v>
      </c>
      <c r="J356" s="7" t="str">
        <f t="shared" si="29"/>
        <v>Grade C - Average</v>
      </c>
    </row>
    <row r="357" spans="1:10" x14ac:dyDescent="0.25">
      <c r="A357" s="7">
        <v>355</v>
      </c>
      <c r="B357" s="7">
        <f>'Raw Data'!N358</f>
        <v>18.2</v>
      </c>
      <c r="C357" s="7">
        <f>'Raw Data'!F358</f>
        <v>5.6630000000000003</v>
      </c>
      <c r="D357" s="7">
        <f>'Raw Data'!A358</f>
        <v>4.301E-2</v>
      </c>
      <c r="E357" s="7" t="str">
        <f t="shared" si="25"/>
        <v>Medium</v>
      </c>
      <c r="F357" s="8" t="str">
        <f t="shared" si="26"/>
        <v>Low</v>
      </c>
      <c r="G357" s="7" t="str">
        <f t="shared" si="27"/>
        <v>No</v>
      </c>
      <c r="H357" s="7" t="str">
        <f>IF(OR('Raw Data'!D358=1,D357&lt;0.1),"Yes - Desirable","No")</f>
        <v>Yes - Desirable</v>
      </c>
      <c r="I357" s="7" t="str">
        <f t="shared" si="28"/>
        <v>Safe Area</v>
      </c>
      <c r="J357" s="7" t="str">
        <f t="shared" si="29"/>
        <v>Grade D - Low Value</v>
      </c>
    </row>
    <row r="358" spans="1:10" x14ac:dyDescent="0.25">
      <c r="A358" s="7">
        <v>356</v>
      </c>
      <c r="B358" s="7">
        <f>'Raw Data'!N359</f>
        <v>20.6</v>
      </c>
      <c r="C358" s="7">
        <f>'Raw Data'!F359</f>
        <v>5.9359999999999999</v>
      </c>
      <c r="D358" s="7">
        <f>'Raw Data'!A359</f>
        <v>0.10659</v>
      </c>
      <c r="E358" s="7" t="str">
        <f t="shared" si="25"/>
        <v>Medium</v>
      </c>
      <c r="F358" s="8" t="str">
        <f t="shared" si="26"/>
        <v>Medium</v>
      </c>
      <c r="G358" s="7" t="str">
        <f t="shared" si="27"/>
        <v>No</v>
      </c>
      <c r="H358" s="7" t="str">
        <f>IF(OR('Raw Data'!D359=1,D358&lt;0.1),"Yes - Desirable","No")</f>
        <v>No</v>
      </c>
      <c r="I358" s="7" t="str">
        <f t="shared" si="28"/>
        <v>Safe Area</v>
      </c>
      <c r="J358" s="7" t="str">
        <f t="shared" si="29"/>
        <v>Grade C - Average</v>
      </c>
    </row>
    <row r="359" spans="1:10" x14ac:dyDescent="0.25">
      <c r="A359" s="7">
        <v>357</v>
      </c>
      <c r="B359" s="7">
        <f>'Raw Data'!N360</f>
        <v>17.8</v>
      </c>
      <c r="C359" s="7">
        <f>'Raw Data'!F360</f>
        <v>6.2119999999999997</v>
      </c>
      <c r="D359" s="7">
        <f>'Raw Data'!A360</f>
        <v>8.9829600000000003</v>
      </c>
      <c r="E359" s="7" t="str">
        <f t="shared" si="25"/>
        <v>Medium</v>
      </c>
      <c r="F359" s="8" t="str">
        <f t="shared" si="26"/>
        <v>Low</v>
      </c>
      <c r="G359" s="7" t="str">
        <f t="shared" si="27"/>
        <v>Yes - Affordable &amp; Spacious</v>
      </c>
      <c r="H359" s="7" t="str">
        <f>IF(OR('Raw Data'!D360=1,D359&lt;0.1),"Yes - Desirable","No")</f>
        <v>Yes - Desirable</v>
      </c>
      <c r="I359" s="7" t="str">
        <f t="shared" si="28"/>
        <v>High Crime</v>
      </c>
      <c r="J359" s="7" t="str">
        <f t="shared" si="29"/>
        <v>Grade D - Low Value</v>
      </c>
    </row>
    <row r="360" spans="1:10" x14ac:dyDescent="0.25">
      <c r="A360" s="7">
        <v>358</v>
      </c>
      <c r="B360" s="7">
        <f>'Raw Data'!N361</f>
        <v>21.7</v>
      </c>
      <c r="C360" s="7">
        <f>'Raw Data'!F361</f>
        <v>6.3949999999999996</v>
      </c>
      <c r="D360" s="7">
        <f>'Raw Data'!A361</f>
        <v>3.8496999999999999</v>
      </c>
      <c r="E360" s="7" t="str">
        <f t="shared" si="25"/>
        <v>Medium</v>
      </c>
      <c r="F360" s="8" t="str">
        <f t="shared" si="26"/>
        <v>Medium</v>
      </c>
      <c r="G360" s="7" t="str">
        <f t="shared" si="27"/>
        <v>Yes - Affordable &amp; Spacious</v>
      </c>
      <c r="H360" s="7" t="str">
        <f>IF(OR('Raw Data'!D361=1,D360&lt;0.1),"Yes - Desirable","No")</f>
        <v>Yes - Desirable</v>
      </c>
      <c r="I360" s="7" t="str">
        <f t="shared" si="28"/>
        <v>High Crime</v>
      </c>
      <c r="J360" s="7" t="str">
        <f t="shared" si="29"/>
        <v>Grade C - Average</v>
      </c>
    </row>
    <row r="361" spans="1:10" x14ac:dyDescent="0.25">
      <c r="A361" s="7">
        <v>359</v>
      </c>
      <c r="B361" s="7">
        <f>'Raw Data'!N362</f>
        <v>22.7</v>
      </c>
      <c r="C361" s="7">
        <f>'Raw Data'!F362</f>
        <v>6.1269999999999998</v>
      </c>
      <c r="D361" s="7">
        <f>'Raw Data'!A362</f>
        <v>5.2017699999999998</v>
      </c>
      <c r="E361" s="7" t="str">
        <f t="shared" si="25"/>
        <v>Medium</v>
      </c>
      <c r="F361" s="8" t="str">
        <f t="shared" si="26"/>
        <v>Medium</v>
      </c>
      <c r="G361" s="7" t="str">
        <f t="shared" si="27"/>
        <v>No</v>
      </c>
      <c r="H361" s="7" t="str">
        <f>IF(OR('Raw Data'!D362=1,D361&lt;0.1),"Yes - Desirable","No")</f>
        <v>Yes - Desirable</v>
      </c>
      <c r="I361" s="7" t="str">
        <f t="shared" si="28"/>
        <v>High Crime</v>
      </c>
      <c r="J361" s="7" t="str">
        <f t="shared" si="29"/>
        <v>Grade C - Average</v>
      </c>
    </row>
    <row r="362" spans="1:10" x14ac:dyDescent="0.25">
      <c r="A362" s="7">
        <v>360</v>
      </c>
      <c r="B362" s="7">
        <f>'Raw Data'!N363</f>
        <v>22.6</v>
      </c>
      <c r="C362" s="7">
        <f>'Raw Data'!F363</f>
        <v>6.1120000000000001</v>
      </c>
      <c r="D362" s="7">
        <f>'Raw Data'!A363</f>
        <v>4.2613099999999999</v>
      </c>
      <c r="E362" s="7" t="str">
        <f t="shared" si="25"/>
        <v>Medium</v>
      </c>
      <c r="F362" s="8" t="str">
        <f t="shared" si="26"/>
        <v>Medium</v>
      </c>
      <c r="G362" s="7" t="str">
        <f t="shared" si="27"/>
        <v>No</v>
      </c>
      <c r="H362" s="7" t="str">
        <f>IF(OR('Raw Data'!D363=1,D362&lt;0.1),"Yes - Desirable","No")</f>
        <v>No</v>
      </c>
      <c r="I362" s="7" t="str">
        <f t="shared" si="28"/>
        <v>High Crime</v>
      </c>
      <c r="J362" s="7" t="str">
        <f t="shared" si="29"/>
        <v>Grade C - Average</v>
      </c>
    </row>
    <row r="363" spans="1:10" x14ac:dyDescent="0.25">
      <c r="A363" s="7">
        <v>361</v>
      </c>
      <c r="B363" s="7">
        <f>'Raw Data'!N364</f>
        <v>25</v>
      </c>
      <c r="C363" s="7">
        <f>'Raw Data'!F364</f>
        <v>6.3979999999999997</v>
      </c>
      <c r="D363" s="7">
        <f>'Raw Data'!A364</f>
        <v>4.5419200000000002</v>
      </c>
      <c r="E363" s="7" t="str">
        <f t="shared" si="25"/>
        <v>Medium</v>
      </c>
      <c r="F363" s="8" t="str">
        <f t="shared" si="26"/>
        <v>Medium</v>
      </c>
      <c r="G363" s="7" t="str">
        <f t="shared" si="27"/>
        <v>No</v>
      </c>
      <c r="H363" s="7" t="str">
        <f>IF(OR('Raw Data'!D364=1,D363&lt;0.1),"Yes - Desirable","No")</f>
        <v>No</v>
      </c>
      <c r="I363" s="7" t="str">
        <f t="shared" si="28"/>
        <v>High Crime</v>
      </c>
      <c r="J363" s="7" t="str">
        <f t="shared" si="29"/>
        <v>Grade C - Average</v>
      </c>
    </row>
    <row r="364" spans="1:10" x14ac:dyDescent="0.25">
      <c r="A364" s="7">
        <v>362</v>
      </c>
      <c r="B364" s="7">
        <f>'Raw Data'!N365</f>
        <v>19.899999999999999</v>
      </c>
      <c r="C364" s="7">
        <f>'Raw Data'!F365</f>
        <v>6.2510000000000003</v>
      </c>
      <c r="D364" s="7">
        <f>'Raw Data'!A365</f>
        <v>3.83684</v>
      </c>
      <c r="E364" s="7" t="str">
        <f t="shared" si="25"/>
        <v>Medium</v>
      </c>
      <c r="F364" s="8" t="str">
        <f t="shared" si="26"/>
        <v>Low</v>
      </c>
      <c r="G364" s="7" t="str">
        <f t="shared" si="27"/>
        <v>Yes - Affordable &amp; Spacious</v>
      </c>
      <c r="H364" s="7" t="str">
        <f>IF(OR('Raw Data'!D365=1,D364&lt;0.1),"Yes - Desirable","No")</f>
        <v>No</v>
      </c>
      <c r="I364" s="7" t="str">
        <f t="shared" si="28"/>
        <v>High Crime</v>
      </c>
      <c r="J364" s="7" t="str">
        <f t="shared" si="29"/>
        <v>Grade D - Low Value</v>
      </c>
    </row>
    <row r="365" spans="1:10" x14ac:dyDescent="0.25">
      <c r="A365" s="7">
        <v>363</v>
      </c>
      <c r="B365" s="7">
        <f>'Raw Data'!N366</f>
        <v>20.8</v>
      </c>
      <c r="C365" s="7">
        <f>'Raw Data'!F366</f>
        <v>5.3620000000000001</v>
      </c>
      <c r="D365" s="7">
        <f>'Raw Data'!A366</f>
        <v>3.67822</v>
      </c>
      <c r="E365" s="7" t="str">
        <f t="shared" si="25"/>
        <v>Medium</v>
      </c>
      <c r="F365" s="8" t="str">
        <f t="shared" si="26"/>
        <v>Medium</v>
      </c>
      <c r="G365" s="7" t="str">
        <f t="shared" si="27"/>
        <v>No</v>
      </c>
      <c r="H365" s="7" t="str">
        <f>IF(OR('Raw Data'!D366=1,D365&lt;0.1),"Yes - Desirable","No")</f>
        <v>No</v>
      </c>
      <c r="I365" s="7" t="str">
        <f t="shared" si="28"/>
        <v>High Crime</v>
      </c>
      <c r="J365" s="7" t="str">
        <f t="shared" si="29"/>
        <v>Grade C - Average</v>
      </c>
    </row>
    <row r="366" spans="1:10" x14ac:dyDescent="0.25">
      <c r="A366" s="7">
        <v>364</v>
      </c>
      <c r="B366" s="7">
        <f>'Raw Data'!N367</f>
        <v>16.8</v>
      </c>
      <c r="C366" s="7">
        <f>'Raw Data'!F367</f>
        <v>5.8029999999999999</v>
      </c>
      <c r="D366" s="7">
        <f>'Raw Data'!A367</f>
        <v>4.2223899999999999</v>
      </c>
      <c r="E366" s="7" t="str">
        <f t="shared" si="25"/>
        <v>Medium</v>
      </c>
      <c r="F366" s="8" t="str">
        <f t="shared" si="26"/>
        <v>Low</v>
      </c>
      <c r="G366" s="7" t="str">
        <f t="shared" si="27"/>
        <v>No</v>
      </c>
      <c r="H366" s="7" t="str">
        <f>IF(OR('Raw Data'!D367=1,D366&lt;0.1),"Yes - Desirable","No")</f>
        <v>Yes - Desirable</v>
      </c>
      <c r="I366" s="7" t="str">
        <f t="shared" si="28"/>
        <v>High Crime</v>
      </c>
      <c r="J366" s="7" t="str">
        <f t="shared" si="29"/>
        <v>Grade D - Low Value</v>
      </c>
    </row>
    <row r="367" spans="1:10" x14ac:dyDescent="0.25">
      <c r="A367" s="7">
        <v>365</v>
      </c>
      <c r="B367" s="7">
        <f>'Raw Data'!N368</f>
        <v>21.9</v>
      </c>
      <c r="C367" s="7">
        <f>'Raw Data'!F368</f>
        <v>8.7799999999999994</v>
      </c>
      <c r="D367" s="7">
        <f>'Raw Data'!A368</f>
        <v>3.4742799999999998</v>
      </c>
      <c r="E367" s="7" t="str">
        <f t="shared" si="25"/>
        <v>Medium</v>
      </c>
      <c r="F367" s="8" t="str">
        <f t="shared" si="26"/>
        <v>Medium</v>
      </c>
      <c r="G367" s="7" t="str">
        <f t="shared" si="27"/>
        <v>Yes - Affordable &amp; Spacious</v>
      </c>
      <c r="H367" s="7" t="str">
        <f>IF(OR('Raw Data'!D368=1,D367&lt;0.1),"Yes - Desirable","No")</f>
        <v>Yes - Desirable</v>
      </c>
      <c r="I367" s="7" t="str">
        <f t="shared" si="28"/>
        <v>High Crime</v>
      </c>
      <c r="J367" s="7" t="str">
        <f t="shared" si="29"/>
        <v>Grade C - Average</v>
      </c>
    </row>
    <row r="368" spans="1:10" x14ac:dyDescent="0.25">
      <c r="A368" s="7">
        <v>366</v>
      </c>
      <c r="B368" s="7">
        <f>'Raw Data'!N369</f>
        <v>27.5</v>
      </c>
      <c r="C368" s="7">
        <f>'Raw Data'!F369</f>
        <v>3.5609999999999999</v>
      </c>
      <c r="D368" s="7">
        <f>'Raw Data'!A369</f>
        <v>4.5558699999999996</v>
      </c>
      <c r="E368" s="7" t="str">
        <f t="shared" si="25"/>
        <v>High</v>
      </c>
      <c r="F368" s="8" t="str">
        <f t="shared" si="26"/>
        <v>Medium</v>
      </c>
      <c r="G368" s="7" t="str">
        <f t="shared" si="27"/>
        <v>No</v>
      </c>
      <c r="H368" s="7" t="str">
        <f>IF(OR('Raw Data'!D369=1,D368&lt;0.1),"Yes - Desirable","No")</f>
        <v>No</v>
      </c>
      <c r="I368" s="7" t="str">
        <f t="shared" si="28"/>
        <v>High Crime</v>
      </c>
      <c r="J368" s="7" t="str">
        <f t="shared" si="29"/>
        <v>Grade C - Average</v>
      </c>
    </row>
    <row r="369" spans="1:10" x14ac:dyDescent="0.25">
      <c r="A369" s="7">
        <v>367</v>
      </c>
      <c r="B369" s="7">
        <f>'Raw Data'!N370</f>
        <v>21.9</v>
      </c>
      <c r="C369" s="7">
        <f>'Raw Data'!F370</f>
        <v>4.9630000000000001</v>
      </c>
      <c r="D369" s="7">
        <f>'Raw Data'!A370</f>
        <v>3.6969500000000002</v>
      </c>
      <c r="E369" s="7" t="str">
        <f t="shared" si="25"/>
        <v>Medium</v>
      </c>
      <c r="F369" s="8" t="str">
        <f t="shared" si="26"/>
        <v>Medium</v>
      </c>
      <c r="G369" s="7" t="str">
        <f t="shared" si="27"/>
        <v>No</v>
      </c>
      <c r="H369" s="7" t="str">
        <f>IF(OR('Raw Data'!D370=1,D369&lt;0.1),"Yes - Desirable","No")</f>
        <v>No</v>
      </c>
      <c r="I369" s="7" t="str">
        <f t="shared" si="28"/>
        <v>High Crime</v>
      </c>
      <c r="J369" s="7" t="str">
        <f t="shared" si="29"/>
        <v>Grade C - Average</v>
      </c>
    </row>
    <row r="370" spans="1:10" x14ac:dyDescent="0.25">
      <c r="A370" s="7">
        <v>368</v>
      </c>
      <c r="B370" s="7">
        <f>'Raw Data'!N371</f>
        <v>0</v>
      </c>
      <c r="C370" s="7">
        <f>'Raw Data'!F371</f>
        <v>100</v>
      </c>
      <c r="D370" s="7">
        <f>'Raw Data'!A371</f>
        <v>0</v>
      </c>
      <c r="E370" s="7" t="str">
        <f t="shared" si="25"/>
        <v>Low</v>
      </c>
      <c r="F370" s="8" t="str">
        <f t="shared" si="26"/>
        <v>Very Low</v>
      </c>
      <c r="G370" s="7" t="str">
        <f t="shared" si="27"/>
        <v>Yes - Affordable &amp; Spacious</v>
      </c>
      <c r="H370" s="7" t="str">
        <f>IF(OR('Raw Data'!D371=1,D370&lt;0.1),"Yes - Desirable","No")</f>
        <v>Yes - Desirable</v>
      </c>
      <c r="I370" s="7" t="str">
        <f t="shared" si="28"/>
        <v>Safe Area</v>
      </c>
      <c r="J370" s="7" t="str">
        <f t="shared" si="29"/>
        <v>Grade D - Low Value</v>
      </c>
    </row>
    <row r="371" spans="1:10" x14ac:dyDescent="0.25">
      <c r="A371" s="7">
        <v>369</v>
      </c>
      <c r="B371" s="7">
        <f>'Raw Data'!N372</f>
        <v>50</v>
      </c>
      <c r="C371" s="7">
        <f>'Raw Data'!F372</f>
        <v>4.97</v>
      </c>
      <c r="D371" s="7">
        <f>'Raw Data'!A372</f>
        <v>4.8982200000000002</v>
      </c>
      <c r="E371" s="7" t="str">
        <f t="shared" si="25"/>
        <v>High</v>
      </c>
      <c r="F371" s="8" t="str">
        <f t="shared" si="26"/>
        <v>Very High</v>
      </c>
      <c r="G371" s="7" t="str">
        <f t="shared" si="27"/>
        <v>No</v>
      </c>
      <c r="H371" s="7" t="str">
        <f>IF(OR('Raw Data'!D372=1,D371&lt;0.1),"Yes - Desirable","No")</f>
        <v>No</v>
      </c>
      <c r="I371" s="7" t="str">
        <f t="shared" si="28"/>
        <v>High Crime</v>
      </c>
      <c r="J371" s="7" t="str">
        <f t="shared" si="29"/>
        <v>Grade B - Good</v>
      </c>
    </row>
    <row r="372" spans="1:10" x14ac:dyDescent="0.25">
      <c r="A372" s="7">
        <v>370</v>
      </c>
      <c r="B372" s="7">
        <f>'Raw Data'!N373</f>
        <v>50</v>
      </c>
      <c r="C372" s="7">
        <f>'Raw Data'!F373</f>
        <v>6.6829999999999998</v>
      </c>
      <c r="D372" s="7">
        <f>'Raw Data'!A373</f>
        <v>5.6699799999999998</v>
      </c>
      <c r="E372" s="7" t="str">
        <f t="shared" si="25"/>
        <v>High</v>
      </c>
      <c r="F372" s="8" t="str">
        <f t="shared" si="26"/>
        <v>Very High</v>
      </c>
      <c r="G372" s="7" t="str">
        <f t="shared" si="27"/>
        <v>No</v>
      </c>
      <c r="H372" s="7" t="str">
        <f>IF(OR('Raw Data'!D373=1,D372&lt;0.1),"Yes - Desirable","No")</f>
        <v>Yes - Desirable</v>
      </c>
      <c r="I372" s="7" t="str">
        <f t="shared" si="28"/>
        <v>High Crime</v>
      </c>
      <c r="J372" s="7" t="str">
        <f t="shared" si="29"/>
        <v>Grade B - Good</v>
      </c>
    </row>
    <row r="373" spans="1:10" x14ac:dyDescent="0.25">
      <c r="A373" s="7">
        <v>371</v>
      </c>
      <c r="B373" s="7">
        <f>'Raw Data'!N374</f>
        <v>50</v>
      </c>
      <c r="C373" s="7">
        <f>'Raw Data'!F374</f>
        <v>7.016</v>
      </c>
      <c r="D373" s="7">
        <f>'Raw Data'!A374</f>
        <v>6.5387599999999999</v>
      </c>
      <c r="E373" s="7" t="str">
        <f t="shared" si="25"/>
        <v>High</v>
      </c>
      <c r="F373" s="8" t="str">
        <f t="shared" si="26"/>
        <v>Very High</v>
      </c>
      <c r="G373" s="7" t="str">
        <f t="shared" si="27"/>
        <v>No</v>
      </c>
      <c r="H373" s="7" t="str">
        <f>IF(OR('Raw Data'!D374=1,D373&lt;0.1),"Yes - Desirable","No")</f>
        <v>Yes - Desirable</v>
      </c>
      <c r="I373" s="7" t="str">
        <f t="shared" si="28"/>
        <v>High Crime</v>
      </c>
      <c r="J373" s="7" t="str">
        <f t="shared" si="29"/>
        <v>Grade B - Good</v>
      </c>
    </row>
    <row r="374" spans="1:10" x14ac:dyDescent="0.25">
      <c r="A374" s="7">
        <v>372</v>
      </c>
      <c r="B374" s="7">
        <f>'Raw Data'!N375</f>
        <v>50</v>
      </c>
      <c r="C374" s="7">
        <f>'Raw Data'!F375</f>
        <v>6.2160000000000002</v>
      </c>
      <c r="D374" s="7">
        <f>'Raw Data'!A375</f>
        <v>9.2323000000000004</v>
      </c>
      <c r="E374" s="7" t="str">
        <f t="shared" si="25"/>
        <v>High</v>
      </c>
      <c r="F374" s="8" t="str">
        <f t="shared" si="26"/>
        <v>Very High</v>
      </c>
      <c r="G374" s="7" t="str">
        <f t="shared" si="27"/>
        <v>No</v>
      </c>
      <c r="H374" s="7" t="str">
        <f>IF(OR('Raw Data'!D375=1,D374&lt;0.1),"Yes - Desirable","No")</f>
        <v>No</v>
      </c>
      <c r="I374" s="7" t="str">
        <f t="shared" si="28"/>
        <v>High Crime</v>
      </c>
      <c r="J374" s="7" t="str">
        <f t="shared" si="29"/>
        <v>Grade B - Good</v>
      </c>
    </row>
    <row r="375" spans="1:10" x14ac:dyDescent="0.25">
      <c r="A375" s="7">
        <v>373</v>
      </c>
      <c r="B375" s="7">
        <f>'Raw Data'!N376</f>
        <v>50</v>
      </c>
      <c r="C375" s="7">
        <f>'Raw Data'!F376</f>
        <v>5.875</v>
      </c>
      <c r="D375" s="7">
        <f>'Raw Data'!A376</f>
        <v>8.2672500000000007</v>
      </c>
      <c r="E375" s="7" t="str">
        <f t="shared" si="25"/>
        <v>High</v>
      </c>
      <c r="F375" s="8" t="str">
        <f t="shared" si="26"/>
        <v>Very High</v>
      </c>
      <c r="G375" s="7" t="str">
        <f t="shared" si="27"/>
        <v>No</v>
      </c>
      <c r="H375" s="7" t="str">
        <f>IF(OR('Raw Data'!D376=1,D375&lt;0.1),"Yes - Desirable","No")</f>
        <v>Yes - Desirable</v>
      </c>
      <c r="I375" s="7" t="str">
        <f t="shared" si="28"/>
        <v>High Crime</v>
      </c>
      <c r="J375" s="7" t="str">
        <f t="shared" si="29"/>
        <v>Grade B - Good</v>
      </c>
    </row>
    <row r="376" spans="1:10" x14ac:dyDescent="0.25">
      <c r="A376" s="7">
        <v>374</v>
      </c>
      <c r="B376" s="7">
        <f>'Raw Data'!N377</f>
        <v>0</v>
      </c>
      <c r="C376" s="7">
        <f>'Raw Data'!F377</f>
        <v>100</v>
      </c>
      <c r="D376" s="7">
        <f>'Raw Data'!A377</f>
        <v>0</v>
      </c>
      <c r="E376" s="7" t="str">
        <f t="shared" si="25"/>
        <v>Low</v>
      </c>
      <c r="F376" s="8" t="str">
        <f t="shared" si="26"/>
        <v>Very Low</v>
      </c>
      <c r="G376" s="7" t="str">
        <f t="shared" si="27"/>
        <v>Yes - Affordable &amp; Spacious</v>
      </c>
      <c r="H376" s="7" t="str">
        <f>IF(OR('Raw Data'!D377=1,D376&lt;0.1),"Yes - Desirable","No")</f>
        <v>Yes - Desirable</v>
      </c>
      <c r="I376" s="7" t="str">
        <f t="shared" si="28"/>
        <v>Safe Area</v>
      </c>
      <c r="J376" s="7" t="str">
        <f t="shared" si="29"/>
        <v>Grade D - Low Value</v>
      </c>
    </row>
    <row r="377" spans="1:10" x14ac:dyDescent="0.25">
      <c r="A377" s="7">
        <v>375</v>
      </c>
      <c r="B377" s="7">
        <f>'Raw Data'!N378</f>
        <v>0</v>
      </c>
      <c r="C377" s="7">
        <f>'Raw Data'!F378</f>
        <v>100</v>
      </c>
      <c r="D377" s="7">
        <f>'Raw Data'!A378</f>
        <v>0</v>
      </c>
      <c r="E377" s="7" t="str">
        <f t="shared" si="25"/>
        <v>Low</v>
      </c>
      <c r="F377" s="8" t="str">
        <f t="shared" si="26"/>
        <v>Very Low</v>
      </c>
      <c r="G377" s="7" t="str">
        <f t="shared" si="27"/>
        <v>Yes - Affordable &amp; Spacious</v>
      </c>
      <c r="H377" s="7" t="str">
        <f>IF(OR('Raw Data'!D378=1,D377&lt;0.1),"Yes - Desirable","No")</f>
        <v>Yes - Desirable</v>
      </c>
      <c r="I377" s="7" t="str">
        <f t="shared" si="28"/>
        <v>Safe Area</v>
      </c>
      <c r="J377" s="7" t="str">
        <f t="shared" si="29"/>
        <v>Grade D - Low Value</v>
      </c>
    </row>
    <row r="378" spans="1:10" x14ac:dyDescent="0.25">
      <c r="A378" s="7">
        <v>376</v>
      </c>
      <c r="B378" s="7">
        <f>'Raw Data'!N379</f>
        <v>0</v>
      </c>
      <c r="C378" s="7">
        <f>'Raw Data'!F379</f>
        <v>97.9</v>
      </c>
      <c r="D378" s="7">
        <f>'Raw Data'!A379</f>
        <v>0</v>
      </c>
      <c r="E378" s="7" t="str">
        <f t="shared" si="25"/>
        <v>Low</v>
      </c>
      <c r="F378" s="8" t="str">
        <f t="shared" si="26"/>
        <v>Very Low</v>
      </c>
      <c r="G378" s="7" t="str">
        <f t="shared" si="27"/>
        <v>Yes - Affordable &amp; Spacious</v>
      </c>
      <c r="H378" s="7" t="str">
        <f>IF(OR('Raw Data'!D379=1,D378&lt;0.1),"Yes - Desirable","No")</f>
        <v>Yes - Desirable</v>
      </c>
      <c r="I378" s="7" t="str">
        <f t="shared" si="28"/>
        <v>Safe Area</v>
      </c>
      <c r="J378" s="7" t="str">
        <f t="shared" si="29"/>
        <v>Grade D - Low Value</v>
      </c>
    </row>
    <row r="379" spans="1:10" x14ac:dyDescent="0.25">
      <c r="A379" s="7">
        <v>377</v>
      </c>
      <c r="B379" s="7">
        <f>'Raw Data'!N380</f>
        <v>0</v>
      </c>
      <c r="C379" s="7">
        <f>'Raw Data'!F380</f>
        <v>93.3</v>
      </c>
      <c r="D379" s="7">
        <f>'Raw Data'!A380</f>
        <v>0</v>
      </c>
      <c r="E379" s="7" t="str">
        <f t="shared" si="25"/>
        <v>Low</v>
      </c>
      <c r="F379" s="8" t="str">
        <f t="shared" si="26"/>
        <v>Very Low</v>
      </c>
      <c r="G379" s="7" t="str">
        <f t="shared" si="27"/>
        <v>Yes - Affordable &amp; Spacious</v>
      </c>
      <c r="H379" s="7" t="str">
        <f>IF(OR('Raw Data'!D380=1,D379&lt;0.1),"Yes - Desirable","No")</f>
        <v>Yes - Desirable</v>
      </c>
      <c r="I379" s="7" t="str">
        <f t="shared" si="28"/>
        <v>Safe Area</v>
      </c>
      <c r="J379" s="7" t="str">
        <f t="shared" si="29"/>
        <v>Grade D - Low Value</v>
      </c>
    </row>
    <row r="380" spans="1:10" x14ac:dyDescent="0.25">
      <c r="A380" s="7">
        <v>378</v>
      </c>
      <c r="B380" s="7">
        <f>'Raw Data'!N381</f>
        <v>13.3</v>
      </c>
      <c r="C380" s="7">
        <f>'Raw Data'!F381</f>
        <v>6.7939999999999996</v>
      </c>
      <c r="D380" s="7">
        <f>'Raw Data'!A381</f>
        <v>9.8234899999999996</v>
      </c>
      <c r="E380" s="7" t="str">
        <f t="shared" si="25"/>
        <v>Low</v>
      </c>
      <c r="F380" s="8" t="str">
        <f t="shared" si="26"/>
        <v>Low</v>
      </c>
      <c r="G380" s="7" t="str">
        <f t="shared" si="27"/>
        <v>Yes - Affordable &amp; Spacious</v>
      </c>
      <c r="H380" s="7" t="str">
        <f>IF(OR('Raw Data'!D381=1,D380&lt;0.1),"Yes - Desirable","No")</f>
        <v>No</v>
      </c>
      <c r="I380" s="7" t="str">
        <f t="shared" si="28"/>
        <v>High Crime</v>
      </c>
      <c r="J380" s="7" t="str">
        <f t="shared" si="29"/>
        <v>Grade D - Low Value</v>
      </c>
    </row>
    <row r="381" spans="1:10" x14ac:dyDescent="0.25">
      <c r="A381" s="7">
        <v>379</v>
      </c>
      <c r="B381" s="7">
        <f>'Raw Data'!N382</f>
        <v>0</v>
      </c>
      <c r="C381" s="7">
        <f>'Raw Data'!F382</f>
        <v>96.2</v>
      </c>
      <c r="D381" s="7">
        <f>'Raw Data'!A382</f>
        <v>0</v>
      </c>
      <c r="E381" s="7" t="str">
        <f t="shared" si="25"/>
        <v>Low</v>
      </c>
      <c r="F381" s="8" t="str">
        <f t="shared" si="26"/>
        <v>Very Low</v>
      </c>
      <c r="G381" s="7" t="str">
        <f t="shared" si="27"/>
        <v>Yes - Affordable &amp; Spacious</v>
      </c>
      <c r="H381" s="7" t="str">
        <f>IF(OR('Raw Data'!D382=1,D381&lt;0.1),"Yes - Desirable","No")</f>
        <v>Yes - Desirable</v>
      </c>
      <c r="I381" s="7" t="str">
        <f t="shared" si="28"/>
        <v>Safe Area</v>
      </c>
      <c r="J381" s="7" t="str">
        <f t="shared" si="29"/>
        <v>Grade D - Low Value</v>
      </c>
    </row>
    <row r="382" spans="1:10" x14ac:dyDescent="0.25">
      <c r="A382" s="7">
        <v>380</v>
      </c>
      <c r="B382" s="7">
        <f>'Raw Data'!N383</f>
        <v>0</v>
      </c>
      <c r="C382" s="7">
        <f>'Raw Data'!F383</f>
        <v>100</v>
      </c>
      <c r="D382" s="7">
        <f>'Raw Data'!A383</f>
        <v>0</v>
      </c>
      <c r="E382" s="7" t="str">
        <f t="shared" si="25"/>
        <v>Low</v>
      </c>
      <c r="F382" s="8" t="str">
        <f t="shared" si="26"/>
        <v>Very Low</v>
      </c>
      <c r="G382" s="7" t="str">
        <f t="shared" si="27"/>
        <v>Yes - Affordable &amp; Spacious</v>
      </c>
      <c r="H382" s="7" t="str">
        <f>IF(OR('Raw Data'!D383=1,D382&lt;0.1),"Yes - Desirable","No")</f>
        <v>Yes - Desirable</v>
      </c>
      <c r="I382" s="7" t="str">
        <f t="shared" si="28"/>
        <v>Safe Area</v>
      </c>
      <c r="J382" s="7" t="str">
        <f t="shared" si="29"/>
        <v>Grade D - Low Value</v>
      </c>
    </row>
    <row r="383" spans="1:10" x14ac:dyDescent="0.25">
      <c r="A383" s="7">
        <v>381</v>
      </c>
      <c r="B383" s="7">
        <f>'Raw Data'!N384</f>
        <v>0</v>
      </c>
      <c r="C383" s="7">
        <f>'Raw Data'!F384</f>
        <v>91.9</v>
      </c>
      <c r="D383" s="7">
        <f>'Raw Data'!A384</f>
        <v>0</v>
      </c>
      <c r="E383" s="7" t="str">
        <f t="shared" si="25"/>
        <v>Low</v>
      </c>
      <c r="F383" s="8" t="str">
        <f t="shared" si="26"/>
        <v>Very Low</v>
      </c>
      <c r="G383" s="7" t="str">
        <f t="shared" si="27"/>
        <v>Yes - Affordable &amp; Spacious</v>
      </c>
      <c r="H383" s="7" t="str">
        <f>IF(OR('Raw Data'!D384=1,D383&lt;0.1),"Yes - Desirable","No")</f>
        <v>Yes - Desirable</v>
      </c>
      <c r="I383" s="7" t="str">
        <f t="shared" si="28"/>
        <v>Safe Area</v>
      </c>
      <c r="J383" s="7" t="str">
        <f t="shared" si="29"/>
        <v>Grade D - Low Value</v>
      </c>
    </row>
    <row r="384" spans="1:10" x14ac:dyDescent="0.25">
      <c r="A384" s="7">
        <v>382</v>
      </c>
      <c r="B384" s="7">
        <f>'Raw Data'!N385</f>
        <v>0</v>
      </c>
      <c r="C384" s="7">
        <f>'Raw Data'!F385</f>
        <v>99.1</v>
      </c>
      <c r="D384" s="7">
        <f>'Raw Data'!A385</f>
        <v>0</v>
      </c>
      <c r="E384" s="7" t="str">
        <f t="shared" si="25"/>
        <v>Low</v>
      </c>
      <c r="F384" s="8" t="str">
        <f t="shared" si="26"/>
        <v>Very Low</v>
      </c>
      <c r="G384" s="7" t="str">
        <f t="shared" si="27"/>
        <v>Yes - Affordable &amp; Spacious</v>
      </c>
      <c r="H384" s="7" t="str">
        <f>IF(OR('Raw Data'!D385=1,D384&lt;0.1),"Yes - Desirable","No")</f>
        <v>Yes - Desirable</v>
      </c>
      <c r="I384" s="7" t="str">
        <f t="shared" si="28"/>
        <v>Safe Area</v>
      </c>
      <c r="J384" s="7" t="str">
        <f t="shared" si="29"/>
        <v>Grade D - Low Value</v>
      </c>
    </row>
    <row r="385" spans="1:10" x14ac:dyDescent="0.25">
      <c r="A385" s="7">
        <v>383</v>
      </c>
      <c r="B385" s="7">
        <f>'Raw Data'!N386</f>
        <v>11.3</v>
      </c>
      <c r="C385" s="7">
        <f>'Raw Data'!F386</f>
        <v>5.5359999999999996</v>
      </c>
      <c r="D385" s="7">
        <f>'Raw Data'!A386</f>
        <v>9.1870200000000004</v>
      </c>
      <c r="E385" s="7" t="str">
        <f t="shared" si="25"/>
        <v>Low</v>
      </c>
      <c r="F385" s="8" t="str">
        <f t="shared" si="26"/>
        <v>Low</v>
      </c>
      <c r="G385" s="7" t="str">
        <f t="shared" si="27"/>
        <v>No</v>
      </c>
      <c r="H385" s="7" t="str">
        <f>IF(OR('Raw Data'!D386=1,D385&lt;0.1),"Yes - Desirable","No")</f>
        <v>No</v>
      </c>
      <c r="I385" s="7" t="str">
        <f t="shared" si="28"/>
        <v>High Crime</v>
      </c>
      <c r="J385" s="7" t="str">
        <f t="shared" si="29"/>
        <v>Grade D - Low Value</v>
      </c>
    </row>
    <row r="386" spans="1:10" x14ac:dyDescent="0.25">
      <c r="A386" s="7">
        <v>384</v>
      </c>
      <c r="B386" s="7">
        <f>'Raw Data'!N387</f>
        <v>12.3</v>
      </c>
      <c r="C386" s="7">
        <f>'Raw Data'!F387</f>
        <v>5.52</v>
      </c>
      <c r="D386" s="7">
        <f>'Raw Data'!A387</f>
        <v>7.9924799999999996</v>
      </c>
      <c r="E386" s="7" t="str">
        <f t="shared" si="25"/>
        <v>Low</v>
      </c>
      <c r="F386" s="8" t="str">
        <f t="shared" si="26"/>
        <v>Low</v>
      </c>
      <c r="G386" s="7" t="str">
        <f t="shared" si="27"/>
        <v>No</v>
      </c>
      <c r="H386" s="7" t="str">
        <f>IF(OR('Raw Data'!D387=1,D386&lt;0.1),"Yes - Desirable","No")</f>
        <v>No</v>
      </c>
      <c r="I386" s="7" t="str">
        <f t="shared" si="28"/>
        <v>High Crime</v>
      </c>
      <c r="J386" s="7" t="str">
        <f t="shared" si="29"/>
        <v>Grade D - Low Value</v>
      </c>
    </row>
    <row r="387" spans="1:10" x14ac:dyDescent="0.25">
      <c r="A387" s="7">
        <v>385</v>
      </c>
      <c r="B387" s="7">
        <f>'Raw Data'!N388</f>
        <v>0</v>
      </c>
      <c r="C387" s="7">
        <f>'Raw Data'!F388</f>
        <v>91.2</v>
      </c>
      <c r="D387" s="7">
        <f>'Raw Data'!A388</f>
        <v>0</v>
      </c>
      <c r="E387" s="7" t="str">
        <f t="shared" si="25"/>
        <v>Low</v>
      </c>
      <c r="F387" s="8" t="str">
        <f t="shared" si="26"/>
        <v>Very Low</v>
      </c>
      <c r="G387" s="7" t="str">
        <f t="shared" si="27"/>
        <v>Yes - Affordable &amp; Spacious</v>
      </c>
      <c r="H387" s="7" t="str">
        <f>IF(OR('Raw Data'!D388=1,D387&lt;0.1),"Yes - Desirable","No")</f>
        <v>Yes - Desirable</v>
      </c>
      <c r="I387" s="7" t="str">
        <f t="shared" si="28"/>
        <v>Safe Area</v>
      </c>
      <c r="J387" s="7" t="str">
        <f t="shared" si="29"/>
        <v>Grade D - Low Value</v>
      </c>
    </row>
    <row r="388" spans="1:10" x14ac:dyDescent="0.25">
      <c r="A388" s="7">
        <v>386</v>
      </c>
      <c r="B388" s="7">
        <f>'Raw Data'!N389</f>
        <v>0</v>
      </c>
      <c r="C388" s="7">
        <f>'Raw Data'!F389</f>
        <v>98.1</v>
      </c>
      <c r="D388" s="7">
        <f>'Raw Data'!A389</f>
        <v>0</v>
      </c>
      <c r="E388" s="7" t="str">
        <f t="shared" ref="E388:E451" si="30">IF(B388&lt;=15,"Low",IF(B388&lt;=25,"Medium","High"))</f>
        <v>Low</v>
      </c>
      <c r="F388" s="8" t="str">
        <f t="shared" ref="F388:F451" si="31">IF(B388&lt;=10,"Very Low",IF(B388&lt;=20,"Low",IF(B388&lt;=30,"Medium",IF(B388&lt;=40,"High","Very High"))))</f>
        <v>Very Low</v>
      </c>
      <c r="G388" s="7" t="str">
        <f t="shared" ref="G388:G451" si="32">IF(AND(B388&lt;=22,C388&gt;=6),"Yes - Affordable &amp; Spacious","No")</f>
        <v>Yes - Affordable &amp; Spacious</v>
      </c>
      <c r="H388" s="7" t="str">
        <f>IF(OR('Raw Data'!D389=1,D388&lt;0.1),"Yes - Desirable","No")</f>
        <v>Yes - Desirable</v>
      </c>
      <c r="I388" s="7" t="str">
        <f t="shared" ref="I388:I451" si="33">IF(NOT(D388&gt;=1),"Safe Area","High Crime")</f>
        <v>Safe Area</v>
      </c>
      <c r="J388" s="7" t="str">
        <f t="shared" ref="J388:J451" si="34">IF(B388&gt;=35,IF(D388&lt;0.5,"Grade A - Premium","Grade B - Good"),IF(B388&gt;=20,"Grade C - Average","Grade D - Low Value"))</f>
        <v>Grade D - Low Value</v>
      </c>
    </row>
    <row r="389" spans="1:10" x14ac:dyDescent="0.25">
      <c r="A389" s="7">
        <v>387</v>
      </c>
      <c r="B389" s="7">
        <f>'Raw Data'!N390</f>
        <v>0</v>
      </c>
      <c r="C389" s="7">
        <f>'Raw Data'!F390</f>
        <v>100</v>
      </c>
      <c r="D389" s="7">
        <f>'Raw Data'!A390</f>
        <v>0</v>
      </c>
      <c r="E389" s="7" t="str">
        <f t="shared" si="30"/>
        <v>Low</v>
      </c>
      <c r="F389" s="8" t="str">
        <f t="shared" si="31"/>
        <v>Very Low</v>
      </c>
      <c r="G389" s="7" t="str">
        <f t="shared" si="32"/>
        <v>Yes - Affordable &amp; Spacious</v>
      </c>
      <c r="H389" s="7" t="str">
        <f>IF(OR('Raw Data'!D390=1,D389&lt;0.1),"Yes - Desirable","No")</f>
        <v>Yes - Desirable</v>
      </c>
      <c r="I389" s="7" t="str">
        <f t="shared" si="33"/>
        <v>Safe Area</v>
      </c>
      <c r="J389" s="7" t="str">
        <f t="shared" si="34"/>
        <v>Grade D - Low Value</v>
      </c>
    </row>
    <row r="390" spans="1:10" x14ac:dyDescent="0.25">
      <c r="A390" s="7">
        <v>388</v>
      </c>
      <c r="B390" s="7">
        <f>'Raw Data'!N391</f>
        <v>0</v>
      </c>
      <c r="C390" s="7">
        <f>'Raw Data'!F391</f>
        <v>89.5</v>
      </c>
      <c r="D390" s="7">
        <f>'Raw Data'!A391</f>
        <v>0</v>
      </c>
      <c r="E390" s="7" t="str">
        <f t="shared" si="30"/>
        <v>Low</v>
      </c>
      <c r="F390" s="8" t="str">
        <f t="shared" si="31"/>
        <v>Very Low</v>
      </c>
      <c r="G390" s="7" t="str">
        <f t="shared" si="32"/>
        <v>Yes - Affordable &amp; Spacious</v>
      </c>
      <c r="H390" s="7" t="str">
        <f>IF(OR('Raw Data'!D391=1,D390&lt;0.1),"Yes - Desirable","No")</f>
        <v>Yes - Desirable</v>
      </c>
      <c r="I390" s="7" t="str">
        <f t="shared" si="33"/>
        <v>Safe Area</v>
      </c>
      <c r="J390" s="7" t="str">
        <f t="shared" si="34"/>
        <v>Grade D - Low Value</v>
      </c>
    </row>
    <row r="391" spans="1:10" x14ac:dyDescent="0.25">
      <c r="A391" s="7">
        <v>389</v>
      </c>
      <c r="B391" s="7">
        <f>'Raw Data'!N392</f>
        <v>0</v>
      </c>
      <c r="C391" s="7">
        <f>'Raw Data'!F392</f>
        <v>100</v>
      </c>
      <c r="D391" s="7">
        <f>'Raw Data'!A392</f>
        <v>0</v>
      </c>
      <c r="E391" s="7" t="str">
        <f t="shared" si="30"/>
        <v>Low</v>
      </c>
      <c r="F391" s="8" t="str">
        <f t="shared" si="31"/>
        <v>Very Low</v>
      </c>
      <c r="G391" s="7" t="str">
        <f t="shared" si="32"/>
        <v>Yes - Affordable &amp; Spacious</v>
      </c>
      <c r="H391" s="7" t="str">
        <f>IF(OR('Raw Data'!D392=1,D391&lt;0.1),"Yes - Desirable","No")</f>
        <v>Yes - Desirable</v>
      </c>
      <c r="I391" s="7" t="str">
        <f t="shared" si="33"/>
        <v>Safe Area</v>
      </c>
      <c r="J391" s="7" t="str">
        <f t="shared" si="34"/>
        <v>Grade D - Low Value</v>
      </c>
    </row>
    <row r="392" spans="1:10" x14ac:dyDescent="0.25">
      <c r="A392" s="7">
        <v>390</v>
      </c>
      <c r="B392" s="7">
        <f>'Raw Data'!N393</f>
        <v>11.5</v>
      </c>
      <c r="C392" s="7">
        <f>'Raw Data'!F393</f>
        <v>5.39</v>
      </c>
      <c r="D392" s="7">
        <f>'Raw Data'!A393</f>
        <v>8.1517400000000002</v>
      </c>
      <c r="E392" s="7" t="str">
        <f t="shared" si="30"/>
        <v>Low</v>
      </c>
      <c r="F392" s="8" t="str">
        <f t="shared" si="31"/>
        <v>Low</v>
      </c>
      <c r="G392" s="7" t="str">
        <f t="shared" si="32"/>
        <v>No</v>
      </c>
      <c r="H392" s="7" t="str">
        <f>IF(OR('Raw Data'!D393=1,D392&lt;0.1),"Yes - Desirable","No")</f>
        <v>No</v>
      </c>
      <c r="I392" s="7" t="str">
        <f t="shared" si="33"/>
        <v>High Crime</v>
      </c>
      <c r="J392" s="7" t="str">
        <f t="shared" si="34"/>
        <v>Grade D - Low Value</v>
      </c>
    </row>
    <row r="393" spans="1:10" x14ac:dyDescent="0.25">
      <c r="A393" s="7">
        <v>391</v>
      </c>
      <c r="B393" s="7">
        <f>'Raw Data'!N394</f>
        <v>15.1</v>
      </c>
      <c r="C393" s="7">
        <f>'Raw Data'!F394</f>
        <v>5.7130000000000001</v>
      </c>
      <c r="D393" s="7">
        <f>'Raw Data'!A394</f>
        <v>6.9621500000000003</v>
      </c>
      <c r="E393" s="7" t="str">
        <f t="shared" si="30"/>
        <v>Medium</v>
      </c>
      <c r="F393" s="8" t="str">
        <f t="shared" si="31"/>
        <v>Low</v>
      </c>
      <c r="G393" s="7" t="str">
        <f t="shared" si="32"/>
        <v>No</v>
      </c>
      <c r="H393" s="7" t="str">
        <f>IF(OR('Raw Data'!D394=1,D393&lt;0.1),"Yes - Desirable","No")</f>
        <v>No</v>
      </c>
      <c r="I393" s="7" t="str">
        <f t="shared" si="33"/>
        <v>High Crime</v>
      </c>
      <c r="J393" s="7" t="str">
        <f t="shared" si="34"/>
        <v>Grade D - Low Value</v>
      </c>
    </row>
    <row r="394" spans="1:10" x14ac:dyDescent="0.25">
      <c r="A394" s="7">
        <v>392</v>
      </c>
      <c r="B394" s="7">
        <f>'Raw Data'!N395</f>
        <v>23.2</v>
      </c>
      <c r="C394" s="7">
        <f>'Raw Data'!F395</f>
        <v>6.0510000000000002</v>
      </c>
      <c r="D394" s="7">
        <f>'Raw Data'!A395</f>
        <v>5.29305</v>
      </c>
      <c r="E394" s="7" t="str">
        <f t="shared" si="30"/>
        <v>Medium</v>
      </c>
      <c r="F394" s="8" t="str">
        <f t="shared" si="31"/>
        <v>Medium</v>
      </c>
      <c r="G394" s="7" t="str">
        <f t="shared" si="32"/>
        <v>No</v>
      </c>
      <c r="H394" s="7" t="str">
        <f>IF(OR('Raw Data'!D395=1,D394&lt;0.1),"Yes - Desirable","No")</f>
        <v>No</v>
      </c>
      <c r="I394" s="7" t="str">
        <f t="shared" si="33"/>
        <v>High Crime</v>
      </c>
      <c r="J394" s="7" t="str">
        <f t="shared" si="34"/>
        <v>Grade C - Average</v>
      </c>
    </row>
    <row r="395" spans="1:10" x14ac:dyDescent="0.25">
      <c r="A395" s="7">
        <v>393</v>
      </c>
      <c r="B395" s="7">
        <f>'Raw Data'!N396</f>
        <v>0</v>
      </c>
      <c r="C395" s="7">
        <f>'Raw Data'!F396</f>
        <v>97</v>
      </c>
      <c r="D395" s="7">
        <f>'Raw Data'!A396</f>
        <v>0</v>
      </c>
      <c r="E395" s="7" t="str">
        <f t="shared" si="30"/>
        <v>Low</v>
      </c>
      <c r="F395" s="8" t="str">
        <f t="shared" si="31"/>
        <v>Very Low</v>
      </c>
      <c r="G395" s="7" t="str">
        <f t="shared" si="32"/>
        <v>Yes - Affordable &amp; Spacious</v>
      </c>
      <c r="H395" s="7" t="str">
        <f>IF(OR('Raw Data'!D396=1,D395&lt;0.1),"Yes - Desirable","No")</f>
        <v>Yes - Desirable</v>
      </c>
      <c r="I395" s="7" t="str">
        <f t="shared" si="33"/>
        <v>Safe Area</v>
      </c>
      <c r="J395" s="7" t="str">
        <f t="shared" si="34"/>
        <v>Grade D - Low Value</v>
      </c>
    </row>
    <row r="396" spans="1:10" x14ac:dyDescent="0.25">
      <c r="A396" s="7">
        <v>394</v>
      </c>
      <c r="B396" s="7">
        <f>'Raw Data'!N397</f>
        <v>13.8</v>
      </c>
      <c r="C396" s="7">
        <f>'Raw Data'!F397</f>
        <v>6.1929999999999996</v>
      </c>
      <c r="D396" s="7">
        <f>'Raw Data'!A397</f>
        <v>8.6447599999999998</v>
      </c>
      <c r="E396" s="7" t="str">
        <f t="shared" si="30"/>
        <v>Low</v>
      </c>
      <c r="F396" s="8" t="str">
        <f t="shared" si="31"/>
        <v>Low</v>
      </c>
      <c r="G396" s="7" t="str">
        <f t="shared" si="32"/>
        <v>Yes - Affordable &amp; Spacious</v>
      </c>
      <c r="H396" s="7" t="str">
        <f>IF(OR('Raw Data'!D397=1,D396&lt;0.1),"Yes - Desirable","No")</f>
        <v>No</v>
      </c>
      <c r="I396" s="7" t="str">
        <f t="shared" si="33"/>
        <v>High Crime</v>
      </c>
      <c r="J396" s="7" t="str">
        <f t="shared" si="34"/>
        <v>Grade D - Low Value</v>
      </c>
    </row>
    <row r="397" spans="1:10" x14ac:dyDescent="0.25">
      <c r="A397" s="7">
        <v>395</v>
      </c>
      <c r="B397" s="7">
        <f>'Raw Data'!N398</f>
        <v>0</v>
      </c>
      <c r="C397" s="7">
        <f>'Raw Data'!F398</f>
        <v>94.7</v>
      </c>
      <c r="D397" s="7">
        <f>'Raw Data'!A398</f>
        <v>0</v>
      </c>
      <c r="E397" s="7" t="str">
        <f t="shared" si="30"/>
        <v>Low</v>
      </c>
      <c r="F397" s="8" t="str">
        <f t="shared" si="31"/>
        <v>Very Low</v>
      </c>
      <c r="G397" s="7" t="str">
        <f t="shared" si="32"/>
        <v>Yes - Affordable &amp; Spacious</v>
      </c>
      <c r="H397" s="7" t="str">
        <f>IF(OR('Raw Data'!D398=1,D397&lt;0.1),"Yes - Desirable","No")</f>
        <v>Yes - Desirable</v>
      </c>
      <c r="I397" s="7" t="str">
        <f t="shared" si="33"/>
        <v>Safe Area</v>
      </c>
      <c r="J397" s="7" t="str">
        <f t="shared" si="34"/>
        <v>Grade D - Low Value</v>
      </c>
    </row>
    <row r="398" spans="1:10" x14ac:dyDescent="0.25">
      <c r="A398" s="7">
        <v>396</v>
      </c>
      <c r="B398" s="7">
        <f>'Raw Data'!N399</f>
        <v>13.1</v>
      </c>
      <c r="C398" s="7">
        <f>'Raw Data'!F399</f>
        <v>6.4710000000000001</v>
      </c>
      <c r="D398" s="7">
        <f>'Raw Data'!A399</f>
        <v>8.7167499999999993</v>
      </c>
      <c r="E398" s="7" t="str">
        <f t="shared" si="30"/>
        <v>Low</v>
      </c>
      <c r="F398" s="8" t="str">
        <f t="shared" si="31"/>
        <v>Low</v>
      </c>
      <c r="G398" s="7" t="str">
        <f t="shared" si="32"/>
        <v>Yes - Affordable &amp; Spacious</v>
      </c>
      <c r="H398" s="7" t="str">
        <f>IF(OR('Raw Data'!D399=1,D398&lt;0.1),"Yes - Desirable","No")</f>
        <v>No</v>
      </c>
      <c r="I398" s="7" t="str">
        <f t="shared" si="33"/>
        <v>High Crime</v>
      </c>
      <c r="J398" s="7" t="str">
        <f t="shared" si="34"/>
        <v>Grade D - Low Value</v>
      </c>
    </row>
    <row r="399" spans="1:10" x14ac:dyDescent="0.25">
      <c r="A399" s="7">
        <v>397</v>
      </c>
      <c r="B399" s="7">
        <f>'Raw Data'!N400</f>
        <v>12.5</v>
      </c>
      <c r="C399" s="7">
        <f>'Raw Data'!F400</f>
        <v>6.4050000000000002</v>
      </c>
      <c r="D399" s="7">
        <f>'Raw Data'!A400</f>
        <v>5.8720499999999998</v>
      </c>
      <c r="E399" s="7" t="str">
        <f t="shared" si="30"/>
        <v>Low</v>
      </c>
      <c r="F399" s="8" t="str">
        <f t="shared" si="31"/>
        <v>Low</v>
      </c>
      <c r="G399" s="7" t="str">
        <f t="shared" si="32"/>
        <v>Yes - Affordable &amp; Spacious</v>
      </c>
      <c r="H399" s="7" t="str">
        <f>IF(OR('Raw Data'!D400=1,D399&lt;0.1),"Yes - Desirable","No")</f>
        <v>No</v>
      </c>
      <c r="I399" s="7" t="str">
        <f t="shared" si="33"/>
        <v>High Crime</v>
      </c>
      <c r="J399" s="7" t="str">
        <f t="shared" si="34"/>
        <v>Grade D - Low Value</v>
      </c>
    </row>
    <row r="400" spans="1:10" x14ac:dyDescent="0.25">
      <c r="A400" s="7">
        <v>398</v>
      </c>
      <c r="B400" s="7">
        <f>'Raw Data'!N401</f>
        <v>8.5</v>
      </c>
      <c r="C400" s="7">
        <f>'Raw Data'!F401</f>
        <v>5.7469999999999999</v>
      </c>
      <c r="D400" s="7">
        <f>'Raw Data'!A401</f>
        <v>7.6720199999999998</v>
      </c>
      <c r="E400" s="7" t="str">
        <f t="shared" si="30"/>
        <v>Low</v>
      </c>
      <c r="F400" s="8" t="str">
        <f t="shared" si="31"/>
        <v>Very Low</v>
      </c>
      <c r="G400" s="7" t="str">
        <f t="shared" si="32"/>
        <v>No</v>
      </c>
      <c r="H400" s="7" t="str">
        <f>IF(OR('Raw Data'!D401=1,D400&lt;0.1),"Yes - Desirable","No")</f>
        <v>No</v>
      </c>
      <c r="I400" s="7" t="str">
        <f t="shared" si="33"/>
        <v>High Crime</v>
      </c>
      <c r="J400" s="7" t="str">
        <f t="shared" si="34"/>
        <v>Grade D - Low Value</v>
      </c>
    </row>
    <row r="401" spans="1:10" x14ac:dyDescent="0.25">
      <c r="A401" s="7">
        <v>399</v>
      </c>
      <c r="B401" s="7">
        <f>'Raw Data'!N402</f>
        <v>0</v>
      </c>
      <c r="C401" s="7">
        <f>'Raw Data'!F402</f>
        <v>100</v>
      </c>
      <c r="D401" s="7">
        <f>'Raw Data'!A402</f>
        <v>0</v>
      </c>
      <c r="E401" s="7" t="str">
        <f t="shared" si="30"/>
        <v>Low</v>
      </c>
      <c r="F401" s="8" t="str">
        <f t="shared" si="31"/>
        <v>Very Low</v>
      </c>
      <c r="G401" s="7" t="str">
        <f t="shared" si="32"/>
        <v>Yes - Affordable &amp; Spacious</v>
      </c>
      <c r="H401" s="7" t="str">
        <f>IF(OR('Raw Data'!D402=1,D401&lt;0.1),"Yes - Desirable","No")</f>
        <v>Yes - Desirable</v>
      </c>
      <c r="I401" s="7" t="str">
        <f t="shared" si="33"/>
        <v>Safe Area</v>
      </c>
      <c r="J401" s="7" t="str">
        <f t="shared" si="34"/>
        <v>Grade D - Low Value</v>
      </c>
    </row>
    <row r="402" spans="1:10" x14ac:dyDescent="0.25">
      <c r="A402" s="7">
        <v>400</v>
      </c>
      <c r="B402" s="7">
        <f>'Raw Data'!N403</f>
        <v>6.3</v>
      </c>
      <c r="C402" s="7">
        <f>'Raw Data'!F403</f>
        <v>5.8520000000000003</v>
      </c>
      <c r="D402" s="7">
        <f>'Raw Data'!A403</f>
        <v>9.9165500000000009</v>
      </c>
      <c r="E402" s="7" t="str">
        <f t="shared" si="30"/>
        <v>Low</v>
      </c>
      <c r="F402" s="8" t="str">
        <f t="shared" si="31"/>
        <v>Very Low</v>
      </c>
      <c r="G402" s="7" t="str">
        <f t="shared" si="32"/>
        <v>No</v>
      </c>
      <c r="H402" s="7" t="str">
        <f>IF(OR('Raw Data'!D403=1,D402&lt;0.1),"Yes - Desirable","No")</f>
        <v>No</v>
      </c>
      <c r="I402" s="7" t="str">
        <f t="shared" si="33"/>
        <v>High Crime</v>
      </c>
      <c r="J402" s="7" t="str">
        <f t="shared" si="34"/>
        <v>Grade D - Low Value</v>
      </c>
    </row>
    <row r="403" spans="1:10" x14ac:dyDescent="0.25">
      <c r="A403" s="7">
        <v>401</v>
      </c>
      <c r="B403" s="7">
        <f>'Raw Data'!N404</f>
        <v>0</v>
      </c>
      <c r="C403" s="7">
        <f>'Raw Data'!F404</f>
        <v>100</v>
      </c>
      <c r="D403" s="7">
        <f>'Raw Data'!A404</f>
        <v>0</v>
      </c>
      <c r="E403" s="7" t="str">
        <f t="shared" si="30"/>
        <v>Low</v>
      </c>
      <c r="F403" s="8" t="str">
        <f t="shared" si="31"/>
        <v>Very Low</v>
      </c>
      <c r="G403" s="7" t="str">
        <f t="shared" si="32"/>
        <v>Yes - Affordable &amp; Spacious</v>
      </c>
      <c r="H403" s="7" t="str">
        <f>IF(OR('Raw Data'!D404=1,D403&lt;0.1),"Yes - Desirable","No")</f>
        <v>Yes - Desirable</v>
      </c>
      <c r="I403" s="7" t="str">
        <f t="shared" si="33"/>
        <v>Safe Area</v>
      </c>
      <c r="J403" s="7" t="str">
        <f t="shared" si="34"/>
        <v>Grade D - Low Value</v>
      </c>
    </row>
    <row r="404" spans="1:10" x14ac:dyDescent="0.25">
      <c r="A404" s="7">
        <v>402</v>
      </c>
      <c r="B404" s="7">
        <f>'Raw Data'!N405</f>
        <v>0</v>
      </c>
      <c r="C404" s="7">
        <f>'Raw Data'!F405</f>
        <v>100</v>
      </c>
      <c r="D404" s="7">
        <f>'Raw Data'!A405</f>
        <v>0</v>
      </c>
      <c r="E404" s="7" t="str">
        <f t="shared" si="30"/>
        <v>Low</v>
      </c>
      <c r="F404" s="8" t="str">
        <f t="shared" si="31"/>
        <v>Very Low</v>
      </c>
      <c r="G404" s="7" t="str">
        <f t="shared" si="32"/>
        <v>Yes - Affordable &amp; Spacious</v>
      </c>
      <c r="H404" s="7" t="str">
        <f>IF(OR('Raw Data'!D405=1,D404&lt;0.1),"Yes - Desirable","No")</f>
        <v>Yes - Desirable</v>
      </c>
      <c r="I404" s="7" t="str">
        <f t="shared" si="33"/>
        <v>Safe Area</v>
      </c>
      <c r="J404" s="7" t="str">
        <f t="shared" si="34"/>
        <v>Grade D - Low Value</v>
      </c>
    </row>
    <row r="405" spans="1:10" x14ac:dyDescent="0.25">
      <c r="A405" s="7">
        <v>403</v>
      </c>
      <c r="B405" s="7">
        <f>'Raw Data'!N406</f>
        <v>12.1</v>
      </c>
      <c r="C405" s="7">
        <f>'Raw Data'!F406</f>
        <v>6.4039999999999999</v>
      </c>
      <c r="D405" s="7">
        <f>'Raw Data'!A406</f>
        <v>9.5957100000000004</v>
      </c>
      <c r="E405" s="7" t="str">
        <f t="shared" si="30"/>
        <v>Low</v>
      </c>
      <c r="F405" s="8" t="str">
        <f t="shared" si="31"/>
        <v>Low</v>
      </c>
      <c r="G405" s="7" t="str">
        <f t="shared" si="32"/>
        <v>Yes - Affordable &amp; Spacious</v>
      </c>
      <c r="H405" s="7" t="str">
        <f>IF(OR('Raw Data'!D406=1,D405&lt;0.1),"Yes - Desirable","No")</f>
        <v>No</v>
      </c>
      <c r="I405" s="7" t="str">
        <f t="shared" si="33"/>
        <v>High Crime</v>
      </c>
      <c r="J405" s="7" t="str">
        <f t="shared" si="34"/>
        <v>Grade D - Low Value</v>
      </c>
    </row>
    <row r="406" spans="1:10" x14ac:dyDescent="0.25">
      <c r="A406" s="7">
        <v>404</v>
      </c>
      <c r="B406" s="7">
        <f>'Raw Data'!N407</f>
        <v>0</v>
      </c>
      <c r="C406" s="7">
        <f>'Raw Data'!F407</f>
        <v>96</v>
      </c>
      <c r="D406" s="7">
        <f>'Raw Data'!A407</f>
        <v>0</v>
      </c>
      <c r="E406" s="7" t="str">
        <f t="shared" si="30"/>
        <v>Low</v>
      </c>
      <c r="F406" s="8" t="str">
        <f t="shared" si="31"/>
        <v>Very Low</v>
      </c>
      <c r="G406" s="7" t="str">
        <f t="shared" si="32"/>
        <v>Yes - Affordable &amp; Spacious</v>
      </c>
      <c r="H406" s="7" t="str">
        <f>IF(OR('Raw Data'!D407=1,D406&lt;0.1),"Yes - Desirable","No")</f>
        <v>Yes - Desirable</v>
      </c>
      <c r="I406" s="7" t="str">
        <f t="shared" si="33"/>
        <v>Safe Area</v>
      </c>
      <c r="J406" s="7" t="str">
        <f t="shared" si="34"/>
        <v>Grade D - Low Value</v>
      </c>
    </row>
    <row r="407" spans="1:10" x14ac:dyDescent="0.25">
      <c r="A407" s="7">
        <v>405</v>
      </c>
      <c r="B407" s="7">
        <f>'Raw Data'!N408</f>
        <v>0</v>
      </c>
      <c r="C407" s="7">
        <f>'Raw Data'!F408</f>
        <v>85.4</v>
      </c>
      <c r="D407" s="7">
        <f>'Raw Data'!A408</f>
        <v>0</v>
      </c>
      <c r="E407" s="7" t="str">
        <f t="shared" si="30"/>
        <v>Low</v>
      </c>
      <c r="F407" s="8" t="str">
        <f t="shared" si="31"/>
        <v>Very Low</v>
      </c>
      <c r="G407" s="7" t="str">
        <f t="shared" si="32"/>
        <v>Yes - Affordable &amp; Spacious</v>
      </c>
      <c r="H407" s="7" t="str">
        <f>IF(OR('Raw Data'!D408=1,D407&lt;0.1),"Yes - Desirable","No")</f>
        <v>Yes - Desirable</v>
      </c>
      <c r="I407" s="7" t="str">
        <f t="shared" si="33"/>
        <v>Safe Area</v>
      </c>
      <c r="J407" s="7" t="str">
        <f t="shared" si="34"/>
        <v>Grade D - Low Value</v>
      </c>
    </row>
    <row r="408" spans="1:10" x14ac:dyDescent="0.25">
      <c r="A408" s="7">
        <v>406</v>
      </c>
      <c r="B408" s="7">
        <f>'Raw Data'!N409</f>
        <v>0</v>
      </c>
      <c r="C408" s="7">
        <f>'Raw Data'!F409</f>
        <v>100</v>
      </c>
      <c r="D408" s="7">
        <f>'Raw Data'!A409</f>
        <v>0</v>
      </c>
      <c r="E408" s="7" t="str">
        <f t="shared" si="30"/>
        <v>Low</v>
      </c>
      <c r="F408" s="8" t="str">
        <f t="shared" si="31"/>
        <v>Very Low</v>
      </c>
      <c r="G408" s="7" t="str">
        <f t="shared" si="32"/>
        <v>Yes - Affordable &amp; Spacious</v>
      </c>
      <c r="H408" s="7" t="str">
        <f>IF(OR('Raw Data'!D409=1,D408&lt;0.1),"Yes - Desirable","No")</f>
        <v>Yes - Desirable</v>
      </c>
      <c r="I408" s="7" t="str">
        <f t="shared" si="33"/>
        <v>Safe Area</v>
      </c>
      <c r="J408" s="7" t="str">
        <f t="shared" si="34"/>
        <v>Grade D - Low Value</v>
      </c>
    </row>
    <row r="409" spans="1:10" x14ac:dyDescent="0.25">
      <c r="A409" s="7">
        <v>407</v>
      </c>
      <c r="B409" s="7">
        <f>'Raw Data'!N410</f>
        <v>0</v>
      </c>
      <c r="C409" s="7">
        <f>'Raw Data'!F410</f>
        <v>100</v>
      </c>
      <c r="D409" s="7">
        <f>'Raw Data'!A410</f>
        <v>0</v>
      </c>
      <c r="E409" s="7" t="str">
        <f t="shared" si="30"/>
        <v>Low</v>
      </c>
      <c r="F409" s="8" t="str">
        <f t="shared" si="31"/>
        <v>Very Low</v>
      </c>
      <c r="G409" s="7" t="str">
        <f t="shared" si="32"/>
        <v>Yes - Affordable &amp; Spacious</v>
      </c>
      <c r="H409" s="7" t="str">
        <f>IF(OR('Raw Data'!D410=1,D409&lt;0.1),"Yes - Desirable","No")</f>
        <v>Yes - Desirable</v>
      </c>
      <c r="I409" s="7" t="str">
        <f t="shared" si="33"/>
        <v>Safe Area</v>
      </c>
      <c r="J409" s="7" t="str">
        <f t="shared" si="34"/>
        <v>Grade D - Low Value</v>
      </c>
    </row>
    <row r="410" spans="1:10" x14ac:dyDescent="0.25">
      <c r="A410" s="7">
        <v>408</v>
      </c>
      <c r="B410" s="7">
        <f>'Raw Data'!N411</f>
        <v>0</v>
      </c>
      <c r="C410" s="7">
        <f>'Raw Data'!F411</f>
        <v>100</v>
      </c>
      <c r="D410" s="7">
        <f>'Raw Data'!A411</f>
        <v>0</v>
      </c>
      <c r="E410" s="7" t="str">
        <f t="shared" si="30"/>
        <v>Low</v>
      </c>
      <c r="F410" s="8" t="str">
        <f t="shared" si="31"/>
        <v>Very Low</v>
      </c>
      <c r="G410" s="7" t="str">
        <f t="shared" si="32"/>
        <v>Yes - Affordable &amp; Spacious</v>
      </c>
      <c r="H410" s="7" t="str">
        <f>IF(OR('Raw Data'!D411=1,D410&lt;0.1),"Yes - Desirable","No")</f>
        <v>Yes - Desirable</v>
      </c>
      <c r="I410" s="7" t="str">
        <f t="shared" si="33"/>
        <v>Safe Area</v>
      </c>
      <c r="J410" s="7" t="str">
        <f t="shared" si="34"/>
        <v>Grade D - Low Value</v>
      </c>
    </row>
    <row r="411" spans="1:10" x14ac:dyDescent="0.25">
      <c r="A411" s="7">
        <v>409</v>
      </c>
      <c r="B411" s="7">
        <f>'Raw Data'!N412</f>
        <v>17.2</v>
      </c>
      <c r="C411" s="7">
        <f>'Raw Data'!F412</f>
        <v>5.617</v>
      </c>
      <c r="D411" s="7">
        <f>'Raw Data'!A412</f>
        <v>7.4038899999999996</v>
      </c>
      <c r="E411" s="7" t="str">
        <f t="shared" si="30"/>
        <v>Medium</v>
      </c>
      <c r="F411" s="8" t="str">
        <f t="shared" si="31"/>
        <v>Low</v>
      </c>
      <c r="G411" s="7" t="str">
        <f t="shared" si="32"/>
        <v>No</v>
      </c>
      <c r="H411" s="7" t="str">
        <f>IF(OR('Raw Data'!D412=1,D411&lt;0.1),"Yes - Desirable","No")</f>
        <v>No</v>
      </c>
      <c r="I411" s="7" t="str">
        <f t="shared" si="33"/>
        <v>High Crime</v>
      </c>
      <c r="J411" s="7" t="str">
        <f t="shared" si="34"/>
        <v>Grade D - Low Value</v>
      </c>
    </row>
    <row r="412" spans="1:10" x14ac:dyDescent="0.25">
      <c r="A412" s="7">
        <v>410</v>
      </c>
      <c r="B412" s="7">
        <f>'Raw Data'!N413</f>
        <v>0</v>
      </c>
      <c r="C412" s="7">
        <f>'Raw Data'!F413</f>
        <v>100</v>
      </c>
      <c r="D412" s="7">
        <f>'Raw Data'!A413</f>
        <v>0</v>
      </c>
      <c r="E412" s="7" t="str">
        <f t="shared" si="30"/>
        <v>Low</v>
      </c>
      <c r="F412" s="8" t="str">
        <f t="shared" si="31"/>
        <v>Very Low</v>
      </c>
      <c r="G412" s="7" t="str">
        <f t="shared" si="32"/>
        <v>Yes - Affordable &amp; Spacious</v>
      </c>
      <c r="H412" s="7" t="str">
        <f>IF(OR('Raw Data'!D413=1,D412&lt;0.1),"Yes - Desirable","No")</f>
        <v>Yes - Desirable</v>
      </c>
      <c r="I412" s="7" t="str">
        <f t="shared" si="33"/>
        <v>Safe Area</v>
      </c>
      <c r="J412" s="7" t="str">
        <f t="shared" si="34"/>
        <v>Grade D - Low Value</v>
      </c>
    </row>
    <row r="413" spans="1:10" x14ac:dyDescent="0.25">
      <c r="A413" s="7">
        <v>411</v>
      </c>
      <c r="B413" s="7">
        <f>'Raw Data'!N414</f>
        <v>0</v>
      </c>
      <c r="C413" s="7">
        <f>'Raw Data'!F414</f>
        <v>100</v>
      </c>
      <c r="D413" s="7">
        <f>'Raw Data'!A414</f>
        <v>0</v>
      </c>
      <c r="E413" s="7" t="str">
        <f t="shared" si="30"/>
        <v>Low</v>
      </c>
      <c r="F413" s="8" t="str">
        <f t="shared" si="31"/>
        <v>Very Low</v>
      </c>
      <c r="G413" s="7" t="str">
        <f t="shared" si="32"/>
        <v>Yes - Affordable &amp; Spacious</v>
      </c>
      <c r="H413" s="7" t="str">
        <f>IF(OR('Raw Data'!D414=1,D413&lt;0.1),"Yes - Desirable","No")</f>
        <v>Yes - Desirable</v>
      </c>
      <c r="I413" s="7" t="str">
        <f t="shared" si="33"/>
        <v>Safe Area</v>
      </c>
      <c r="J413" s="7" t="str">
        <f t="shared" si="34"/>
        <v>Grade D - Low Value</v>
      </c>
    </row>
    <row r="414" spans="1:10" x14ac:dyDescent="0.25">
      <c r="A414" s="7">
        <v>412</v>
      </c>
      <c r="B414" s="7">
        <f>'Raw Data'!N415</f>
        <v>0</v>
      </c>
      <c r="C414" s="7">
        <f>'Raw Data'!F415</f>
        <v>100</v>
      </c>
      <c r="D414" s="7">
        <f>'Raw Data'!A415</f>
        <v>0</v>
      </c>
      <c r="E414" s="7" t="str">
        <f t="shared" si="30"/>
        <v>Low</v>
      </c>
      <c r="F414" s="8" t="str">
        <f t="shared" si="31"/>
        <v>Very Low</v>
      </c>
      <c r="G414" s="7" t="str">
        <f t="shared" si="32"/>
        <v>Yes - Affordable &amp; Spacious</v>
      </c>
      <c r="H414" s="7" t="str">
        <f>IF(OR('Raw Data'!D415=1,D414&lt;0.1),"Yes - Desirable","No")</f>
        <v>Yes - Desirable</v>
      </c>
      <c r="I414" s="7" t="str">
        <f t="shared" si="33"/>
        <v>Safe Area</v>
      </c>
      <c r="J414" s="7" t="str">
        <f t="shared" si="34"/>
        <v>Grade D - Low Value</v>
      </c>
    </row>
    <row r="415" spans="1:10" x14ac:dyDescent="0.25">
      <c r="A415" s="7">
        <v>413</v>
      </c>
      <c r="B415" s="7">
        <f>'Raw Data'!N416</f>
        <v>0</v>
      </c>
      <c r="C415" s="7">
        <f>'Raw Data'!F416</f>
        <v>100</v>
      </c>
      <c r="D415" s="7">
        <f>'Raw Data'!A416</f>
        <v>0</v>
      </c>
      <c r="E415" s="7" t="str">
        <f t="shared" si="30"/>
        <v>Low</v>
      </c>
      <c r="F415" s="8" t="str">
        <f t="shared" si="31"/>
        <v>Very Low</v>
      </c>
      <c r="G415" s="7" t="str">
        <f t="shared" si="32"/>
        <v>Yes - Affordable &amp; Spacious</v>
      </c>
      <c r="H415" s="7" t="str">
        <f>IF(OR('Raw Data'!D416=1,D415&lt;0.1),"Yes - Desirable","No")</f>
        <v>Yes - Desirable</v>
      </c>
      <c r="I415" s="7" t="str">
        <f t="shared" si="33"/>
        <v>Safe Area</v>
      </c>
      <c r="J415" s="7" t="str">
        <f t="shared" si="34"/>
        <v>Grade D - Low Value</v>
      </c>
    </row>
    <row r="416" spans="1:10" x14ac:dyDescent="0.25">
      <c r="A416" s="7">
        <v>414</v>
      </c>
      <c r="B416" s="7">
        <f>'Raw Data'!N417</f>
        <v>0</v>
      </c>
      <c r="C416" s="7">
        <f>'Raw Data'!F417</f>
        <v>100</v>
      </c>
      <c r="D416" s="7">
        <f>'Raw Data'!A417</f>
        <v>0</v>
      </c>
      <c r="E416" s="7" t="str">
        <f t="shared" si="30"/>
        <v>Low</v>
      </c>
      <c r="F416" s="8" t="str">
        <f t="shared" si="31"/>
        <v>Very Low</v>
      </c>
      <c r="G416" s="7" t="str">
        <f t="shared" si="32"/>
        <v>Yes - Affordable &amp; Spacious</v>
      </c>
      <c r="H416" s="7" t="str">
        <f>IF(OR('Raw Data'!D417=1,D416&lt;0.1),"Yes - Desirable","No")</f>
        <v>Yes - Desirable</v>
      </c>
      <c r="I416" s="7" t="str">
        <f t="shared" si="33"/>
        <v>Safe Area</v>
      </c>
      <c r="J416" s="7" t="str">
        <f t="shared" si="34"/>
        <v>Grade D - Low Value</v>
      </c>
    </row>
    <row r="417" spans="1:10" x14ac:dyDescent="0.25">
      <c r="A417" s="7">
        <v>415</v>
      </c>
      <c r="B417" s="7">
        <f>'Raw Data'!N418</f>
        <v>0</v>
      </c>
      <c r="C417" s="7">
        <f>'Raw Data'!F418</f>
        <v>100</v>
      </c>
      <c r="D417" s="7">
        <f>'Raw Data'!A418</f>
        <v>0</v>
      </c>
      <c r="E417" s="7" t="str">
        <f t="shared" si="30"/>
        <v>Low</v>
      </c>
      <c r="F417" s="8" t="str">
        <f t="shared" si="31"/>
        <v>Very Low</v>
      </c>
      <c r="G417" s="7" t="str">
        <f t="shared" si="32"/>
        <v>Yes - Affordable &amp; Spacious</v>
      </c>
      <c r="H417" s="7" t="str">
        <f>IF(OR('Raw Data'!D418=1,D417&lt;0.1),"Yes - Desirable","No")</f>
        <v>Yes - Desirable</v>
      </c>
      <c r="I417" s="7" t="str">
        <f t="shared" si="33"/>
        <v>Safe Area</v>
      </c>
      <c r="J417" s="7" t="str">
        <f t="shared" si="34"/>
        <v>Grade D - Low Value</v>
      </c>
    </row>
    <row r="418" spans="1:10" x14ac:dyDescent="0.25">
      <c r="A418" s="7">
        <v>416</v>
      </c>
      <c r="B418" s="7">
        <f>'Raw Data'!N419</f>
        <v>0</v>
      </c>
      <c r="C418" s="7">
        <f>'Raw Data'!F419</f>
        <v>100</v>
      </c>
      <c r="D418" s="7">
        <f>'Raw Data'!A419</f>
        <v>0</v>
      </c>
      <c r="E418" s="7" t="str">
        <f t="shared" si="30"/>
        <v>Low</v>
      </c>
      <c r="F418" s="8" t="str">
        <f t="shared" si="31"/>
        <v>Very Low</v>
      </c>
      <c r="G418" s="7" t="str">
        <f t="shared" si="32"/>
        <v>Yes - Affordable &amp; Spacious</v>
      </c>
      <c r="H418" s="7" t="str">
        <f>IF(OR('Raw Data'!D419=1,D418&lt;0.1),"Yes - Desirable","No")</f>
        <v>Yes - Desirable</v>
      </c>
      <c r="I418" s="7" t="str">
        <f t="shared" si="33"/>
        <v>Safe Area</v>
      </c>
      <c r="J418" s="7" t="str">
        <f t="shared" si="34"/>
        <v>Grade D - Low Value</v>
      </c>
    </row>
    <row r="419" spans="1:10" x14ac:dyDescent="0.25">
      <c r="A419" s="7">
        <v>417</v>
      </c>
      <c r="B419" s="7">
        <f>'Raw Data'!N420</f>
        <v>0</v>
      </c>
      <c r="C419" s="7">
        <f>'Raw Data'!F420</f>
        <v>90.8</v>
      </c>
      <c r="D419" s="7">
        <f>'Raw Data'!A420</f>
        <v>0</v>
      </c>
      <c r="E419" s="7" t="str">
        <f t="shared" si="30"/>
        <v>Low</v>
      </c>
      <c r="F419" s="8" t="str">
        <f t="shared" si="31"/>
        <v>Very Low</v>
      </c>
      <c r="G419" s="7" t="str">
        <f t="shared" si="32"/>
        <v>Yes - Affordable &amp; Spacious</v>
      </c>
      <c r="H419" s="7" t="str">
        <f>IF(OR('Raw Data'!D420=1,D419&lt;0.1),"Yes - Desirable","No")</f>
        <v>Yes - Desirable</v>
      </c>
      <c r="I419" s="7" t="str">
        <f t="shared" si="33"/>
        <v>Safe Area</v>
      </c>
      <c r="J419" s="7" t="str">
        <f t="shared" si="34"/>
        <v>Grade D - Low Value</v>
      </c>
    </row>
    <row r="420" spans="1:10" x14ac:dyDescent="0.25">
      <c r="A420" s="7">
        <v>418</v>
      </c>
      <c r="B420" s="7">
        <f>'Raw Data'!N421</f>
        <v>0</v>
      </c>
      <c r="C420" s="7">
        <f>'Raw Data'!F421</f>
        <v>89.1</v>
      </c>
      <c r="D420" s="7">
        <f>'Raw Data'!A421</f>
        <v>0</v>
      </c>
      <c r="E420" s="7" t="str">
        <f t="shared" si="30"/>
        <v>Low</v>
      </c>
      <c r="F420" s="8" t="str">
        <f t="shared" si="31"/>
        <v>Very Low</v>
      </c>
      <c r="G420" s="7" t="str">
        <f t="shared" si="32"/>
        <v>Yes - Affordable &amp; Spacious</v>
      </c>
      <c r="H420" s="7" t="str">
        <f>IF(OR('Raw Data'!D421=1,D420&lt;0.1),"Yes - Desirable","No")</f>
        <v>Yes - Desirable</v>
      </c>
      <c r="I420" s="7" t="str">
        <f t="shared" si="33"/>
        <v>Safe Area</v>
      </c>
      <c r="J420" s="7" t="str">
        <f t="shared" si="34"/>
        <v>Grade D - Low Value</v>
      </c>
    </row>
    <row r="421" spans="1:10" x14ac:dyDescent="0.25">
      <c r="A421" s="7">
        <v>419</v>
      </c>
      <c r="B421" s="7">
        <f>'Raw Data'!N422</f>
        <v>0</v>
      </c>
      <c r="C421" s="7">
        <f>'Raw Data'!F422</f>
        <v>100</v>
      </c>
      <c r="D421" s="7">
        <f>'Raw Data'!A422</f>
        <v>0</v>
      </c>
      <c r="E421" s="7" t="str">
        <f t="shared" si="30"/>
        <v>Low</v>
      </c>
      <c r="F421" s="8" t="str">
        <f t="shared" si="31"/>
        <v>Very Low</v>
      </c>
      <c r="G421" s="7" t="str">
        <f t="shared" si="32"/>
        <v>Yes - Affordable &amp; Spacious</v>
      </c>
      <c r="H421" s="7" t="str">
        <f>IF(OR('Raw Data'!D422=1,D421&lt;0.1),"Yes - Desirable","No")</f>
        <v>Yes - Desirable</v>
      </c>
      <c r="I421" s="7" t="str">
        <f t="shared" si="33"/>
        <v>Safe Area</v>
      </c>
      <c r="J421" s="7" t="str">
        <f t="shared" si="34"/>
        <v>Grade D - Low Value</v>
      </c>
    </row>
    <row r="422" spans="1:10" x14ac:dyDescent="0.25">
      <c r="A422" s="7">
        <v>420</v>
      </c>
      <c r="B422" s="7">
        <f>'Raw Data'!N423</f>
        <v>0</v>
      </c>
      <c r="C422" s="7">
        <f>'Raw Data'!F423</f>
        <v>76.5</v>
      </c>
      <c r="D422" s="7">
        <f>'Raw Data'!A423</f>
        <v>0</v>
      </c>
      <c r="E422" s="7" t="str">
        <f t="shared" si="30"/>
        <v>Low</v>
      </c>
      <c r="F422" s="8" t="str">
        <f t="shared" si="31"/>
        <v>Very Low</v>
      </c>
      <c r="G422" s="7" t="str">
        <f t="shared" si="32"/>
        <v>Yes - Affordable &amp; Spacious</v>
      </c>
      <c r="H422" s="7" t="str">
        <f>IF(OR('Raw Data'!D423=1,D422&lt;0.1),"Yes - Desirable","No")</f>
        <v>Yes - Desirable</v>
      </c>
      <c r="I422" s="7" t="str">
        <f t="shared" si="33"/>
        <v>Safe Area</v>
      </c>
      <c r="J422" s="7" t="str">
        <f t="shared" si="34"/>
        <v>Grade D - Low Value</v>
      </c>
    </row>
    <row r="423" spans="1:10" x14ac:dyDescent="0.25">
      <c r="A423" s="7">
        <v>421</v>
      </c>
      <c r="B423" s="7">
        <f>'Raw Data'!N424</f>
        <v>0</v>
      </c>
      <c r="C423" s="7">
        <f>'Raw Data'!F424</f>
        <v>100</v>
      </c>
      <c r="D423" s="7">
        <f>'Raw Data'!A424</f>
        <v>0</v>
      </c>
      <c r="E423" s="7" t="str">
        <f t="shared" si="30"/>
        <v>Low</v>
      </c>
      <c r="F423" s="8" t="str">
        <f t="shared" si="31"/>
        <v>Very Low</v>
      </c>
      <c r="G423" s="7" t="str">
        <f t="shared" si="32"/>
        <v>Yes - Affordable &amp; Spacious</v>
      </c>
      <c r="H423" s="7" t="str">
        <f>IF(OR('Raw Data'!D424=1,D423&lt;0.1),"Yes - Desirable","No")</f>
        <v>Yes - Desirable</v>
      </c>
      <c r="I423" s="7" t="str">
        <f t="shared" si="33"/>
        <v>Safe Area</v>
      </c>
      <c r="J423" s="7" t="str">
        <f t="shared" si="34"/>
        <v>Grade D - Low Value</v>
      </c>
    </row>
    <row r="424" spans="1:10" x14ac:dyDescent="0.25">
      <c r="A424" s="7">
        <v>422</v>
      </c>
      <c r="B424" s="7">
        <f>'Raw Data'!N425</f>
        <v>14.2</v>
      </c>
      <c r="C424" s="7">
        <f>'Raw Data'!F425</f>
        <v>6.0060000000000002</v>
      </c>
      <c r="D424" s="7">
        <f>'Raw Data'!A425</f>
        <v>7.0225900000000001</v>
      </c>
      <c r="E424" s="7" t="str">
        <f t="shared" si="30"/>
        <v>Low</v>
      </c>
      <c r="F424" s="8" t="str">
        <f t="shared" si="31"/>
        <v>Low</v>
      </c>
      <c r="G424" s="7" t="str">
        <f t="shared" si="32"/>
        <v>Yes - Affordable &amp; Spacious</v>
      </c>
      <c r="H424" s="7" t="str">
        <f>IF(OR('Raw Data'!D425=1,D424&lt;0.1),"Yes - Desirable","No")</f>
        <v>No</v>
      </c>
      <c r="I424" s="7" t="str">
        <f t="shared" si="33"/>
        <v>High Crime</v>
      </c>
      <c r="J424" s="7" t="str">
        <f t="shared" si="34"/>
        <v>Grade D - Low Value</v>
      </c>
    </row>
    <row r="425" spans="1:10" x14ac:dyDescent="0.25">
      <c r="A425" s="7">
        <v>423</v>
      </c>
      <c r="B425" s="7">
        <f>'Raw Data'!N426</f>
        <v>0</v>
      </c>
      <c r="C425" s="7">
        <f>'Raw Data'!F426</f>
        <v>87.6</v>
      </c>
      <c r="D425" s="7">
        <f>'Raw Data'!A426</f>
        <v>0</v>
      </c>
      <c r="E425" s="7" t="str">
        <f t="shared" si="30"/>
        <v>Low</v>
      </c>
      <c r="F425" s="8" t="str">
        <f t="shared" si="31"/>
        <v>Very Low</v>
      </c>
      <c r="G425" s="7" t="str">
        <f t="shared" si="32"/>
        <v>Yes - Affordable &amp; Spacious</v>
      </c>
      <c r="H425" s="7" t="str">
        <f>IF(OR('Raw Data'!D426=1,D425&lt;0.1),"Yes - Desirable","No")</f>
        <v>Yes - Desirable</v>
      </c>
      <c r="I425" s="7" t="str">
        <f t="shared" si="33"/>
        <v>Safe Area</v>
      </c>
      <c r="J425" s="7" t="str">
        <f t="shared" si="34"/>
        <v>Grade D - Low Value</v>
      </c>
    </row>
    <row r="426" spans="1:10" x14ac:dyDescent="0.25">
      <c r="A426" s="7">
        <v>424</v>
      </c>
      <c r="B426" s="7">
        <f>'Raw Data'!N427</f>
        <v>13.4</v>
      </c>
      <c r="C426" s="7">
        <f>'Raw Data'!F427</f>
        <v>6.1029999999999998</v>
      </c>
      <c r="D426" s="7">
        <f>'Raw Data'!A427</f>
        <v>7.0504199999999999</v>
      </c>
      <c r="E426" s="7" t="str">
        <f t="shared" si="30"/>
        <v>Low</v>
      </c>
      <c r="F426" s="8" t="str">
        <f t="shared" si="31"/>
        <v>Low</v>
      </c>
      <c r="G426" s="7" t="str">
        <f t="shared" si="32"/>
        <v>Yes - Affordable &amp; Spacious</v>
      </c>
      <c r="H426" s="7" t="str">
        <f>IF(OR('Raw Data'!D427=1,D426&lt;0.1),"Yes - Desirable","No")</f>
        <v>No</v>
      </c>
      <c r="I426" s="7" t="str">
        <f t="shared" si="33"/>
        <v>High Crime</v>
      </c>
      <c r="J426" s="7" t="str">
        <f t="shared" si="34"/>
        <v>Grade D - Low Value</v>
      </c>
    </row>
    <row r="427" spans="1:10" x14ac:dyDescent="0.25">
      <c r="A427" s="7">
        <v>425</v>
      </c>
      <c r="B427" s="7">
        <f>'Raw Data'!N428</f>
        <v>11.7</v>
      </c>
      <c r="C427" s="7">
        <f>'Raw Data'!F428</f>
        <v>5.5650000000000004</v>
      </c>
      <c r="D427" s="7">
        <f>'Raw Data'!A428</f>
        <v>8.7921200000000006</v>
      </c>
      <c r="E427" s="7" t="str">
        <f t="shared" si="30"/>
        <v>Low</v>
      </c>
      <c r="F427" s="8" t="str">
        <f t="shared" si="31"/>
        <v>Low</v>
      </c>
      <c r="G427" s="7" t="str">
        <f t="shared" si="32"/>
        <v>No</v>
      </c>
      <c r="H427" s="7" t="str">
        <f>IF(OR('Raw Data'!D428=1,D427&lt;0.1),"Yes - Desirable","No")</f>
        <v>No</v>
      </c>
      <c r="I427" s="7" t="str">
        <f t="shared" si="33"/>
        <v>High Crime</v>
      </c>
      <c r="J427" s="7" t="str">
        <f t="shared" si="34"/>
        <v>Grade D - Low Value</v>
      </c>
    </row>
    <row r="428" spans="1:10" x14ac:dyDescent="0.25">
      <c r="A428" s="7">
        <v>426</v>
      </c>
      <c r="B428" s="7">
        <f>'Raw Data'!N429</f>
        <v>0</v>
      </c>
      <c r="C428" s="7">
        <f>'Raw Data'!F429</f>
        <v>95.4</v>
      </c>
      <c r="D428" s="7">
        <f>'Raw Data'!A429</f>
        <v>0</v>
      </c>
      <c r="E428" s="7" t="str">
        <f t="shared" si="30"/>
        <v>Low</v>
      </c>
      <c r="F428" s="8" t="str">
        <f t="shared" si="31"/>
        <v>Very Low</v>
      </c>
      <c r="G428" s="7" t="str">
        <f t="shared" si="32"/>
        <v>Yes - Affordable &amp; Spacious</v>
      </c>
      <c r="H428" s="7" t="str">
        <f>IF(OR('Raw Data'!D429=1,D428&lt;0.1),"Yes - Desirable","No")</f>
        <v>Yes - Desirable</v>
      </c>
      <c r="I428" s="7" t="str">
        <f t="shared" si="33"/>
        <v>Safe Area</v>
      </c>
      <c r="J428" s="7" t="str">
        <f t="shared" si="34"/>
        <v>Grade D - Low Value</v>
      </c>
    </row>
    <row r="429" spans="1:10" x14ac:dyDescent="0.25">
      <c r="A429" s="7">
        <v>427</v>
      </c>
      <c r="B429" s="7">
        <f>'Raw Data'!N430</f>
        <v>0</v>
      </c>
      <c r="C429" s="7">
        <f>'Raw Data'!F430</f>
        <v>59.7</v>
      </c>
      <c r="D429" s="7">
        <f>'Raw Data'!A430</f>
        <v>0</v>
      </c>
      <c r="E429" s="7" t="str">
        <f t="shared" si="30"/>
        <v>Low</v>
      </c>
      <c r="F429" s="8" t="str">
        <f t="shared" si="31"/>
        <v>Very Low</v>
      </c>
      <c r="G429" s="7" t="str">
        <f t="shared" si="32"/>
        <v>Yes - Affordable &amp; Spacious</v>
      </c>
      <c r="H429" s="7" t="str">
        <f>IF(OR('Raw Data'!D430=1,D429&lt;0.1),"Yes - Desirable","No")</f>
        <v>Yes - Desirable</v>
      </c>
      <c r="I429" s="7" t="str">
        <f t="shared" si="33"/>
        <v>Safe Area</v>
      </c>
      <c r="J429" s="7" t="str">
        <f t="shared" si="34"/>
        <v>Grade D - Low Value</v>
      </c>
    </row>
    <row r="430" spans="1:10" x14ac:dyDescent="0.25">
      <c r="A430" s="7">
        <v>428</v>
      </c>
      <c r="B430" s="7">
        <f>'Raw Data'!N431</f>
        <v>0</v>
      </c>
      <c r="C430" s="7">
        <f>'Raw Data'!F431</f>
        <v>78.7</v>
      </c>
      <c r="D430" s="7">
        <f>'Raw Data'!A431</f>
        <v>0</v>
      </c>
      <c r="E430" s="7" t="str">
        <f t="shared" si="30"/>
        <v>Low</v>
      </c>
      <c r="F430" s="8" t="str">
        <f t="shared" si="31"/>
        <v>Very Low</v>
      </c>
      <c r="G430" s="7" t="str">
        <f t="shared" si="32"/>
        <v>Yes - Affordable &amp; Spacious</v>
      </c>
      <c r="H430" s="7" t="str">
        <f>IF(OR('Raw Data'!D431=1,D430&lt;0.1),"Yes - Desirable","No")</f>
        <v>Yes - Desirable</v>
      </c>
      <c r="I430" s="7" t="str">
        <f t="shared" si="33"/>
        <v>Safe Area</v>
      </c>
      <c r="J430" s="7" t="str">
        <f t="shared" si="34"/>
        <v>Grade D - Low Value</v>
      </c>
    </row>
    <row r="431" spans="1:10" x14ac:dyDescent="0.25">
      <c r="A431" s="7">
        <v>429</v>
      </c>
      <c r="B431" s="7">
        <f>'Raw Data'!N432</f>
        <v>11</v>
      </c>
      <c r="C431" s="7">
        <f>'Raw Data'!F432</f>
        <v>6.1929999999999996</v>
      </c>
      <c r="D431" s="7">
        <f>'Raw Data'!A432</f>
        <v>7.3671100000000003</v>
      </c>
      <c r="E431" s="7" t="str">
        <f t="shared" si="30"/>
        <v>Low</v>
      </c>
      <c r="F431" s="8" t="str">
        <f t="shared" si="31"/>
        <v>Low</v>
      </c>
      <c r="G431" s="7" t="str">
        <f t="shared" si="32"/>
        <v>Yes - Affordable &amp; Spacious</v>
      </c>
      <c r="H431" s="7" t="str">
        <f>IF(OR('Raw Data'!D432=1,D431&lt;0.1),"Yes - Desirable","No")</f>
        <v>No</v>
      </c>
      <c r="I431" s="7" t="str">
        <f t="shared" si="33"/>
        <v>High Crime</v>
      </c>
      <c r="J431" s="7" t="str">
        <f t="shared" si="34"/>
        <v>Grade D - Low Value</v>
      </c>
    </row>
    <row r="432" spans="1:10" x14ac:dyDescent="0.25">
      <c r="A432" s="7">
        <v>430</v>
      </c>
      <c r="B432" s="7">
        <f>'Raw Data'!N433</f>
        <v>9.5</v>
      </c>
      <c r="C432" s="7">
        <f>'Raw Data'!F433</f>
        <v>6.38</v>
      </c>
      <c r="D432" s="7">
        <f>'Raw Data'!A433</f>
        <v>9.3388899999999992</v>
      </c>
      <c r="E432" s="7" t="str">
        <f t="shared" si="30"/>
        <v>Low</v>
      </c>
      <c r="F432" s="8" t="str">
        <f t="shared" si="31"/>
        <v>Very Low</v>
      </c>
      <c r="G432" s="7" t="str">
        <f t="shared" si="32"/>
        <v>Yes - Affordable &amp; Spacious</v>
      </c>
      <c r="H432" s="7" t="str">
        <f>IF(OR('Raw Data'!D433=1,D432&lt;0.1),"Yes - Desirable","No")</f>
        <v>No</v>
      </c>
      <c r="I432" s="7" t="str">
        <f t="shared" si="33"/>
        <v>High Crime</v>
      </c>
      <c r="J432" s="7" t="str">
        <f t="shared" si="34"/>
        <v>Grade D - Low Value</v>
      </c>
    </row>
    <row r="433" spans="1:10" x14ac:dyDescent="0.25">
      <c r="A433" s="7">
        <v>431</v>
      </c>
      <c r="B433" s="7">
        <f>'Raw Data'!N434</f>
        <v>14.5</v>
      </c>
      <c r="C433" s="7">
        <f>'Raw Data'!F434</f>
        <v>6.3479999999999999</v>
      </c>
      <c r="D433" s="7">
        <f>'Raw Data'!A434</f>
        <v>8.4921299999999995</v>
      </c>
      <c r="E433" s="7" t="str">
        <f t="shared" si="30"/>
        <v>Low</v>
      </c>
      <c r="F433" s="8" t="str">
        <f t="shared" si="31"/>
        <v>Low</v>
      </c>
      <c r="G433" s="7" t="str">
        <f t="shared" si="32"/>
        <v>Yes - Affordable &amp; Spacious</v>
      </c>
      <c r="H433" s="7" t="str">
        <f>IF(OR('Raw Data'!D434=1,D433&lt;0.1),"Yes - Desirable","No")</f>
        <v>No</v>
      </c>
      <c r="I433" s="7" t="str">
        <f t="shared" si="33"/>
        <v>High Crime</v>
      </c>
      <c r="J433" s="7" t="str">
        <f t="shared" si="34"/>
        <v>Grade D - Low Value</v>
      </c>
    </row>
    <row r="434" spans="1:10" x14ac:dyDescent="0.25">
      <c r="A434" s="7">
        <v>432</v>
      </c>
      <c r="B434" s="7">
        <f>'Raw Data'!N435</f>
        <v>0</v>
      </c>
      <c r="C434" s="7">
        <f>'Raw Data'!F435</f>
        <v>94.3</v>
      </c>
      <c r="D434" s="7">
        <f>'Raw Data'!A435</f>
        <v>0</v>
      </c>
      <c r="E434" s="7" t="str">
        <f t="shared" si="30"/>
        <v>Low</v>
      </c>
      <c r="F434" s="8" t="str">
        <f t="shared" si="31"/>
        <v>Very Low</v>
      </c>
      <c r="G434" s="7" t="str">
        <f t="shared" si="32"/>
        <v>Yes - Affordable &amp; Spacious</v>
      </c>
      <c r="H434" s="7" t="str">
        <f>IF(OR('Raw Data'!D435=1,D434&lt;0.1),"Yes - Desirable","No")</f>
        <v>Yes - Desirable</v>
      </c>
      <c r="I434" s="7" t="str">
        <f t="shared" si="33"/>
        <v>Safe Area</v>
      </c>
      <c r="J434" s="7" t="str">
        <f t="shared" si="34"/>
        <v>Grade D - Low Value</v>
      </c>
    </row>
    <row r="435" spans="1:10" x14ac:dyDescent="0.25">
      <c r="A435" s="7">
        <v>433</v>
      </c>
      <c r="B435" s="7">
        <f>'Raw Data'!N436</f>
        <v>16.100000000000001</v>
      </c>
      <c r="C435" s="7">
        <f>'Raw Data'!F436</f>
        <v>6.4249999999999998</v>
      </c>
      <c r="D435" s="7">
        <f>'Raw Data'!A436</f>
        <v>6.4440499999999998</v>
      </c>
      <c r="E435" s="7" t="str">
        <f t="shared" si="30"/>
        <v>Medium</v>
      </c>
      <c r="F435" s="8" t="str">
        <f t="shared" si="31"/>
        <v>Low</v>
      </c>
      <c r="G435" s="7" t="str">
        <f t="shared" si="32"/>
        <v>Yes - Affordable &amp; Spacious</v>
      </c>
      <c r="H435" s="7" t="str">
        <f>IF(OR('Raw Data'!D436=1,D435&lt;0.1),"Yes - Desirable","No")</f>
        <v>No</v>
      </c>
      <c r="I435" s="7" t="str">
        <f t="shared" si="33"/>
        <v>High Crime</v>
      </c>
      <c r="J435" s="7" t="str">
        <f t="shared" si="34"/>
        <v>Grade D - Low Value</v>
      </c>
    </row>
    <row r="436" spans="1:10" x14ac:dyDescent="0.25">
      <c r="A436" s="7">
        <v>434</v>
      </c>
      <c r="B436" s="7">
        <f>'Raw Data'!N437</f>
        <v>14.3</v>
      </c>
      <c r="C436" s="7">
        <f>'Raw Data'!F437</f>
        <v>6.4359999999999999</v>
      </c>
      <c r="D436" s="7">
        <f>'Raw Data'!A437</f>
        <v>5.5810700000000004</v>
      </c>
      <c r="E436" s="7" t="str">
        <f t="shared" si="30"/>
        <v>Low</v>
      </c>
      <c r="F436" s="8" t="str">
        <f t="shared" si="31"/>
        <v>Low</v>
      </c>
      <c r="G436" s="7" t="str">
        <f t="shared" si="32"/>
        <v>Yes - Affordable &amp; Spacious</v>
      </c>
      <c r="H436" s="7" t="str">
        <f>IF(OR('Raw Data'!D437=1,D436&lt;0.1),"Yes - Desirable","No")</f>
        <v>No</v>
      </c>
      <c r="I436" s="7" t="str">
        <f t="shared" si="33"/>
        <v>High Crime</v>
      </c>
      <c r="J436" s="7" t="str">
        <f t="shared" si="34"/>
        <v>Grade D - Low Value</v>
      </c>
    </row>
    <row r="437" spans="1:10" x14ac:dyDescent="0.25">
      <c r="A437" s="7">
        <v>435</v>
      </c>
      <c r="B437" s="7">
        <f>'Raw Data'!N438</f>
        <v>0</v>
      </c>
      <c r="C437" s="7">
        <f>'Raw Data'!F438</f>
        <v>95</v>
      </c>
      <c r="D437" s="7">
        <f>'Raw Data'!A438</f>
        <v>0</v>
      </c>
      <c r="E437" s="7" t="str">
        <f t="shared" si="30"/>
        <v>Low</v>
      </c>
      <c r="F437" s="8" t="str">
        <f t="shared" si="31"/>
        <v>Very Low</v>
      </c>
      <c r="G437" s="7" t="str">
        <f t="shared" si="32"/>
        <v>Yes - Affordable &amp; Spacious</v>
      </c>
      <c r="H437" s="7" t="str">
        <f>IF(OR('Raw Data'!D438=1,D437&lt;0.1),"Yes - Desirable","No")</f>
        <v>Yes - Desirable</v>
      </c>
      <c r="I437" s="7" t="str">
        <f t="shared" si="33"/>
        <v>Safe Area</v>
      </c>
      <c r="J437" s="7" t="str">
        <f t="shared" si="34"/>
        <v>Grade D - Low Value</v>
      </c>
    </row>
    <row r="438" spans="1:10" x14ac:dyDescent="0.25">
      <c r="A438" s="7">
        <v>436</v>
      </c>
      <c r="B438" s="7">
        <f>'Raw Data'!N439</f>
        <v>0</v>
      </c>
      <c r="C438" s="7">
        <f>'Raw Data'!F439</f>
        <v>94.6</v>
      </c>
      <c r="D438" s="7">
        <f>'Raw Data'!A439</f>
        <v>0</v>
      </c>
      <c r="E438" s="7" t="str">
        <f t="shared" si="30"/>
        <v>Low</v>
      </c>
      <c r="F438" s="8" t="str">
        <f t="shared" si="31"/>
        <v>Very Low</v>
      </c>
      <c r="G438" s="7" t="str">
        <f t="shared" si="32"/>
        <v>Yes - Affordable &amp; Spacious</v>
      </c>
      <c r="H438" s="7" t="str">
        <f>IF(OR('Raw Data'!D439=1,D438&lt;0.1),"Yes - Desirable","No")</f>
        <v>Yes - Desirable</v>
      </c>
      <c r="I438" s="7" t="str">
        <f t="shared" si="33"/>
        <v>Safe Area</v>
      </c>
      <c r="J438" s="7" t="str">
        <f t="shared" si="34"/>
        <v>Grade D - Low Value</v>
      </c>
    </row>
    <row r="439" spans="1:10" x14ac:dyDescent="0.25">
      <c r="A439" s="7">
        <v>437</v>
      </c>
      <c r="B439" s="7">
        <f>'Raw Data'!N440</f>
        <v>0</v>
      </c>
      <c r="C439" s="7">
        <f>'Raw Data'!F440</f>
        <v>93.3</v>
      </c>
      <c r="D439" s="7">
        <f>'Raw Data'!A440</f>
        <v>0</v>
      </c>
      <c r="E439" s="7" t="str">
        <f t="shared" si="30"/>
        <v>Low</v>
      </c>
      <c r="F439" s="8" t="str">
        <f t="shared" si="31"/>
        <v>Very Low</v>
      </c>
      <c r="G439" s="7" t="str">
        <f t="shared" si="32"/>
        <v>Yes - Affordable &amp; Spacious</v>
      </c>
      <c r="H439" s="7" t="str">
        <f>IF(OR('Raw Data'!D440=1,D439&lt;0.1),"Yes - Desirable","No")</f>
        <v>Yes - Desirable</v>
      </c>
      <c r="I439" s="7" t="str">
        <f t="shared" si="33"/>
        <v>Safe Area</v>
      </c>
      <c r="J439" s="7" t="str">
        <f t="shared" si="34"/>
        <v>Grade D - Low Value</v>
      </c>
    </row>
    <row r="440" spans="1:10" x14ac:dyDescent="0.25">
      <c r="A440" s="7">
        <v>438</v>
      </c>
      <c r="B440" s="7">
        <f>'Raw Data'!N441</f>
        <v>0</v>
      </c>
      <c r="C440" s="7">
        <f>'Raw Data'!F441</f>
        <v>100</v>
      </c>
      <c r="D440" s="7">
        <f>'Raw Data'!A441</f>
        <v>0</v>
      </c>
      <c r="E440" s="7" t="str">
        <f t="shared" si="30"/>
        <v>Low</v>
      </c>
      <c r="F440" s="8" t="str">
        <f t="shared" si="31"/>
        <v>Very Low</v>
      </c>
      <c r="G440" s="7" t="str">
        <f t="shared" si="32"/>
        <v>Yes - Affordable &amp; Spacious</v>
      </c>
      <c r="H440" s="7" t="str">
        <f>IF(OR('Raw Data'!D441=1,D440&lt;0.1),"Yes - Desirable","No")</f>
        <v>Yes - Desirable</v>
      </c>
      <c r="I440" s="7" t="str">
        <f t="shared" si="33"/>
        <v>Safe Area</v>
      </c>
      <c r="J440" s="7" t="str">
        <f t="shared" si="34"/>
        <v>Grade D - Low Value</v>
      </c>
    </row>
    <row r="441" spans="1:10" x14ac:dyDescent="0.25">
      <c r="A441" s="7">
        <v>439</v>
      </c>
      <c r="B441" s="7">
        <f>'Raw Data'!N442</f>
        <v>0</v>
      </c>
      <c r="C441" s="7">
        <f>'Raw Data'!F442</f>
        <v>87.9</v>
      </c>
      <c r="D441" s="7">
        <f>'Raw Data'!A442</f>
        <v>0</v>
      </c>
      <c r="E441" s="7" t="str">
        <f t="shared" si="30"/>
        <v>Low</v>
      </c>
      <c r="F441" s="8" t="str">
        <f t="shared" si="31"/>
        <v>Very Low</v>
      </c>
      <c r="G441" s="7" t="str">
        <f t="shared" si="32"/>
        <v>Yes - Affordable &amp; Spacious</v>
      </c>
      <c r="H441" s="7" t="str">
        <f>IF(OR('Raw Data'!D442=1,D441&lt;0.1),"Yes - Desirable","No")</f>
        <v>Yes - Desirable</v>
      </c>
      <c r="I441" s="7" t="str">
        <f t="shared" si="33"/>
        <v>Safe Area</v>
      </c>
      <c r="J441" s="7" t="str">
        <f t="shared" si="34"/>
        <v>Grade D - Low Value</v>
      </c>
    </row>
    <row r="442" spans="1:10" x14ac:dyDescent="0.25">
      <c r="A442" s="7">
        <v>440</v>
      </c>
      <c r="B442" s="7">
        <f>'Raw Data'!N443</f>
        <v>12.8</v>
      </c>
      <c r="C442" s="7">
        <f>'Raw Data'!F443</f>
        <v>5.6269999999999998</v>
      </c>
      <c r="D442" s="7">
        <f>'Raw Data'!A443</f>
        <v>9.3906299999999998</v>
      </c>
      <c r="E442" s="7" t="str">
        <f t="shared" si="30"/>
        <v>Low</v>
      </c>
      <c r="F442" s="8" t="str">
        <f t="shared" si="31"/>
        <v>Low</v>
      </c>
      <c r="G442" s="7" t="str">
        <f t="shared" si="32"/>
        <v>No</v>
      </c>
      <c r="H442" s="7" t="str">
        <f>IF(OR('Raw Data'!D443=1,D442&lt;0.1),"Yes - Desirable","No")</f>
        <v>No</v>
      </c>
      <c r="I442" s="7" t="str">
        <f t="shared" si="33"/>
        <v>High Crime</v>
      </c>
      <c r="J442" s="7" t="str">
        <f t="shared" si="34"/>
        <v>Grade D - Low Value</v>
      </c>
    </row>
    <row r="443" spans="1:10" x14ac:dyDescent="0.25">
      <c r="A443" s="7">
        <v>441</v>
      </c>
      <c r="B443" s="7">
        <f>'Raw Data'!N444</f>
        <v>0</v>
      </c>
      <c r="C443" s="7">
        <f>'Raw Data'!F444</f>
        <v>92.4</v>
      </c>
      <c r="D443" s="7">
        <f>'Raw Data'!A444</f>
        <v>0</v>
      </c>
      <c r="E443" s="7" t="str">
        <f t="shared" si="30"/>
        <v>Low</v>
      </c>
      <c r="F443" s="8" t="str">
        <f t="shared" si="31"/>
        <v>Very Low</v>
      </c>
      <c r="G443" s="7" t="str">
        <f t="shared" si="32"/>
        <v>Yes - Affordable &amp; Spacious</v>
      </c>
      <c r="H443" s="7" t="str">
        <f>IF(OR('Raw Data'!D444=1,D443&lt;0.1),"Yes - Desirable","No")</f>
        <v>Yes - Desirable</v>
      </c>
      <c r="I443" s="7" t="str">
        <f t="shared" si="33"/>
        <v>Safe Area</v>
      </c>
      <c r="J443" s="7" t="str">
        <f t="shared" si="34"/>
        <v>Grade D - Low Value</v>
      </c>
    </row>
    <row r="444" spans="1:10" x14ac:dyDescent="0.25">
      <c r="A444" s="7">
        <v>442</v>
      </c>
      <c r="B444" s="7">
        <f>'Raw Data'!N445</f>
        <v>17.100000000000001</v>
      </c>
      <c r="C444" s="7">
        <f>'Raw Data'!F445</f>
        <v>6.4059999999999997</v>
      </c>
      <c r="D444" s="7">
        <f>'Raw Data'!A445</f>
        <v>9.7241800000000005</v>
      </c>
      <c r="E444" s="7" t="str">
        <f t="shared" si="30"/>
        <v>Medium</v>
      </c>
      <c r="F444" s="8" t="str">
        <f t="shared" si="31"/>
        <v>Low</v>
      </c>
      <c r="G444" s="7" t="str">
        <f t="shared" si="32"/>
        <v>Yes - Affordable &amp; Spacious</v>
      </c>
      <c r="H444" s="7" t="str">
        <f>IF(OR('Raw Data'!D445=1,D444&lt;0.1),"Yes - Desirable","No")</f>
        <v>No</v>
      </c>
      <c r="I444" s="7" t="str">
        <f t="shared" si="33"/>
        <v>High Crime</v>
      </c>
      <c r="J444" s="7" t="str">
        <f t="shared" si="34"/>
        <v>Grade D - Low Value</v>
      </c>
    </row>
    <row r="445" spans="1:10" x14ac:dyDescent="0.25">
      <c r="A445" s="7">
        <v>443</v>
      </c>
      <c r="B445" s="7">
        <f>'Raw Data'!N446</f>
        <v>18.399999999999999</v>
      </c>
      <c r="C445" s="7">
        <f>'Raw Data'!F446</f>
        <v>6.2190000000000003</v>
      </c>
      <c r="D445" s="7">
        <f>'Raw Data'!A446</f>
        <v>5.6663699999999997</v>
      </c>
      <c r="E445" s="7" t="str">
        <f t="shared" si="30"/>
        <v>Medium</v>
      </c>
      <c r="F445" s="8" t="str">
        <f t="shared" si="31"/>
        <v>Low</v>
      </c>
      <c r="G445" s="7" t="str">
        <f t="shared" si="32"/>
        <v>Yes - Affordable &amp; Spacious</v>
      </c>
      <c r="H445" s="7" t="str">
        <f>IF(OR('Raw Data'!D446=1,D445&lt;0.1),"Yes - Desirable","No")</f>
        <v>No</v>
      </c>
      <c r="I445" s="7" t="str">
        <f t="shared" si="33"/>
        <v>High Crime</v>
      </c>
      <c r="J445" s="7" t="str">
        <f t="shared" si="34"/>
        <v>Grade D - Low Value</v>
      </c>
    </row>
    <row r="446" spans="1:10" x14ac:dyDescent="0.25">
      <c r="A446" s="7">
        <v>444</v>
      </c>
      <c r="B446" s="7">
        <f>'Raw Data'!N447</f>
        <v>15.4</v>
      </c>
      <c r="C446" s="7">
        <f>'Raw Data'!F447</f>
        <v>6.4850000000000003</v>
      </c>
      <c r="D446" s="7">
        <f>'Raw Data'!A447</f>
        <v>9.9665400000000002</v>
      </c>
      <c r="E446" s="7" t="str">
        <f t="shared" si="30"/>
        <v>Medium</v>
      </c>
      <c r="F446" s="8" t="str">
        <f t="shared" si="31"/>
        <v>Low</v>
      </c>
      <c r="G446" s="7" t="str">
        <f t="shared" si="32"/>
        <v>Yes - Affordable &amp; Spacious</v>
      </c>
      <c r="H446" s="7" t="str">
        <f>IF(OR('Raw Data'!D447=1,D446&lt;0.1),"Yes - Desirable","No")</f>
        <v>No</v>
      </c>
      <c r="I446" s="7" t="str">
        <f t="shared" si="33"/>
        <v>High Crime</v>
      </c>
      <c r="J446" s="7" t="str">
        <f t="shared" si="34"/>
        <v>Grade D - Low Value</v>
      </c>
    </row>
    <row r="447" spans="1:10" x14ac:dyDescent="0.25">
      <c r="A447" s="7">
        <v>445</v>
      </c>
      <c r="B447" s="7">
        <f>'Raw Data'!N448</f>
        <v>0</v>
      </c>
      <c r="C447" s="7">
        <f>'Raw Data'!F448</f>
        <v>96.6</v>
      </c>
      <c r="D447" s="7">
        <f>'Raw Data'!A448</f>
        <v>0</v>
      </c>
      <c r="E447" s="7" t="str">
        <f t="shared" si="30"/>
        <v>Low</v>
      </c>
      <c r="F447" s="8" t="str">
        <f t="shared" si="31"/>
        <v>Very Low</v>
      </c>
      <c r="G447" s="7" t="str">
        <f t="shared" si="32"/>
        <v>Yes - Affordable &amp; Spacious</v>
      </c>
      <c r="H447" s="7" t="str">
        <f>IF(OR('Raw Data'!D448=1,D447&lt;0.1),"Yes - Desirable","No")</f>
        <v>Yes - Desirable</v>
      </c>
      <c r="I447" s="7" t="str">
        <f t="shared" si="33"/>
        <v>Safe Area</v>
      </c>
      <c r="J447" s="7" t="str">
        <f t="shared" si="34"/>
        <v>Grade D - Low Value</v>
      </c>
    </row>
    <row r="448" spans="1:10" x14ac:dyDescent="0.25">
      <c r="A448" s="7">
        <v>446</v>
      </c>
      <c r="B448" s="7">
        <f>'Raw Data'!N449</f>
        <v>0</v>
      </c>
      <c r="C448" s="7">
        <f>'Raw Data'!F449</f>
        <v>94.8</v>
      </c>
      <c r="D448" s="7">
        <f>'Raw Data'!A449</f>
        <v>0</v>
      </c>
      <c r="E448" s="7" t="str">
        <f t="shared" si="30"/>
        <v>Low</v>
      </c>
      <c r="F448" s="8" t="str">
        <f t="shared" si="31"/>
        <v>Very Low</v>
      </c>
      <c r="G448" s="7" t="str">
        <f t="shared" si="32"/>
        <v>Yes - Affordable &amp; Spacious</v>
      </c>
      <c r="H448" s="7" t="str">
        <f>IF(OR('Raw Data'!D449=1,D448&lt;0.1),"Yes - Desirable","No")</f>
        <v>Yes - Desirable</v>
      </c>
      <c r="I448" s="7" t="str">
        <f t="shared" si="33"/>
        <v>Safe Area</v>
      </c>
      <c r="J448" s="7" t="str">
        <f t="shared" si="34"/>
        <v>Grade D - Low Value</v>
      </c>
    </row>
    <row r="449" spans="1:10" x14ac:dyDescent="0.25">
      <c r="A449" s="7">
        <v>447</v>
      </c>
      <c r="B449" s="7">
        <f>'Raw Data'!N450</f>
        <v>14.9</v>
      </c>
      <c r="C449" s="7">
        <f>'Raw Data'!F450</f>
        <v>6.3410000000000002</v>
      </c>
      <c r="D449" s="7">
        <f>'Raw Data'!A450</f>
        <v>6.2880700000000003</v>
      </c>
      <c r="E449" s="7" t="str">
        <f t="shared" si="30"/>
        <v>Low</v>
      </c>
      <c r="F449" s="8" t="str">
        <f t="shared" si="31"/>
        <v>Low</v>
      </c>
      <c r="G449" s="7" t="str">
        <f t="shared" si="32"/>
        <v>Yes - Affordable &amp; Spacious</v>
      </c>
      <c r="H449" s="7" t="str">
        <f>IF(OR('Raw Data'!D450=1,D449&lt;0.1),"Yes - Desirable","No")</f>
        <v>No</v>
      </c>
      <c r="I449" s="7" t="str">
        <f t="shared" si="33"/>
        <v>High Crime</v>
      </c>
      <c r="J449" s="7" t="str">
        <f t="shared" si="34"/>
        <v>Grade D - Low Value</v>
      </c>
    </row>
    <row r="450" spans="1:10" x14ac:dyDescent="0.25">
      <c r="A450" s="7">
        <v>448</v>
      </c>
      <c r="B450" s="7">
        <f>'Raw Data'!N451</f>
        <v>12.6</v>
      </c>
      <c r="C450" s="7">
        <f>'Raw Data'!F451</f>
        <v>6.2510000000000003</v>
      </c>
      <c r="D450" s="7">
        <f>'Raw Data'!A451</f>
        <v>9.9248499999999993</v>
      </c>
      <c r="E450" s="7" t="str">
        <f t="shared" si="30"/>
        <v>Low</v>
      </c>
      <c r="F450" s="8" t="str">
        <f t="shared" si="31"/>
        <v>Low</v>
      </c>
      <c r="G450" s="7" t="str">
        <f t="shared" si="32"/>
        <v>Yes - Affordable &amp; Spacious</v>
      </c>
      <c r="H450" s="7" t="str">
        <f>IF(OR('Raw Data'!D451=1,D450&lt;0.1),"Yes - Desirable","No")</f>
        <v>No</v>
      </c>
      <c r="I450" s="7" t="str">
        <f t="shared" si="33"/>
        <v>High Crime</v>
      </c>
      <c r="J450" s="7" t="str">
        <f t="shared" si="34"/>
        <v>Grade D - Low Value</v>
      </c>
    </row>
    <row r="451" spans="1:10" x14ac:dyDescent="0.25">
      <c r="A451" s="7">
        <v>449</v>
      </c>
      <c r="B451" s="7">
        <f>'Raw Data'!N452</f>
        <v>14.1</v>
      </c>
      <c r="C451" s="7">
        <f>'Raw Data'!F452</f>
        <v>6.1849999999999996</v>
      </c>
      <c r="D451" s="7">
        <f>'Raw Data'!A452</f>
        <v>9.3290900000000008</v>
      </c>
      <c r="E451" s="7" t="str">
        <f t="shared" si="30"/>
        <v>Low</v>
      </c>
      <c r="F451" s="8" t="str">
        <f t="shared" si="31"/>
        <v>Low</v>
      </c>
      <c r="G451" s="7" t="str">
        <f t="shared" si="32"/>
        <v>Yes - Affordable &amp; Spacious</v>
      </c>
      <c r="H451" s="7" t="str">
        <f>IF(OR('Raw Data'!D452=1,D451&lt;0.1),"Yes - Desirable","No")</f>
        <v>No</v>
      </c>
      <c r="I451" s="7" t="str">
        <f t="shared" si="33"/>
        <v>High Crime</v>
      </c>
      <c r="J451" s="7" t="str">
        <f t="shared" si="34"/>
        <v>Grade D - Low Value</v>
      </c>
    </row>
    <row r="452" spans="1:10" x14ac:dyDescent="0.25">
      <c r="A452" s="7">
        <v>450</v>
      </c>
      <c r="B452" s="7">
        <f>'Raw Data'!N453</f>
        <v>13</v>
      </c>
      <c r="C452" s="7">
        <f>'Raw Data'!F453</f>
        <v>6.4169999999999998</v>
      </c>
      <c r="D452" s="7">
        <f>'Raw Data'!A453</f>
        <v>7.5260100000000003</v>
      </c>
      <c r="E452" s="7" t="str">
        <f t="shared" ref="E452:E508" si="35">IF(B452&lt;=15,"Low",IF(B452&lt;=25,"Medium","High"))</f>
        <v>Low</v>
      </c>
      <c r="F452" s="8" t="str">
        <f t="shared" ref="F452:F508" si="36">IF(B452&lt;=10,"Very Low",IF(B452&lt;=20,"Low",IF(B452&lt;=30,"Medium",IF(B452&lt;=40,"High","Very High"))))</f>
        <v>Low</v>
      </c>
      <c r="G452" s="7" t="str">
        <f t="shared" ref="G452:G507" si="37">IF(AND(B452&lt;=22,C452&gt;=6),"Yes - Affordable &amp; Spacious","No")</f>
        <v>Yes - Affordable &amp; Spacious</v>
      </c>
      <c r="H452" s="7" t="str">
        <f>IF(OR('Raw Data'!D453=1,D452&lt;0.1),"Yes - Desirable","No")</f>
        <v>No</v>
      </c>
      <c r="I452" s="7" t="str">
        <f t="shared" ref="I452:I508" si="38">IF(NOT(D452&gt;=1),"Safe Area","High Crime")</f>
        <v>High Crime</v>
      </c>
      <c r="J452" s="7" t="str">
        <f t="shared" ref="J452:J508" si="39">IF(B452&gt;=35,IF(D452&lt;0.5,"Grade A - Premium","Grade B - Good"),IF(B452&gt;=20,"Grade C - Average","Grade D - Low Value"))</f>
        <v>Grade D - Low Value</v>
      </c>
    </row>
    <row r="453" spans="1:10" x14ac:dyDescent="0.25">
      <c r="A453" s="7">
        <v>451</v>
      </c>
      <c r="B453" s="7">
        <f>'Raw Data'!N454</f>
        <v>13.4</v>
      </c>
      <c r="C453" s="7">
        <f>'Raw Data'!F454</f>
        <v>6.7489999999999997</v>
      </c>
      <c r="D453" s="7">
        <f>'Raw Data'!A454</f>
        <v>6.7177199999999999</v>
      </c>
      <c r="E453" s="7" t="str">
        <f t="shared" si="35"/>
        <v>Low</v>
      </c>
      <c r="F453" s="8" t="str">
        <f t="shared" si="36"/>
        <v>Low</v>
      </c>
      <c r="G453" s="7" t="str">
        <f t="shared" si="37"/>
        <v>Yes - Affordable &amp; Spacious</v>
      </c>
      <c r="H453" s="7" t="str">
        <f>IF(OR('Raw Data'!D454=1,D453&lt;0.1),"Yes - Desirable","No")</f>
        <v>No</v>
      </c>
      <c r="I453" s="7" t="str">
        <f t="shared" si="38"/>
        <v>High Crime</v>
      </c>
      <c r="J453" s="7" t="str">
        <f t="shared" si="39"/>
        <v>Grade D - Low Value</v>
      </c>
    </row>
    <row r="454" spans="1:10" x14ac:dyDescent="0.25">
      <c r="A454" s="7">
        <v>452</v>
      </c>
      <c r="B454" s="7">
        <f>'Raw Data'!N455</f>
        <v>15.2</v>
      </c>
      <c r="C454" s="7">
        <f>'Raw Data'!F455</f>
        <v>6.6550000000000002</v>
      </c>
      <c r="D454" s="7">
        <f>'Raw Data'!A455</f>
        <v>5.4411399999999999</v>
      </c>
      <c r="E454" s="7" t="str">
        <f t="shared" si="35"/>
        <v>Medium</v>
      </c>
      <c r="F454" s="8" t="str">
        <f t="shared" si="36"/>
        <v>Low</v>
      </c>
      <c r="G454" s="7" t="str">
        <f t="shared" si="37"/>
        <v>Yes - Affordable &amp; Spacious</v>
      </c>
      <c r="H454" s="7" t="str">
        <f>IF(OR('Raw Data'!D455=1,D454&lt;0.1),"Yes - Desirable","No")</f>
        <v>No</v>
      </c>
      <c r="I454" s="7" t="str">
        <f t="shared" si="38"/>
        <v>High Crime</v>
      </c>
      <c r="J454" s="7" t="str">
        <f t="shared" si="39"/>
        <v>Grade D - Low Value</v>
      </c>
    </row>
    <row r="455" spans="1:10" x14ac:dyDescent="0.25">
      <c r="A455" s="7">
        <v>453</v>
      </c>
      <c r="B455" s="7">
        <f>'Raw Data'!N456</f>
        <v>16.100000000000001</v>
      </c>
      <c r="C455" s="7">
        <f>'Raw Data'!F456</f>
        <v>6.2969999999999997</v>
      </c>
      <c r="D455" s="7">
        <f>'Raw Data'!A456</f>
        <v>5.0901699999999996</v>
      </c>
      <c r="E455" s="7" t="str">
        <f t="shared" si="35"/>
        <v>Medium</v>
      </c>
      <c r="F455" s="8" t="str">
        <f t="shared" si="36"/>
        <v>Low</v>
      </c>
      <c r="G455" s="7" t="str">
        <f t="shared" si="37"/>
        <v>Yes - Affordable &amp; Spacious</v>
      </c>
      <c r="H455" s="7" t="str">
        <f>IF(OR('Raw Data'!D456=1,D455&lt;0.1),"Yes - Desirable","No")</f>
        <v>No</v>
      </c>
      <c r="I455" s="7" t="str">
        <f t="shared" si="38"/>
        <v>High Crime</v>
      </c>
      <c r="J455" s="7" t="str">
        <f t="shared" si="39"/>
        <v>Grade D - Low Value</v>
      </c>
    </row>
    <row r="456" spans="1:10" x14ac:dyDescent="0.25">
      <c r="A456" s="7">
        <v>454</v>
      </c>
      <c r="B456" s="7">
        <f>'Raw Data'!N457</f>
        <v>17.8</v>
      </c>
      <c r="C456" s="7">
        <f>'Raw Data'!F457</f>
        <v>7.3929999999999998</v>
      </c>
      <c r="D456" s="7">
        <f>'Raw Data'!A457</f>
        <v>8.2480899999999995</v>
      </c>
      <c r="E456" s="7" t="str">
        <f t="shared" si="35"/>
        <v>Medium</v>
      </c>
      <c r="F456" s="8" t="str">
        <f t="shared" si="36"/>
        <v>Low</v>
      </c>
      <c r="G456" s="7" t="str">
        <f t="shared" si="37"/>
        <v>Yes - Affordable &amp; Spacious</v>
      </c>
      <c r="H456" s="7" t="str">
        <f>IF(OR('Raw Data'!D457=1,D456&lt;0.1),"Yes - Desirable","No")</f>
        <v>No</v>
      </c>
      <c r="I456" s="7" t="str">
        <f t="shared" si="38"/>
        <v>High Crime</v>
      </c>
      <c r="J456" s="7" t="str">
        <f t="shared" si="39"/>
        <v>Grade D - Low Value</v>
      </c>
    </row>
    <row r="457" spans="1:10" x14ac:dyDescent="0.25">
      <c r="A457" s="7">
        <v>455</v>
      </c>
      <c r="B457" s="7">
        <f>'Raw Data'!N458</f>
        <v>14.9</v>
      </c>
      <c r="C457" s="7">
        <f>'Raw Data'!F458</f>
        <v>6.7279999999999998</v>
      </c>
      <c r="D457" s="7">
        <f>'Raw Data'!A458</f>
        <v>9.5136299999999991</v>
      </c>
      <c r="E457" s="7" t="str">
        <f t="shared" si="35"/>
        <v>Low</v>
      </c>
      <c r="F457" s="8" t="str">
        <f t="shared" si="36"/>
        <v>Low</v>
      </c>
      <c r="G457" s="7" t="str">
        <f t="shared" si="37"/>
        <v>Yes - Affordable &amp; Spacious</v>
      </c>
      <c r="H457" s="7" t="str">
        <f>IF(OR('Raw Data'!D458=1,D457&lt;0.1),"Yes - Desirable","No")</f>
        <v>No</v>
      </c>
      <c r="I457" s="7" t="str">
        <f t="shared" si="38"/>
        <v>High Crime</v>
      </c>
      <c r="J457" s="7" t="str">
        <f t="shared" si="39"/>
        <v>Grade D - Low Value</v>
      </c>
    </row>
    <row r="458" spans="1:10" x14ac:dyDescent="0.25">
      <c r="A458" s="7">
        <v>456</v>
      </c>
      <c r="B458" s="7">
        <f>'Raw Data'!N459</f>
        <v>14.1</v>
      </c>
      <c r="C458" s="7">
        <f>'Raw Data'!F459</f>
        <v>6.5250000000000004</v>
      </c>
      <c r="D458" s="7">
        <f>'Raw Data'!A459</f>
        <v>4.75237</v>
      </c>
      <c r="E458" s="7" t="str">
        <f t="shared" si="35"/>
        <v>Low</v>
      </c>
      <c r="F458" s="8" t="str">
        <f t="shared" si="36"/>
        <v>Low</v>
      </c>
      <c r="G458" s="7" t="str">
        <f t="shared" si="37"/>
        <v>Yes - Affordable &amp; Spacious</v>
      </c>
      <c r="H458" s="7" t="str">
        <f>IF(OR('Raw Data'!D459=1,D458&lt;0.1),"Yes - Desirable","No")</f>
        <v>No</v>
      </c>
      <c r="I458" s="7" t="str">
        <f t="shared" si="38"/>
        <v>High Crime</v>
      </c>
      <c r="J458" s="7" t="str">
        <f t="shared" si="39"/>
        <v>Grade D - Low Value</v>
      </c>
    </row>
    <row r="459" spans="1:10" x14ac:dyDescent="0.25">
      <c r="A459" s="7">
        <v>457</v>
      </c>
      <c r="B459" s="7">
        <f>'Raw Data'!N460</f>
        <v>12.7</v>
      </c>
      <c r="C459" s="7">
        <f>'Raw Data'!F460</f>
        <v>5.976</v>
      </c>
      <c r="D459" s="7">
        <f>'Raw Data'!A460</f>
        <v>4.6688299999999998</v>
      </c>
      <c r="E459" s="7" t="str">
        <f t="shared" si="35"/>
        <v>Low</v>
      </c>
      <c r="F459" s="8" t="str">
        <f t="shared" si="36"/>
        <v>Low</v>
      </c>
      <c r="G459" s="7" t="str">
        <f t="shared" si="37"/>
        <v>No</v>
      </c>
      <c r="H459" s="7" t="str">
        <f>IF(OR('Raw Data'!D460=1,D459&lt;0.1),"Yes - Desirable","No")</f>
        <v>No</v>
      </c>
      <c r="I459" s="7" t="str">
        <f t="shared" si="38"/>
        <v>High Crime</v>
      </c>
      <c r="J459" s="7" t="str">
        <f t="shared" si="39"/>
        <v>Grade D - Low Value</v>
      </c>
    </row>
    <row r="460" spans="1:10" x14ac:dyDescent="0.25">
      <c r="A460" s="7">
        <v>458</v>
      </c>
      <c r="B460" s="7">
        <f>'Raw Data'!N461</f>
        <v>13.5</v>
      </c>
      <c r="C460" s="7">
        <f>'Raw Data'!F461</f>
        <v>5.9359999999999999</v>
      </c>
      <c r="D460" s="7">
        <f>'Raw Data'!A461</f>
        <v>8.2005800000000004</v>
      </c>
      <c r="E460" s="7" t="str">
        <f t="shared" si="35"/>
        <v>Low</v>
      </c>
      <c r="F460" s="8" t="str">
        <f t="shared" si="36"/>
        <v>Low</v>
      </c>
      <c r="G460" s="7" t="str">
        <f t="shared" si="37"/>
        <v>No</v>
      </c>
      <c r="H460" s="7" t="str">
        <f>IF(OR('Raw Data'!D461=1,D460&lt;0.1),"Yes - Desirable","No")</f>
        <v>No</v>
      </c>
      <c r="I460" s="7" t="str">
        <f t="shared" si="38"/>
        <v>High Crime</v>
      </c>
      <c r="J460" s="7" t="str">
        <f t="shared" si="39"/>
        <v>Grade D - Low Value</v>
      </c>
    </row>
    <row r="461" spans="1:10" x14ac:dyDescent="0.25">
      <c r="A461" s="7">
        <v>459</v>
      </c>
      <c r="B461" s="7">
        <f>'Raw Data'!N462</f>
        <v>14.9</v>
      </c>
      <c r="C461" s="7">
        <f>'Raw Data'!F462</f>
        <v>6.3010000000000002</v>
      </c>
      <c r="D461" s="7">
        <f>'Raw Data'!A462</f>
        <v>7.75223</v>
      </c>
      <c r="E461" s="7" t="str">
        <f t="shared" si="35"/>
        <v>Low</v>
      </c>
      <c r="F461" s="8" t="str">
        <f t="shared" si="36"/>
        <v>Low</v>
      </c>
      <c r="G461" s="7" t="str">
        <f t="shared" si="37"/>
        <v>Yes - Affordable &amp; Spacious</v>
      </c>
      <c r="H461" s="7" t="str">
        <f>IF(OR('Raw Data'!D462=1,D461&lt;0.1),"Yes - Desirable","No")</f>
        <v>No</v>
      </c>
      <c r="I461" s="7" t="str">
        <f t="shared" si="38"/>
        <v>High Crime</v>
      </c>
      <c r="J461" s="7" t="str">
        <f t="shared" si="39"/>
        <v>Grade D - Low Value</v>
      </c>
    </row>
    <row r="462" spans="1:10" x14ac:dyDescent="0.25">
      <c r="A462" s="7">
        <v>460</v>
      </c>
      <c r="B462" s="7">
        <f>'Raw Data'!N463</f>
        <v>20</v>
      </c>
      <c r="C462" s="7">
        <f>'Raw Data'!F463</f>
        <v>6.0810000000000004</v>
      </c>
      <c r="D462" s="7">
        <f>'Raw Data'!A463</f>
        <v>6.8011699999999999</v>
      </c>
      <c r="E462" s="7" t="str">
        <f t="shared" si="35"/>
        <v>Medium</v>
      </c>
      <c r="F462" s="8" t="str">
        <f t="shared" si="36"/>
        <v>Low</v>
      </c>
      <c r="G462" s="7" t="str">
        <f t="shared" si="37"/>
        <v>Yes - Affordable &amp; Spacious</v>
      </c>
      <c r="H462" s="7" t="str">
        <f>IF(OR('Raw Data'!D463=1,D462&lt;0.1),"Yes - Desirable","No")</f>
        <v>No</v>
      </c>
      <c r="I462" s="7" t="str">
        <f t="shared" si="38"/>
        <v>High Crime</v>
      </c>
      <c r="J462" s="7" t="str">
        <f t="shared" si="39"/>
        <v>Grade C - Average</v>
      </c>
    </row>
    <row r="463" spans="1:10" x14ac:dyDescent="0.25">
      <c r="A463" s="7">
        <v>461</v>
      </c>
      <c r="B463" s="7">
        <f>'Raw Data'!N464</f>
        <v>16.399999999999999</v>
      </c>
      <c r="C463" s="7">
        <f>'Raw Data'!F464</f>
        <v>6.7009999999999996</v>
      </c>
      <c r="D463" s="7">
        <f>'Raw Data'!A464</f>
        <v>4.8121299999999998</v>
      </c>
      <c r="E463" s="7" t="str">
        <f t="shared" si="35"/>
        <v>Medium</v>
      </c>
      <c r="F463" s="8" t="str">
        <f t="shared" si="36"/>
        <v>Low</v>
      </c>
      <c r="G463" s="7" t="str">
        <f t="shared" si="37"/>
        <v>Yes - Affordable &amp; Spacious</v>
      </c>
      <c r="H463" s="7" t="str">
        <f>IF(OR('Raw Data'!D464=1,D463&lt;0.1),"Yes - Desirable","No")</f>
        <v>No</v>
      </c>
      <c r="I463" s="7" t="str">
        <f t="shared" si="38"/>
        <v>High Crime</v>
      </c>
      <c r="J463" s="7" t="str">
        <f t="shared" si="39"/>
        <v>Grade D - Low Value</v>
      </c>
    </row>
    <row r="464" spans="1:10" x14ac:dyDescent="0.25">
      <c r="A464" s="7">
        <v>462</v>
      </c>
      <c r="B464" s="7">
        <f>'Raw Data'!N465</f>
        <v>17.7</v>
      </c>
      <c r="C464" s="7">
        <f>'Raw Data'!F465</f>
        <v>6.3760000000000003</v>
      </c>
      <c r="D464" s="7">
        <f>'Raw Data'!A465</f>
        <v>3.6931099999999999</v>
      </c>
      <c r="E464" s="7" t="str">
        <f t="shared" si="35"/>
        <v>Medium</v>
      </c>
      <c r="F464" s="8" t="str">
        <f t="shared" si="36"/>
        <v>Low</v>
      </c>
      <c r="G464" s="7" t="str">
        <f t="shared" si="37"/>
        <v>Yes - Affordable &amp; Spacious</v>
      </c>
      <c r="H464" s="7" t="str">
        <f>IF(OR('Raw Data'!D465=1,D464&lt;0.1),"Yes - Desirable","No")</f>
        <v>No</v>
      </c>
      <c r="I464" s="7" t="str">
        <f t="shared" si="38"/>
        <v>High Crime</v>
      </c>
      <c r="J464" s="7" t="str">
        <f t="shared" si="39"/>
        <v>Grade D - Low Value</v>
      </c>
    </row>
    <row r="465" spans="1:10" x14ac:dyDescent="0.25">
      <c r="A465" s="7">
        <v>463</v>
      </c>
      <c r="B465" s="7">
        <f>'Raw Data'!N466</f>
        <v>19.5</v>
      </c>
      <c r="C465" s="7">
        <f>'Raw Data'!F466</f>
        <v>6.3170000000000002</v>
      </c>
      <c r="D465" s="7">
        <f>'Raw Data'!A466</f>
        <v>6.6549199999999997</v>
      </c>
      <c r="E465" s="7" t="str">
        <f t="shared" si="35"/>
        <v>Medium</v>
      </c>
      <c r="F465" s="8" t="str">
        <f t="shared" si="36"/>
        <v>Low</v>
      </c>
      <c r="G465" s="7" t="str">
        <f t="shared" si="37"/>
        <v>Yes - Affordable &amp; Spacious</v>
      </c>
      <c r="H465" s="7" t="str">
        <f>IF(OR('Raw Data'!D466=1,D465&lt;0.1),"Yes - Desirable","No")</f>
        <v>No</v>
      </c>
      <c r="I465" s="7" t="str">
        <f t="shared" si="38"/>
        <v>High Crime</v>
      </c>
      <c r="J465" s="7" t="str">
        <f t="shared" si="39"/>
        <v>Grade D - Low Value</v>
      </c>
    </row>
    <row r="466" spans="1:10" x14ac:dyDescent="0.25">
      <c r="A466" s="7">
        <v>464</v>
      </c>
      <c r="B466" s="7">
        <f>'Raw Data'!N467</f>
        <v>20.2</v>
      </c>
      <c r="C466" s="7">
        <f>'Raw Data'!F467</f>
        <v>6.5129999999999999</v>
      </c>
      <c r="D466" s="7">
        <f>'Raw Data'!A467</f>
        <v>5.8211500000000003</v>
      </c>
      <c r="E466" s="7" t="str">
        <f t="shared" si="35"/>
        <v>Medium</v>
      </c>
      <c r="F466" s="8" t="str">
        <f t="shared" si="36"/>
        <v>Medium</v>
      </c>
      <c r="G466" s="7" t="str">
        <f t="shared" si="37"/>
        <v>Yes - Affordable &amp; Spacious</v>
      </c>
      <c r="H466" s="7" t="str">
        <f>IF(OR('Raw Data'!D467=1,D466&lt;0.1),"Yes - Desirable","No")</f>
        <v>No</v>
      </c>
      <c r="I466" s="7" t="str">
        <f t="shared" si="38"/>
        <v>High Crime</v>
      </c>
      <c r="J466" s="7" t="str">
        <f t="shared" si="39"/>
        <v>Grade C - Average</v>
      </c>
    </row>
    <row r="467" spans="1:10" x14ac:dyDescent="0.25">
      <c r="A467" s="7">
        <v>465</v>
      </c>
      <c r="B467" s="7">
        <f>'Raw Data'!N468</f>
        <v>21.4</v>
      </c>
      <c r="C467" s="7">
        <f>'Raw Data'!F468</f>
        <v>6.2089999999999996</v>
      </c>
      <c r="D467" s="7">
        <f>'Raw Data'!A468</f>
        <v>7.8393199999999998</v>
      </c>
      <c r="E467" s="7" t="str">
        <f t="shared" si="35"/>
        <v>Medium</v>
      </c>
      <c r="F467" s="8" t="str">
        <f t="shared" si="36"/>
        <v>Medium</v>
      </c>
      <c r="G467" s="7" t="str">
        <f t="shared" si="37"/>
        <v>Yes - Affordable &amp; Spacious</v>
      </c>
      <c r="H467" s="7" t="str">
        <f>IF(OR('Raw Data'!D468=1,D467&lt;0.1),"Yes - Desirable","No")</f>
        <v>No</v>
      </c>
      <c r="I467" s="7" t="str">
        <f t="shared" si="38"/>
        <v>High Crime</v>
      </c>
      <c r="J467" s="7" t="str">
        <f t="shared" si="39"/>
        <v>Grade C - Average</v>
      </c>
    </row>
    <row r="468" spans="1:10" x14ac:dyDescent="0.25">
      <c r="A468" s="7">
        <v>466</v>
      </c>
      <c r="B468" s="7">
        <f>'Raw Data'!N469</f>
        <v>19.899999999999999</v>
      </c>
      <c r="C468" s="7">
        <f>'Raw Data'!F469</f>
        <v>5.7590000000000003</v>
      </c>
      <c r="D468" s="7">
        <f>'Raw Data'!A469</f>
        <v>3.1636000000000002</v>
      </c>
      <c r="E468" s="7" t="str">
        <f t="shared" si="35"/>
        <v>Medium</v>
      </c>
      <c r="F468" s="8" t="str">
        <f t="shared" si="36"/>
        <v>Low</v>
      </c>
      <c r="G468" s="7" t="str">
        <f t="shared" si="37"/>
        <v>No</v>
      </c>
      <c r="H468" s="7" t="str">
        <f>IF(OR('Raw Data'!D469=1,D468&lt;0.1),"Yes - Desirable","No")</f>
        <v>No</v>
      </c>
      <c r="I468" s="7" t="str">
        <f t="shared" si="38"/>
        <v>High Crime</v>
      </c>
      <c r="J468" s="7" t="str">
        <f t="shared" si="39"/>
        <v>Grade D - Low Value</v>
      </c>
    </row>
    <row r="469" spans="1:10" x14ac:dyDescent="0.25">
      <c r="A469" s="7">
        <v>467</v>
      </c>
      <c r="B469" s="7">
        <f>'Raw Data'!N470</f>
        <v>19</v>
      </c>
      <c r="C469" s="7">
        <f>'Raw Data'!F470</f>
        <v>5.952</v>
      </c>
      <c r="D469" s="7">
        <f>'Raw Data'!A470</f>
        <v>3.7749799999999998</v>
      </c>
      <c r="E469" s="7" t="str">
        <f t="shared" si="35"/>
        <v>Medium</v>
      </c>
      <c r="F469" s="8" t="str">
        <f t="shared" si="36"/>
        <v>Low</v>
      </c>
      <c r="G469" s="7" t="str">
        <f t="shared" si="37"/>
        <v>No</v>
      </c>
      <c r="H469" s="7" t="str">
        <f>IF(OR('Raw Data'!D470=1,D469&lt;0.1),"Yes - Desirable","No")</f>
        <v>No</v>
      </c>
      <c r="I469" s="7" t="str">
        <f t="shared" si="38"/>
        <v>High Crime</v>
      </c>
      <c r="J469" s="7" t="str">
        <f t="shared" si="39"/>
        <v>Grade D - Low Value</v>
      </c>
    </row>
    <row r="470" spans="1:10" x14ac:dyDescent="0.25">
      <c r="A470" s="7">
        <v>468</v>
      </c>
      <c r="B470" s="7">
        <f>'Raw Data'!N471</f>
        <v>19.100000000000001</v>
      </c>
      <c r="C470" s="7">
        <f>'Raw Data'!F471</f>
        <v>6.0030000000000001</v>
      </c>
      <c r="D470" s="7">
        <f>'Raw Data'!A471</f>
        <v>4.4222799999999998</v>
      </c>
      <c r="E470" s="7" t="str">
        <f t="shared" si="35"/>
        <v>Medium</v>
      </c>
      <c r="F470" s="8" t="str">
        <f t="shared" si="36"/>
        <v>Low</v>
      </c>
      <c r="G470" s="7" t="str">
        <f t="shared" si="37"/>
        <v>Yes - Affordable &amp; Spacious</v>
      </c>
      <c r="H470" s="7" t="str">
        <f>IF(OR('Raw Data'!D471=1,D470&lt;0.1),"Yes - Desirable","No")</f>
        <v>No</v>
      </c>
      <c r="I470" s="7" t="str">
        <f t="shared" si="38"/>
        <v>High Crime</v>
      </c>
      <c r="J470" s="7" t="str">
        <f t="shared" si="39"/>
        <v>Grade D - Low Value</v>
      </c>
    </row>
    <row r="471" spans="1:10" x14ac:dyDescent="0.25">
      <c r="A471" s="7">
        <v>469</v>
      </c>
      <c r="B471" s="7">
        <f>'Raw Data'!N472</f>
        <v>0</v>
      </c>
      <c r="C471" s="7">
        <f>'Raw Data'!F472</f>
        <v>71</v>
      </c>
      <c r="D471" s="7">
        <f>'Raw Data'!A472</f>
        <v>0</v>
      </c>
      <c r="E471" s="7" t="str">
        <f t="shared" si="35"/>
        <v>Low</v>
      </c>
      <c r="F471" s="8" t="str">
        <f t="shared" si="36"/>
        <v>Very Low</v>
      </c>
      <c r="G471" s="7" t="str">
        <f t="shared" si="37"/>
        <v>Yes - Affordable &amp; Spacious</v>
      </c>
      <c r="H471" s="7" t="str">
        <f>IF(OR('Raw Data'!D472=1,D471&lt;0.1),"Yes - Desirable","No")</f>
        <v>Yes - Desirable</v>
      </c>
      <c r="I471" s="7" t="str">
        <f t="shared" si="38"/>
        <v>Safe Area</v>
      </c>
      <c r="J471" s="7" t="str">
        <f t="shared" si="39"/>
        <v>Grade D - Low Value</v>
      </c>
    </row>
    <row r="472" spans="1:10" x14ac:dyDescent="0.25">
      <c r="A472" s="7">
        <v>470</v>
      </c>
      <c r="B472" s="7">
        <f>'Raw Data'!N473</f>
        <v>0</v>
      </c>
      <c r="C472" s="7">
        <f>'Raw Data'!F473</f>
        <v>56.7</v>
      </c>
      <c r="D472" s="7">
        <f>'Raw Data'!A473</f>
        <v>0</v>
      </c>
      <c r="E472" s="7" t="str">
        <f t="shared" si="35"/>
        <v>Low</v>
      </c>
      <c r="F472" s="8" t="str">
        <f t="shared" si="36"/>
        <v>Very Low</v>
      </c>
      <c r="G472" s="7" t="str">
        <f t="shared" si="37"/>
        <v>Yes - Affordable &amp; Spacious</v>
      </c>
      <c r="H472" s="7" t="str">
        <f>IF(OR('Raw Data'!D473=1,D472&lt;0.1),"Yes - Desirable","No")</f>
        <v>Yes - Desirable</v>
      </c>
      <c r="I472" s="7" t="str">
        <f t="shared" si="38"/>
        <v>Safe Area</v>
      </c>
      <c r="J472" s="7" t="str">
        <f t="shared" si="39"/>
        <v>Grade D - Low Value</v>
      </c>
    </row>
    <row r="473" spans="1:10" x14ac:dyDescent="0.25">
      <c r="A473" s="7">
        <v>471</v>
      </c>
      <c r="B473" s="7">
        <f>'Raw Data'!N474</f>
        <v>19.899999999999999</v>
      </c>
      <c r="C473" s="7">
        <f>'Raw Data'!F474</f>
        <v>6.1669999999999998</v>
      </c>
      <c r="D473" s="7">
        <f>'Raw Data'!A474</f>
        <v>4.3487900000000002</v>
      </c>
      <c r="E473" s="7" t="str">
        <f t="shared" si="35"/>
        <v>Medium</v>
      </c>
      <c r="F473" s="8" t="str">
        <f t="shared" si="36"/>
        <v>Low</v>
      </c>
      <c r="G473" s="7" t="str">
        <f t="shared" si="37"/>
        <v>Yes - Affordable &amp; Spacious</v>
      </c>
      <c r="H473" s="7" t="str">
        <f>IF(OR('Raw Data'!D474=1,D473&lt;0.1),"Yes - Desirable","No")</f>
        <v>No</v>
      </c>
      <c r="I473" s="7" t="str">
        <f t="shared" si="38"/>
        <v>High Crime</v>
      </c>
      <c r="J473" s="7" t="str">
        <f t="shared" si="39"/>
        <v>Grade D - Low Value</v>
      </c>
    </row>
    <row r="474" spans="1:10" x14ac:dyDescent="0.25">
      <c r="A474" s="7">
        <v>472</v>
      </c>
      <c r="B474" s="7">
        <f>'Raw Data'!N475</f>
        <v>19.600000000000001</v>
      </c>
      <c r="C474" s="7">
        <f>'Raw Data'!F475</f>
        <v>6.2290000000000001</v>
      </c>
      <c r="D474" s="7">
        <f>'Raw Data'!A475</f>
        <v>4.0384099999999998</v>
      </c>
      <c r="E474" s="7" t="str">
        <f t="shared" si="35"/>
        <v>Medium</v>
      </c>
      <c r="F474" s="8" t="str">
        <f t="shared" si="36"/>
        <v>Low</v>
      </c>
      <c r="G474" s="7" t="str">
        <f t="shared" si="37"/>
        <v>Yes - Affordable &amp; Spacious</v>
      </c>
      <c r="H474" s="7" t="str">
        <f>IF(OR('Raw Data'!D475=1,D474&lt;0.1),"Yes - Desirable","No")</f>
        <v>No</v>
      </c>
      <c r="I474" s="7" t="str">
        <f t="shared" si="38"/>
        <v>High Crime</v>
      </c>
      <c r="J474" s="7" t="str">
        <f t="shared" si="39"/>
        <v>Grade D - Low Value</v>
      </c>
    </row>
    <row r="475" spans="1:10" x14ac:dyDescent="0.25">
      <c r="A475" s="7">
        <v>473</v>
      </c>
      <c r="B475" s="7">
        <f>'Raw Data'!N476</f>
        <v>23.2</v>
      </c>
      <c r="C475" s="7">
        <f>'Raw Data'!F476</f>
        <v>6.4370000000000003</v>
      </c>
      <c r="D475" s="7">
        <f>'Raw Data'!A476</f>
        <v>3.5686800000000001</v>
      </c>
      <c r="E475" s="7" t="str">
        <f t="shared" si="35"/>
        <v>Medium</v>
      </c>
      <c r="F475" s="8" t="str">
        <f t="shared" si="36"/>
        <v>Medium</v>
      </c>
      <c r="G475" s="7" t="str">
        <f t="shared" si="37"/>
        <v>No</v>
      </c>
      <c r="H475" s="7" t="str">
        <f>IF(OR('Raw Data'!D476=1,D475&lt;0.1),"Yes - Desirable","No")</f>
        <v>No</v>
      </c>
      <c r="I475" s="7" t="str">
        <f t="shared" si="38"/>
        <v>High Crime</v>
      </c>
      <c r="J475" s="7" t="str">
        <f t="shared" si="39"/>
        <v>Grade C - Average</v>
      </c>
    </row>
    <row r="476" spans="1:10" x14ac:dyDescent="0.25">
      <c r="A476" s="7">
        <v>474</v>
      </c>
      <c r="B476" s="7">
        <f>'Raw Data'!N477</f>
        <v>29.8</v>
      </c>
      <c r="C476" s="7">
        <f>'Raw Data'!F477</f>
        <v>6.98</v>
      </c>
      <c r="D476" s="7">
        <f>'Raw Data'!A477</f>
        <v>4.64689</v>
      </c>
      <c r="E476" s="7" t="str">
        <f t="shared" si="35"/>
        <v>High</v>
      </c>
      <c r="F476" s="8" t="str">
        <f t="shared" si="36"/>
        <v>Medium</v>
      </c>
      <c r="G476" s="7" t="str">
        <f t="shared" si="37"/>
        <v>No</v>
      </c>
      <c r="H476" s="7" t="str">
        <f>IF(OR('Raw Data'!D477=1,D476&lt;0.1),"Yes - Desirable","No")</f>
        <v>No</v>
      </c>
      <c r="I476" s="7" t="str">
        <f t="shared" si="38"/>
        <v>High Crime</v>
      </c>
      <c r="J476" s="7" t="str">
        <f t="shared" si="39"/>
        <v>Grade C - Average</v>
      </c>
    </row>
    <row r="477" spans="1:10" x14ac:dyDescent="0.25">
      <c r="A477" s="7">
        <v>475</v>
      </c>
      <c r="B477" s="7">
        <f>'Raw Data'!N478</f>
        <v>13.8</v>
      </c>
      <c r="C477" s="7">
        <f>'Raw Data'!F478</f>
        <v>5.4269999999999996</v>
      </c>
      <c r="D477" s="7">
        <f>'Raw Data'!A478</f>
        <v>8.05579</v>
      </c>
      <c r="E477" s="7" t="str">
        <f t="shared" si="35"/>
        <v>Low</v>
      </c>
      <c r="F477" s="8" t="str">
        <f t="shared" si="36"/>
        <v>Low</v>
      </c>
      <c r="G477" s="7" t="str">
        <f t="shared" si="37"/>
        <v>No</v>
      </c>
      <c r="H477" s="7" t="str">
        <f>IF(OR('Raw Data'!D478=1,D477&lt;0.1),"Yes - Desirable","No")</f>
        <v>No</v>
      </c>
      <c r="I477" s="7" t="str">
        <f t="shared" si="38"/>
        <v>High Crime</v>
      </c>
      <c r="J477" s="7" t="str">
        <f t="shared" si="39"/>
        <v>Grade D - Low Value</v>
      </c>
    </row>
    <row r="478" spans="1:10" x14ac:dyDescent="0.25">
      <c r="A478" s="7">
        <v>476</v>
      </c>
      <c r="B478" s="7">
        <f>'Raw Data'!N479</f>
        <v>13.3</v>
      </c>
      <c r="C478" s="7">
        <f>'Raw Data'!F479</f>
        <v>6.1619999999999999</v>
      </c>
      <c r="D478" s="7">
        <f>'Raw Data'!A479</f>
        <v>6.3931199999999997</v>
      </c>
      <c r="E478" s="7" t="str">
        <f t="shared" si="35"/>
        <v>Low</v>
      </c>
      <c r="F478" s="8" t="str">
        <f t="shared" si="36"/>
        <v>Low</v>
      </c>
      <c r="G478" s="7" t="str">
        <f t="shared" si="37"/>
        <v>Yes - Affordable &amp; Spacious</v>
      </c>
      <c r="H478" s="7" t="str">
        <f>IF(OR('Raw Data'!D479=1,D478&lt;0.1),"Yes - Desirable","No")</f>
        <v>No</v>
      </c>
      <c r="I478" s="7" t="str">
        <f t="shared" si="38"/>
        <v>High Crime</v>
      </c>
      <c r="J478" s="7" t="str">
        <f t="shared" si="39"/>
        <v>Grade D - Low Value</v>
      </c>
    </row>
    <row r="479" spans="1:10" x14ac:dyDescent="0.25">
      <c r="A479" s="7">
        <v>477</v>
      </c>
      <c r="B479" s="7">
        <f>'Raw Data'!N480</f>
        <v>16.7</v>
      </c>
      <c r="C479" s="7">
        <f>'Raw Data'!F480</f>
        <v>6.484</v>
      </c>
      <c r="D479" s="7">
        <f>'Raw Data'!A480</f>
        <v>4.87141</v>
      </c>
      <c r="E479" s="7" t="str">
        <f t="shared" si="35"/>
        <v>Medium</v>
      </c>
      <c r="F479" s="8" t="str">
        <f t="shared" si="36"/>
        <v>Low</v>
      </c>
      <c r="G479" s="7" t="str">
        <f t="shared" si="37"/>
        <v>Yes - Affordable &amp; Spacious</v>
      </c>
      <c r="H479" s="7" t="str">
        <f>IF(OR('Raw Data'!D480=1,D479&lt;0.1),"Yes - Desirable","No")</f>
        <v>No</v>
      </c>
      <c r="I479" s="7" t="str">
        <f t="shared" si="38"/>
        <v>High Crime</v>
      </c>
      <c r="J479" s="7" t="str">
        <f t="shared" si="39"/>
        <v>Grade D - Low Value</v>
      </c>
    </row>
    <row r="480" spans="1:10" x14ac:dyDescent="0.25">
      <c r="A480" s="7">
        <v>478</v>
      </c>
      <c r="B480" s="7">
        <f>'Raw Data'!N481</f>
        <v>0</v>
      </c>
      <c r="C480" s="7">
        <f>'Raw Data'!F481</f>
        <v>97.3</v>
      </c>
      <c r="D480" s="7">
        <f>'Raw Data'!A481</f>
        <v>0</v>
      </c>
      <c r="E480" s="7" t="str">
        <f t="shared" si="35"/>
        <v>Low</v>
      </c>
      <c r="F480" s="8" t="str">
        <f t="shared" si="36"/>
        <v>Very Low</v>
      </c>
      <c r="G480" s="7" t="str">
        <f t="shared" si="37"/>
        <v>Yes - Affordable &amp; Spacious</v>
      </c>
      <c r="H480" s="7" t="str">
        <f>IF(OR('Raw Data'!D481=1,D480&lt;0.1),"Yes - Desirable","No")</f>
        <v>Yes - Desirable</v>
      </c>
      <c r="I480" s="7" t="str">
        <f t="shared" si="38"/>
        <v>Safe Area</v>
      </c>
      <c r="J480" s="7" t="str">
        <f t="shared" si="39"/>
        <v>Grade D - Low Value</v>
      </c>
    </row>
    <row r="481" spans="1:10" x14ac:dyDescent="0.25">
      <c r="A481" s="7">
        <v>479</v>
      </c>
      <c r="B481" s="7">
        <f>'Raw Data'!N482</f>
        <v>0</v>
      </c>
      <c r="C481" s="7">
        <f>'Raw Data'!F482</f>
        <v>96.7</v>
      </c>
      <c r="D481" s="7">
        <f>'Raw Data'!A482</f>
        <v>0</v>
      </c>
      <c r="E481" s="7" t="str">
        <f t="shared" si="35"/>
        <v>Low</v>
      </c>
      <c r="F481" s="8" t="str">
        <f t="shared" si="36"/>
        <v>Very Low</v>
      </c>
      <c r="G481" s="7" t="str">
        <f t="shared" si="37"/>
        <v>Yes - Affordable &amp; Spacious</v>
      </c>
      <c r="H481" s="7" t="str">
        <f>IF(OR('Raw Data'!D482=1,D481&lt;0.1),"Yes - Desirable","No")</f>
        <v>Yes - Desirable</v>
      </c>
      <c r="I481" s="7" t="str">
        <f t="shared" si="38"/>
        <v>Safe Area</v>
      </c>
      <c r="J481" s="7" t="str">
        <f t="shared" si="39"/>
        <v>Grade D - Low Value</v>
      </c>
    </row>
    <row r="482" spans="1:10" x14ac:dyDescent="0.25">
      <c r="A482" s="7">
        <v>480</v>
      </c>
      <c r="B482" s="7">
        <f>'Raw Data'!N483</f>
        <v>0</v>
      </c>
      <c r="C482" s="7">
        <f>'Raw Data'!F483</f>
        <v>88</v>
      </c>
      <c r="D482" s="7">
        <f>'Raw Data'!A483</f>
        <v>0</v>
      </c>
      <c r="E482" s="7" t="str">
        <f t="shared" si="35"/>
        <v>Low</v>
      </c>
      <c r="F482" s="8" t="str">
        <f t="shared" si="36"/>
        <v>Very Low</v>
      </c>
      <c r="G482" s="7" t="str">
        <f t="shared" si="37"/>
        <v>Yes - Affordable &amp; Spacious</v>
      </c>
      <c r="H482" s="7" t="str">
        <f>IF(OR('Raw Data'!D483=1,D482&lt;0.1),"Yes - Desirable","No")</f>
        <v>Yes - Desirable</v>
      </c>
      <c r="I482" s="7" t="str">
        <f t="shared" si="38"/>
        <v>Safe Area</v>
      </c>
      <c r="J482" s="7" t="str">
        <f t="shared" si="39"/>
        <v>Grade D - Low Value</v>
      </c>
    </row>
    <row r="483" spans="1:10" x14ac:dyDescent="0.25">
      <c r="A483" s="7">
        <v>481</v>
      </c>
      <c r="B483" s="7">
        <f>'Raw Data'!N484</f>
        <v>23</v>
      </c>
      <c r="C483" s="7">
        <f>'Raw Data'!F484</f>
        <v>6.242</v>
      </c>
      <c r="D483" s="7">
        <f>'Raw Data'!A484</f>
        <v>5.8240100000000004</v>
      </c>
      <c r="E483" s="7" t="str">
        <f t="shared" si="35"/>
        <v>Medium</v>
      </c>
      <c r="F483" s="8" t="str">
        <f t="shared" si="36"/>
        <v>Medium</v>
      </c>
      <c r="G483" s="7" t="str">
        <f t="shared" si="37"/>
        <v>No</v>
      </c>
      <c r="H483" s="7" t="str">
        <f>IF(OR('Raw Data'!D484=1,D483&lt;0.1),"Yes - Desirable","No")</f>
        <v>No</v>
      </c>
      <c r="I483" s="7" t="str">
        <f t="shared" si="38"/>
        <v>High Crime</v>
      </c>
      <c r="J483" s="7" t="str">
        <f t="shared" si="39"/>
        <v>Grade C - Average</v>
      </c>
    </row>
    <row r="484" spans="1:10" x14ac:dyDescent="0.25">
      <c r="A484" s="7">
        <v>482</v>
      </c>
      <c r="B484" s="7">
        <f>'Raw Data'!N485</f>
        <v>23.7</v>
      </c>
      <c r="C484" s="7">
        <f>'Raw Data'!F485</f>
        <v>6.75</v>
      </c>
      <c r="D484" s="7">
        <f>'Raw Data'!A485</f>
        <v>5.7081799999999996</v>
      </c>
      <c r="E484" s="7" t="str">
        <f t="shared" si="35"/>
        <v>Medium</v>
      </c>
      <c r="F484" s="8" t="str">
        <f t="shared" si="36"/>
        <v>Medium</v>
      </c>
      <c r="G484" s="7" t="str">
        <f t="shared" si="37"/>
        <v>No</v>
      </c>
      <c r="H484" s="7" t="str">
        <f>IF(OR('Raw Data'!D485=1,D484&lt;0.1),"Yes - Desirable","No")</f>
        <v>No</v>
      </c>
      <c r="I484" s="7" t="str">
        <f t="shared" si="38"/>
        <v>High Crime</v>
      </c>
      <c r="J484" s="7" t="str">
        <f t="shared" si="39"/>
        <v>Grade C - Average</v>
      </c>
    </row>
    <row r="485" spans="1:10" x14ac:dyDescent="0.25">
      <c r="A485" s="7">
        <v>483</v>
      </c>
      <c r="B485" s="7">
        <f>'Raw Data'!N486</f>
        <v>25</v>
      </c>
      <c r="C485" s="7">
        <f>'Raw Data'!F486</f>
        <v>7.0609999999999999</v>
      </c>
      <c r="D485" s="7">
        <f>'Raw Data'!A486</f>
        <v>5.73116</v>
      </c>
      <c r="E485" s="7" t="str">
        <f t="shared" si="35"/>
        <v>Medium</v>
      </c>
      <c r="F485" s="8" t="str">
        <f t="shared" si="36"/>
        <v>Medium</v>
      </c>
      <c r="G485" s="7" t="str">
        <f t="shared" si="37"/>
        <v>No</v>
      </c>
      <c r="H485" s="7" t="str">
        <f>IF(OR('Raw Data'!D486=1,D485&lt;0.1),"Yes - Desirable","No")</f>
        <v>No</v>
      </c>
      <c r="I485" s="7" t="str">
        <f t="shared" si="38"/>
        <v>High Crime</v>
      </c>
      <c r="J485" s="7" t="str">
        <f t="shared" si="39"/>
        <v>Grade C - Average</v>
      </c>
    </row>
    <row r="486" spans="1:10" x14ac:dyDescent="0.25">
      <c r="A486" s="7">
        <v>484</v>
      </c>
      <c r="B486" s="7">
        <f>'Raw Data'!N487</f>
        <v>21.8</v>
      </c>
      <c r="C486" s="7">
        <f>'Raw Data'!F487</f>
        <v>5.7619999999999996</v>
      </c>
      <c r="D486" s="7">
        <f>'Raw Data'!A487</f>
        <v>2.8183799999999999</v>
      </c>
      <c r="E486" s="7" t="str">
        <f t="shared" si="35"/>
        <v>Medium</v>
      </c>
      <c r="F486" s="8" t="str">
        <f t="shared" si="36"/>
        <v>Medium</v>
      </c>
      <c r="G486" s="7" t="str">
        <f t="shared" si="37"/>
        <v>No</v>
      </c>
      <c r="H486" s="7" t="str">
        <f>IF(OR('Raw Data'!D487=1,D486&lt;0.1),"Yes - Desirable","No")</f>
        <v>No</v>
      </c>
      <c r="I486" s="7" t="str">
        <f t="shared" si="38"/>
        <v>High Crime</v>
      </c>
      <c r="J486" s="7" t="str">
        <f t="shared" si="39"/>
        <v>Grade C - Average</v>
      </c>
    </row>
    <row r="487" spans="1:10" x14ac:dyDescent="0.25">
      <c r="A487" s="7">
        <v>485</v>
      </c>
      <c r="B487" s="7">
        <f>'Raw Data'!N488</f>
        <v>20.6</v>
      </c>
      <c r="C487" s="7">
        <f>'Raw Data'!F488</f>
        <v>5.8710000000000004</v>
      </c>
      <c r="D487" s="7">
        <f>'Raw Data'!A488</f>
        <v>2.3785699999999999</v>
      </c>
      <c r="E487" s="7" t="str">
        <f t="shared" si="35"/>
        <v>Medium</v>
      </c>
      <c r="F487" s="8" t="str">
        <f t="shared" si="36"/>
        <v>Medium</v>
      </c>
      <c r="G487" s="7" t="str">
        <f t="shared" si="37"/>
        <v>No</v>
      </c>
      <c r="H487" s="7" t="str">
        <f>IF(OR('Raw Data'!D488=1,D487&lt;0.1),"Yes - Desirable","No")</f>
        <v>No</v>
      </c>
      <c r="I487" s="7" t="str">
        <f t="shared" si="38"/>
        <v>High Crime</v>
      </c>
      <c r="J487" s="7" t="str">
        <f t="shared" si="39"/>
        <v>Grade C - Average</v>
      </c>
    </row>
    <row r="488" spans="1:10" x14ac:dyDescent="0.25">
      <c r="A488" s="7">
        <v>486</v>
      </c>
      <c r="B488" s="7">
        <f>'Raw Data'!N489</f>
        <v>21.2</v>
      </c>
      <c r="C488" s="7">
        <f>'Raw Data'!F489</f>
        <v>6.3120000000000003</v>
      </c>
      <c r="D488" s="7">
        <f>'Raw Data'!A489</f>
        <v>3.67367</v>
      </c>
      <c r="E488" s="7" t="str">
        <f t="shared" si="35"/>
        <v>Medium</v>
      </c>
      <c r="F488" s="8" t="str">
        <f t="shared" si="36"/>
        <v>Medium</v>
      </c>
      <c r="G488" s="7" t="str">
        <f t="shared" si="37"/>
        <v>Yes - Affordable &amp; Spacious</v>
      </c>
      <c r="H488" s="7" t="str">
        <f>IF(OR('Raw Data'!D489=1,D488&lt;0.1),"Yes - Desirable","No")</f>
        <v>No</v>
      </c>
      <c r="I488" s="7" t="str">
        <f t="shared" si="38"/>
        <v>High Crime</v>
      </c>
      <c r="J488" s="7" t="str">
        <f t="shared" si="39"/>
        <v>Grade C - Average</v>
      </c>
    </row>
    <row r="489" spans="1:10" x14ac:dyDescent="0.25">
      <c r="A489" s="7">
        <v>487</v>
      </c>
      <c r="B489" s="7">
        <f>'Raw Data'!N490</f>
        <v>19.100000000000001</v>
      </c>
      <c r="C489" s="7">
        <f>'Raw Data'!F490</f>
        <v>6.1139999999999999</v>
      </c>
      <c r="D489" s="7">
        <f>'Raw Data'!A490</f>
        <v>5.6917499999999999</v>
      </c>
      <c r="E489" s="7" t="str">
        <f t="shared" si="35"/>
        <v>Medium</v>
      </c>
      <c r="F489" s="8" t="str">
        <f t="shared" si="36"/>
        <v>Low</v>
      </c>
      <c r="G489" s="7" t="str">
        <f t="shared" si="37"/>
        <v>Yes - Affordable &amp; Spacious</v>
      </c>
      <c r="H489" s="7" t="str">
        <f>IF(OR('Raw Data'!D490=1,D489&lt;0.1),"Yes - Desirable","No")</f>
        <v>No</v>
      </c>
      <c r="I489" s="7" t="str">
        <f t="shared" si="38"/>
        <v>High Crime</v>
      </c>
      <c r="J489" s="7" t="str">
        <f t="shared" si="39"/>
        <v>Grade D - Low Value</v>
      </c>
    </row>
    <row r="490" spans="1:10" x14ac:dyDescent="0.25">
      <c r="A490" s="7">
        <v>488</v>
      </c>
      <c r="B490" s="7">
        <f>'Raw Data'!N491</f>
        <v>20.6</v>
      </c>
      <c r="C490" s="7">
        <f>'Raw Data'!F491</f>
        <v>5.9050000000000002</v>
      </c>
      <c r="D490" s="7">
        <f>'Raw Data'!A491</f>
        <v>4.8356700000000004</v>
      </c>
      <c r="E490" s="7" t="str">
        <f t="shared" si="35"/>
        <v>Medium</v>
      </c>
      <c r="F490" s="8" t="str">
        <f t="shared" si="36"/>
        <v>Medium</v>
      </c>
      <c r="G490" s="7" t="str">
        <f t="shared" si="37"/>
        <v>No</v>
      </c>
      <c r="H490" s="7" t="str">
        <f>IF(OR('Raw Data'!D491=1,D490&lt;0.1),"Yes - Desirable","No")</f>
        <v>No</v>
      </c>
      <c r="I490" s="7" t="str">
        <f t="shared" si="38"/>
        <v>High Crime</v>
      </c>
      <c r="J490" s="7" t="str">
        <f t="shared" si="39"/>
        <v>Grade C - Average</v>
      </c>
    </row>
    <row r="491" spans="1:10" x14ac:dyDescent="0.25">
      <c r="A491" s="7">
        <v>489</v>
      </c>
      <c r="B491" s="7">
        <f>'Raw Data'!N492</f>
        <v>15.2</v>
      </c>
      <c r="C491" s="7">
        <f>'Raw Data'!F492</f>
        <v>5.4539999999999997</v>
      </c>
      <c r="D491" s="7">
        <f>'Raw Data'!A492</f>
        <v>0.15085999999999999</v>
      </c>
      <c r="E491" s="7" t="str">
        <f t="shared" si="35"/>
        <v>Medium</v>
      </c>
      <c r="F491" s="8" t="str">
        <f t="shared" si="36"/>
        <v>Low</v>
      </c>
      <c r="G491" s="7" t="str">
        <f t="shared" si="37"/>
        <v>No</v>
      </c>
      <c r="H491" s="7" t="str">
        <f>IF(OR('Raw Data'!D492=1,D491&lt;0.1),"Yes - Desirable","No")</f>
        <v>No</v>
      </c>
      <c r="I491" s="7" t="str">
        <f t="shared" si="38"/>
        <v>Safe Area</v>
      </c>
      <c r="J491" s="7" t="str">
        <f t="shared" si="39"/>
        <v>Grade D - Low Value</v>
      </c>
    </row>
    <row r="492" spans="1:10" x14ac:dyDescent="0.25">
      <c r="A492" s="7">
        <v>490</v>
      </c>
      <c r="B492" s="7">
        <f>'Raw Data'!N493</f>
        <v>7</v>
      </c>
      <c r="C492" s="7">
        <f>'Raw Data'!F493</f>
        <v>5.4139999999999997</v>
      </c>
      <c r="D492" s="7">
        <f>'Raw Data'!A493</f>
        <v>0.18337000000000001</v>
      </c>
      <c r="E492" s="7" t="str">
        <f t="shared" si="35"/>
        <v>Low</v>
      </c>
      <c r="F492" s="8" t="str">
        <f t="shared" si="36"/>
        <v>Very Low</v>
      </c>
      <c r="G492" s="7" t="str">
        <f t="shared" si="37"/>
        <v>No</v>
      </c>
      <c r="H492" s="7" t="str">
        <f>IF(OR('Raw Data'!D493=1,D492&lt;0.1),"Yes - Desirable","No")</f>
        <v>No</v>
      </c>
      <c r="I492" s="7" t="str">
        <f t="shared" si="38"/>
        <v>Safe Area</v>
      </c>
      <c r="J492" s="7" t="str">
        <f t="shared" si="39"/>
        <v>Grade D - Low Value</v>
      </c>
    </row>
    <row r="493" spans="1:10" x14ac:dyDescent="0.25">
      <c r="A493" s="7">
        <v>491</v>
      </c>
      <c r="B493" s="7">
        <f>'Raw Data'!N494</f>
        <v>8.1</v>
      </c>
      <c r="C493" s="7">
        <f>'Raw Data'!F494</f>
        <v>5.093</v>
      </c>
      <c r="D493" s="7">
        <f>'Raw Data'!A494</f>
        <v>0.20746000000000001</v>
      </c>
      <c r="E493" s="7" t="str">
        <f t="shared" si="35"/>
        <v>Low</v>
      </c>
      <c r="F493" s="8" t="str">
        <f t="shared" si="36"/>
        <v>Very Low</v>
      </c>
      <c r="G493" s="7" t="str">
        <f t="shared" si="37"/>
        <v>No</v>
      </c>
      <c r="H493" s="7" t="str">
        <f>IF(OR('Raw Data'!D494=1,D493&lt;0.1),"Yes - Desirable","No")</f>
        <v>No</v>
      </c>
      <c r="I493" s="7" t="str">
        <f t="shared" si="38"/>
        <v>Safe Area</v>
      </c>
      <c r="J493" s="7" t="str">
        <f t="shared" si="39"/>
        <v>Grade D - Low Value</v>
      </c>
    </row>
    <row r="494" spans="1:10" x14ac:dyDescent="0.25">
      <c r="A494" s="7">
        <v>492</v>
      </c>
      <c r="B494" s="7">
        <f>'Raw Data'!N495</f>
        <v>13.6</v>
      </c>
      <c r="C494" s="7">
        <f>'Raw Data'!F495</f>
        <v>5.9829999999999997</v>
      </c>
      <c r="D494" s="7">
        <f>'Raw Data'!A495</f>
        <v>0.10574</v>
      </c>
      <c r="E494" s="7" t="str">
        <f t="shared" si="35"/>
        <v>Low</v>
      </c>
      <c r="F494" s="8" t="str">
        <f t="shared" si="36"/>
        <v>Low</v>
      </c>
      <c r="G494" s="7" t="str">
        <f t="shared" si="37"/>
        <v>No</v>
      </c>
      <c r="H494" s="7" t="str">
        <f>IF(OR('Raw Data'!D495=1,D494&lt;0.1),"Yes - Desirable","No")</f>
        <v>No</v>
      </c>
      <c r="I494" s="7" t="str">
        <f t="shared" si="38"/>
        <v>Safe Area</v>
      </c>
      <c r="J494" s="7" t="str">
        <f t="shared" si="39"/>
        <v>Grade D - Low Value</v>
      </c>
    </row>
    <row r="495" spans="1:10" x14ac:dyDescent="0.25">
      <c r="A495" s="7">
        <v>493</v>
      </c>
      <c r="B495" s="7">
        <f>'Raw Data'!N496</f>
        <v>20.100000000000001</v>
      </c>
      <c r="C495" s="7">
        <f>'Raw Data'!F496</f>
        <v>5.9829999999999997</v>
      </c>
      <c r="D495" s="7">
        <f>'Raw Data'!A496</f>
        <v>0.11132</v>
      </c>
      <c r="E495" s="7" t="str">
        <f t="shared" si="35"/>
        <v>Medium</v>
      </c>
      <c r="F495" s="8" t="str">
        <f t="shared" si="36"/>
        <v>Medium</v>
      </c>
      <c r="G495" s="7" t="str">
        <f t="shared" si="37"/>
        <v>No</v>
      </c>
      <c r="H495" s="7" t="str">
        <f>IF(OR('Raw Data'!D496=1,D495&lt;0.1),"Yes - Desirable","No")</f>
        <v>No</v>
      </c>
      <c r="I495" s="7" t="str">
        <f t="shared" si="38"/>
        <v>Safe Area</v>
      </c>
      <c r="J495" s="7" t="str">
        <f t="shared" si="39"/>
        <v>Grade C - Average</v>
      </c>
    </row>
    <row r="496" spans="1:10" x14ac:dyDescent="0.25">
      <c r="A496" s="7">
        <v>494</v>
      </c>
      <c r="B496" s="7">
        <f>'Raw Data'!N497</f>
        <v>21.8</v>
      </c>
      <c r="C496" s="7">
        <f>'Raw Data'!F497</f>
        <v>5.7069999999999999</v>
      </c>
      <c r="D496" s="7">
        <f>'Raw Data'!A497</f>
        <v>0.17330999999999999</v>
      </c>
      <c r="E496" s="7" t="str">
        <f t="shared" si="35"/>
        <v>Medium</v>
      </c>
      <c r="F496" s="8" t="str">
        <f t="shared" si="36"/>
        <v>Medium</v>
      </c>
      <c r="G496" s="7" t="str">
        <f t="shared" si="37"/>
        <v>No</v>
      </c>
      <c r="H496" s="7" t="str">
        <f>IF(OR('Raw Data'!D497=1,D496&lt;0.1),"Yes - Desirable","No")</f>
        <v>No</v>
      </c>
      <c r="I496" s="7" t="str">
        <f t="shared" si="38"/>
        <v>Safe Area</v>
      </c>
      <c r="J496" s="7" t="str">
        <f t="shared" si="39"/>
        <v>Grade C - Average</v>
      </c>
    </row>
    <row r="497" spans="1:10" x14ac:dyDescent="0.25">
      <c r="A497" s="7">
        <v>495</v>
      </c>
      <c r="B497" s="7">
        <f>'Raw Data'!N498</f>
        <v>24.5</v>
      </c>
      <c r="C497" s="7">
        <f>'Raw Data'!F498</f>
        <v>5.9260000000000002</v>
      </c>
      <c r="D497" s="7">
        <f>'Raw Data'!A498</f>
        <v>0.27956999999999999</v>
      </c>
      <c r="E497" s="7" t="str">
        <f t="shared" si="35"/>
        <v>Medium</v>
      </c>
      <c r="F497" s="8" t="str">
        <f t="shared" si="36"/>
        <v>Medium</v>
      </c>
      <c r="G497" s="7" t="str">
        <f t="shared" si="37"/>
        <v>No</v>
      </c>
      <c r="H497" s="7" t="str">
        <f>IF(OR('Raw Data'!D498=1,D497&lt;0.1),"Yes - Desirable","No")</f>
        <v>No</v>
      </c>
      <c r="I497" s="7" t="str">
        <f t="shared" si="38"/>
        <v>Safe Area</v>
      </c>
      <c r="J497" s="7" t="str">
        <f t="shared" si="39"/>
        <v>Grade C - Average</v>
      </c>
    </row>
    <row r="498" spans="1:10" x14ac:dyDescent="0.25">
      <c r="A498" s="7">
        <v>496</v>
      </c>
      <c r="B498" s="7">
        <f>'Raw Data'!N499</f>
        <v>23.1</v>
      </c>
      <c r="C498" s="7">
        <f>'Raw Data'!F499</f>
        <v>5.67</v>
      </c>
      <c r="D498" s="7">
        <f>'Raw Data'!A499</f>
        <v>0.17899000000000001</v>
      </c>
      <c r="E498" s="7" t="str">
        <f t="shared" si="35"/>
        <v>Medium</v>
      </c>
      <c r="F498" s="8" t="str">
        <f t="shared" si="36"/>
        <v>Medium</v>
      </c>
      <c r="G498" s="7" t="str">
        <f t="shared" si="37"/>
        <v>No</v>
      </c>
      <c r="H498" s="7" t="str">
        <f>IF(OR('Raw Data'!D499=1,D498&lt;0.1),"Yes - Desirable","No")</f>
        <v>No</v>
      </c>
      <c r="I498" s="7" t="str">
        <f t="shared" si="38"/>
        <v>Safe Area</v>
      </c>
      <c r="J498" s="7" t="str">
        <f t="shared" si="39"/>
        <v>Grade C - Average</v>
      </c>
    </row>
    <row r="499" spans="1:10" x14ac:dyDescent="0.25">
      <c r="A499" s="7">
        <v>497</v>
      </c>
      <c r="B499" s="7">
        <f>'Raw Data'!N500</f>
        <v>19.7</v>
      </c>
      <c r="C499" s="7">
        <f>'Raw Data'!F500</f>
        <v>5.39</v>
      </c>
      <c r="D499" s="7">
        <f>'Raw Data'!A500</f>
        <v>0.28960000000000002</v>
      </c>
      <c r="E499" s="7" t="str">
        <f t="shared" si="35"/>
        <v>Medium</v>
      </c>
      <c r="F499" s="8" t="str">
        <f t="shared" si="36"/>
        <v>Low</v>
      </c>
      <c r="G499" s="7" t="str">
        <f t="shared" si="37"/>
        <v>No</v>
      </c>
      <c r="H499" s="7" t="str">
        <f>IF(OR('Raw Data'!D500=1,D499&lt;0.1),"Yes - Desirable","No")</f>
        <v>No</v>
      </c>
      <c r="I499" s="7" t="str">
        <f t="shared" si="38"/>
        <v>Safe Area</v>
      </c>
      <c r="J499" s="7" t="str">
        <f t="shared" si="39"/>
        <v>Grade D - Low Value</v>
      </c>
    </row>
    <row r="500" spans="1:10" x14ac:dyDescent="0.25">
      <c r="A500" s="7">
        <v>498</v>
      </c>
      <c r="B500" s="7">
        <f>'Raw Data'!N501</f>
        <v>18.3</v>
      </c>
      <c r="C500" s="7">
        <f>'Raw Data'!F501</f>
        <v>5.7939999999999996</v>
      </c>
      <c r="D500" s="7">
        <f>'Raw Data'!A501</f>
        <v>0.26838000000000001</v>
      </c>
      <c r="E500" s="7" t="str">
        <f t="shared" si="35"/>
        <v>Medium</v>
      </c>
      <c r="F500" s="8" t="str">
        <f t="shared" si="36"/>
        <v>Low</v>
      </c>
      <c r="G500" s="7" t="str">
        <f t="shared" si="37"/>
        <v>No</v>
      </c>
      <c r="H500" s="7" t="str">
        <f>IF(OR('Raw Data'!D501=1,D500&lt;0.1),"Yes - Desirable","No")</f>
        <v>No</v>
      </c>
      <c r="I500" s="7" t="str">
        <f t="shared" si="38"/>
        <v>Safe Area</v>
      </c>
      <c r="J500" s="7" t="str">
        <f t="shared" si="39"/>
        <v>Grade D - Low Value</v>
      </c>
    </row>
    <row r="501" spans="1:10" x14ac:dyDescent="0.25">
      <c r="A501" s="7">
        <v>499</v>
      </c>
      <c r="B501" s="7">
        <f>'Raw Data'!N502</f>
        <v>21.2</v>
      </c>
      <c r="C501" s="7">
        <f>'Raw Data'!F502</f>
        <v>6.0190000000000001</v>
      </c>
      <c r="D501" s="7">
        <f>'Raw Data'!A502</f>
        <v>0.23912</v>
      </c>
      <c r="E501" s="7" t="str">
        <f t="shared" si="35"/>
        <v>Medium</v>
      </c>
      <c r="F501" s="8" t="str">
        <f t="shared" si="36"/>
        <v>Medium</v>
      </c>
      <c r="G501" s="7" t="str">
        <f t="shared" si="37"/>
        <v>Yes - Affordable &amp; Spacious</v>
      </c>
      <c r="H501" s="7" t="str">
        <f>IF(OR('Raw Data'!D502=1,D501&lt;0.1),"Yes - Desirable","No")</f>
        <v>No</v>
      </c>
      <c r="I501" s="7" t="str">
        <f t="shared" si="38"/>
        <v>Safe Area</v>
      </c>
      <c r="J501" s="7" t="str">
        <f t="shared" si="39"/>
        <v>Grade C - Average</v>
      </c>
    </row>
    <row r="502" spans="1:10" x14ac:dyDescent="0.25">
      <c r="A502" s="7">
        <v>500</v>
      </c>
      <c r="B502" s="7">
        <f>'Raw Data'!N503</f>
        <v>17.5</v>
      </c>
      <c r="C502" s="7">
        <f>'Raw Data'!F503</f>
        <v>5.569</v>
      </c>
      <c r="D502" s="7">
        <f>'Raw Data'!A503</f>
        <v>0.17782999999999999</v>
      </c>
      <c r="E502" s="7" t="str">
        <f t="shared" si="35"/>
        <v>Medium</v>
      </c>
      <c r="F502" s="8" t="str">
        <f t="shared" si="36"/>
        <v>Low</v>
      </c>
      <c r="G502" s="7" t="str">
        <f t="shared" si="37"/>
        <v>No</v>
      </c>
      <c r="H502" s="7" t="str">
        <f>IF(OR('Raw Data'!D503=1,D502&lt;0.1),"Yes - Desirable","No")</f>
        <v>No</v>
      </c>
      <c r="I502" s="7" t="str">
        <f t="shared" si="38"/>
        <v>Safe Area</v>
      </c>
      <c r="J502" s="7" t="str">
        <f t="shared" si="39"/>
        <v>Grade D - Low Value</v>
      </c>
    </row>
    <row r="503" spans="1:10" x14ac:dyDescent="0.25">
      <c r="A503" s="7">
        <v>501</v>
      </c>
      <c r="B503" s="7">
        <f>'Raw Data'!N504</f>
        <v>16.8</v>
      </c>
      <c r="C503" s="7">
        <f>'Raw Data'!F504</f>
        <v>6.0270000000000001</v>
      </c>
      <c r="D503" s="7">
        <f>'Raw Data'!A504</f>
        <v>0.22438</v>
      </c>
      <c r="E503" s="7" t="str">
        <f t="shared" si="35"/>
        <v>Medium</v>
      </c>
      <c r="F503" s="8" t="str">
        <f t="shared" si="36"/>
        <v>Low</v>
      </c>
      <c r="G503" s="7" t="str">
        <f t="shared" si="37"/>
        <v>Yes - Affordable &amp; Spacious</v>
      </c>
      <c r="H503" s="7" t="str">
        <f>IF(OR('Raw Data'!D504=1,D503&lt;0.1),"Yes - Desirable","No")</f>
        <v>No</v>
      </c>
      <c r="I503" s="7" t="str">
        <f t="shared" si="38"/>
        <v>Safe Area</v>
      </c>
      <c r="J503" s="7" t="str">
        <f t="shared" si="39"/>
        <v>Grade D - Low Value</v>
      </c>
    </row>
    <row r="504" spans="1:10" x14ac:dyDescent="0.25">
      <c r="A504" s="7">
        <v>502</v>
      </c>
      <c r="B504" s="7">
        <f>'Raw Data'!N505</f>
        <v>22.4</v>
      </c>
      <c r="C504" s="7">
        <f>'Raw Data'!F505</f>
        <v>6.593</v>
      </c>
      <c r="D504" s="7">
        <f>'Raw Data'!A505</f>
        <v>6.2630000000000005E-2</v>
      </c>
      <c r="E504" s="7" t="str">
        <f t="shared" si="35"/>
        <v>Medium</v>
      </c>
      <c r="F504" s="8" t="str">
        <f t="shared" si="36"/>
        <v>Medium</v>
      </c>
      <c r="G504" s="7" t="str">
        <f t="shared" si="37"/>
        <v>No</v>
      </c>
      <c r="H504" s="7" t="str">
        <f>IF(OR('Raw Data'!D505=1,D504&lt;0.1),"Yes - Desirable","No")</f>
        <v>Yes - Desirable</v>
      </c>
      <c r="I504" s="7" t="str">
        <f t="shared" si="38"/>
        <v>Safe Area</v>
      </c>
      <c r="J504" s="7" t="str">
        <f t="shared" si="39"/>
        <v>Grade C - Average</v>
      </c>
    </row>
    <row r="505" spans="1:10" x14ac:dyDescent="0.25">
      <c r="A505" s="7">
        <v>503</v>
      </c>
      <c r="B505" s="7">
        <f>'Raw Data'!N506</f>
        <v>20.6</v>
      </c>
      <c r="C505" s="7">
        <f>'Raw Data'!F506</f>
        <v>6.12</v>
      </c>
      <c r="D505" s="7">
        <f>'Raw Data'!A506</f>
        <v>4.5269999999999998E-2</v>
      </c>
      <c r="E505" s="7" t="str">
        <f t="shared" si="35"/>
        <v>Medium</v>
      </c>
      <c r="F505" s="8" t="str">
        <f t="shared" si="36"/>
        <v>Medium</v>
      </c>
      <c r="G505" s="7" t="str">
        <f t="shared" si="37"/>
        <v>Yes - Affordable &amp; Spacious</v>
      </c>
      <c r="H505" s="7" t="str">
        <f>IF(OR('Raw Data'!D506=1,D505&lt;0.1),"Yes - Desirable","No")</f>
        <v>Yes - Desirable</v>
      </c>
      <c r="I505" s="7" t="str">
        <f t="shared" si="38"/>
        <v>Safe Area</v>
      </c>
      <c r="J505" s="7" t="str">
        <f t="shared" si="39"/>
        <v>Grade C - Average</v>
      </c>
    </row>
    <row r="506" spans="1:10" x14ac:dyDescent="0.25">
      <c r="A506" s="7">
        <v>504</v>
      </c>
      <c r="B506" s="7">
        <f>'Raw Data'!N507</f>
        <v>23.9</v>
      </c>
      <c r="C506" s="7">
        <f>'Raw Data'!F507</f>
        <v>6.976</v>
      </c>
      <c r="D506" s="7">
        <f>'Raw Data'!A507</f>
        <v>6.0760000000000002E-2</v>
      </c>
      <c r="E506" s="7" t="str">
        <f t="shared" si="35"/>
        <v>Medium</v>
      </c>
      <c r="F506" s="8" t="str">
        <f t="shared" si="36"/>
        <v>Medium</v>
      </c>
      <c r="G506" s="7" t="str">
        <f t="shared" si="37"/>
        <v>No</v>
      </c>
      <c r="H506" s="7" t="str">
        <f>IF(OR('Raw Data'!D507=1,D506&lt;0.1),"Yes - Desirable","No")</f>
        <v>Yes - Desirable</v>
      </c>
      <c r="I506" s="7" t="str">
        <f t="shared" si="38"/>
        <v>Safe Area</v>
      </c>
      <c r="J506" s="7" t="str">
        <f t="shared" si="39"/>
        <v>Grade C - Average</v>
      </c>
    </row>
    <row r="507" spans="1:10" x14ac:dyDescent="0.25">
      <c r="A507" s="7">
        <v>505</v>
      </c>
      <c r="B507" s="7">
        <f>'Raw Data'!N508</f>
        <v>22</v>
      </c>
      <c r="C507" s="7">
        <f>'Raw Data'!F508</f>
        <v>6.7939999999999996</v>
      </c>
      <c r="D507" s="7">
        <f>'Raw Data'!A508</f>
        <v>0.10959000000000001</v>
      </c>
      <c r="E507" s="7" t="str">
        <f t="shared" si="35"/>
        <v>Medium</v>
      </c>
      <c r="F507" s="8" t="str">
        <f t="shared" si="36"/>
        <v>Medium</v>
      </c>
      <c r="G507" s="7" t="str">
        <f t="shared" si="37"/>
        <v>Yes - Affordable &amp; Spacious</v>
      </c>
      <c r="H507" s="7" t="str">
        <f>IF(OR('Raw Data'!D508=1,D507&lt;0.1),"Yes - Desirable","No")</f>
        <v>No</v>
      </c>
      <c r="I507" s="7" t="str">
        <f t="shared" si="38"/>
        <v>Safe Area</v>
      </c>
      <c r="J507" s="7" t="str">
        <f t="shared" si="39"/>
        <v>Grade C - Average</v>
      </c>
    </row>
    <row r="508" spans="1:10" x14ac:dyDescent="0.25">
      <c r="A508" s="7">
        <v>506</v>
      </c>
      <c r="B508" s="7">
        <f>'Raw Data'!N509</f>
        <v>11.9</v>
      </c>
      <c r="C508" s="7">
        <f>'Raw Data'!F509</f>
        <v>6.03</v>
      </c>
      <c r="D508" s="7">
        <f>'Raw Data'!A509</f>
        <v>4.7410000000000001E-2</v>
      </c>
      <c r="E508" s="7" t="str">
        <f t="shared" si="35"/>
        <v>Low</v>
      </c>
      <c r="F508" s="8" t="str">
        <f t="shared" si="36"/>
        <v>Low</v>
      </c>
      <c r="G508" s="7" t="str">
        <f>IF(AND(B508&lt;=22,C508&gt;=6),"Yes - Affordable &amp; Spacious","No")</f>
        <v>Yes - Affordable &amp; Spacious</v>
      </c>
      <c r="H508" s="7" t="str">
        <f>IF(OR('Raw Data'!D509=1,D508&lt;0.1),"Yes - Desirable","No")</f>
        <v>Yes - Desirable</v>
      </c>
      <c r="I508" s="7" t="str">
        <f t="shared" si="38"/>
        <v>Safe Area</v>
      </c>
      <c r="J508" s="7" t="str">
        <f t="shared" si="39"/>
        <v>Grade D - Low Value</v>
      </c>
    </row>
  </sheetData>
  <mergeCells count="1">
    <mergeCell ref="A1:J1"/>
  </mergeCells>
  <conditionalFormatting sqref="A3:J508">
    <cfRule type="expression" dxfId="4" priority="1">
      <formula>MOD(ROW(),2)=0</formula>
    </cfRule>
    <cfRule type="expression" priority="2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F06AB-DE2A-44BD-A305-D4EF9795F9ED}">
  <dimension ref="A1:H508"/>
  <sheetViews>
    <sheetView workbookViewId="0">
      <pane ySplit="2" topLeftCell="A33" activePane="bottomLeft" state="frozen"/>
      <selection pane="bottomLeft" activeCell="H25" sqref="H25"/>
    </sheetView>
  </sheetViews>
  <sheetFormatPr defaultRowHeight="15" x14ac:dyDescent="0.25"/>
  <cols>
    <col min="1" max="3" width="13.7109375" customWidth="1"/>
    <col min="4" max="4" width="21.42578125" customWidth="1"/>
    <col min="5" max="5" width="13.7109375" customWidth="1"/>
    <col min="6" max="6" width="14.7109375" customWidth="1"/>
    <col min="7" max="7" width="13.7109375" customWidth="1"/>
    <col min="8" max="8" width="18" customWidth="1"/>
  </cols>
  <sheetData>
    <row r="1" spans="1:8" ht="30" customHeight="1" x14ac:dyDescent="0.25">
      <c r="A1" s="22" t="s">
        <v>37</v>
      </c>
      <c r="B1" s="22"/>
      <c r="C1" s="22"/>
      <c r="D1" s="22"/>
      <c r="E1" s="22"/>
      <c r="F1" s="22"/>
      <c r="G1" s="22"/>
      <c r="H1" s="22"/>
    </row>
    <row r="2" spans="1:8" ht="36" customHeight="1" x14ac:dyDescent="0.25">
      <c r="A2" s="6" t="s">
        <v>30</v>
      </c>
      <c r="B2" s="6" t="s">
        <v>38</v>
      </c>
      <c r="C2" s="6" t="s">
        <v>39</v>
      </c>
      <c r="D2" s="6" t="s">
        <v>43</v>
      </c>
      <c r="E2" s="6" t="s">
        <v>40</v>
      </c>
      <c r="F2" s="6" t="s">
        <v>41</v>
      </c>
      <c r="G2" s="6" t="s">
        <v>42</v>
      </c>
      <c r="H2" s="6" t="s">
        <v>44</v>
      </c>
    </row>
    <row r="3" spans="1:8" x14ac:dyDescent="0.25">
      <c r="A3" s="5">
        <v>1</v>
      </c>
      <c r="B3" s="5">
        <f>'Raw Data'!N4</f>
        <v>24</v>
      </c>
      <c r="C3" s="5">
        <f>'Raw Data'!I4</f>
        <v>1</v>
      </c>
      <c r="D3" s="5" t="str">
        <f>CHOOSE(MIN(5,MAX(1,INT(C3/5)+1)),"Very Low Access","Low Access","Medium Access","High Access","Very High Access")</f>
        <v>Very Low Access</v>
      </c>
      <c r="E3" s="5" t="str">
        <f>IF(B3&lt;15,"Under $15k",IF(B3&lt;25,"$15-25k",IF(B3&lt;35,"$25-35k",IF(B3&lt;45,"$35-45k","Over $45k"))))</f>
        <v>$15-25k</v>
      </c>
      <c r="F3" s="5" t="str">
        <f>IF(ISNUMBER(B3),"Valid Number","Not a Number")</f>
        <v>Valid Number</v>
      </c>
      <c r="G3" s="5" t="str">
        <f>IF(ISBLANK(B3),"Missing","Data Present")</f>
        <v>Data Present</v>
      </c>
      <c r="H3" s="10">
        <f>IFERROR(B3/'Raw Data'!A4,"Error: Div by Zero")</f>
        <v>3797.4683544303798</v>
      </c>
    </row>
    <row r="4" spans="1:8" x14ac:dyDescent="0.25">
      <c r="A4" s="5">
        <v>2</v>
      </c>
      <c r="B4" s="5">
        <f>'Raw Data'!N5</f>
        <v>21.6</v>
      </c>
      <c r="C4" s="5">
        <f>'Raw Data'!I5</f>
        <v>2</v>
      </c>
      <c r="D4" s="5" t="str">
        <f t="shared" ref="D4:D67" si="0">CHOOSE(MIN(5,MAX(1,INT(C4/5)+1)),"Very Low Access","Low Access","Medium Access","High Access","Very High Access")</f>
        <v>Very Low Access</v>
      </c>
      <c r="E4" s="5" t="str">
        <f t="shared" ref="E4:E67" si="1">IF(B4&lt;15,"Under $15k",IF(B4&lt;25,"$15-25k",IF(B4&lt;35,"$25-35k",IF(B4&lt;45,"$35-45k","Over $45k"))))</f>
        <v>$15-25k</v>
      </c>
      <c r="F4" s="5" t="str">
        <f t="shared" ref="F4:F67" si="2">IF(ISNUMBER(B4),"Valid Number","Not a Number")</f>
        <v>Valid Number</v>
      </c>
      <c r="G4" s="5" t="str">
        <f t="shared" ref="G4:G67" si="3">IF(ISBLANK(B4),"Missing","Data Present")</f>
        <v>Data Present</v>
      </c>
      <c r="H4" s="10">
        <f>IFERROR(B4/'Raw Data'!A5,"Error: Div by Zero")</f>
        <v>790.91907726107661</v>
      </c>
    </row>
    <row r="5" spans="1:8" x14ac:dyDescent="0.25">
      <c r="A5" s="5">
        <v>3</v>
      </c>
      <c r="B5" s="5">
        <f>'Raw Data'!N6</f>
        <v>34.700000000000003</v>
      </c>
      <c r="C5" s="5">
        <f>'Raw Data'!I6</f>
        <v>2</v>
      </c>
      <c r="D5" s="5" t="str">
        <f t="shared" si="0"/>
        <v>Very Low Access</v>
      </c>
      <c r="E5" s="5" t="str">
        <f t="shared" si="1"/>
        <v>$25-35k</v>
      </c>
      <c r="F5" s="5" t="str">
        <f t="shared" si="2"/>
        <v>Valid Number</v>
      </c>
      <c r="G5" s="5" t="str">
        <f t="shared" si="3"/>
        <v>Data Present</v>
      </c>
      <c r="H5" s="10">
        <f>IFERROR(B5/'Raw Data'!A6,"Error: Div by Zero")</f>
        <v>1271.5280322462443</v>
      </c>
    </row>
    <row r="6" spans="1:8" x14ac:dyDescent="0.25">
      <c r="A6" s="5">
        <v>4</v>
      </c>
      <c r="B6" s="5">
        <f>'Raw Data'!N7</f>
        <v>33.4</v>
      </c>
      <c r="C6" s="5">
        <f>'Raw Data'!I7</f>
        <v>3</v>
      </c>
      <c r="D6" s="5" t="str">
        <f t="shared" si="0"/>
        <v>Very Low Access</v>
      </c>
      <c r="E6" s="5" t="str">
        <f t="shared" si="1"/>
        <v>$25-35k</v>
      </c>
      <c r="F6" s="5" t="str">
        <f t="shared" si="2"/>
        <v>Valid Number</v>
      </c>
      <c r="G6" s="5" t="str">
        <f t="shared" si="3"/>
        <v>Data Present</v>
      </c>
      <c r="H6" s="10">
        <f>IFERROR(B6/'Raw Data'!A7,"Error: Div by Zero")</f>
        <v>1031.8195860364533</v>
      </c>
    </row>
    <row r="7" spans="1:8" x14ac:dyDescent="0.25">
      <c r="A7" s="5">
        <v>5</v>
      </c>
      <c r="B7" s="5">
        <f>'Raw Data'!N8</f>
        <v>36.200000000000003</v>
      </c>
      <c r="C7" s="5">
        <f>'Raw Data'!I8</f>
        <v>3</v>
      </c>
      <c r="D7" s="5" t="str">
        <f t="shared" si="0"/>
        <v>Very Low Access</v>
      </c>
      <c r="E7" s="5" t="str">
        <f t="shared" si="1"/>
        <v>$35-45k</v>
      </c>
      <c r="F7" s="5" t="str">
        <f t="shared" si="2"/>
        <v>Valid Number</v>
      </c>
      <c r="G7" s="5" t="str">
        <f t="shared" si="3"/>
        <v>Data Present</v>
      </c>
      <c r="H7" s="10">
        <f>IFERROR(B7/'Raw Data'!A8,"Error: Div by Zero")</f>
        <v>524.25778421433745</v>
      </c>
    </row>
    <row r="8" spans="1:8" x14ac:dyDescent="0.25">
      <c r="A8" s="5">
        <v>6</v>
      </c>
      <c r="B8" s="5">
        <f>'Raw Data'!N9</f>
        <v>28.7</v>
      </c>
      <c r="C8" s="5">
        <f>'Raw Data'!I9</f>
        <v>3</v>
      </c>
      <c r="D8" s="5" t="str">
        <f t="shared" si="0"/>
        <v>Very Low Access</v>
      </c>
      <c r="E8" s="5" t="str">
        <f t="shared" si="1"/>
        <v>$25-35k</v>
      </c>
      <c r="F8" s="5" t="str">
        <f t="shared" si="2"/>
        <v>Valid Number</v>
      </c>
      <c r="G8" s="5" t="str">
        <f t="shared" si="3"/>
        <v>Data Present</v>
      </c>
      <c r="H8" s="10">
        <f>IFERROR(B8/'Raw Data'!A9,"Error: Div by Zero")</f>
        <v>961.47403685092115</v>
      </c>
    </row>
    <row r="9" spans="1:8" x14ac:dyDescent="0.25">
      <c r="A9" s="5">
        <v>7</v>
      </c>
      <c r="B9" s="5">
        <f>'Raw Data'!N10</f>
        <v>22.9</v>
      </c>
      <c r="C9" s="5">
        <f>'Raw Data'!I10</f>
        <v>5</v>
      </c>
      <c r="D9" s="5" t="str">
        <f t="shared" si="0"/>
        <v>Low Access</v>
      </c>
      <c r="E9" s="5" t="str">
        <f t="shared" si="1"/>
        <v>$15-25k</v>
      </c>
      <c r="F9" s="5" t="str">
        <f t="shared" si="2"/>
        <v>Valid Number</v>
      </c>
      <c r="G9" s="5" t="str">
        <f t="shared" si="3"/>
        <v>Data Present</v>
      </c>
      <c r="H9" s="10">
        <f>IFERROR(B9/'Raw Data'!A10,"Error: Div by Zero")</f>
        <v>259.37252236946426</v>
      </c>
    </row>
    <row r="10" spans="1:8" x14ac:dyDescent="0.25">
      <c r="A10" s="5">
        <v>8</v>
      </c>
      <c r="B10" s="5">
        <f>'Raw Data'!N11</f>
        <v>27.1</v>
      </c>
      <c r="C10" s="5">
        <f>'Raw Data'!I11</f>
        <v>5</v>
      </c>
      <c r="D10" s="5" t="str">
        <f t="shared" si="0"/>
        <v>Low Access</v>
      </c>
      <c r="E10" s="5" t="str">
        <f t="shared" si="1"/>
        <v>$25-35k</v>
      </c>
      <c r="F10" s="5" t="str">
        <f t="shared" si="2"/>
        <v>Valid Number</v>
      </c>
      <c r="G10" s="5" t="str">
        <f t="shared" si="3"/>
        <v>Data Present</v>
      </c>
      <c r="H10" s="10">
        <f>IFERROR(B10/'Raw Data'!A11,"Error: Div by Zero")</f>
        <v>187.47838118298165</v>
      </c>
    </row>
    <row r="11" spans="1:8" x14ac:dyDescent="0.25">
      <c r="A11" s="5">
        <v>9</v>
      </c>
      <c r="B11" s="5">
        <f>'Raw Data'!N12</f>
        <v>16.5</v>
      </c>
      <c r="C11" s="5">
        <f>'Raw Data'!I12</f>
        <v>5</v>
      </c>
      <c r="D11" s="5" t="str">
        <f t="shared" si="0"/>
        <v>Low Access</v>
      </c>
      <c r="E11" s="5" t="str">
        <f t="shared" si="1"/>
        <v>$15-25k</v>
      </c>
      <c r="F11" s="5" t="str">
        <f t="shared" si="2"/>
        <v>Valid Number</v>
      </c>
      <c r="G11" s="5" t="str">
        <f t="shared" si="3"/>
        <v>Data Present</v>
      </c>
      <c r="H11" s="10">
        <f>IFERROR(B11/'Raw Data'!A12,"Error: Div by Zero")</f>
        <v>78.110206400302971</v>
      </c>
    </row>
    <row r="12" spans="1:8" x14ac:dyDescent="0.25">
      <c r="A12" s="5">
        <v>10</v>
      </c>
      <c r="B12" s="5">
        <f>'Raw Data'!N13</f>
        <v>18.899999999999999</v>
      </c>
      <c r="C12" s="5">
        <f>'Raw Data'!I13</f>
        <v>5</v>
      </c>
      <c r="D12" s="5" t="str">
        <f t="shared" si="0"/>
        <v>Low Access</v>
      </c>
      <c r="E12" s="5" t="str">
        <f t="shared" si="1"/>
        <v>$15-25k</v>
      </c>
      <c r="F12" s="5" t="str">
        <f t="shared" si="2"/>
        <v>Valid Number</v>
      </c>
      <c r="G12" s="5" t="str">
        <f t="shared" si="3"/>
        <v>Data Present</v>
      </c>
      <c r="H12" s="10">
        <f>IFERROR(B12/'Raw Data'!A13,"Error: Div by Zero")</f>
        <v>111.15031757233591</v>
      </c>
    </row>
    <row r="13" spans="1:8" x14ac:dyDescent="0.25">
      <c r="A13" s="5">
        <v>11</v>
      </c>
      <c r="B13" s="5">
        <f>'Raw Data'!N14</f>
        <v>15</v>
      </c>
      <c r="C13" s="5">
        <f>'Raw Data'!I14</f>
        <v>5</v>
      </c>
      <c r="D13" s="5" t="str">
        <f t="shared" si="0"/>
        <v>Low Access</v>
      </c>
      <c r="E13" s="5" t="str">
        <f t="shared" si="1"/>
        <v>$15-25k</v>
      </c>
      <c r="F13" s="5" t="str">
        <f t="shared" si="2"/>
        <v>Valid Number</v>
      </c>
      <c r="G13" s="5" t="str">
        <f t="shared" si="3"/>
        <v>Data Present</v>
      </c>
      <c r="H13" s="10">
        <f>IFERROR(B13/'Raw Data'!A14,"Error: Div by Zero")</f>
        <v>66.699275201209474</v>
      </c>
    </row>
    <row r="14" spans="1:8" x14ac:dyDescent="0.25">
      <c r="A14" s="5">
        <v>12</v>
      </c>
      <c r="B14" s="5">
        <f>'Raw Data'!N15</f>
        <v>18.899999999999999</v>
      </c>
      <c r="C14" s="5">
        <f>'Raw Data'!I15</f>
        <v>5</v>
      </c>
      <c r="D14" s="5" t="str">
        <f t="shared" si="0"/>
        <v>Low Access</v>
      </c>
      <c r="E14" s="5" t="str">
        <f t="shared" si="1"/>
        <v>$15-25k</v>
      </c>
      <c r="F14" s="5" t="str">
        <f t="shared" si="2"/>
        <v>Valid Number</v>
      </c>
      <c r="G14" s="5" t="str">
        <f t="shared" si="3"/>
        <v>Data Present</v>
      </c>
      <c r="H14" s="10">
        <f>IFERROR(B14/'Raw Data'!A15,"Error: Div by Zero")</f>
        <v>160.89214267472545</v>
      </c>
    </row>
    <row r="15" spans="1:8" x14ac:dyDescent="0.25">
      <c r="A15" s="5">
        <v>13</v>
      </c>
      <c r="B15" s="5">
        <f>'Raw Data'!N16</f>
        <v>21.7</v>
      </c>
      <c r="C15" s="5">
        <f>'Raw Data'!I16</f>
        <v>5</v>
      </c>
      <c r="D15" s="5" t="str">
        <f t="shared" si="0"/>
        <v>Low Access</v>
      </c>
      <c r="E15" s="5" t="str">
        <f t="shared" si="1"/>
        <v>$15-25k</v>
      </c>
      <c r="F15" s="5" t="str">
        <f t="shared" si="2"/>
        <v>Valid Number</v>
      </c>
      <c r="G15" s="5" t="str">
        <f t="shared" si="3"/>
        <v>Data Present</v>
      </c>
      <c r="H15" s="10">
        <f>IFERROR(B15/'Raw Data'!A16,"Error: Div by Zero")</f>
        <v>231.39262102793771</v>
      </c>
    </row>
    <row r="16" spans="1:8" x14ac:dyDescent="0.25">
      <c r="A16" s="5">
        <v>14</v>
      </c>
      <c r="B16" s="5">
        <f>'Raw Data'!N17</f>
        <v>20.399999999999999</v>
      </c>
      <c r="C16" s="5">
        <f>'Raw Data'!I17</f>
        <v>4</v>
      </c>
      <c r="D16" s="5" t="str">
        <f t="shared" si="0"/>
        <v>Very Low Access</v>
      </c>
      <c r="E16" s="5" t="str">
        <f t="shared" si="1"/>
        <v>$15-25k</v>
      </c>
      <c r="F16" s="5" t="str">
        <f t="shared" si="2"/>
        <v>Valid Number</v>
      </c>
      <c r="G16" s="5" t="str">
        <f t="shared" si="3"/>
        <v>Data Present</v>
      </c>
      <c r="H16" s="10">
        <f>IFERROR(B16/'Raw Data'!A17,"Error: Div by Zero")</f>
        <v>32.393292682926827</v>
      </c>
    </row>
    <row r="17" spans="1:8" x14ac:dyDescent="0.25">
      <c r="A17" s="5">
        <v>15</v>
      </c>
      <c r="B17" s="5">
        <f>'Raw Data'!N18</f>
        <v>18.2</v>
      </c>
      <c r="C17" s="5">
        <f>'Raw Data'!I18</f>
        <v>4</v>
      </c>
      <c r="D17" s="5" t="str">
        <f t="shared" si="0"/>
        <v>Very Low Access</v>
      </c>
      <c r="E17" s="5" t="str">
        <f t="shared" si="1"/>
        <v>$15-25k</v>
      </c>
      <c r="F17" s="5" t="str">
        <f t="shared" si="2"/>
        <v>Valid Number</v>
      </c>
      <c r="G17" s="5" t="str">
        <f t="shared" si="3"/>
        <v>Data Present</v>
      </c>
      <c r="H17" s="10">
        <f>IFERROR(B17/'Raw Data'!A18,"Error: Div by Zero")</f>
        <v>28.528434384600917</v>
      </c>
    </row>
    <row r="18" spans="1:8" x14ac:dyDescent="0.25">
      <c r="A18" s="5">
        <v>16</v>
      </c>
      <c r="B18" s="5">
        <f>'Raw Data'!N19</f>
        <v>19.899999999999999</v>
      </c>
      <c r="C18" s="5">
        <f>'Raw Data'!I19</f>
        <v>4</v>
      </c>
      <c r="D18" s="5" t="str">
        <f t="shared" si="0"/>
        <v>Very Low Access</v>
      </c>
      <c r="E18" s="5" t="str">
        <f t="shared" si="1"/>
        <v>$15-25k</v>
      </c>
      <c r="F18" s="5" t="str">
        <f t="shared" si="2"/>
        <v>Valid Number</v>
      </c>
      <c r="G18" s="5" t="str">
        <f t="shared" si="3"/>
        <v>Data Present</v>
      </c>
      <c r="H18" s="10">
        <f>IFERROR(B18/'Raw Data'!A19,"Error: Div by Zero")</f>
        <v>31.71870766190089</v>
      </c>
    </row>
    <row r="19" spans="1:8" x14ac:dyDescent="0.25">
      <c r="A19" s="5">
        <v>17</v>
      </c>
      <c r="B19" s="5">
        <f>'Raw Data'!N20</f>
        <v>23.1</v>
      </c>
      <c r="C19" s="5">
        <f>'Raw Data'!I20</f>
        <v>4</v>
      </c>
      <c r="D19" s="5" t="str">
        <f t="shared" si="0"/>
        <v>Very Low Access</v>
      </c>
      <c r="E19" s="5" t="str">
        <f t="shared" si="1"/>
        <v>$15-25k</v>
      </c>
      <c r="F19" s="5" t="str">
        <f t="shared" si="2"/>
        <v>Valid Number</v>
      </c>
      <c r="G19" s="5" t="str">
        <f t="shared" si="3"/>
        <v>Data Present</v>
      </c>
      <c r="H19" s="10">
        <f>IFERROR(B19/'Raw Data'!A20,"Error: Div by Zero")</f>
        <v>21.917964191170192</v>
      </c>
    </row>
    <row r="20" spans="1:8" x14ac:dyDescent="0.25">
      <c r="A20" s="5">
        <v>18</v>
      </c>
      <c r="B20" s="5">
        <f>'Raw Data'!N21</f>
        <v>17.5</v>
      </c>
      <c r="C20" s="5">
        <f>'Raw Data'!I21</f>
        <v>4</v>
      </c>
      <c r="D20" s="5" t="str">
        <f t="shared" si="0"/>
        <v>Very Low Access</v>
      </c>
      <c r="E20" s="5" t="str">
        <f t="shared" si="1"/>
        <v>$15-25k</v>
      </c>
      <c r="F20" s="5" t="str">
        <f t="shared" si="2"/>
        <v>Valid Number</v>
      </c>
      <c r="G20" s="5" t="str">
        <f t="shared" si="3"/>
        <v>Data Present</v>
      </c>
      <c r="H20" s="10">
        <f>IFERROR(B20/'Raw Data'!A21,"Error: Div by Zero")</f>
        <v>22.315735781688346</v>
      </c>
    </row>
    <row r="21" spans="1:8" x14ac:dyDescent="0.25">
      <c r="A21" s="5">
        <v>19</v>
      </c>
      <c r="B21" s="5">
        <f>'Raw Data'!N22</f>
        <v>20.2</v>
      </c>
      <c r="C21" s="5">
        <f>'Raw Data'!I22</f>
        <v>4</v>
      </c>
      <c r="D21" s="5" t="str">
        <f t="shared" si="0"/>
        <v>Very Low Access</v>
      </c>
      <c r="E21" s="5" t="str">
        <f t="shared" si="1"/>
        <v>$15-25k</v>
      </c>
      <c r="F21" s="5" t="str">
        <f t="shared" si="2"/>
        <v>Valid Number</v>
      </c>
      <c r="G21" s="5" t="str">
        <f t="shared" si="3"/>
        <v>Data Present</v>
      </c>
      <c r="H21" s="10">
        <f>IFERROR(B21/'Raw Data'!A22,"Error: Div by Zero")</f>
        <v>25.164754394488668</v>
      </c>
    </row>
    <row r="22" spans="1:8" x14ac:dyDescent="0.25">
      <c r="A22" s="5">
        <v>20</v>
      </c>
      <c r="B22" s="5">
        <f>'Raw Data'!N23</f>
        <v>18.2</v>
      </c>
      <c r="C22" s="5">
        <f>'Raw Data'!I23</f>
        <v>4</v>
      </c>
      <c r="D22" s="5" t="str">
        <f t="shared" si="0"/>
        <v>Very Low Access</v>
      </c>
      <c r="E22" s="5" t="str">
        <f t="shared" si="1"/>
        <v>$15-25k</v>
      </c>
      <c r="F22" s="5" t="str">
        <f t="shared" si="2"/>
        <v>Valid Number</v>
      </c>
      <c r="G22" s="5" t="str">
        <f t="shared" si="3"/>
        <v>Data Present</v>
      </c>
      <c r="H22" s="10">
        <f>IFERROR(B22/'Raw Data'!A23,"Error: Div by Zero")</f>
        <v>25.075778451364013</v>
      </c>
    </row>
    <row r="23" spans="1:8" x14ac:dyDescent="0.25">
      <c r="A23" s="5">
        <v>21</v>
      </c>
      <c r="B23" s="5">
        <f>'Raw Data'!N24</f>
        <v>13.6</v>
      </c>
      <c r="C23" s="5">
        <f>'Raw Data'!I24</f>
        <v>4</v>
      </c>
      <c r="D23" s="5" t="str">
        <f t="shared" si="0"/>
        <v>Very Low Access</v>
      </c>
      <c r="E23" s="5" t="str">
        <f t="shared" si="1"/>
        <v>Under $15k</v>
      </c>
      <c r="F23" s="5" t="str">
        <f t="shared" si="2"/>
        <v>Valid Number</v>
      </c>
      <c r="G23" s="5" t="str">
        <f t="shared" si="3"/>
        <v>Data Present</v>
      </c>
      <c r="H23" s="10">
        <f>IFERROR(B23/'Raw Data'!A24,"Error: Div by Zero")</f>
        <v>10.864442118885755</v>
      </c>
    </row>
    <row r="24" spans="1:8" x14ac:dyDescent="0.25">
      <c r="A24" s="5">
        <v>22</v>
      </c>
      <c r="B24" s="5">
        <f>'Raw Data'!N25</f>
        <v>19.600000000000001</v>
      </c>
      <c r="C24" s="5">
        <f>'Raw Data'!I25</f>
        <v>4</v>
      </c>
      <c r="D24" s="5" t="str">
        <f t="shared" si="0"/>
        <v>Very Low Access</v>
      </c>
      <c r="E24" s="5" t="str">
        <f t="shared" si="1"/>
        <v>$15-25k</v>
      </c>
      <c r="F24" s="5" t="str">
        <f t="shared" si="2"/>
        <v>Valid Number</v>
      </c>
      <c r="G24" s="5" t="str">
        <f t="shared" si="3"/>
        <v>Data Present</v>
      </c>
      <c r="H24" s="10">
        <f>IFERROR(B24/'Raw Data'!A25,"Error: Div by Zero")</f>
        <v>23.003614853762734</v>
      </c>
    </row>
    <row r="25" spans="1:8" x14ac:dyDescent="0.25">
      <c r="A25" s="5">
        <v>23</v>
      </c>
      <c r="B25" s="5">
        <f>'Raw Data'!N26</f>
        <v>15.2</v>
      </c>
      <c r="C25" s="5">
        <f>'Raw Data'!I26</f>
        <v>4</v>
      </c>
      <c r="D25" s="5" t="str">
        <f t="shared" si="0"/>
        <v>Very Low Access</v>
      </c>
      <c r="E25" s="5" t="str">
        <f t="shared" si="1"/>
        <v>$15-25k</v>
      </c>
      <c r="F25" s="5" t="str">
        <f t="shared" si="2"/>
        <v>Valid Number</v>
      </c>
      <c r="G25" s="5" t="str">
        <f t="shared" si="3"/>
        <v>Data Present</v>
      </c>
      <c r="H25" s="10">
        <f>IFERROR(B25/'Raw Data'!A26,"Error: Div by Zero")</f>
        <v>12.332957394500475</v>
      </c>
    </row>
    <row r="26" spans="1:8" x14ac:dyDescent="0.25">
      <c r="A26" s="5">
        <v>24</v>
      </c>
      <c r="B26" s="5">
        <f>'Raw Data'!N27</f>
        <v>14.5</v>
      </c>
      <c r="C26" s="5">
        <f>'Raw Data'!I27</f>
        <v>4</v>
      </c>
      <c r="D26" s="5" t="str">
        <f t="shared" si="0"/>
        <v>Very Low Access</v>
      </c>
      <c r="E26" s="5" t="str">
        <f t="shared" si="1"/>
        <v>Under $15k</v>
      </c>
      <c r="F26" s="5" t="str">
        <f t="shared" si="2"/>
        <v>Valid Number</v>
      </c>
      <c r="G26" s="5" t="str">
        <f t="shared" si="3"/>
        <v>Data Present</v>
      </c>
      <c r="H26" s="10">
        <f>IFERROR(B26/'Raw Data'!A27,"Error: Div by Zero")</f>
        <v>14.669728761773721</v>
      </c>
    </row>
    <row r="27" spans="1:8" x14ac:dyDescent="0.25">
      <c r="A27" s="5">
        <v>25</v>
      </c>
      <c r="B27" s="5">
        <f>'Raw Data'!N28</f>
        <v>15.6</v>
      </c>
      <c r="C27" s="5">
        <f>'Raw Data'!I28</f>
        <v>4</v>
      </c>
      <c r="D27" s="5" t="str">
        <f t="shared" si="0"/>
        <v>Very Low Access</v>
      </c>
      <c r="E27" s="5" t="str">
        <f t="shared" si="1"/>
        <v>$15-25k</v>
      </c>
      <c r="F27" s="5" t="str">
        <f t="shared" si="2"/>
        <v>Valid Number</v>
      </c>
      <c r="G27" s="5" t="str">
        <f t="shared" si="3"/>
        <v>Data Present</v>
      </c>
      <c r="H27" s="10">
        <f>IFERROR(B27/'Raw Data'!A28,"Error: Div by Zero")</f>
        <v>20.792791832164848</v>
      </c>
    </row>
    <row r="28" spans="1:8" x14ac:dyDescent="0.25">
      <c r="A28" s="5">
        <v>26</v>
      </c>
      <c r="B28" s="5">
        <f>'Raw Data'!N29</f>
        <v>13.9</v>
      </c>
      <c r="C28" s="5">
        <f>'Raw Data'!I29</f>
        <v>4</v>
      </c>
      <c r="D28" s="5" t="str">
        <f t="shared" si="0"/>
        <v>Very Low Access</v>
      </c>
      <c r="E28" s="5" t="str">
        <f t="shared" si="1"/>
        <v>Under $15k</v>
      </c>
      <c r="F28" s="5" t="str">
        <f t="shared" si="2"/>
        <v>Valid Number</v>
      </c>
      <c r="G28" s="5" t="str">
        <f t="shared" si="3"/>
        <v>Data Present</v>
      </c>
      <c r="H28" s="10">
        <f>IFERROR(B28/'Raw Data'!A29,"Error: Div by Zero")</f>
        <v>16.53698812668047</v>
      </c>
    </row>
    <row r="29" spans="1:8" x14ac:dyDescent="0.25">
      <c r="A29" s="5">
        <v>27</v>
      </c>
      <c r="B29" s="5">
        <f>'Raw Data'!N30</f>
        <v>16.600000000000001</v>
      </c>
      <c r="C29" s="5">
        <f>'Raw Data'!I30</f>
        <v>4</v>
      </c>
      <c r="D29" s="5" t="str">
        <f t="shared" si="0"/>
        <v>Very Low Access</v>
      </c>
      <c r="E29" s="5" t="str">
        <f t="shared" si="1"/>
        <v>$15-25k</v>
      </c>
      <c r="F29" s="5" t="str">
        <f t="shared" si="2"/>
        <v>Valid Number</v>
      </c>
      <c r="G29" s="5" t="str">
        <f t="shared" si="3"/>
        <v>Data Present</v>
      </c>
      <c r="H29" s="10">
        <f>IFERROR(B29/'Raw Data'!A30,"Error: Div by Zero")</f>
        <v>24.705689750115344</v>
      </c>
    </row>
    <row r="30" spans="1:8" x14ac:dyDescent="0.25">
      <c r="A30" s="5">
        <v>28</v>
      </c>
      <c r="B30" s="5">
        <f>'Raw Data'!N31</f>
        <v>14.8</v>
      </c>
      <c r="C30" s="5">
        <f>'Raw Data'!I31</f>
        <v>4</v>
      </c>
      <c r="D30" s="5" t="str">
        <f t="shared" si="0"/>
        <v>Very Low Access</v>
      </c>
      <c r="E30" s="5" t="str">
        <f t="shared" si="1"/>
        <v>Under $15k</v>
      </c>
      <c r="F30" s="5" t="str">
        <f t="shared" si="2"/>
        <v>Valid Number</v>
      </c>
      <c r="G30" s="5" t="str">
        <f t="shared" si="3"/>
        <v>Data Present</v>
      </c>
      <c r="H30" s="10">
        <f>IFERROR(B30/'Raw Data'!A31,"Error: Div by Zero")</f>
        <v>15.484896994046686</v>
      </c>
    </row>
    <row r="31" spans="1:8" x14ac:dyDescent="0.25">
      <c r="A31" s="5">
        <v>29</v>
      </c>
      <c r="B31" s="5">
        <f>'Raw Data'!N32</f>
        <v>18.399999999999999</v>
      </c>
      <c r="C31" s="5">
        <f>'Raw Data'!I32</f>
        <v>4</v>
      </c>
      <c r="D31" s="5" t="str">
        <f t="shared" si="0"/>
        <v>Very Low Access</v>
      </c>
      <c r="E31" s="5" t="str">
        <f t="shared" si="1"/>
        <v>$15-25k</v>
      </c>
      <c r="F31" s="5" t="str">
        <f t="shared" si="2"/>
        <v>Valid Number</v>
      </c>
      <c r="G31" s="5" t="str">
        <f t="shared" si="3"/>
        <v>Data Present</v>
      </c>
      <c r="H31" s="10">
        <f>IFERROR(B31/'Raw Data'!A32,"Error: Div by Zero")</f>
        <v>23.803671457586773</v>
      </c>
    </row>
    <row r="32" spans="1:8" x14ac:dyDescent="0.25">
      <c r="A32" s="5">
        <v>30</v>
      </c>
      <c r="B32" s="5">
        <f>'Raw Data'!N33</f>
        <v>21</v>
      </c>
      <c r="C32" s="5">
        <f>'Raw Data'!I33</f>
        <v>4</v>
      </c>
      <c r="D32" s="5" t="str">
        <f t="shared" si="0"/>
        <v>Very Low Access</v>
      </c>
      <c r="E32" s="5" t="str">
        <f t="shared" si="1"/>
        <v>$15-25k</v>
      </c>
      <c r="F32" s="5" t="str">
        <f t="shared" si="2"/>
        <v>Valid Number</v>
      </c>
      <c r="G32" s="5" t="str">
        <f t="shared" si="3"/>
        <v>Data Present</v>
      </c>
      <c r="H32" s="10">
        <f>IFERROR(B32/'Raw Data'!A33,"Error: Div by Zero")</f>
        <v>20.948675744426154</v>
      </c>
    </row>
    <row r="33" spans="1:8" x14ac:dyDescent="0.25">
      <c r="A33" s="5">
        <v>31</v>
      </c>
      <c r="B33" s="5">
        <f>'Raw Data'!N34</f>
        <v>12.7</v>
      </c>
      <c r="C33" s="5">
        <f>'Raw Data'!I34</f>
        <v>4</v>
      </c>
      <c r="D33" s="5" t="str">
        <f t="shared" si="0"/>
        <v>Very Low Access</v>
      </c>
      <c r="E33" s="5" t="str">
        <f t="shared" si="1"/>
        <v>Under $15k</v>
      </c>
      <c r="F33" s="5" t="str">
        <f t="shared" si="2"/>
        <v>Valid Number</v>
      </c>
      <c r="G33" s="5" t="str">
        <f t="shared" si="3"/>
        <v>Data Present</v>
      </c>
      <c r="H33" s="10">
        <f>IFERROR(B33/'Raw Data'!A34,"Error: Div by Zero")</f>
        <v>11.230887593848655</v>
      </c>
    </row>
    <row r="34" spans="1:8" x14ac:dyDescent="0.25">
      <c r="A34" s="5">
        <v>32</v>
      </c>
      <c r="B34" s="5">
        <f>'Raw Data'!N35</f>
        <v>14.5</v>
      </c>
      <c r="C34" s="5">
        <f>'Raw Data'!I35</f>
        <v>4</v>
      </c>
      <c r="D34" s="5" t="str">
        <f t="shared" si="0"/>
        <v>Very Low Access</v>
      </c>
      <c r="E34" s="5" t="str">
        <f t="shared" si="1"/>
        <v>Under $15k</v>
      </c>
      <c r="F34" s="5" t="str">
        <f t="shared" si="2"/>
        <v>Valid Number</v>
      </c>
      <c r="G34" s="5" t="str">
        <f t="shared" si="3"/>
        <v>Data Present</v>
      </c>
      <c r="H34" s="10">
        <f>IFERROR(B34/'Raw Data'!A35,"Error: Div by Zero")</f>
        <v>10.703318766977679</v>
      </c>
    </row>
    <row r="35" spans="1:8" x14ac:dyDescent="0.25">
      <c r="A35" s="5">
        <v>33</v>
      </c>
      <c r="B35" s="5">
        <f>'Raw Data'!N36</f>
        <v>13.2</v>
      </c>
      <c r="C35" s="5">
        <f>'Raw Data'!I36</f>
        <v>4</v>
      </c>
      <c r="D35" s="5" t="str">
        <f t="shared" si="0"/>
        <v>Very Low Access</v>
      </c>
      <c r="E35" s="5" t="str">
        <f t="shared" si="1"/>
        <v>Under $15k</v>
      </c>
      <c r="F35" s="5" t="str">
        <f t="shared" si="2"/>
        <v>Valid Number</v>
      </c>
      <c r="G35" s="5" t="str">
        <f t="shared" si="3"/>
        <v>Data Present</v>
      </c>
      <c r="H35" s="10">
        <f>IFERROR(B35/'Raw Data'!A36,"Error: Div by Zero")</f>
        <v>9.5101549722980696</v>
      </c>
    </row>
    <row r="36" spans="1:8" x14ac:dyDescent="0.25">
      <c r="A36" s="5">
        <v>34</v>
      </c>
      <c r="B36" s="5">
        <f>'Raw Data'!N37</f>
        <v>13.1</v>
      </c>
      <c r="C36" s="5">
        <f>'Raw Data'!I37</f>
        <v>4</v>
      </c>
      <c r="D36" s="5" t="str">
        <f t="shared" si="0"/>
        <v>Very Low Access</v>
      </c>
      <c r="E36" s="5" t="str">
        <f t="shared" si="1"/>
        <v>Under $15k</v>
      </c>
      <c r="F36" s="5" t="str">
        <f t="shared" si="2"/>
        <v>Valid Number</v>
      </c>
      <c r="G36" s="5" t="str">
        <f t="shared" si="3"/>
        <v>Data Present</v>
      </c>
      <c r="H36" s="10">
        <f>IFERROR(B36/'Raw Data'!A37,"Error: Div by Zero")</f>
        <v>11.374292362727051</v>
      </c>
    </row>
    <row r="37" spans="1:8" x14ac:dyDescent="0.25">
      <c r="A37" s="5">
        <v>35</v>
      </c>
      <c r="B37" s="5">
        <f>'Raw Data'!N38</f>
        <v>13.5</v>
      </c>
      <c r="C37" s="5">
        <f>'Raw Data'!I38</f>
        <v>4</v>
      </c>
      <c r="D37" s="5" t="str">
        <f t="shared" si="0"/>
        <v>Very Low Access</v>
      </c>
      <c r="E37" s="5" t="str">
        <f t="shared" si="1"/>
        <v>Under $15k</v>
      </c>
      <c r="F37" s="5" t="str">
        <f t="shared" si="2"/>
        <v>Valid Number</v>
      </c>
      <c r="G37" s="5" t="str">
        <f t="shared" si="3"/>
        <v>Data Present</v>
      </c>
      <c r="H37" s="10">
        <f>IFERROR(B37/'Raw Data'!A38,"Error: Div by Zero")</f>
        <v>8.3704319142867778</v>
      </c>
    </row>
    <row r="38" spans="1:8" x14ac:dyDescent="0.25">
      <c r="A38" s="5">
        <v>36</v>
      </c>
      <c r="B38" s="5">
        <f>'Raw Data'!N39</f>
        <v>18.899999999999999</v>
      </c>
      <c r="C38" s="5">
        <f>'Raw Data'!I39</f>
        <v>5</v>
      </c>
      <c r="D38" s="5" t="str">
        <f t="shared" si="0"/>
        <v>Low Access</v>
      </c>
      <c r="E38" s="5" t="str">
        <f t="shared" si="1"/>
        <v>$15-25k</v>
      </c>
      <c r="F38" s="5" t="str">
        <f t="shared" si="2"/>
        <v>Valid Number</v>
      </c>
      <c r="G38" s="5" t="str">
        <f t="shared" si="3"/>
        <v>Data Present</v>
      </c>
      <c r="H38" s="10">
        <f>IFERROR(B38/'Raw Data'!A39,"Error: Div by Zero")</f>
        <v>294.53015427769981</v>
      </c>
    </row>
    <row r="39" spans="1:8" x14ac:dyDescent="0.25">
      <c r="A39" s="5">
        <v>37</v>
      </c>
      <c r="B39" s="5">
        <f>'Raw Data'!N40</f>
        <v>20</v>
      </c>
      <c r="C39" s="5">
        <f>'Raw Data'!I40</f>
        <v>5</v>
      </c>
      <c r="D39" s="5" t="str">
        <f t="shared" si="0"/>
        <v>Low Access</v>
      </c>
      <c r="E39" s="5" t="str">
        <f t="shared" si="1"/>
        <v>$15-25k</v>
      </c>
      <c r="F39" s="5" t="str">
        <f t="shared" si="2"/>
        <v>Valid Number</v>
      </c>
      <c r="G39" s="5" t="str">
        <f t="shared" si="3"/>
        <v>Data Present</v>
      </c>
      <c r="H39" s="10">
        <f>IFERROR(B39/'Raw Data'!A40,"Error: Div by Zero")</f>
        <v>205.25451559934319</v>
      </c>
    </row>
    <row r="40" spans="1:8" x14ac:dyDescent="0.25">
      <c r="A40" s="5">
        <v>38</v>
      </c>
      <c r="B40" s="5">
        <f>'Raw Data'!N41</f>
        <v>21</v>
      </c>
      <c r="C40" s="5">
        <f>'Raw Data'!I41</f>
        <v>5</v>
      </c>
      <c r="D40" s="5" t="str">
        <f t="shared" si="0"/>
        <v>Low Access</v>
      </c>
      <c r="E40" s="5" t="str">
        <f t="shared" si="1"/>
        <v>$15-25k</v>
      </c>
      <c r="F40" s="5" t="str">
        <f t="shared" si="2"/>
        <v>Valid Number</v>
      </c>
      <c r="G40" s="5" t="str">
        <f t="shared" si="3"/>
        <v>Data Present</v>
      </c>
      <c r="H40" s="10">
        <f>IFERROR(B40/'Raw Data'!A41,"Error: Div by Zero")</f>
        <v>262.04142750187174</v>
      </c>
    </row>
    <row r="41" spans="1:8" x14ac:dyDescent="0.25">
      <c r="A41" s="5">
        <v>39</v>
      </c>
      <c r="B41" s="5">
        <f>'Raw Data'!N42</f>
        <v>24.7</v>
      </c>
      <c r="C41" s="5">
        <f>'Raw Data'!I42</f>
        <v>5</v>
      </c>
      <c r="D41" s="5" t="str">
        <f t="shared" si="0"/>
        <v>Low Access</v>
      </c>
      <c r="E41" s="5" t="str">
        <f t="shared" si="1"/>
        <v>$15-25k</v>
      </c>
      <c r="F41" s="5" t="str">
        <f t="shared" si="2"/>
        <v>Valid Number</v>
      </c>
      <c r="G41" s="5" t="str">
        <f t="shared" si="3"/>
        <v>Data Present</v>
      </c>
      <c r="H41" s="10">
        <f>IFERROR(B41/'Raw Data'!A42,"Error: Div by Zero")</f>
        <v>141.10254213081976</v>
      </c>
    </row>
    <row r="42" spans="1:8" x14ac:dyDescent="0.25">
      <c r="A42" s="5">
        <v>40</v>
      </c>
      <c r="B42" s="5">
        <f>'Raw Data'!N43</f>
        <v>30.8</v>
      </c>
      <c r="C42" s="5">
        <f>'Raw Data'!I43</f>
        <v>3</v>
      </c>
      <c r="D42" s="5" t="str">
        <f t="shared" si="0"/>
        <v>Very Low Access</v>
      </c>
      <c r="E42" s="5" t="str">
        <f t="shared" si="1"/>
        <v>$25-35k</v>
      </c>
      <c r="F42" s="5" t="str">
        <f t="shared" si="2"/>
        <v>Valid Number</v>
      </c>
      <c r="G42" s="5" t="str">
        <f t="shared" si="3"/>
        <v>Data Present</v>
      </c>
      <c r="H42" s="10">
        <f>IFERROR(B42/'Raw Data'!A43,"Error: Div by Zero")</f>
        <v>1114.7303655446979</v>
      </c>
    </row>
    <row r="43" spans="1:8" x14ac:dyDescent="0.25">
      <c r="A43" s="5">
        <v>41</v>
      </c>
      <c r="B43" s="5">
        <f>'Raw Data'!N44</f>
        <v>34.9</v>
      </c>
      <c r="C43" s="5">
        <f>'Raw Data'!I44</f>
        <v>3</v>
      </c>
      <c r="D43" s="5" t="str">
        <f t="shared" si="0"/>
        <v>Very Low Access</v>
      </c>
      <c r="E43" s="5" t="str">
        <f t="shared" si="1"/>
        <v>$25-35k</v>
      </c>
      <c r="F43" s="5" t="str">
        <f t="shared" si="2"/>
        <v>Valid Number</v>
      </c>
      <c r="G43" s="5" t="str">
        <f t="shared" si="3"/>
        <v>Data Present</v>
      </c>
      <c r="H43" s="10">
        <f>IFERROR(B43/'Raw Data'!A44,"Error: Div by Zero")</f>
        <v>1038.9997022923487</v>
      </c>
    </row>
    <row r="44" spans="1:8" x14ac:dyDescent="0.25">
      <c r="A44" s="5">
        <v>42</v>
      </c>
      <c r="B44" s="5">
        <f>'Raw Data'!N45</f>
        <v>26.6</v>
      </c>
      <c r="C44" s="5">
        <f>'Raw Data'!I45</f>
        <v>3</v>
      </c>
      <c r="D44" s="5" t="str">
        <f t="shared" si="0"/>
        <v>Very Low Access</v>
      </c>
      <c r="E44" s="5" t="str">
        <f t="shared" si="1"/>
        <v>$25-35k</v>
      </c>
      <c r="F44" s="5" t="str">
        <f t="shared" si="2"/>
        <v>Valid Number</v>
      </c>
      <c r="G44" s="5" t="str">
        <f t="shared" si="3"/>
        <v>Data Present</v>
      </c>
      <c r="H44" s="10">
        <f>IFERROR(B44/'Raw Data'!A45,"Error: Div by Zero")</f>
        <v>208.72567482736974</v>
      </c>
    </row>
    <row r="45" spans="1:8" x14ac:dyDescent="0.25">
      <c r="A45" s="5">
        <v>43</v>
      </c>
      <c r="B45" s="5">
        <f>'Raw Data'!N46</f>
        <v>25.3</v>
      </c>
      <c r="C45" s="5">
        <f>'Raw Data'!I46</f>
        <v>3</v>
      </c>
      <c r="D45" s="5" t="str">
        <f t="shared" si="0"/>
        <v>Very Low Access</v>
      </c>
      <c r="E45" s="5" t="str">
        <f t="shared" si="1"/>
        <v>$25-35k</v>
      </c>
      <c r="F45" s="5" t="str">
        <f t="shared" si="2"/>
        <v>Valid Number</v>
      </c>
      <c r="G45" s="5" t="str">
        <f t="shared" si="3"/>
        <v>Data Present</v>
      </c>
      <c r="H45" s="10">
        <f>IFERROR(B45/'Raw Data'!A46,"Error: Div by Zero")</f>
        <v>178.79858657243818</v>
      </c>
    </row>
    <row r="46" spans="1:8" x14ac:dyDescent="0.25">
      <c r="A46" s="5">
        <v>44</v>
      </c>
      <c r="B46" s="5">
        <f>'Raw Data'!N47</f>
        <v>24.7</v>
      </c>
      <c r="C46" s="5">
        <f>'Raw Data'!I47</f>
        <v>3</v>
      </c>
      <c r="D46" s="5" t="str">
        <f t="shared" si="0"/>
        <v>Very Low Access</v>
      </c>
      <c r="E46" s="5" t="str">
        <f t="shared" si="1"/>
        <v>$15-25k</v>
      </c>
      <c r="F46" s="5" t="str">
        <f t="shared" si="2"/>
        <v>Valid Number</v>
      </c>
      <c r="G46" s="5" t="str">
        <f t="shared" si="3"/>
        <v>Data Present</v>
      </c>
      <c r="H46" s="10">
        <f>IFERROR(B46/'Raw Data'!A47,"Error: Div by Zero")</f>
        <v>154.99497991967871</v>
      </c>
    </row>
    <row r="47" spans="1:8" x14ac:dyDescent="0.25">
      <c r="A47" s="5">
        <v>45</v>
      </c>
      <c r="B47" s="5">
        <f>'Raw Data'!N48</f>
        <v>21.2</v>
      </c>
      <c r="C47" s="5">
        <f>'Raw Data'!I48</f>
        <v>3</v>
      </c>
      <c r="D47" s="5" t="str">
        <f t="shared" si="0"/>
        <v>Very Low Access</v>
      </c>
      <c r="E47" s="5" t="str">
        <f t="shared" si="1"/>
        <v>$15-25k</v>
      </c>
      <c r="F47" s="5" t="str">
        <f t="shared" si="2"/>
        <v>Valid Number</v>
      </c>
      <c r="G47" s="5" t="str">
        <f t="shared" si="3"/>
        <v>Data Present</v>
      </c>
      <c r="H47" s="10">
        <f>IFERROR(B47/'Raw Data'!A48,"Error: Div by Zero")</f>
        <v>172.79321868122912</v>
      </c>
    </row>
    <row r="48" spans="1:8" x14ac:dyDescent="0.25">
      <c r="A48" s="5">
        <v>46</v>
      </c>
      <c r="B48" s="5">
        <f>'Raw Data'!N49</f>
        <v>19.3</v>
      </c>
      <c r="C48" s="5">
        <f>'Raw Data'!I49</f>
        <v>3</v>
      </c>
      <c r="D48" s="5" t="str">
        <f t="shared" si="0"/>
        <v>Very Low Access</v>
      </c>
      <c r="E48" s="5" t="str">
        <f t="shared" si="1"/>
        <v>$15-25k</v>
      </c>
      <c r="F48" s="5" t="str">
        <f t="shared" si="2"/>
        <v>Valid Number</v>
      </c>
      <c r="G48" s="5" t="str">
        <f t="shared" si="3"/>
        <v>Data Present</v>
      </c>
      <c r="H48" s="10">
        <f>IFERROR(B48/'Raw Data'!A49,"Error: Div by Zero")</f>
        <v>112.58896278147242</v>
      </c>
    </row>
    <row r="49" spans="1:8" x14ac:dyDescent="0.25">
      <c r="A49" s="5">
        <v>47</v>
      </c>
      <c r="B49" s="5">
        <f>'Raw Data'!N50</f>
        <v>20</v>
      </c>
      <c r="C49" s="5">
        <f>'Raw Data'!I50</f>
        <v>3</v>
      </c>
      <c r="D49" s="5" t="str">
        <f t="shared" si="0"/>
        <v>Very Low Access</v>
      </c>
      <c r="E49" s="5" t="str">
        <f t="shared" si="1"/>
        <v>$15-25k</v>
      </c>
      <c r="F49" s="5" t="str">
        <f t="shared" si="2"/>
        <v>Valid Number</v>
      </c>
      <c r="G49" s="5" t="str">
        <f t="shared" si="3"/>
        <v>Data Present</v>
      </c>
      <c r="H49" s="10">
        <f>IFERROR(B49/'Raw Data'!A50,"Error: Div by Zero")</f>
        <v>106.17965597791463</v>
      </c>
    </row>
    <row r="50" spans="1:8" x14ac:dyDescent="0.25">
      <c r="A50" s="5">
        <v>48</v>
      </c>
      <c r="B50" s="5">
        <f>'Raw Data'!N51</f>
        <v>16.600000000000001</v>
      </c>
      <c r="C50" s="5">
        <f>'Raw Data'!I51</f>
        <v>3</v>
      </c>
      <c r="D50" s="5" t="str">
        <f t="shared" si="0"/>
        <v>Very Low Access</v>
      </c>
      <c r="E50" s="5" t="str">
        <f t="shared" si="1"/>
        <v>$15-25k</v>
      </c>
      <c r="F50" s="5" t="str">
        <f t="shared" si="2"/>
        <v>Valid Number</v>
      </c>
      <c r="G50" s="5" t="str">
        <f t="shared" si="3"/>
        <v>Data Present</v>
      </c>
      <c r="H50" s="10">
        <f>IFERROR(B50/'Raw Data'!A51,"Error: Div by Zero")</f>
        <v>72.403716142539366</v>
      </c>
    </row>
    <row r="51" spans="1:8" x14ac:dyDescent="0.25">
      <c r="A51" s="5">
        <v>49</v>
      </c>
      <c r="B51" s="5">
        <f>'Raw Data'!N52</f>
        <v>14.4</v>
      </c>
      <c r="C51" s="5">
        <f>'Raw Data'!I52</f>
        <v>3</v>
      </c>
      <c r="D51" s="5" t="str">
        <f t="shared" si="0"/>
        <v>Very Low Access</v>
      </c>
      <c r="E51" s="5" t="str">
        <f t="shared" si="1"/>
        <v>Under $15k</v>
      </c>
      <c r="F51" s="5" t="str">
        <f t="shared" si="2"/>
        <v>Valid Number</v>
      </c>
      <c r="G51" s="5" t="str">
        <f t="shared" si="3"/>
        <v>Data Present</v>
      </c>
      <c r="H51" s="10">
        <f>IFERROR(B51/'Raw Data'!A52,"Error: Div by Zero")</f>
        <v>56.721944302201919</v>
      </c>
    </row>
    <row r="52" spans="1:8" x14ac:dyDescent="0.25">
      <c r="A52" s="5">
        <v>50</v>
      </c>
      <c r="B52" s="5">
        <f>'Raw Data'!N53</f>
        <v>19.399999999999999</v>
      </c>
      <c r="C52" s="5">
        <f>'Raw Data'!I53</f>
        <v>3</v>
      </c>
      <c r="D52" s="5" t="str">
        <f t="shared" si="0"/>
        <v>Very Low Access</v>
      </c>
      <c r="E52" s="5" t="str">
        <f t="shared" si="1"/>
        <v>$15-25k</v>
      </c>
      <c r="F52" s="5" t="str">
        <f t="shared" si="2"/>
        <v>Valid Number</v>
      </c>
      <c r="G52" s="5" t="str">
        <f t="shared" si="3"/>
        <v>Data Present</v>
      </c>
      <c r="H52" s="10">
        <f>IFERROR(B52/'Raw Data'!A53,"Error: Div by Zero")</f>
        <v>88.274104745870673</v>
      </c>
    </row>
    <row r="53" spans="1:8" x14ac:dyDescent="0.25">
      <c r="A53" s="5">
        <v>51</v>
      </c>
      <c r="B53" s="5">
        <f>'Raw Data'!N54</f>
        <v>19.7</v>
      </c>
      <c r="C53" s="5">
        <f>'Raw Data'!I54</f>
        <v>4</v>
      </c>
      <c r="D53" s="5" t="str">
        <f t="shared" si="0"/>
        <v>Very Low Access</v>
      </c>
      <c r="E53" s="5" t="str">
        <f t="shared" si="1"/>
        <v>$15-25k</v>
      </c>
      <c r="F53" s="5" t="str">
        <f t="shared" si="2"/>
        <v>Valid Number</v>
      </c>
      <c r="G53" s="5" t="str">
        <f t="shared" si="3"/>
        <v>Data Present</v>
      </c>
      <c r="H53" s="10">
        <f>IFERROR(B53/'Raw Data'!A54,"Error: Div by Zero")</f>
        <v>222.02186408204665</v>
      </c>
    </row>
    <row r="54" spans="1:8" x14ac:dyDescent="0.25">
      <c r="A54" s="5">
        <v>52</v>
      </c>
      <c r="B54" s="5">
        <f>'Raw Data'!N55</f>
        <v>20.5</v>
      </c>
      <c r="C54" s="5">
        <f>'Raw Data'!I55</f>
        <v>4</v>
      </c>
      <c r="D54" s="5" t="str">
        <f t="shared" si="0"/>
        <v>Very Low Access</v>
      </c>
      <c r="E54" s="5" t="str">
        <f t="shared" si="1"/>
        <v>$15-25k</v>
      </c>
      <c r="F54" s="5" t="str">
        <f t="shared" si="2"/>
        <v>Valid Number</v>
      </c>
      <c r="G54" s="5" t="str">
        <f t="shared" si="3"/>
        <v>Data Present</v>
      </c>
      <c r="H54" s="10">
        <f>IFERROR(B54/'Raw Data'!A55,"Error: Div by Zero")</f>
        <v>472.6769656444547</v>
      </c>
    </row>
    <row r="55" spans="1:8" x14ac:dyDescent="0.25">
      <c r="A55" s="5">
        <v>53</v>
      </c>
      <c r="B55" s="5">
        <f>'Raw Data'!N56</f>
        <v>25</v>
      </c>
      <c r="C55" s="5">
        <f>'Raw Data'!I56</f>
        <v>4</v>
      </c>
      <c r="D55" s="5" t="str">
        <f t="shared" si="0"/>
        <v>Very Low Access</v>
      </c>
      <c r="E55" s="5" t="str">
        <f t="shared" si="1"/>
        <v>$25-35k</v>
      </c>
      <c r="F55" s="5" t="str">
        <f t="shared" si="2"/>
        <v>Valid Number</v>
      </c>
      <c r="G55" s="5" t="str">
        <f t="shared" si="3"/>
        <v>Data Present</v>
      </c>
      <c r="H55" s="10">
        <f>IFERROR(B55/'Raw Data'!A56,"Error: Div by Zero")</f>
        <v>466.41791044776119</v>
      </c>
    </row>
    <row r="56" spans="1:8" x14ac:dyDescent="0.25">
      <c r="A56" s="5">
        <v>54</v>
      </c>
      <c r="B56" s="5">
        <f>'Raw Data'!N57</f>
        <v>23.4</v>
      </c>
      <c r="C56" s="5">
        <f>'Raw Data'!I57</f>
        <v>4</v>
      </c>
      <c r="D56" s="5" t="str">
        <f t="shared" si="0"/>
        <v>Very Low Access</v>
      </c>
      <c r="E56" s="5" t="str">
        <f t="shared" si="1"/>
        <v>$15-25k</v>
      </c>
      <c r="F56" s="5" t="str">
        <f t="shared" si="2"/>
        <v>Valid Number</v>
      </c>
      <c r="G56" s="5" t="str">
        <f t="shared" si="3"/>
        <v>Data Present</v>
      </c>
      <c r="H56" s="10">
        <f>IFERROR(B56/'Raw Data'!A57,"Error: Div by Zero")</f>
        <v>469.78518369805255</v>
      </c>
    </row>
    <row r="57" spans="1:8" x14ac:dyDescent="0.25">
      <c r="A57" s="5">
        <v>55</v>
      </c>
      <c r="B57" s="5">
        <f>'Raw Data'!N58</f>
        <v>18.899999999999999</v>
      </c>
      <c r="C57" s="5">
        <f>'Raw Data'!I58</f>
        <v>3</v>
      </c>
      <c r="D57" s="5" t="str">
        <f t="shared" si="0"/>
        <v>Very Low Access</v>
      </c>
      <c r="E57" s="5" t="str">
        <f t="shared" si="1"/>
        <v>$15-25k</v>
      </c>
      <c r="F57" s="5" t="str">
        <f t="shared" si="2"/>
        <v>Valid Number</v>
      </c>
      <c r="G57" s="5" t="str">
        <f t="shared" si="3"/>
        <v>Data Present</v>
      </c>
      <c r="H57" s="10">
        <f>IFERROR(B57/'Raw Data'!A58,"Error: Div by Zero")</f>
        <v>1389.7058823529412</v>
      </c>
    </row>
    <row r="58" spans="1:8" x14ac:dyDescent="0.25">
      <c r="A58" s="5">
        <v>56</v>
      </c>
      <c r="B58" s="5">
        <f>'Raw Data'!N59</f>
        <v>35.4</v>
      </c>
      <c r="C58" s="5">
        <f>'Raw Data'!I59</f>
        <v>5</v>
      </c>
      <c r="D58" s="5" t="str">
        <f t="shared" si="0"/>
        <v>Low Access</v>
      </c>
      <c r="E58" s="5" t="str">
        <f t="shared" si="1"/>
        <v>$35-45k</v>
      </c>
      <c r="F58" s="5" t="str">
        <f t="shared" si="2"/>
        <v>Valid Number</v>
      </c>
      <c r="G58" s="5" t="str">
        <f t="shared" si="3"/>
        <v>Data Present</v>
      </c>
      <c r="H58" s="10">
        <f>IFERROR(B58/'Raw Data'!A59,"Error: Div by Zero")</f>
        <v>2700.2288329519452</v>
      </c>
    </row>
    <row r="59" spans="1:8" x14ac:dyDescent="0.25">
      <c r="A59" s="5">
        <v>57</v>
      </c>
      <c r="B59" s="5">
        <f>'Raw Data'!N60</f>
        <v>24.7</v>
      </c>
      <c r="C59" s="5">
        <f>'Raw Data'!I60</f>
        <v>2</v>
      </c>
      <c r="D59" s="5" t="str">
        <f t="shared" si="0"/>
        <v>Very Low Access</v>
      </c>
      <c r="E59" s="5" t="str">
        <f t="shared" si="1"/>
        <v>$15-25k</v>
      </c>
      <c r="F59" s="5" t="str">
        <f t="shared" si="2"/>
        <v>Valid Number</v>
      </c>
      <c r="G59" s="5" t="str">
        <f t="shared" si="3"/>
        <v>Data Present</v>
      </c>
      <c r="H59" s="10">
        <f>IFERROR(B59/'Raw Data'!A60,"Error: Div by Zero")</f>
        <v>1201.9464720194649</v>
      </c>
    </row>
    <row r="60" spans="1:8" x14ac:dyDescent="0.25">
      <c r="A60" s="5">
        <v>58</v>
      </c>
      <c r="B60" s="5">
        <f>'Raw Data'!N61</f>
        <v>31.6</v>
      </c>
      <c r="C60" s="5">
        <f>'Raw Data'!I61</f>
        <v>5</v>
      </c>
      <c r="D60" s="5" t="str">
        <f t="shared" si="0"/>
        <v>Low Access</v>
      </c>
      <c r="E60" s="5" t="str">
        <f t="shared" si="1"/>
        <v>$25-35k</v>
      </c>
      <c r="F60" s="5" t="str">
        <f t="shared" si="2"/>
        <v>Valid Number</v>
      </c>
      <c r="G60" s="5" t="str">
        <f t="shared" si="3"/>
        <v>Data Present</v>
      </c>
      <c r="H60" s="10">
        <f>IFERROR(B60/'Raw Data'!A61,"Error: Div by Zero")</f>
        <v>2206.7039106145253</v>
      </c>
    </row>
    <row r="61" spans="1:8" x14ac:dyDescent="0.25">
      <c r="A61" s="5">
        <v>59</v>
      </c>
      <c r="B61" s="5">
        <f>'Raw Data'!N62</f>
        <v>23.3</v>
      </c>
      <c r="C61" s="5">
        <f>'Raw Data'!I62</f>
        <v>8</v>
      </c>
      <c r="D61" s="5" t="str">
        <f t="shared" si="0"/>
        <v>Low Access</v>
      </c>
      <c r="E61" s="5" t="str">
        <f t="shared" si="1"/>
        <v>$15-25k</v>
      </c>
      <c r="F61" s="5" t="str">
        <f t="shared" si="2"/>
        <v>Valid Number</v>
      </c>
      <c r="G61" s="5" t="str">
        <f t="shared" si="3"/>
        <v>Data Present</v>
      </c>
      <c r="H61" s="10">
        <f>IFERROR(B61/'Raw Data'!A62,"Error: Div by Zero")</f>
        <v>150.85788280997087</v>
      </c>
    </row>
    <row r="62" spans="1:8" x14ac:dyDescent="0.25">
      <c r="A62" s="5">
        <v>60</v>
      </c>
      <c r="B62" s="5">
        <f>'Raw Data'!N63</f>
        <v>19.600000000000001</v>
      </c>
      <c r="C62" s="5">
        <f>'Raw Data'!I63</f>
        <v>8</v>
      </c>
      <c r="D62" s="5" t="str">
        <f t="shared" si="0"/>
        <v>Low Access</v>
      </c>
      <c r="E62" s="5" t="str">
        <f t="shared" si="1"/>
        <v>$15-25k</v>
      </c>
      <c r="F62" s="5" t="str">
        <f t="shared" si="2"/>
        <v>Valid Number</v>
      </c>
      <c r="G62" s="5" t="str">
        <f t="shared" si="3"/>
        <v>Data Present</v>
      </c>
      <c r="H62" s="10">
        <f>IFERROR(B62/'Raw Data'!A63,"Error: Div by Zero")</f>
        <v>189.7753679318358</v>
      </c>
    </row>
    <row r="63" spans="1:8" x14ac:dyDescent="0.25">
      <c r="A63" s="5">
        <v>61</v>
      </c>
      <c r="B63" s="5">
        <f>'Raw Data'!N64</f>
        <v>18.7</v>
      </c>
      <c r="C63" s="5">
        <f>'Raw Data'!I64</f>
        <v>8</v>
      </c>
      <c r="D63" s="5" t="str">
        <f t="shared" si="0"/>
        <v>Low Access</v>
      </c>
      <c r="E63" s="5" t="str">
        <f t="shared" si="1"/>
        <v>$15-25k</v>
      </c>
      <c r="F63" s="5" t="str">
        <f t="shared" si="2"/>
        <v>Valid Number</v>
      </c>
      <c r="G63" s="5" t="str">
        <f t="shared" si="3"/>
        <v>Data Present</v>
      </c>
      <c r="H63" s="10">
        <f>IFERROR(B63/'Raw Data'!A64,"Error: Div by Zero")</f>
        <v>125.23439592820786</v>
      </c>
    </row>
    <row r="64" spans="1:8" x14ac:dyDescent="0.25">
      <c r="A64" s="5">
        <v>62</v>
      </c>
      <c r="B64" s="5">
        <f>'Raw Data'!N65</f>
        <v>16</v>
      </c>
      <c r="C64" s="5">
        <f>'Raw Data'!I65</f>
        <v>8</v>
      </c>
      <c r="D64" s="5" t="str">
        <f t="shared" si="0"/>
        <v>Low Access</v>
      </c>
      <c r="E64" s="5" t="str">
        <f t="shared" si="1"/>
        <v>$15-25k</v>
      </c>
      <c r="F64" s="5" t="str">
        <f t="shared" si="2"/>
        <v>Valid Number</v>
      </c>
      <c r="G64" s="5" t="str">
        <f t="shared" si="3"/>
        <v>Data Present</v>
      </c>
      <c r="H64" s="10">
        <f>IFERROR(B64/'Raw Data'!A65,"Error: Div by Zero")</f>
        <v>93.180362238658205</v>
      </c>
    </row>
    <row r="65" spans="1:8" x14ac:dyDescent="0.25">
      <c r="A65" s="5">
        <v>63</v>
      </c>
      <c r="B65" s="5">
        <f>'Raw Data'!N66</f>
        <v>22.2</v>
      </c>
      <c r="C65" s="5">
        <f>'Raw Data'!I66</f>
        <v>8</v>
      </c>
      <c r="D65" s="5" t="str">
        <f t="shared" si="0"/>
        <v>Low Access</v>
      </c>
      <c r="E65" s="5" t="str">
        <f t="shared" si="1"/>
        <v>$15-25k</v>
      </c>
      <c r="F65" s="5" t="str">
        <f t="shared" si="2"/>
        <v>Valid Number</v>
      </c>
      <c r="G65" s="5" t="str">
        <f t="shared" si="3"/>
        <v>Data Present</v>
      </c>
      <c r="H65" s="10">
        <f>IFERROR(B65/'Raw Data'!A66,"Error: Div by Zero")</f>
        <v>201.32402285299716</v>
      </c>
    </row>
    <row r="66" spans="1:8" x14ac:dyDescent="0.25">
      <c r="A66" s="5">
        <v>64</v>
      </c>
      <c r="B66" s="5">
        <f>'Raw Data'!N67</f>
        <v>25</v>
      </c>
      <c r="C66" s="5">
        <f>'Raw Data'!I67</f>
        <v>8</v>
      </c>
      <c r="D66" s="5" t="str">
        <f t="shared" si="0"/>
        <v>Low Access</v>
      </c>
      <c r="E66" s="5" t="str">
        <f t="shared" si="1"/>
        <v>$25-35k</v>
      </c>
      <c r="F66" s="5" t="str">
        <f t="shared" si="2"/>
        <v>Valid Number</v>
      </c>
      <c r="G66" s="5" t="str">
        <f t="shared" si="3"/>
        <v>Data Present</v>
      </c>
      <c r="H66" s="10">
        <f>IFERROR(B66/'Raw Data'!A67,"Error: Div by Zero")</f>
        <v>197.62845849802372</v>
      </c>
    </row>
    <row r="67" spans="1:8" x14ac:dyDescent="0.25">
      <c r="A67" s="5">
        <v>65</v>
      </c>
      <c r="B67" s="5">
        <f>'Raw Data'!N68</f>
        <v>33</v>
      </c>
      <c r="C67" s="5">
        <f>'Raw Data'!I68</f>
        <v>3</v>
      </c>
      <c r="D67" s="5" t="str">
        <f t="shared" si="0"/>
        <v>Very Low Access</v>
      </c>
      <c r="E67" s="5" t="str">
        <f t="shared" si="1"/>
        <v>$25-35k</v>
      </c>
      <c r="F67" s="5" t="str">
        <f t="shared" si="2"/>
        <v>Valid Number</v>
      </c>
      <c r="G67" s="5" t="str">
        <f t="shared" si="3"/>
        <v>Data Present</v>
      </c>
      <c r="H67" s="10">
        <f>IFERROR(B67/'Raw Data'!A68,"Error: Div by Zero")</f>
        <v>1691.4402870322913</v>
      </c>
    </row>
    <row r="68" spans="1:8" x14ac:dyDescent="0.25">
      <c r="A68" s="5">
        <v>66</v>
      </c>
      <c r="B68" s="5">
        <f>'Raw Data'!N69</f>
        <v>23.5</v>
      </c>
      <c r="C68" s="5">
        <f>'Raw Data'!I69</f>
        <v>4</v>
      </c>
      <c r="D68" s="5" t="str">
        <f t="shared" ref="D68:D131" si="4">CHOOSE(MIN(5,MAX(1,INT(C68/5)+1)),"Very Low Access","Low Access","Medium Access","High Access","Very High Access")</f>
        <v>Very Low Access</v>
      </c>
      <c r="E68" s="5" t="str">
        <f t="shared" ref="E68:E131" si="5">IF(B68&lt;15,"Under $15k",IF(B68&lt;25,"$15-25k",IF(B68&lt;35,"$25-35k",IF(B68&lt;45,"$35-45k","Over $45k"))))</f>
        <v>$15-25k</v>
      </c>
      <c r="F68" s="5" t="str">
        <f t="shared" ref="F68:F131" si="6">IF(ISNUMBER(B68),"Valid Number","Not a Number")</f>
        <v>Valid Number</v>
      </c>
      <c r="G68" s="5" t="str">
        <f t="shared" ref="G68:G131" si="7">IF(ISBLANK(B68),"Missing","Data Present")</f>
        <v>Data Present</v>
      </c>
      <c r="H68" s="10">
        <f>IFERROR(B68/'Raw Data'!A69,"Error: Div by Zero")</f>
        <v>655.69196428571433</v>
      </c>
    </row>
    <row r="69" spans="1:8" x14ac:dyDescent="0.25">
      <c r="A69" s="5">
        <v>67</v>
      </c>
      <c r="B69" s="5">
        <f>'Raw Data'!N70</f>
        <v>19.399999999999999</v>
      </c>
      <c r="C69" s="5">
        <f>'Raw Data'!I70</f>
        <v>4</v>
      </c>
      <c r="D69" s="5" t="str">
        <f t="shared" si="4"/>
        <v>Very Low Access</v>
      </c>
      <c r="E69" s="5" t="str">
        <f t="shared" si="5"/>
        <v>$15-25k</v>
      </c>
      <c r="F69" s="5" t="str">
        <f t="shared" si="6"/>
        <v>Valid Number</v>
      </c>
      <c r="G69" s="5" t="str">
        <f t="shared" si="7"/>
        <v>Data Present</v>
      </c>
      <c r="H69" s="10">
        <f>IFERROR(B69/'Raw Data'!A70,"Error: Div by Zero")</f>
        <v>443.02352135190677</v>
      </c>
    </row>
    <row r="70" spans="1:8" x14ac:dyDescent="0.25">
      <c r="A70" s="5">
        <v>68</v>
      </c>
      <c r="B70" s="5">
        <f>'Raw Data'!N71</f>
        <v>22</v>
      </c>
      <c r="C70" s="5">
        <f>'Raw Data'!I71</f>
        <v>4</v>
      </c>
      <c r="D70" s="5" t="str">
        <f t="shared" si="4"/>
        <v>Very Low Access</v>
      </c>
      <c r="E70" s="5" t="str">
        <f t="shared" si="5"/>
        <v>$15-25k</v>
      </c>
      <c r="F70" s="5" t="str">
        <f t="shared" si="6"/>
        <v>Valid Number</v>
      </c>
      <c r="G70" s="5" t="str">
        <f t="shared" si="7"/>
        <v>Data Present</v>
      </c>
      <c r="H70" s="10">
        <f>IFERROR(B70/'Raw Data'!A71,"Error: Div by Zero")</f>
        <v>380.03109345310071</v>
      </c>
    </row>
    <row r="71" spans="1:8" x14ac:dyDescent="0.25">
      <c r="A71" s="5">
        <v>69</v>
      </c>
      <c r="B71" s="5">
        <f>'Raw Data'!N72</f>
        <v>17.399999999999999</v>
      </c>
      <c r="C71" s="5">
        <f>'Raw Data'!I72</f>
        <v>4</v>
      </c>
      <c r="D71" s="5" t="str">
        <f t="shared" si="4"/>
        <v>Very Low Access</v>
      </c>
      <c r="E71" s="5" t="str">
        <f t="shared" si="5"/>
        <v>$15-25k</v>
      </c>
      <c r="F71" s="5" t="str">
        <f t="shared" si="6"/>
        <v>Valid Number</v>
      </c>
      <c r="G71" s="5" t="str">
        <f t="shared" si="7"/>
        <v>Data Present</v>
      </c>
      <c r="H71" s="10">
        <f>IFERROR(B71/'Raw Data'!A72,"Error: Div by Zero")</f>
        <v>128.37538733953076</v>
      </c>
    </row>
    <row r="72" spans="1:8" x14ac:dyDescent="0.25">
      <c r="A72" s="5">
        <v>70</v>
      </c>
      <c r="B72" s="5">
        <f>'Raw Data'!N73</f>
        <v>20.9</v>
      </c>
      <c r="C72" s="5">
        <f>'Raw Data'!I73</f>
        <v>4</v>
      </c>
      <c r="D72" s="5" t="str">
        <f t="shared" si="4"/>
        <v>Very Low Access</v>
      </c>
      <c r="E72" s="5" t="str">
        <f t="shared" si="5"/>
        <v>$15-25k</v>
      </c>
      <c r="F72" s="5" t="str">
        <f t="shared" si="6"/>
        <v>Valid Number</v>
      </c>
      <c r="G72" s="5" t="str">
        <f t="shared" si="7"/>
        <v>Data Present</v>
      </c>
      <c r="H72" s="10">
        <f>IFERROR(B72/'Raw Data'!A73,"Error: Div by Zero")</f>
        <v>163.07740324594258</v>
      </c>
    </row>
    <row r="73" spans="1:8" x14ac:dyDescent="0.25">
      <c r="A73" s="5">
        <v>71</v>
      </c>
      <c r="B73" s="5">
        <f>'Raw Data'!N74</f>
        <v>24.2</v>
      </c>
      <c r="C73" s="5">
        <f>'Raw Data'!I74</f>
        <v>4</v>
      </c>
      <c r="D73" s="5" t="str">
        <f t="shared" si="4"/>
        <v>Very Low Access</v>
      </c>
      <c r="E73" s="5" t="str">
        <f t="shared" si="5"/>
        <v>$15-25k</v>
      </c>
      <c r="F73" s="5" t="str">
        <f t="shared" si="6"/>
        <v>Valid Number</v>
      </c>
      <c r="G73" s="5" t="str">
        <f t="shared" si="7"/>
        <v>Data Present</v>
      </c>
      <c r="H73" s="10">
        <f>IFERROR(B73/'Raw Data'!A74,"Error: Div by Zero")</f>
        <v>274.18989349648763</v>
      </c>
    </row>
    <row r="74" spans="1:8" x14ac:dyDescent="0.25">
      <c r="A74" s="5">
        <v>72</v>
      </c>
      <c r="B74" s="5">
        <f>'Raw Data'!N75</f>
        <v>21.7</v>
      </c>
      <c r="C74" s="5">
        <f>'Raw Data'!I75</f>
        <v>4</v>
      </c>
      <c r="D74" s="5" t="str">
        <f t="shared" si="4"/>
        <v>Very Low Access</v>
      </c>
      <c r="E74" s="5" t="str">
        <f t="shared" si="5"/>
        <v>$15-25k</v>
      </c>
      <c r="F74" s="5" t="str">
        <f t="shared" si="6"/>
        <v>Valid Number</v>
      </c>
      <c r="G74" s="5" t="str">
        <f t="shared" si="7"/>
        <v>Data Present</v>
      </c>
      <c r="H74" s="10">
        <f>IFERROR(B74/'Raw Data'!A75,"Error: Div by Zero")</f>
        <v>136.68430335097</v>
      </c>
    </row>
    <row r="75" spans="1:8" x14ac:dyDescent="0.25">
      <c r="A75" s="5">
        <v>73</v>
      </c>
      <c r="B75" s="5">
        <f>'Raw Data'!N76</f>
        <v>22.8</v>
      </c>
      <c r="C75" s="5">
        <f>'Raw Data'!I76</f>
        <v>4</v>
      </c>
      <c r="D75" s="5" t="str">
        <f t="shared" si="4"/>
        <v>Very Low Access</v>
      </c>
      <c r="E75" s="5" t="str">
        <f t="shared" si="5"/>
        <v>$15-25k</v>
      </c>
      <c r="F75" s="5" t="str">
        <f t="shared" si="6"/>
        <v>Valid Number</v>
      </c>
      <c r="G75" s="5" t="str">
        <f t="shared" si="7"/>
        <v>Data Present</v>
      </c>
      <c r="H75" s="10">
        <f>IFERROR(B75/'Raw Data'!A76,"Error: Div by Zero")</f>
        <v>248.79965080750765</v>
      </c>
    </row>
    <row r="76" spans="1:8" x14ac:dyDescent="0.25">
      <c r="A76" s="5">
        <v>74</v>
      </c>
      <c r="B76" s="5">
        <f>'Raw Data'!N77</f>
        <v>23.4</v>
      </c>
      <c r="C76" s="5">
        <f>'Raw Data'!I77</f>
        <v>4</v>
      </c>
      <c r="D76" s="5" t="str">
        <f t="shared" si="4"/>
        <v>Very Low Access</v>
      </c>
      <c r="E76" s="5" t="str">
        <f t="shared" si="5"/>
        <v>$15-25k</v>
      </c>
      <c r="F76" s="5" t="str">
        <f t="shared" si="6"/>
        <v>Valid Number</v>
      </c>
      <c r="G76" s="5" t="str">
        <f t="shared" si="7"/>
        <v>Data Present</v>
      </c>
      <c r="H76" s="10">
        <f>IFERROR(B76/'Raw Data'!A77,"Error: Div by Zero")</f>
        <v>119.76047904191616</v>
      </c>
    </row>
    <row r="77" spans="1:8" x14ac:dyDescent="0.25">
      <c r="A77" s="5">
        <v>75</v>
      </c>
      <c r="B77" s="5">
        <f>'Raw Data'!N78</f>
        <v>24.1</v>
      </c>
      <c r="C77" s="5">
        <f>'Raw Data'!I78</f>
        <v>5</v>
      </c>
      <c r="D77" s="5" t="str">
        <f t="shared" si="4"/>
        <v>Low Access</v>
      </c>
      <c r="E77" s="5" t="str">
        <f t="shared" si="5"/>
        <v>$15-25k</v>
      </c>
      <c r="F77" s="5" t="str">
        <f t="shared" si="6"/>
        <v>Valid Number</v>
      </c>
      <c r="G77" s="5" t="str">
        <f t="shared" si="7"/>
        <v>Data Present</v>
      </c>
      <c r="H77" s="10">
        <f>IFERROR(B77/'Raw Data'!A78,"Error: Div by Zero")</f>
        <v>305.21783181357648</v>
      </c>
    </row>
    <row r="78" spans="1:8" x14ac:dyDescent="0.25">
      <c r="A78" s="5">
        <v>76</v>
      </c>
      <c r="B78" s="5">
        <f>'Raw Data'!N79</f>
        <v>21.4</v>
      </c>
      <c r="C78" s="5">
        <f>'Raw Data'!I79</f>
        <v>5</v>
      </c>
      <c r="D78" s="5" t="str">
        <f t="shared" si="4"/>
        <v>Low Access</v>
      </c>
      <c r="E78" s="5" t="str">
        <f t="shared" si="5"/>
        <v>$15-25k</v>
      </c>
      <c r="F78" s="5" t="str">
        <f t="shared" si="6"/>
        <v>Valid Number</v>
      </c>
      <c r="G78" s="5" t="str">
        <f t="shared" si="7"/>
        <v>Data Present</v>
      </c>
      <c r="H78" s="10">
        <f>IFERROR(B78/'Raw Data'!A79,"Error: Div by Zero")</f>
        <v>224.9789739276703</v>
      </c>
    </row>
    <row r="79" spans="1:8" x14ac:dyDescent="0.25">
      <c r="A79" s="5">
        <v>77</v>
      </c>
      <c r="B79" s="5">
        <f>'Raw Data'!N80</f>
        <v>20</v>
      </c>
      <c r="C79" s="5">
        <f>'Raw Data'!I80</f>
        <v>5</v>
      </c>
      <c r="D79" s="5" t="str">
        <f t="shared" si="4"/>
        <v>Low Access</v>
      </c>
      <c r="E79" s="5" t="str">
        <f t="shared" si="5"/>
        <v>$15-25k</v>
      </c>
      <c r="F79" s="5" t="str">
        <f t="shared" si="6"/>
        <v>Valid Number</v>
      </c>
      <c r="G79" s="5" t="str">
        <f t="shared" si="7"/>
        <v>Data Present</v>
      </c>
      <c r="H79" s="10">
        <f>IFERROR(B79/'Raw Data'!A80,"Error: Div by Zero")</f>
        <v>196.98611247907024</v>
      </c>
    </row>
    <row r="80" spans="1:8" x14ac:dyDescent="0.25">
      <c r="A80" s="5">
        <v>78</v>
      </c>
      <c r="B80" s="5">
        <f>'Raw Data'!N81</f>
        <v>20.8</v>
      </c>
      <c r="C80" s="5">
        <f>'Raw Data'!I81</f>
        <v>5</v>
      </c>
      <c r="D80" s="5" t="str">
        <f t="shared" si="4"/>
        <v>Low Access</v>
      </c>
      <c r="E80" s="5" t="str">
        <f t="shared" si="5"/>
        <v>$15-25k</v>
      </c>
      <c r="F80" s="5" t="str">
        <f t="shared" si="6"/>
        <v>Valid Number</v>
      </c>
      <c r="G80" s="5" t="str">
        <f t="shared" si="7"/>
        <v>Data Present</v>
      </c>
      <c r="H80" s="10">
        <f>IFERROR(B80/'Raw Data'!A81,"Error: Div by Zero")</f>
        <v>238.8882508326634</v>
      </c>
    </row>
    <row r="81" spans="1:8" x14ac:dyDescent="0.25">
      <c r="A81" s="5">
        <v>79</v>
      </c>
      <c r="B81" s="5">
        <f>'Raw Data'!N82</f>
        <v>21.2</v>
      </c>
      <c r="C81" s="5">
        <f>'Raw Data'!I82</f>
        <v>5</v>
      </c>
      <c r="D81" s="5" t="str">
        <f t="shared" si="4"/>
        <v>Low Access</v>
      </c>
      <c r="E81" s="5" t="str">
        <f t="shared" si="5"/>
        <v>$15-25k</v>
      </c>
      <c r="F81" s="5" t="str">
        <f t="shared" si="6"/>
        <v>Valid Number</v>
      </c>
      <c r="G81" s="5" t="str">
        <f t="shared" si="7"/>
        <v>Data Present</v>
      </c>
      <c r="H81" s="10">
        <f>IFERROR(B81/'Raw Data'!A82,"Error: Div by Zero")</f>
        <v>375.48707049238396</v>
      </c>
    </row>
    <row r="82" spans="1:8" x14ac:dyDescent="0.25">
      <c r="A82" s="5">
        <v>80</v>
      </c>
      <c r="B82" s="5">
        <f>'Raw Data'!N83</f>
        <v>20.3</v>
      </c>
      <c r="C82" s="5">
        <f>'Raw Data'!I83</f>
        <v>5</v>
      </c>
      <c r="D82" s="5" t="str">
        <f t="shared" si="4"/>
        <v>Low Access</v>
      </c>
      <c r="E82" s="5" t="str">
        <f t="shared" si="5"/>
        <v>$15-25k</v>
      </c>
      <c r="F82" s="5" t="str">
        <f t="shared" si="6"/>
        <v>Valid Number</v>
      </c>
      <c r="G82" s="5" t="str">
        <f t="shared" si="7"/>
        <v>Data Present</v>
      </c>
      <c r="H82" s="10">
        <f>IFERROR(B82/'Raw Data'!A83,"Error: Div by Zero")</f>
        <v>242.04125432216526</v>
      </c>
    </row>
    <row r="83" spans="1:8" x14ac:dyDescent="0.25">
      <c r="A83" s="5">
        <v>81</v>
      </c>
      <c r="B83" s="5">
        <f>'Raw Data'!N84</f>
        <v>28</v>
      </c>
      <c r="C83" s="5">
        <f>'Raw Data'!I84</f>
        <v>4</v>
      </c>
      <c r="D83" s="5" t="str">
        <f t="shared" si="4"/>
        <v>Very Low Access</v>
      </c>
      <c r="E83" s="5" t="str">
        <f t="shared" si="5"/>
        <v>$25-35k</v>
      </c>
      <c r="F83" s="5" t="str">
        <f t="shared" si="6"/>
        <v>Valid Number</v>
      </c>
      <c r="G83" s="5" t="str">
        <f t="shared" si="7"/>
        <v>Data Present</v>
      </c>
      <c r="H83" s="10">
        <f>IFERROR(B83/'Raw Data'!A84,"Error: Div by Zero")</f>
        <v>680.76829564794559</v>
      </c>
    </row>
    <row r="84" spans="1:8" x14ac:dyDescent="0.25">
      <c r="A84" s="5">
        <v>82</v>
      </c>
      <c r="B84" s="5">
        <f>'Raw Data'!N85</f>
        <v>23.9</v>
      </c>
      <c r="C84" s="5">
        <f>'Raw Data'!I85</f>
        <v>4</v>
      </c>
      <c r="D84" s="5" t="str">
        <f t="shared" si="4"/>
        <v>Very Low Access</v>
      </c>
      <c r="E84" s="5" t="str">
        <f t="shared" si="5"/>
        <v>$15-25k</v>
      </c>
      <c r="F84" s="5" t="str">
        <f t="shared" si="6"/>
        <v>Valid Number</v>
      </c>
      <c r="G84" s="5" t="str">
        <f t="shared" si="7"/>
        <v>Data Present</v>
      </c>
      <c r="H84" s="10">
        <f>IFERROR(B84/'Raw Data'!A85,"Error: Div by Zero")</f>
        <v>535.63424473330338</v>
      </c>
    </row>
    <row r="85" spans="1:8" x14ac:dyDescent="0.25">
      <c r="A85" s="5">
        <v>83</v>
      </c>
      <c r="B85" s="5">
        <f>'Raw Data'!N86</f>
        <v>24.8</v>
      </c>
      <c r="C85" s="5">
        <f>'Raw Data'!I86</f>
        <v>4</v>
      </c>
      <c r="D85" s="5" t="str">
        <f t="shared" si="4"/>
        <v>Very Low Access</v>
      </c>
      <c r="E85" s="5" t="str">
        <f t="shared" si="5"/>
        <v>$15-25k</v>
      </c>
      <c r="F85" s="5" t="str">
        <f t="shared" si="6"/>
        <v>Valid Number</v>
      </c>
      <c r="G85" s="5" t="str">
        <f t="shared" si="7"/>
        <v>Data Present</v>
      </c>
      <c r="H85" s="10">
        <f>IFERROR(B85/'Raw Data'!A86,"Error: Div by Zero")</f>
        <v>677.7808144301722</v>
      </c>
    </row>
    <row r="86" spans="1:8" x14ac:dyDescent="0.25">
      <c r="A86" s="5">
        <v>84</v>
      </c>
      <c r="B86" s="5">
        <f>'Raw Data'!N87</f>
        <v>22.9</v>
      </c>
      <c r="C86" s="5">
        <f>'Raw Data'!I87</f>
        <v>4</v>
      </c>
      <c r="D86" s="5" t="str">
        <f t="shared" si="4"/>
        <v>Very Low Access</v>
      </c>
      <c r="E86" s="5" t="str">
        <f t="shared" si="5"/>
        <v>$15-25k</v>
      </c>
      <c r="F86" s="5" t="str">
        <f t="shared" si="6"/>
        <v>Valid Number</v>
      </c>
      <c r="G86" s="5" t="str">
        <f t="shared" si="7"/>
        <v>Data Present</v>
      </c>
      <c r="H86" s="10">
        <f>IFERROR(B86/'Raw Data'!A87,"Error: Div by Zero")</f>
        <v>644.88876372852712</v>
      </c>
    </row>
    <row r="87" spans="1:8" x14ac:dyDescent="0.25">
      <c r="A87" s="5">
        <v>85</v>
      </c>
      <c r="B87" s="5">
        <f>'Raw Data'!N88</f>
        <v>23.9</v>
      </c>
      <c r="C87" s="5">
        <f>'Raw Data'!I88</f>
        <v>3</v>
      </c>
      <c r="D87" s="5" t="str">
        <f t="shared" si="4"/>
        <v>Very Low Access</v>
      </c>
      <c r="E87" s="5" t="str">
        <f t="shared" si="5"/>
        <v>$15-25k</v>
      </c>
      <c r="F87" s="5" t="str">
        <f t="shared" si="6"/>
        <v>Valid Number</v>
      </c>
      <c r="G87" s="5" t="str">
        <f t="shared" si="7"/>
        <v>Data Present</v>
      </c>
      <c r="H87" s="10">
        <f>IFERROR(B87/'Raw Data'!A88,"Error: Div by Zero")</f>
        <v>472.42538050998218</v>
      </c>
    </row>
    <row r="88" spans="1:8" x14ac:dyDescent="0.25">
      <c r="A88" s="5">
        <v>86</v>
      </c>
      <c r="B88" s="5">
        <f>'Raw Data'!N89</f>
        <v>26.6</v>
      </c>
      <c r="C88" s="5">
        <f>'Raw Data'!I89</f>
        <v>3</v>
      </c>
      <c r="D88" s="5" t="str">
        <f t="shared" si="4"/>
        <v>Very Low Access</v>
      </c>
      <c r="E88" s="5" t="str">
        <f t="shared" si="5"/>
        <v>$25-35k</v>
      </c>
      <c r="F88" s="5" t="str">
        <f t="shared" si="6"/>
        <v>Valid Number</v>
      </c>
      <c r="G88" s="5" t="str">
        <f t="shared" si="7"/>
        <v>Data Present</v>
      </c>
      <c r="H88" s="10">
        <f>IFERROR(B88/'Raw Data'!A89,"Error: Div by Zero")</f>
        <v>463.81865736704452</v>
      </c>
    </row>
    <row r="89" spans="1:8" x14ac:dyDescent="0.25">
      <c r="A89" s="5">
        <v>87</v>
      </c>
      <c r="B89" s="5">
        <f>'Raw Data'!N90</f>
        <v>22.5</v>
      </c>
      <c r="C89" s="5">
        <f>'Raw Data'!I90</f>
        <v>3</v>
      </c>
      <c r="D89" s="5" t="str">
        <f t="shared" si="4"/>
        <v>Very Low Access</v>
      </c>
      <c r="E89" s="5" t="str">
        <f t="shared" si="5"/>
        <v>$15-25k</v>
      </c>
      <c r="F89" s="5" t="str">
        <f t="shared" si="6"/>
        <v>Valid Number</v>
      </c>
      <c r="G89" s="5" t="str">
        <f t="shared" si="7"/>
        <v>Data Present</v>
      </c>
      <c r="H89" s="10">
        <f>IFERROR(B89/'Raw Data'!A90,"Error: Div by Zero")</f>
        <v>433.69313801079414</v>
      </c>
    </row>
    <row r="90" spans="1:8" x14ac:dyDescent="0.25">
      <c r="A90" s="5">
        <v>88</v>
      </c>
      <c r="B90" s="5">
        <f>'Raw Data'!N91</f>
        <v>22.2</v>
      </c>
      <c r="C90" s="5">
        <f>'Raw Data'!I91</f>
        <v>3</v>
      </c>
      <c r="D90" s="5" t="str">
        <f t="shared" si="4"/>
        <v>Very Low Access</v>
      </c>
      <c r="E90" s="5" t="str">
        <f t="shared" si="5"/>
        <v>$15-25k</v>
      </c>
      <c r="F90" s="5" t="str">
        <f t="shared" si="6"/>
        <v>Valid Number</v>
      </c>
      <c r="G90" s="5" t="str">
        <f t="shared" si="7"/>
        <v>Data Present</v>
      </c>
      <c r="H90" s="10">
        <f>IFERROR(B90/'Raw Data'!A91,"Error: Div by Zero")</f>
        <v>310.44609145574043</v>
      </c>
    </row>
    <row r="91" spans="1:8" x14ac:dyDescent="0.25">
      <c r="A91" s="5">
        <v>89</v>
      </c>
      <c r="B91" s="5">
        <f>'Raw Data'!N92</f>
        <v>23.6</v>
      </c>
      <c r="C91" s="5">
        <f>'Raw Data'!I92</f>
        <v>2</v>
      </c>
      <c r="D91" s="5" t="str">
        <f t="shared" si="4"/>
        <v>Very Low Access</v>
      </c>
      <c r="E91" s="5" t="str">
        <f t="shared" si="5"/>
        <v>$15-25k</v>
      </c>
      <c r="F91" s="5" t="str">
        <f t="shared" si="6"/>
        <v>Valid Number</v>
      </c>
      <c r="G91" s="5" t="str">
        <f t="shared" si="7"/>
        <v>Data Present</v>
      </c>
      <c r="H91" s="10">
        <f>IFERROR(B91/'Raw Data'!A92,"Error: Div by Zero")</f>
        <v>416.96113074204953</v>
      </c>
    </row>
    <row r="92" spans="1:8" x14ac:dyDescent="0.25">
      <c r="A92" s="5">
        <v>90</v>
      </c>
      <c r="B92" s="5">
        <f>'Raw Data'!N93</f>
        <v>28.7</v>
      </c>
      <c r="C92" s="5">
        <f>'Raw Data'!I93</f>
        <v>2</v>
      </c>
      <c r="D92" s="5" t="str">
        <f t="shared" si="4"/>
        <v>Very Low Access</v>
      </c>
      <c r="E92" s="5" t="str">
        <f t="shared" si="5"/>
        <v>$25-35k</v>
      </c>
      <c r="F92" s="5" t="str">
        <f t="shared" si="6"/>
        <v>Valid Number</v>
      </c>
      <c r="G92" s="5" t="str">
        <f t="shared" si="7"/>
        <v>Data Present</v>
      </c>
      <c r="H92" s="10">
        <f>IFERROR(B92/'Raw Data'!A93,"Error: Div by Zero")</f>
        <v>541.30516786118449</v>
      </c>
    </row>
    <row r="93" spans="1:8" x14ac:dyDescent="0.25">
      <c r="A93" s="5">
        <v>91</v>
      </c>
      <c r="B93" s="5">
        <f>'Raw Data'!N94</f>
        <v>22.6</v>
      </c>
      <c r="C93" s="5">
        <f>'Raw Data'!I94</f>
        <v>2</v>
      </c>
      <c r="D93" s="5" t="str">
        <f t="shared" si="4"/>
        <v>Very Low Access</v>
      </c>
      <c r="E93" s="5" t="str">
        <f t="shared" si="5"/>
        <v>$15-25k</v>
      </c>
      <c r="F93" s="5" t="str">
        <f t="shared" si="6"/>
        <v>Valid Number</v>
      </c>
      <c r="G93" s="5" t="str">
        <f t="shared" si="7"/>
        <v>Data Present</v>
      </c>
      <c r="H93" s="10">
        <f>IFERROR(B93/'Raw Data'!A94,"Error: Div by Zero")</f>
        <v>482.49359521776262</v>
      </c>
    </row>
    <row r="94" spans="1:8" x14ac:dyDescent="0.25">
      <c r="A94" s="5">
        <v>92</v>
      </c>
      <c r="B94" s="5">
        <f>'Raw Data'!N95</f>
        <v>22</v>
      </c>
      <c r="C94" s="5">
        <f>'Raw Data'!I95</f>
        <v>2</v>
      </c>
      <c r="D94" s="5" t="str">
        <f t="shared" si="4"/>
        <v>Very Low Access</v>
      </c>
      <c r="E94" s="5" t="str">
        <f t="shared" si="5"/>
        <v>$15-25k</v>
      </c>
      <c r="F94" s="5" t="str">
        <f t="shared" si="6"/>
        <v>Valid Number</v>
      </c>
      <c r="G94" s="5" t="str">
        <f t="shared" si="7"/>
        <v>Data Present</v>
      </c>
      <c r="H94" s="10">
        <f>IFERROR(B94/'Raw Data'!A95,"Error: Div by Zero")</f>
        <v>559.51169888097661</v>
      </c>
    </row>
    <row r="95" spans="1:8" x14ac:dyDescent="0.25">
      <c r="A95" s="5">
        <v>93</v>
      </c>
      <c r="B95" s="5">
        <f>'Raw Data'!N96</f>
        <v>22.9</v>
      </c>
      <c r="C95" s="5">
        <f>'Raw Data'!I96</f>
        <v>4</v>
      </c>
      <c r="D95" s="5" t="str">
        <f t="shared" si="4"/>
        <v>Very Low Access</v>
      </c>
      <c r="E95" s="5" t="str">
        <f t="shared" si="5"/>
        <v>$15-25k</v>
      </c>
      <c r="F95" s="5" t="str">
        <f t="shared" si="6"/>
        <v>Valid Number</v>
      </c>
      <c r="G95" s="5" t="str">
        <f t="shared" si="7"/>
        <v>Data Present</v>
      </c>
      <c r="H95" s="10">
        <f>IFERROR(B95/'Raw Data'!A96,"Error: Div by Zero")</f>
        <v>544.84891743992387</v>
      </c>
    </row>
    <row r="96" spans="1:8" x14ac:dyDescent="0.25">
      <c r="A96" s="5">
        <v>94</v>
      </c>
      <c r="B96" s="5">
        <f>'Raw Data'!N97</f>
        <v>25</v>
      </c>
      <c r="C96" s="5">
        <f>'Raw Data'!I97</f>
        <v>4</v>
      </c>
      <c r="D96" s="5" t="str">
        <f t="shared" si="4"/>
        <v>Very Low Access</v>
      </c>
      <c r="E96" s="5" t="str">
        <f t="shared" si="5"/>
        <v>$25-35k</v>
      </c>
      <c r="F96" s="5" t="str">
        <f t="shared" si="6"/>
        <v>Valid Number</v>
      </c>
      <c r="G96" s="5" t="str">
        <f t="shared" si="7"/>
        <v>Data Present</v>
      </c>
      <c r="H96" s="10">
        <f>IFERROR(B96/'Raw Data'!A97,"Error: Div by Zero")</f>
        <v>869.56521739130426</v>
      </c>
    </row>
    <row r="97" spans="1:8" x14ac:dyDescent="0.25">
      <c r="A97" s="5">
        <v>95</v>
      </c>
      <c r="B97" s="5">
        <f>'Raw Data'!N98</f>
        <v>20.6</v>
      </c>
      <c r="C97" s="5">
        <f>'Raw Data'!I98</f>
        <v>4</v>
      </c>
      <c r="D97" s="5" t="str">
        <f t="shared" si="4"/>
        <v>Very Low Access</v>
      </c>
      <c r="E97" s="5" t="str">
        <f t="shared" si="5"/>
        <v>$15-25k</v>
      </c>
      <c r="F97" s="5" t="str">
        <f t="shared" si="6"/>
        <v>Valid Number</v>
      </c>
      <c r="G97" s="5" t="str">
        <f t="shared" si="7"/>
        <v>Data Present</v>
      </c>
      <c r="H97" s="10">
        <f>IFERROR(B97/'Raw Data'!A98,"Error: Div by Zero")</f>
        <v>479.73917093619008</v>
      </c>
    </row>
    <row r="98" spans="1:8" x14ac:dyDescent="0.25">
      <c r="A98" s="5">
        <v>96</v>
      </c>
      <c r="B98" s="5">
        <f>'Raw Data'!N99</f>
        <v>28.4</v>
      </c>
      <c r="C98" s="5">
        <f>'Raw Data'!I99</f>
        <v>2</v>
      </c>
      <c r="D98" s="5" t="str">
        <f t="shared" si="4"/>
        <v>Very Low Access</v>
      </c>
      <c r="E98" s="5" t="str">
        <f t="shared" si="5"/>
        <v>$25-35k</v>
      </c>
      <c r="F98" s="5" t="str">
        <f t="shared" si="6"/>
        <v>Valid Number</v>
      </c>
      <c r="G98" s="5" t="str">
        <f t="shared" si="7"/>
        <v>Data Present</v>
      </c>
      <c r="H98" s="10">
        <f>IFERROR(B98/'Raw Data'!A99,"Error: Div by Zero")</f>
        <v>232.71058669288757</v>
      </c>
    </row>
    <row r="99" spans="1:8" x14ac:dyDescent="0.25">
      <c r="A99" s="5">
        <v>97</v>
      </c>
      <c r="B99" s="5">
        <f>'Raw Data'!N100</f>
        <v>21.4</v>
      </c>
      <c r="C99" s="5">
        <f>'Raw Data'!I100</f>
        <v>2</v>
      </c>
      <c r="D99" s="5" t="str">
        <f t="shared" si="4"/>
        <v>Very Low Access</v>
      </c>
      <c r="E99" s="5" t="str">
        <f t="shared" si="5"/>
        <v>$15-25k</v>
      </c>
      <c r="F99" s="5" t="str">
        <f t="shared" si="6"/>
        <v>Valid Number</v>
      </c>
      <c r="G99" s="5" t="str">
        <f t="shared" si="7"/>
        <v>Data Present</v>
      </c>
      <c r="H99" s="10">
        <f>IFERROR(B99/'Raw Data'!A100,"Error: Div by Zero")</f>
        <v>186.0222531293463</v>
      </c>
    </row>
    <row r="100" spans="1:8" x14ac:dyDescent="0.25">
      <c r="A100" s="5">
        <v>98</v>
      </c>
      <c r="B100" s="5">
        <f>'Raw Data'!N101</f>
        <v>38.700000000000003</v>
      </c>
      <c r="C100" s="5">
        <f>'Raw Data'!I101</f>
        <v>2</v>
      </c>
      <c r="D100" s="5" t="str">
        <f t="shared" si="4"/>
        <v>Very Low Access</v>
      </c>
      <c r="E100" s="5" t="str">
        <f t="shared" si="5"/>
        <v>$35-45k</v>
      </c>
      <c r="F100" s="5" t="str">
        <f t="shared" si="6"/>
        <v>Valid Number</v>
      </c>
      <c r="G100" s="5" t="str">
        <f t="shared" si="7"/>
        <v>Data Present</v>
      </c>
      <c r="H100" s="10">
        <f>IFERROR(B100/'Raw Data'!A101,"Error: Div by Zero")</f>
        <v>320.28469750889678</v>
      </c>
    </row>
    <row r="101" spans="1:8" x14ac:dyDescent="0.25">
      <c r="A101" s="5">
        <v>99</v>
      </c>
      <c r="B101" s="5">
        <f>'Raw Data'!N102</f>
        <v>43.8</v>
      </c>
      <c r="C101" s="5">
        <f>'Raw Data'!I102</f>
        <v>2</v>
      </c>
      <c r="D101" s="5" t="str">
        <f t="shared" si="4"/>
        <v>Very Low Access</v>
      </c>
      <c r="E101" s="5" t="str">
        <f t="shared" si="5"/>
        <v>$35-45k</v>
      </c>
      <c r="F101" s="5" t="str">
        <f t="shared" si="6"/>
        <v>Valid Number</v>
      </c>
      <c r="G101" s="5" t="str">
        <f t="shared" si="7"/>
        <v>Data Present</v>
      </c>
      <c r="H101" s="10">
        <f>IFERROR(B101/'Raw Data'!A102,"Error: Div by Zero")</f>
        <v>534.99450348112862</v>
      </c>
    </row>
    <row r="102" spans="1:8" x14ac:dyDescent="0.25">
      <c r="A102" s="5">
        <v>100</v>
      </c>
      <c r="B102" s="5">
        <f>'Raw Data'!N103</f>
        <v>33.200000000000003</v>
      </c>
      <c r="C102" s="5">
        <f>'Raw Data'!I103</f>
        <v>2</v>
      </c>
      <c r="D102" s="5" t="str">
        <f t="shared" si="4"/>
        <v>Very Low Access</v>
      </c>
      <c r="E102" s="5" t="str">
        <f t="shared" si="5"/>
        <v>$25-35k</v>
      </c>
      <c r="F102" s="5" t="str">
        <f t="shared" si="6"/>
        <v>Valid Number</v>
      </c>
      <c r="G102" s="5" t="str">
        <f t="shared" si="7"/>
        <v>Data Present</v>
      </c>
      <c r="H102" s="10">
        <f>IFERROR(B102/'Raw Data'!A103,"Error: Div by Zero")</f>
        <v>483.96501457725958</v>
      </c>
    </row>
    <row r="103" spans="1:8" x14ac:dyDescent="0.25">
      <c r="A103" s="5">
        <v>101</v>
      </c>
      <c r="B103" s="5">
        <f>'Raw Data'!N104</f>
        <v>27.5</v>
      </c>
      <c r="C103" s="5">
        <f>'Raw Data'!I104</f>
        <v>5</v>
      </c>
      <c r="D103" s="5" t="str">
        <f t="shared" si="4"/>
        <v>Low Access</v>
      </c>
      <c r="E103" s="5" t="str">
        <f t="shared" si="5"/>
        <v>$25-35k</v>
      </c>
      <c r="F103" s="5" t="str">
        <f t="shared" si="6"/>
        <v>Valid Number</v>
      </c>
      <c r="G103" s="5" t="str">
        <f t="shared" si="7"/>
        <v>Data Present</v>
      </c>
      <c r="H103" s="10">
        <f>IFERROR(B103/'Raw Data'!A104,"Error: Div by Zero")</f>
        <v>184.98587380600028</v>
      </c>
    </row>
    <row r="104" spans="1:8" x14ac:dyDescent="0.25">
      <c r="A104" s="5">
        <v>102</v>
      </c>
      <c r="B104" s="5">
        <f>'Raw Data'!N105</f>
        <v>26.5</v>
      </c>
      <c r="C104" s="5">
        <f>'Raw Data'!I105</f>
        <v>5</v>
      </c>
      <c r="D104" s="5" t="str">
        <f t="shared" si="4"/>
        <v>Low Access</v>
      </c>
      <c r="E104" s="5" t="str">
        <f t="shared" si="5"/>
        <v>$25-35k</v>
      </c>
      <c r="F104" s="5" t="str">
        <f t="shared" si="6"/>
        <v>Valid Number</v>
      </c>
      <c r="G104" s="5" t="str">
        <f t="shared" si="7"/>
        <v>Data Present</v>
      </c>
      <c r="H104" s="10">
        <f>IFERROR(B104/'Raw Data'!A105,"Error: Div by Zero")</f>
        <v>231.80545836249124</v>
      </c>
    </row>
    <row r="105" spans="1:8" x14ac:dyDescent="0.25">
      <c r="A105" s="5">
        <v>103</v>
      </c>
      <c r="B105" s="5">
        <f>'Raw Data'!N106</f>
        <v>18.600000000000001</v>
      </c>
      <c r="C105" s="5">
        <f>'Raw Data'!I106</f>
        <v>5</v>
      </c>
      <c r="D105" s="5" t="str">
        <f t="shared" si="4"/>
        <v>Low Access</v>
      </c>
      <c r="E105" s="5" t="str">
        <f t="shared" si="5"/>
        <v>$15-25k</v>
      </c>
      <c r="F105" s="5" t="str">
        <f t="shared" si="6"/>
        <v>Valid Number</v>
      </c>
      <c r="G105" s="5" t="str">
        <f t="shared" si="7"/>
        <v>Data Present</v>
      </c>
      <c r="H105" s="10">
        <f>IFERROR(B105/'Raw Data'!A106,"Error: Div by Zero")</f>
        <v>81.307920965203721</v>
      </c>
    </row>
    <row r="106" spans="1:8" x14ac:dyDescent="0.25">
      <c r="A106" s="5">
        <v>104</v>
      </c>
      <c r="B106" s="5">
        <f>'Raw Data'!N107</f>
        <v>19.3</v>
      </c>
      <c r="C106" s="5">
        <f>'Raw Data'!I107</f>
        <v>5</v>
      </c>
      <c r="D106" s="5" t="str">
        <f t="shared" si="4"/>
        <v>Low Access</v>
      </c>
      <c r="E106" s="5" t="str">
        <f t="shared" si="5"/>
        <v>$15-25k</v>
      </c>
      <c r="F106" s="5" t="str">
        <f t="shared" si="6"/>
        <v>Valid Number</v>
      </c>
      <c r="G106" s="5" t="str">
        <f t="shared" si="7"/>
        <v>Data Present</v>
      </c>
      <c r="H106" s="10">
        <f>IFERROR(B106/'Raw Data'!A107,"Error: Div by Zero")</f>
        <v>91.205519587921188</v>
      </c>
    </row>
    <row r="107" spans="1:8" x14ac:dyDescent="0.25">
      <c r="A107" s="5">
        <v>105</v>
      </c>
      <c r="B107" s="5">
        <f>'Raw Data'!N108</f>
        <v>20.100000000000001</v>
      </c>
      <c r="C107" s="5">
        <f>'Raw Data'!I108</f>
        <v>5</v>
      </c>
      <c r="D107" s="5" t="str">
        <f t="shared" si="4"/>
        <v>Low Access</v>
      </c>
      <c r="E107" s="5" t="str">
        <f t="shared" si="5"/>
        <v>$15-25k</v>
      </c>
      <c r="F107" s="5" t="str">
        <f t="shared" si="6"/>
        <v>Valid Number</v>
      </c>
      <c r="G107" s="5" t="str">
        <f t="shared" si="7"/>
        <v>Data Present</v>
      </c>
      <c r="H107" s="10">
        <f>IFERROR(B107/'Raw Data'!A108,"Error: Div by Zero")</f>
        <v>143.98280802292265</v>
      </c>
    </row>
    <row r="108" spans="1:8" x14ac:dyDescent="0.25">
      <c r="A108" s="5">
        <v>106</v>
      </c>
      <c r="B108" s="5">
        <f>'Raw Data'!N109</f>
        <v>19.5</v>
      </c>
      <c r="C108" s="5">
        <f>'Raw Data'!I109</f>
        <v>5</v>
      </c>
      <c r="D108" s="5" t="str">
        <f t="shared" si="4"/>
        <v>Low Access</v>
      </c>
      <c r="E108" s="5" t="str">
        <f t="shared" si="5"/>
        <v>$15-25k</v>
      </c>
      <c r="F108" s="5" t="str">
        <f t="shared" si="6"/>
        <v>Valid Number</v>
      </c>
      <c r="G108" s="5" t="str">
        <f t="shared" si="7"/>
        <v>Data Present</v>
      </c>
      <c r="H108" s="10">
        <f>IFERROR(B108/'Raw Data'!A109,"Error: Div by Zero")</f>
        <v>147.03664605640176</v>
      </c>
    </row>
    <row r="109" spans="1:8" x14ac:dyDescent="0.25">
      <c r="A109" s="5">
        <v>107</v>
      </c>
      <c r="B109" s="5">
        <f>'Raw Data'!N110</f>
        <v>19.5</v>
      </c>
      <c r="C109" s="5">
        <f>'Raw Data'!I110</f>
        <v>5</v>
      </c>
      <c r="D109" s="5" t="str">
        <f t="shared" si="4"/>
        <v>Low Access</v>
      </c>
      <c r="E109" s="5" t="str">
        <f t="shared" si="5"/>
        <v>$15-25k</v>
      </c>
      <c r="F109" s="5" t="str">
        <f t="shared" si="6"/>
        <v>Valid Number</v>
      </c>
      <c r="G109" s="5" t="str">
        <f t="shared" si="7"/>
        <v>Data Present</v>
      </c>
      <c r="H109" s="10">
        <f>IFERROR(B109/'Raw Data'!A110,"Error: Div by Zero")</f>
        <v>113.90186915887851</v>
      </c>
    </row>
    <row r="110" spans="1:8" x14ac:dyDescent="0.25">
      <c r="A110" s="5">
        <v>108</v>
      </c>
      <c r="B110" s="5">
        <f>'Raw Data'!N111</f>
        <v>20.399999999999999</v>
      </c>
      <c r="C110" s="5">
        <f>'Raw Data'!I111</f>
        <v>5</v>
      </c>
      <c r="D110" s="5" t="str">
        <f t="shared" si="4"/>
        <v>Low Access</v>
      </c>
      <c r="E110" s="5" t="str">
        <f t="shared" si="5"/>
        <v>$15-25k</v>
      </c>
      <c r="F110" s="5" t="str">
        <f t="shared" si="6"/>
        <v>Valid Number</v>
      </c>
      <c r="G110" s="5" t="str">
        <f t="shared" si="7"/>
        <v>Data Present</v>
      </c>
      <c r="H110" s="10">
        <f>IFERROR(B110/'Raw Data'!A111,"Error: Div by Zero")</f>
        <v>155.52336662346571</v>
      </c>
    </row>
    <row r="111" spans="1:8" x14ac:dyDescent="0.25">
      <c r="A111" s="5">
        <v>109</v>
      </c>
      <c r="B111" s="5">
        <f>'Raw Data'!N112</f>
        <v>19.8</v>
      </c>
      <c r="C111" s="5">
        <f>'Raw Data'!I112</f>
        <v>5</v>
      </c>
      <c r="D111" s="5" t="str">
        <f t="shared" si="4"/>
        <v>Low Access</v>
      </c>
      <c r="E111" s="5" t="str">
        <f t="shared" si="5"/>
        <v>$15-25k</v>
      </c>
      <c r="F111" s="5" t="str">
        <f t="shared" si="6"/>
        <v>Valid Number</v>
      </c>
      <c r="G111" s="5" t="str">
        <f t="shared" si="7"/>
        <v>Data Present</v>
      </c>
      <c r="H111" s="10">
        <f>IFERROR(B111/'Raw Data'!A112,"Error: Div by Zero")</f>
        <v>154.66333385408532</v>
      </c>
    </row>
    <row r="112" spans="1:8" x14ac:dyDescent="0.25">
      <c r="A112" s="5">
        <v>110</v>
      </c>
      <c r="B112" s="5">
        <f>'Raw Data'!N113</f>
        <v>19.399999999999999</v>
      </c>
      <c r="C112" s="5">
        <f>'Raw Data'!I113</f>
        <v>5</v>
      </c>
      <c r="D112" s="5" t="str">
        <f t="shared" si="4"/>
        <v>Low Access</v>
      </c>
      <c r="E112" s="5" t="str">
        <f t="shared" si="5"/>
        <v>$15-25k</v>
      </c>
      <c r="F112" s="5" t="str">
        <f t="shared" si="6"/>
        <v>Valid Number</v>
      </c>
      <c r="G112" s="5" t="str">
        <f t="shared" si="7"/>
        <v>Data Present</v>
      </c>
      <c r="H112" s="10">
        <f>IFERROR(B112/'Raw Data'!A113,"Error: Div by Zero")</f>
        <v>73.587983158214172</v>
      </c>
    </row>
    <row r="113" spans="1:8" x14ac:dyDescent="0.25">
      <c r="A113" s="5">
        <v>111</v>
      </c>
      <c r="B113" s="5">
        <f>'Raw Data'!N114</f>
        <v>21.7</v>
      </c>
      <c r="C113" s="5">
        <f>'Raw Data'!I114</f>
        <v>5</v>
      </c>
      <c r="D113" s="5" t="str">
        <f t="shared" si="4"/>
        <v>Low Access</v>
      </c>
      <c r="E113" s="5" t="str">
        <f t="shared" si="5"/>
        <v>$15-25k</v>
      </c>
      <c r="F113" s="5" t="str">
        <f t="shared" si="6"/>
        <v>Valid Number</v>
      </c>
      <c r="G113" s="5" t="str">
        <f t="shared" si="7"/>
        <v>Data Present</v>
      </c>
      <c r="H113" s="10">
        <f>IFERROR(B113/'Raw Data'!A114,"Error: Div by Zero")</f>
        <v>201.05624015565644</v>
      </c>
    </row>
    <row r="114" spans="1:8" x14ac:dyDescent="0.25">
      <c r="A114" s="5">
        <v>112</v>
      </c>
      <c r="B114" s="5">
        <f>'Raw Data'!N115</f>
        <v>22.8</v>
      </c>
      <c r="C114" s="5">
        <f>'Raw Data'!I115</f>
        <v>6</v>
      </c>
      <c r="D114" s="5" t="str">
        <f t="shared" si="4"/>
        <v>Low Access</v>
      </c>
      <c r="E114" s="5" t="str">
        <f t="shared" si="5"/>
        <v>$15-25k</v>
      </c>
      <c r="F114" s="5" t="str">
        <f t="shared" si="6"/>
        <v>Valid Number</v>
      </c>
      <c r="G114" s="5" t="str">
        <f t="shared" si="7"/>
        <v>Data Present</v>
      </c>
      <c r="H114" s="10">
        <f>IFERROR(B114/'Raw Data'!A115,"Error: Div by Zero")</f>
        <v>226.10075366917891</v>
      </c>
    </row>
    <row r="115" spans="1:8" x14ac:dyDescent="0.25">
      <c r="A115" s="5">
        <v>113</v>
      </c>
      <c r="B115" s="5">
        <f>'Raw Data'!N116</f>
        <v>18.8</v>
      </c>
      <c r="C115" s="5">
        <f>'Raw Data'!I116</f>
        <v>6</v>
      </c>
      <c r="D115" s="5" t="str">
        <f t="shared" si="4"/>
        <v>Low Access</v>
      </c>
      <c r="E115" s="5" t="str">
        <f t="shared" si="5"/>
        <v>$15-25k</v>
      </c>
      <c r="F115" s="5" t="str">
        <f t="shared" si="6"/>
        <v>Valid Number</v>
      </c>
      <c r="G115" s="5" t="str">
        <f t="shared" si="7"/>
        <v>Data Present</v>
      </c>
      <c r="H115" s="10">
        <f>IFERROR(B115/'Raw Data'!A116,"Error: Div by Zero")</f>
        <v>152.48600859761538</v>
      </c>
    </row>
    <row r="116" spans="1:8" x14ac:dyDescent="0.25">
      <c r="A116" s="5">
        <v>114</v>
      </c>
      <c r="B116" s="5">
        <f>'Raw Data'!N117</f>
        <v>18.7</v>
      </c>
      <c r="C116" s="5">
        <f>'Raw Data'!I117</f>
        <v>6</v>
      </c>
      <c r="D116" s="5" t="str">
        <f t="shared" si="4"/>
        <v>Low Access</v>
      </c>
      <c r="E116" s="5" t="str">
        <f t="shared" si="5"/>
        <v>$15-25k</v>
      </c>
      <c r="F116" s="5" t="str">
        <f t="shared" si="6"/>
        <v>Valid Number</v>
      </c>
      <c r="G116" s="5" t="str">
        <f t="shared" si="7"/>
        <v>Data Present</v>
      </c>
      <c r="H116" s="10">
        <f>IFERROR(B116/'Raw Data'!A117,"Error: Div by Zero")</f>
        <v>84.188726814334586</v>
      </c>
    </row>
    <row r="117" spans="1:8" x14ac:dyDescent="0.25">
      <c r="A117" s="5">
        <v>115</v>
      </c>
      <c r="B117" s="5">
        <f>'Raw Data'!N118</f>
        <v>18.5</v>
      </c>
      <c r="C117" s="5">
        <f>'Raw Data'!I118</f>
        <v>6</v>
      </c>
      <c r="D117" s="5" t="str">
        <f t="shared" si="4"/>
        <v>Low Access</v>
      </c>
      <c r="E117" s="5" t="str">
        <f t="shared" si="5"/>
        <v>$15-25k</v>
      </c>
      <c r="F117" s="5" t="str">
        <f t="shared" si="6"/>
        <v>Valid Number</v>
      </c>
      <c r="G117" s="5" t="str">
        <f t="shared" si="7"/>
        <v>Data Present</v>
      </c>
      <c r="H117" s="10">
        <f>IFERROR(B117/'Raw Data'!A118,"Error: Div by Zero")</f>
        <v>129.99789192607687</v>
      </c>
    </row>
    <row r="118" spans="1:8" x14ac:dyDescent="0.25">
      <c r="A118" s="5">
        <v>116</v>
      </c>
      <c r="B118" s="5">
        <f>'Raw Data'!N119</f>
        <v>18.3</v>
      </c>
      <c r="C118" s="5">
        <f>'Raw Data'!I119</f>
        <v>6</v>
      </c>
      <c r="D118" s="5" t="str">
        <f t="shared" si="4"/>
        <v>Low Access</v>
      </c>
      <c r="E118" s="5" t="str">
        <f t="shared" si="5"/>
        <v>$15-25k</v>
      </c>
      <c r="F118" s="5" t="str">
        <f t="shared" si="6"/>
        <v>Valid Number</v>
      </c>
      <c r="G118" s="5" t="str">
        <f t="shared" si="7"/>
        <v>Data Present</v>
      </c>
      <c r="H118" s="10">
        <f>IFERROR(B118/'Raw Data'!A119,"Error: Div by Zero")</f>
        <v>106.80518267771683</v>
      </c>
    </row>
    <row r="119" spans="1:8" x14ac:dyDescent="0.25">
      <c r="A119" s="5">
        <v>117</v>
      </c>
      <c r="B119" s="5">
        <f>'Raw Data'!N120</f>
        <v>21.2</v>
      </c>
      <c r="C119" s="5">
        <f>'Raw Data'!I120</f>
        <v>6</v>
      </c>
      <c r="D119" s="5" t="str">
        <f t="shared" si="4"/>
        <v>Low Access</v>
      </c>
      <c r="E119" s="5" t="str">
        <f t="shared" si="5"/>
        <v>$15-25k</v>
      </c>
      <c r="F119" s="5" t="str">
        <f t="shared" si="6"/>
        <v>Valid Number</v>
      </c>
      <c r="G119" s="5" t="str">
        <f t="shared" si="7"/>
        <v>Data Present</v>
      </c>
      <c r="H119" s="10">
        <f>IFERROR(B119/'Raw Data'!A120,"Error: Div by Zero")</f>
        <v>161.11871105031159</v>
      </c>
    </row>
    <row r="120" spans="1:8" x14ac:dyDescent="0.25">
      <c r="A120" s="5">
        <v>118</v>
      </c>
      <c r="B120" s="5">
        <f>'Raw Data'!N121</f>
        <v>19.2</v>
      </c>
      <c r="C120" s="5">
        <f>'Raw Data'!I121</f>
        <v>6</v>
      </c>
      <c r="D120" s="5" t="str">
        <f t="shared" si="4"/>
        <v>Low Access</v>
      </c>
      <c r="E120" s="5" t="str">
        <f t="shared" si="5"/>
        <v>$15-25k</v>
      </c>
      <c r="F120" s="5" t="str">
        <f t="shared" si="6"/>
        <v>Valid Number</v>
      </c>
      <c r="G120" s="5" t="str">
        <f t="shared" si="7"/>
        <v>Data Present</v>
      </c>
      <c r="H120" s="10">
        <f>IFERROR(B120/'Raw Data'!A121,"Error: Div by Zero")</f>
        <v>127.16916147834149</v>
      </c>
    </row>
    <row r="121" spans="1:8" x14ac:dyDescent="0.25">
      <c r="A121" s="5">
        <v>119</v>
      </c>
      <c r="B121" s="5">
        <f>'Raw Data'!N122</f>
        <v>20.399999999999999</v>
      </c>
      <c r="C121" s="5">
        <f>'Raw Data'!I122</f>
        <v>6</v>
      </c>
      <c r="D121" s="5" t="str">
        <f t="shared" si="4"/>
        <v>Low Access</v>
      </c>
      <c r="E121" s="5" t="str">
        <f t="shared" si="5"/>
        <v>$15-25k</v>
      </c>
      <c r="F121" s="5" t="str">
        <f t="shared" si="6"/>
        <v>Valid Number</v>
      </c>
      <c r="G121" s="5" t="str">
        <f t="shared" si="7"/>
        <v>Data Present</v>
      </c>
      <c r="H121" s="10">
        <f>IFERROR(B121/'Raw Data'!A122,"Error: Div by Zero")</f>
        <v>156.22606831061418</v>
      </c>
    </row>
    <row r="122" spans="1:8" x14ac:dyDescent="0.25">
      <c r="A122" s="5">
        <v>120</v>
      </c>
      <c r="B122" s="5">
        <f>'Raw Data'!N123</f>
        <v>19.3</v>
      </c>
      <c r="C122" s="5">
        <f>'Raw Data'!I123</f>
        <v>6</v>
      </c>
      <c r="D122" s="5" t="str">
        <f t="shared" si="4"/>
        <v>Low Access</v>
      </c>
      <c r="E122" s="5" t="str">
        <f t="shared" si="5"/>
        <v>$15-25k</v>
      </c>
      <c r="F122" s="5" t="str">
        <f t="shared" si="6"/>
        <v>Valid Number</v>
      </c>
      <c r="G122" s="5" t="str">
        <f t="shared" si="7"/>
        <v>Data Present</v>
      </c>
      <c r="H122" s="10">
        <f>IFERROR(B122/'Raw Data'!A123,"Error: Div by Zero")</f>
        <v>133.32412268582482</v>
      </c>
    </row>
    <row r="123" spans="1:8" x14ac:dyDescent="0.25">
      <c r="A123" s="5">
        <v>121</v>
      </c>
      <c r="B123" s="5">
        <f>'Raw Data'!N124</f>
        <v>22</v>
      </c>
      <c r="C123" s="5">
        <f>'Raw Data'!I124</f>
        <v>2</v>
      </c>
      <c r="D123" s="5" t="str">
        <f t="shared" si="4"/>
        <v>Very Low Access</v>
      </c>
      <c r="E123" s="5" t="str">
        <f t="shared" si="5"/>
        <v>$15-25k</v>
      </c>
      <c r="F123" s="5" t="str">
        <f t="shared" si="6"/>
        <v>Valid Number</v>
      </c>
      <c r="G123" s="5" t="str">
        <f t="shared" si="7"/>
        <v>Data Present</v>
      </c>
      <c r="H123" s="10">
        <f>IFERROR(B123/'Raw Data'!A124,"Error: Div by Zero")</f>
        <v>318.8867951877084</v>
      </c>
    </row>
    <row r="124" spans="1:8" x14ac:dyDescent="0.25">
      <c r="A124" s="5">
        <v>122</v>
      </c>
      <c r="B124" s="5">
        <f>'Raw Data'!N125</f>
        <v>20.3</v>
      </c>
      <c r="C124" s="5">
        <f>'Raw Data'!I125</f>
        <v>2</v>
      </c>
      <c r="D124" s="5" t="str">
        <f t="shared" si="4"/>
        <v>Very Low Access</v>
      </c>
      <c r="E124" s="5" t="str">
        <f t="shared" si="5"/>
        <v>$15-25k</v>
      </c>
      <c r="F124" s="5" t="str">
        <f t="shared" si="6"/>
        <v>Valid Number</v>
      </c>
      <c r="G124" s="5" t="str">
        <f t="shared" si="7"/>
        <v>Data Present</v>
      </c>
      <c r="H124" s="10">
        <f>IFERROR(B124/'Raw Data'!A125,"Error: Div by Zero")</f>
        <v>283.32170272156316</v>
      </c>
    </row>
    <row r="125" spans="1:8" x14ac:dyDescent="0.25">
      <c r="A125" s="5">
        <v>123</v>
      </c>
      <c r="B125" s="5">
        <f>'Raw Data'!N126</f>
        <v>20.5</v>
      </c>
      <c r="C125" s="5">
        <f>'Raw Data'!I126</f>
        <v>2</v>
      </c>
      <c r="D125" s="5" t="str">
        <f t="shared" si="4"/>
        <v>Very Low Access</v>
      </c>
      <c r="E125" s="5" t="str">
        <f t="shared" si="5"/>
        <v>$15-25k</v>
      </c>
      <c r="F125" s="5" t="str">
        <f t="shared" si="6"/>
        <v>Valid Number</v>
      </c>
      <c r="G125" s="5" t="str">
        <f t="shared" si="7"/>
        <v>Data Present</v>
      </c>
      <c r="H125" s="10">
        <f>IFERROR(B125/'Raw Data'!A126,"Error: Div by Zero")</f>
        <v>220.45381223787504</v>
      </c>
    </row>
    <row r="126" spans="1:8" x14ac:dyDescent="0.25">
      <c r="A126" s="5">
        <v>124</v>
      </c>
      <c r="B126" s="5">
        <f>'Raw Data'!N127</f>
        <v>17.3</v>
      </c>
      <c r="C126" s="5">
        <f>'Raw Data'!I127</f>
        <v>2</v>
      </c>
      <c r="D126" s="5" t="str">
        <f t="shared" si="4"/>
        <v>Very Low Access</v>
      </c>
      <c r="E126" s="5" t="str">
        <f t="shared" si="5"/>
        <v>$15-25k</v>
      </c>
      <c r="F126" s="5" t="str">
        <f t="shared" si="6"/>
        <v>Valid Number</v>
      </c>
      <c r="G126" s="5" t="str">
        <f t="shared" si="7"/>
        <v>Data Present</v>
      </c>
      <c r="H126" s="10">
        <f>IFERROR(B126/'Raw Data'!A127,"Error: Div by Zero")</f>
        <v>115.04189386886553</v>
      </c>
    </row>
    <row r="127" spans="1:8" x14ac:dyDescent="0.25">
      <c r="A127" s="5">
        <v>125</v>
      </c>
      <c r="B127" s="5">
        <f>'Raw Data'!N128</f>
        <v>18.8</v>
      </c>
      <c r="C127" s="5">
        <f>'Raw Data'!I128</f>
        <v>2</v>
      </c>
      <c r="D127" s="5" t="str">
        <f t="shared" si="4"/>
        <v>Very Low Access</v>
      </c>
      <c r="E127" s="5" t="str">
        <f t="shared" si="5"/>
        <v>$15-25k</v>
      </c>
      <c r="F127" s="5" t="str">
        <f t="shared" si="6"/>
        <v>Valid Number</v>
      </c>
      <c r="G127" s="5" t="str">
        <f t="shared" si="7"/>
        <v>Data Present</v>
      </c>
      <c r="H127" s="10">
        <f>IFERROR(B127/'Raw Data'!A128,"Error: Div by Zero")</f>
        <v>190.88232307848514</v>
      </c>
    </row>
    <row r="128" spans="1:8" x14ac:dyDescent="0.25">
      <c r="A128" s="5">
        <v>126</v>
      </c>
      <c r="B128" s="5">
        <f>'Raw Data'!N129</f>
        <v>21.4</v>
      </c>
      <c r="C128" s="5">
        <f>'Raw Data'!I129</f>
        <v>2</v>
      </c>
      <c r="D128" s="5" t="str">
        <f t="shared" si="4"/>
        <v>Very Low Access</v>
      </c>
      <c r="E128" s="5" t="str">
        <f t="shared" si="5"/>
        <v>$15-25k</v>
      </c>
      <c r="F128" s="5" t="str">
        <f t="shared" si="6"/>
        <v>Valid Number</v>
      </c>
      <c r="G128" s="5" t="str">
        <f t="shared" si="7"/>
        <v>Data Present</v>
      </c>
      <c r="H128" s="10">
        <f>IFERROR(B128/'Raw Data'!A129,"Error: Div by Zero")</f>
        <v>126.61223523843331</v>
      </c>
    </row>
    <row r="129" spans="1:8" x14ac:dyDescent="0.25">
      <c r="A129" s="5">
        <v>127</v>
      </c>
      <c r="B129" s="5">
        <f>'Raw Data'!N130</f>
        <v>15.7</v>
      </c>
      <c r="C129" s="5">
        <f>'Raw Data'!I130</f>
        <v>2</v>
      </c>
      <c r="D129" s="5" t="str">
        <f t="shared" si="4"/>
        <v>Very Low Access</v>
      </c>
      <c r="E129" s="5" t="str">
        <f t="shared" si="5"/>
        <v>$15-25k</v>
      </c>
      <c r="F129" s="5" t="str">
        <f t="shared" si="6"/>
        <v>Valid Number</v>
      </c>
      <c r="G129" s="5" t="str">
        <f t="shared" si="7"/>
        <v>Data Present</v>
      </c>
      <c r="H129" s="10">
        <f>IFERROR(B129/'Raw Data'!A130,"Error: Div by Zero")</f>
        <v>40.531818768555567</v>
      </c>
    </row>
    <row r="130" spans="1:8" x14ac:dyDescent="0.25">
      <c r="A130" s="5">
        <v>128</v>
      </c>
      <c r="B130" s="5">
        <f>'Raw Data'!N131</f>
        <v>16.2</v>
      </c>
      <c r="C130" s="5">
        <f>'Raw Data'!I131</f>
        <v>4</v>
      </c>
      <c r="D130" s="5" t="str">
        <f t="shared" si="4"/>
        <v>Very Low Access</v>
      </c>
      <c r="E130" s="5" t="str">
        <f t="shared" si="5"/>
        <v>$15-25k</v>
      </c>
      <c r="F130" s="5" t="str">
        <f t="shared" si="6"/>
        <v>Valid Number</v>
      </c>
      <c r="G130" s="5" t="str">
        <f t="shared" si="7"/>
        <v>Data Present</v>
      </c>
      <c r="H130" s="10">
        <f>IFERROR(B130/'Raw Data'!A131,"Error: Div by Zero")</f>
        <v>62.5120586532896</v>
      </c>
    </row>
    <row r="131" spans="1:8" x14ac:dyDescent="0.25">
      <c r="A131" s="5">
        <v>129</v>
      </c>
      <c r="B131" s="5">
        <f>'Raw Data'!N132</f>
        <v>18</v>
      </c>
      <c r="C131" s="5">
        <f>'Raw Data'!I132</f>
        <v>4</v>
      </c>
      <c r="D131" s="5" t="str">
        <f t="shared" si="4"/>
        <v>Very Low Access</v>
      </c>
      <c r="E131" s="5" t="str">
        <f t="shared" si="5"/>
        <v>$15-25k</v>
      </c>
      <c r="F131" s="5" t="str">
        <f t="shared" si="6"/>
        <v>Valid Number</v>
      </c>
      <c r="G131" s="5" t="str">
        <f t="shared" si="7"/>
        <v>Data Present</v>
      </c>
      <c r="H131" s="10">
        <f>IFERROR(B131/'Raw Data'!A132,"Error: Div by Zero")</f>
        <v>55.31143410257198</v>
      </c>
    </row>
    <row r="132" spans="1:8" x14ac:dyDescent="0.25">
      <c r="A132" s="5">
        <v>130</v>
      </c>
      <c r="B132" s="5">
        <f>'Raw Data'!N133</f>
        <v>14.3</v>
      </c>
      <c r="C132" s="5">
        <f>'Raw Data'!I133</f>
        <v>4</v>
      </c>
      <c r="D132" s="5" t="str">
        <f t="shared" ref="D132:D195" si="8">CHOOSE(MIN(5,MAX(1,INT(C132/5)+1)),"Very Low Access","Low Access","Medium Access","High Access","Very High Access")</f>
        <v>Very Low Access</v>
      </c>
      <c r="E132" s="5" t="str">
        <f t="shared" ref="E132:E195" si="9">IF(B132&lt;15,"Under $15k",IF(B132&lt;25,"$15-25k",IF(B132&lt;35,"$25-35k",IF(B132&lt;45,"$35-45k","Over $45k"))))</f>
        <v>Under $15k</v>
      </c>
      <c r="F132" s="5" t="str">
        <f t="shared" ref="F132:F195" si="10">IF(ISNUMBER(B132),"Valid Number","Not a Number")</f>
        <v>Valid Number</v>
      </c>
      <c r="G132" s="5" t="str">
        <f t="shared" ref="G132:G195" si="11">IF(ISBLANK(B132),"Missing","Data Present")</f>
        <v>Data Present</v>
      </c>
      <c r="H132" s="10">
        <f>IFERROR(B132/'Raw Data'!A133,"Error: Div by Zero")</f>
        <v>16.226950354609929</v>
      </c>
    </row>
    <row r="133" spans="1:8" x14ac:dyDescent="0.25">
      <c r="A133" s="5">
        <v>131</v>
      </c>
      <c r="B133" s="5">
        <f>'Raw Data'!N134</f>
        <v>19.2</v>
      </c>
      <c r="C133" s="5">
        <f>'Raw Data'!I134</f>
        <v>4</v>
      </c>
      <c r="D133" s="5" t="str">
        <f t="shared" si="8"/>
        <v>Very Low Access</v>
      </c>
      <c r="E133" s="5" t="str">
        <f t="shared" si="9"/>
        <v>$15-25k</v>
      </c>
      <c r="F133" s="5" t="str">
        <f t="shared" si="10"/>
        <v>Valid Number</v>
      </c>
      <c r="G133" s="5" t="str">
        <f t="shared" si="11"/>
        <v>Data Present</v>
      </c>
      <c r="H133" s="10">
        <f>IFERROR(B133/'Raw Data'!A134,"Error: Div by Zero")</f>
        <v>56.460624595659588</v>
      </c>
    </row>
    <row r="134" spans="1:8" x14ac:dyDescent="0.25">
      <c r="A134" s="5">
        <v>132</v>
      </c>
      <c r="B134" s="5">
        <f>'Raw Data'!N135</f>
        <v>19.600000000000001</v>
      </c>
      <c r="C134" s="5">
        <f>'Raw Data'!I135</f>
        <v>4</v>
      </c>
      <c r="D134" s="5" t="str">
        <f t="shared" si="8"/>
        <v>Very Low Access</v>
      </c>
      <c r="E134" s="5" t="str">
        <f t="shared" si="9"/>
        <v>$15-25k</v>
      </c>
      <c r="F134" s="5" t="str">
        <f t="shared" si="10"/>
        <v>Valid Number</v>
      </c>
      <c r="G134" s="5" t="str">
        <f t="shared" si="11"/>
        <v>Data Present</v>
      </c>
      <c r="H134" s="10">
        <f>IFERROR(B134/'Raw Data'!A135,"Error: Div by Zero")</f>
        <v>16.429996479286473</v>
      </c>
    </row>
    <row r="135" spans="1:8" x14ac:dyDescent="0.25">
      <c r="A135" s="5">
        <v>133</v>
      </c>
      <c r="B135" s="5">
        <f>'Raw Data'!N136</f>
        <v>23</v>
      </c>
      <c r="C135" s="5">
        <f>'Raw Data'!I136</f>
        <v>4</v>
      </c>
      <c r="D135" s="5" t="str">
        <f t="shared" si="8"/>
        <v>Very Low Access</v>
      </c>
      <c r="E135" s="5" t="str">
        <f t="shared" si="9"/>
        <v>$15-25k</v>
      </c>
      <c r="F135" s="5" t="str">
        <f t="shared" si="10"/>
        <v>Valid Number</v>
      </c>
      <c r="G135" s="5" t="str">
        <f t="shared" si="11"/>
        <v>Data Present</v>
      </c>
      <c r="H135" s="10">
        <f>IFERROR(B135/'Raw Data'!A136,"Error: Div by Zero")</f>
        <v>38.979747479027203</v>
      </c>
    </row>
    <row r="136" spans="1:8" x14ac:dyDescent="0.25">
      <c r="A136" s="5">
        <v>134</v>
      </c>
      <c r="B136" s="5">
        <f>'Raw Data'!N137</f>
        <v>18.399999999999999</v>
      </c>
      <c r="C136" s="5">
        <f>'Raw Data'!I137</f>
        <v>4</v>
      </c>
      <c r="D136" s="5" t="str">
        <f t="shared" si="8"/>
        <v>Very Low Access</v>
      </c>
      <c r="E136" s="5" t="str">
        <f t="shared" si="9"/>
        <v>$15-25k</v>
      </c>
      <c r="F136" s="5" t="str">
        <f t="shared" si="10"/>
        <v>Valid Number</v>
      </c>
      <c r="G136" s="5" t="str">
        <f t="shared" si="11"/>
        <v>Data Present</v>
      </c>
      <c r="H136" s="10">
        <f>IFERROR(B136/'Raw Data'!A137,"Error: Div by Zero")</f>
        <v>55.788005578800551</v>
      </c>
    </row>
    <row r="137" spans="1:8" x14ac:dyDescent="0.25">
      <c r="A137" s="5">
        <v>135</v>
      </c>
      <c r="B137" s="5">
        <f>'Raw Data'!N138</f>
        <v>15.6</v>
      </c>
      <c r="C137" s="5">
        <f>'Raw Data'!I138</f>
        <v>4</v>
      </c>
      <c r="D137" s="5" t="str">
        <f t="shared" si="8"/>
        <v>Very Low Access</v>
      </c>
      <c r="E137" s="5" t="str">
        <f t="shared" si="9"/>
        <v>$15-25k</v>
      </c>
      <c r="F137" s="5" t="str">
        <f t="shared" si="10"/>
        <v>Valid Number</v>
      </c>
      <c r="G137" s="5" t="str">
        <f t="shared" si="11"/>
        <v>Data Present</v>
      </c>
      <c r="H137" s="10">
        <f>IFERROR(B137/'Raw Data'!A138,"Error: Div by Zero")</f>
        <v>15.980823012385137</v>
      </c>
    </row>
    <row r="138" spans="1:8" x14ac:dyDescent="0.25">
      <c r="A138" s="5">
        <v>136</v>
      </c>
      <c r="B138" s="5">
        <f>'Raw Data'!N139</f>
        <v>18.100000000000001</v>
      </c>
      <c r="C138" s="5">
        <f>'Raw Data'!I139</f>
        <v>4</v>
      </c>
      <c r="D138" s="5" t="str">
        <f t="shared" si="8"/>
        <v>Very Low Access</v>
      </c>
      <c r="E138" s="5" t="str">
        <f t="shared" si="9"/>
        <v>$15-25k</v>
      </c>
      <c r="F138" s="5" t="str">
        <f t="shared" si="10"/>
        <v>Valid Number</v>
      </c>
      <c r="G138" s="5" t="str">
        <f t="shared" si="11"/>
        <v>Data Present</v>
      </c>
      <c r="H138" s="10">
        <f>IFERROR(B138/'Raw Data'!A139,"Error: Div by Zero")</f>
        <v>32.450069920040157</v>
      </c>
    </row>
    <row r="139" spans="1:8" x14ac:dyDescent="0.25">
      <c r="A139" s="5">
        <v>137</v>
      </c>
      <c r="B139" s="5">
        <f>'Raw Data'!N140</f>
        <v>17.399999999999999</v>
      </c>
      <c r="C139" s="5">
        <f>'Raw Data'!I140</f>
        <v>4</v>
      </c>
      <c r="D139" s="5" t="str">
        <f t="shared" si="8"/>
        <v>Very Low Access</v>
      </c>
      <c r="E139" s="5" t="str">
        <f t="shared" si="9"/>
        <v>$15-25k</v>
      </c>
      <c r="F139" s="5" t="str">
        <f t="shared" si="10"/>
        <v>Valid Number</v>
      </c>
      <c r="G139" s="5" t="str">
        <f t="shared" si="11"/>
        <v>Data Present</v>
      </c>
      <c r="H139" s="10">
        <f>IFERROR(B139/'Raw Data'!A140,"Error: Div by Zero")</f>
        <v>53.930076865856684</v>
      </c>
    </row>
    <row r="140" spans="1:8" x14ac:dyDescent="0.25">
      <c r="A140" s="5">
        <v>138</v>
      </c>
      <c r="B140" s="5">
        <f>'Raw Data'!N141</f>
        <v>17.100000000000001</v>
      </c>
      <c r="C140" s="5">
        <f>'Raw Data'!I141</f>
        <v>4</v>
      </c>
      <c r="D140" s="5" t="str">
        <f t="shared" si="8"/>
        <v>Very Low Access</v>
      </c>
      <c r="E140" s="5" t="str">
        <f t="shared" si="9"/>
        <v>$15-25k</v>
      </c>
      <c r="F140" s="5" t="str">
        <f t="shared" si="10"/>
        <v>Valid Number</v>
      </c>
      <c r="G140" s="5" t="str">
        <f t="shared" si="11"/>
        <v>Data Present</v>
      </c>
      <c r="H140" s="10">
        <f>IFERROR(B140/'Raw Data'!A141,"Error: Div by Zero")</f>
        <v>48.534044787557129</v>
      </c>
    </row>
    <row r="141" spans="1:8" x14ac:dyDescent="0.25">
      <c r="A141" s="5">
        <v>139</v>
      </c>
      <c r="B141" s="5">
        <f>'Raw Data'!N142</f>
        <v>13.3</v>
      </c>
      <c r="C141" s="5">
        <f>'Raw Data'!I142</f>
        <v>4</v>
      </c>
      <c r="D141" s="5" t="str">
        <f t="shared" si="8"/>
        <v>Very Low Access</v>
      </c>
      <c r="E141" s="5" t="str">
        <f t="shared" si="9"/>
        <v>Under $15k</v>
      </c>
      <c r="F141" s="5" t="str">
        <f t="shared" si="10"/>
        <v>Valid Number</v>
      </c>
      <c r="G141" s="5" t="str">
        <f t="shared" si="11"/>
        <v>Data Present</v>
      </c>
      <c r="H141" s="10">
        <f>IFERROR(B141/'Raw Data'!A142,"Error: Div by Zero")</f>
        <v>53.242594075260214</v>
      </c>
    </row>
    <row r="142" spans="1:8" x14ac:dyDescent="0.25">
      <c r="A142" s="5">
        <v>140</v>
      </c>
      <c r="B142" s="5">
        <f>'Raw Data'!N143</f>
        <v>17.8</v>
      </c>
      <c r="C142" s="5">
        <f>'Raw Data'!I143</f>
        <v>4</v>
      </c>
      <c r="D142" s="5" t="str">
        <f t="shared" si="8"/>
        <v>Very Low Access</v>
      </c>
      <c r="E142" s="5" t="str">
        <f t="shared" si="9"/>
        <v>$15-25k</v>
      </c>
      <c r="F142" s="5" t="str">
        <f t="shared" si="10"/>
        <v>Valid Number</v>
      </c>
      <c r="G142" s="5" t="str">
        <f t="shared" si="11"/>
        <v>Data Present</v>
      </c>
      <c r="H142" s="10">
        <f>IFERROR(B142/'Raw Data'!A143,"Error: Div by Zero")</f>
        <v>32.689341071035038</v>
      </c>
    </row>
    <row r="143" spans="1:8" x14ac:dyDescent="0.25">
      <c r="A143" s="5">
        <v>141</v>
      </c>
      <c r="B143" s="5">
        <f>'Raw Data'!N144</f>
        <v>14</v>
      </c>
      <c r="C143" s="5">
        <f>'Raw Data'!I144</f>
        <v>4</v>
      </c>
      <c r="D143" s="5" t="str">
        <f t="shared" si="8"/>
        <v>Very Low Access</v>
      </c>
      <c r="E143" s="5" t="str">
        <f t="shared" si="9"/>
        <v>Under $15k</v>
      </c>
      <c r="F143" s="5" t="str">
        <f t="shared" si="10"/>
        <v>Valid Number</v>
      </c>
      <c r="G143" s="5" t="str">
        <f t="shared" si="11"/>
        <v>Data Present</v>
      </c>
      <c r="H143" s="10">
        <f>IFERROR(B143/'Raw Data'!A144,"Error: Div by Zero")</f>
        <v>48.126503953248537</v>
      </c>
    </row>
    <row r="144" spans="1:8" x14ac:dyDescent="0.25">
      <c r="A144" s="5">
        <v>142</v>
      </c>
      <c r="B144" s="5">
        <f>'Raw Data'!N145</f>
        <v>14.4</v>
      </c>
      <c r="C144" s="5">
        <f>'Raw Data'!I145</f>
        <v>4</v>
      </c>
      <c r="D144" s="5" t="str">
        <f t="shared" si="8"/>
        <v>Very Low Access</v>
      </c>
      <c r="E144" s="5" t="str">
        <f t="shared" si="9"/>
        <v>Under $15k</v>
      </c>
      <c r="F144" s="5" t="str">
        <f t="shared" si="10"/>
        <v>Valid Number</v>
      </c>
      <c r="G144" s="5" t="str">
        <f t="shared" si="11"/>
        <v>Data Present</v>
      </c>
      <c r="H144" s="10">
        <f>IFERROR(B144/'Raw Data'!A145,"Error: Div by Zero")</f>
        <v>8.8417329796640143</v>
      </c>
    </row>
    <row r="145" spans="1:8" x14ac:dyDescent="0.25">
      <c r="A145" s="5">
        <v>143</v>
      </c>
      <c r="B145" s="5">
        <f>'Raw Data'!N146</f>
        <v>13.4</v>
      </c>
      <c r="C145" s="5">
        <f>'Raw Data'!I146</f>
        <v>5</v>
      </c>
      <c r="D145" s="5" t="str">
        <f t="shared" si="8"/>
        <v>Low Access</v>
      </c>
      <c r="E145" s="5" t="str">
        <f t="shared" si="9"/>
        <v>Under $15k</v>
      </c>
      <c r="F145" s="5" t="str">
        <f t="shared" si="10"/>
        <v>Valid Number</v>
      </c>
      <c r="G145" s="5" t="str">
        <f t="shared" si="11"/>
        <v>Data Present</v>
      </c>
      <c r="H145" s="10">
        <f>IFERROR(B145/'Raw Data'!A146,"Error: Div by Zero")</f>
        <v>4.0348684903870762</v>
      </c>
    </row>
    <row r="146" spans="1:8" x14ac:dyDescent="0.25">
      <c r="A146" s="5">
        <v>144</v>
      </c>
      <c r="B146" s="5">
        <f>'Raw Data'!N147</f>
        <v>15.6</v>
      </c>
      <c r="C146" s="5">
        <f>'Raw Data'!I147</f>
        <v>5</v>
      </c>
      <c r="D146" s="5" t="str">
        <f t="shared" si="8"/>
        <v>Low Access</v>
      </c>
      <c r="E146" s="5" t="str">
        <f t="shared" si="9"/>
        <v>$15-25k</v>
      </c>
      <c r="F146" s="5" t="str">
        <f t="shared" si="10"/>
        <v>Valid Number</v>
      </c>
      <c r="G146" s="5" t="str">
        <f t="shared" si="11"/>
        <v>Data Present</v>
      </c>
      <c r="H146" s="10">
        <f>IFERROR(B146/'Raw Data'!A147,"Error: Div by Zero")</f>
        <v>3.8072924293454382</v>
      </c>
    </row>
    <row r="147" spans="1:8" x14ac:dyDescent="0.25">
      <c r="A147" s="5">
        <v>145</v>
      </c>
      <c r="B147" s="5">
        <f>'Raw Data'!N148</f>
        <v>11.8</v>
      </c>
      <c r="C147" s="5">
        <f>'Raw Data'!I148</f>
        <v>5</v>
      </c>
      <c r="D147" s="5" t="str">
        <f t="shared" si="8"/>
        <v>Low Access</v>
      </c>
      <c r="E147" s="5" t="str">
        <f t="shared" si="9"/>
        <v>Under $15k</v>
      </c>
      <c r="F147" s="5" t="str">
        <f t="shared" si="10"/>
        <v>Valid Number</v>
      </c>
      <c r="G147" s="5" t="str">
        <f t="shared" si="11"/>
        <v>Data Present</v>
      </c>
      <c r="H147" s="10">
        <f>IFERROR(B147/'Raw Data'!A148,"Error: Div by Zero")</f>
        <v>4.2450013310597399</v>
      </c>
    </row>
    <row r="148" spans="1:8" x14ac:dyDescent="0.25">
      <c r="A148" s="5">
        <v>146</v>
      </c>
      <c r="B148" s="5">
        <f>'Raw Data'!N149</f>
        <v>13.8</v>
      </c>
      <c r="C148" s="5">
        <f>'Raw Data'!I149</f>
        <v>5</v>
      </c>
      <c r="D148" s="5" t="str">
        <f t="shared" si="8"/>
        <v>Low Access</v>
      </c>
      <c r="E148" s="5" t="str">
        <f t="shared" si="9"/>
        <v>Under $15k</v>
      </c>
      <c r="F148" s="5" t="str">
        <f t="shared" si="10"/>
        <v>Valid Number</v>
      </c>
      <c r="G148" s="5" t="str">
        <f t="shared" si="11"/>
        <v>Data Present</v>
      </c>
      <c r="H148" s="10">
        <f>IFERROR(B148/'Raw Data'!A149,"Error: Div by Zero")</f>
        <v>5.7999277110459202</v>
      </c>
    </row>
    <row r="149" spans="1:8" x14ac:dyDescent="0.25">
      <c r="A149" s="5">
        <v>147</v>
      </c>
      <c r="B149" s="5">
        <f>'Raw Data'!N150</f>
        <v>15.6</v>
      </c>
      <c r="C149" s="5">
        <f>'Raw Data'!I150</f>
        <v>5</v>
      </c>
      <c r="D149" s="5" t="str">
        <f t="shared" si="8"/>
        <v>Low Access</v>
      </c>
      <c r="E149" s="5" t="str">
        <f t="shared" si="9"/>
        <v>$15-25k</v>
      </c>
      <c r="F149" s="5" t="str">
        <f t="shared" si="10"/>
        <v>Valid Number</v>
      </c>
      <c r="G149" s="5" t="str">
        <f t="shared" si="11"/>
        <v>Data Present</v>
      </c>
      <c r="H149" s="10">
        <f>IFERROR(B149/'Raw Data'!A150,"Error: Div by Zero")</f>
        <v>7.2388111644741411</v>
      </c>
    </row>
    <row r="150" spans="1:8" x14ac:dyDescent="0.25">
      <c r="A150" s="5">
        <v>148</v>
      </c>
      <c r="B150" s="5">
        <f>'Raw Data'!N151</f>
        <v>14.6</v>
      </c>
      <c r="C150" s="5">
        <f>'Raw Data'!I151</f>
        <v>5</v>
      </c>
      <c r="D150" s="5" t="str">
        <f t="shared" si="8"/>
        <v>Low Access</v>
      </c>
      <c r="E150" s="5" t="str">
        <f t="shared" si="9"/>
        <v>Under $15k</v>
      </c>
      <c r="F150" s="5" t="str">
        <f t="shared" si="10"/>
        <v>Valid Number</v>
      </c>
      <c r="G150" s="5" t="str">
        <f t="shared" si="11"/>
        <v>Data Present</v>
      </c>
      <c r="H150" s="10">
        <f>IFERROR(B150/'Raw Data'!A151,"Error: Div by Zero")</f>
        <v>6.1639266746037773</v>
      </c>
    </row>
    <row r="151" spans="1:8" x14ac:dyDescent="0.25">
      <c r="A151" s="5">
        <v>149</v>
      </c>
      <c r="B151" s="5">
        <f>'Raw Data'!N152</f>
        <v>17.8</v>
      </c>
      <c r="C151" s="5">
        <f>'Raw Data'!I152</f>
        <v>5</v>
      </c>
      <c r="D151" s="5" t="str">
        <f t="shared" si="8"/>
        <v>Low Access</v>
      </c>
      <c r="E151" s="5" t="str">
        <f t="shared" si="9"/>
        <v>$15-25k</v>
      </c>
      <c r="F151" s="5" t="str">
        <f t="shared" si="10"/>
        <v>Valid Number</v>
      </c>
      <c r="G151" s="5" t="str">
        <f t="shared" si="11"/>
        <v>Data Present</v>
      </c>
      <c r="H151" s="10">
        <f>IFERROR(B151/'Raw Data'!A152,"Error: Div by Zero")</f>
        <v>7.6362403957116936</v>
      </c>
    </row>
    <row r="152" spans="1:8" x14ac:dyDescent="0.25">
      <c r="A152" s="5">
        <v>150</v>
      </c>
      <c r="B152" s="5">
        <f>'Raw Data'!N153</f>
        <v>15.4</v>
      </c>
      <c r="C152" s="5">
        <f>'Raw Data'!I153</f>
        <v>5</v>
      </c>
      <c r="D152" s="5" t="str">
        <f t="shared" si="8"/>
        <v>Low Access</v>
      </c>
      <c r="E152" s="5" t="str">
        <f t="shared" si="9"/>
        <v>$15-25k</v>
      </c>
      <c r="F152" s="5" t="str">
        <f t="shared" si="10"/>
        <v>Valid Number</v>
      </c>
      <c r="G152" s="5" t="str">
        <f t="shared" si="11"/>
        <v>Data Present</v>
      </c>
      <c r="H152" s="10">
        <f>IFERROR(B152/'Raw Data'!A153,"Error: Div by Zero")</f>
        <v>5.6328343032293704</v>
      </c>
    </row>
    <row r="153" spans="1:8" x14ac:dyDescent="0.25">
      <c r="A153" s="5">
        <v>151</v>
      </c>
      <c r="B153" s="5">
        <f>'Raw Data'!N154</f>
        <v>21.5</v>
      </c>
      <c r="C153" s="5">
        <f>'Raw Data'!I154</f>
        <v>5</v>
      </c>
      <c r="D153" s="5" t="str">
        <f t="shared" si="8"/>
        <v>Low Access</v>
      </c>
      <c r="E153" s="5" t="str">
        <f t="shared" si="9"/>
        <v>$15-25k</v>
      </c>
      <c r="F153" s="5" t="str">
        <f t="shared" si="10"/>
        <v>Valid Number</v>
      </c>
      <c r="G153" s="5" t="str">
        <f t="shared" si="11"/>
        <v>Data Present</v>
      </c>
      <c r="H153" s="10">
        <f>IFERROR(B153/'Raw Data'!A154,"Error: Div by Zero")</f>
        <v>12.978389472413376</v>
      </c>
    </row>
    <row r="154" spans="1:8" x14ac:dyDescent="0.25">
      <c r="A154" s="5">
        <v>152</v>
      </c>
      <c r="B154" s="5">
        <f>'Raw Data'!N155</f>
        <v>19.600000000000001</v>
      </c>
      <c r="C154" s="5">
        <f>'Raw Data'!I155</f>
        <v>5</v>
      </c>
      <c r="D154" s="5" t="str">
        <f t="shared" si="8"/>
        <v>Low Access</v>
      </c>
      <c r="E154" s="5" t="str">
        <f t="shared" si="9"/>
        <v>$15-25k</v>
      </c>
      <c r="F154" s="5" t="str">
        <f t="shared" si="10"/>
        <v>Valid Number</v>
      </c>
      <c r="G154" s="5" t="str">
        <f t="shared" si="11"/>
        <v>Data Present</v>
      </c>
      <c r="H154" s="10">
        <f>IFERROR(B154/'Raw Data'!A155,"Error: Div by Zero")</f>
        <v>13.098802395209582</v>
      </c>
    </row>
    <row r="155" spans="1:8" x14ac:dyDescent="0.25">
      <c r="A155" s="5">
        <v>153</v>
      </c>
      <c r="B155" s="5">
        <f>'Raw Data'!N156</f>
        <v>15.3</v>
      </c>
      <c r="C155" s="5">
        <f>'Raw Data'!I156</f>
        <v>5</v>
      </c>
      <c r="D155" s="5" t="str">
        <f t="shared" si="8"/>
        <v>Low Access</v>
      </c>
      <c r="E155" s="5" t="str">
        <f t="shared" si="9"/>
        <v>$15-25k</v>
      </c>
      <c r="F155" s="5" t="str">
        <f t="shared" si="10"/>
        <v>Valid Number</v>
      </c>
      <c r="G155" s="5" t="str">
        <f t="shared" si="11"/>
        <v>Data Present</v>
      </c>
      <c r="H155" s="10">
        <f>IFERROR(B155/'Raw Data'!A156,"Error: Div by Zero")</f>
        <v>13.580926343446539</v>
      </c>
    </row>
    <row r="156" spans="1:8" x14ac:dyDescent="0.25">
      <c r="A156" s="5">
        <v>154</v>
      </c>
      <c r="B156" s="5">
        <f>'Raw Data'!N157</f>
        <v>19.399999999999999</v>
      </c>
      <c r="C156" s="5">
        <f>'Raw Data'!I157</f>
        <v>5</v>
      </c>
      <c r="D156" s="5" t="str">
        <f t="shared" si="8"/>
        <v>Low Access</v>
      </c>
      <c r="E156" s="5" t="str">
        <f t="shared" si="9"/>
        <v>$15-25k</v>
      </c>
      <c r="F156" s="5" t="str">
        <f t="shared" si="10"/>
        <v>Valid Number</v>
      </c>
      <c r="G156" s="5" t="str">
        <f t="shared" si="11"/>
        <v>Data Present</v>
      </c>
      <c r="H156" s="10">
        <f>IFERROR(B156/'Raw Data'!A157,"Error: Div by Zero")</f>
        <v>9.0266985547976439</v>
      </c>
    </row>
    <row r="157" spans="1:8" x14ac:dyDescent="0.25">
      <c r="A157" s="5">
        <v>155</v>
      </c>
      <c r="B157" s="5">
        <f>'Raw Data'!N158</f>
        <v>17</v>
      </c>
      <c r="C157" s="5">
        <f>'Raw Data'!I158</f>
        <v>5</v>
      </c>
      <c r="D157" s="5" t="str">
        <f t="shared" si="8"/>
        <v>Low Access</v>
      </c>
      <c r="E157" s="5" t="str">
        <f t="shared" si="9"/>
        <v>$15-25k</v>
      </c>
      <c r="F157" s="5" t="str">
        <f t="shared" si="10"/>
        <v>Valid Number</v>
      </c>
      <c r="G157" s="5" t="str">
        <f t="shared" si="11"/>
        <v>Data Present</v>
      </c>
      <c r="H157" s="10">
        <f>IFERROR(B157/'Raw Data'!A158,"Error: Div by Zero")</f>
        <v>12.023906354988153</v>
      </c>
    </row>
    <row r="158" spans="1:8" x14ac:dyDescent="0.25">
      <c r="A158" s="5">
        <v>156</v>
      </c>
      <c r="B158" s="5">
        <f>'Raw Data'!N159</f>
        <v>15.6</v>
      </c>
      <c r="C158" s="5">
        <f>'Raw Data'!I159</f>
        <v>5</v>
      </c>
      <c r="D158" s="5" t="str">
        <f t="shared" si="8"/>
        <v>Low Access</v>
      </c>
      <c r="E158" s="5" t="str">
        <f t="shared" si="9"/>
        <v>$15-25k</v>
      </c>
      <c r="F158" s="5" t="str">
        <f t="shared" si="10"/>
        <v>Valid Number</v>
      </c>
      <c r="G158" s="5" t="str">
        <f t="shared" si="11"/>
        <v>Data Present</v>
      </c>
      <c r="H158" s="10">
        <f>IFERROR(B158/'Raw Data'!A159,"Error: Div by Zero")</f>
        <v>4.4130002461096289</v>
      </c>
    </row>
    <row r="159" spans="1:8" x14ac:dyDescent="0.25">
      <c r="A159" s="5">
        <v>157</v>
      </c>
      <c r="B159" s="5">
        <f>'Raw Data'!N160</f>
        <v>13.1</v>
      </c>
      <c r="C159" s="5">
        <f>'Raw Data'!I160</f>
        <v>5</v>
      </c>
      <c r="D159" s="5" t="str">
        <f t="shared" si="8"/>
        <v>Low Access</v>
      </c>
      <c r="E159" s="5" t="str">
        <f t="shared" si="9"/>
        <v>Under $15k</v>
      </c>
      <c r="F159" s="5" t="str">
        <f t="shared" si="10"/>
        <v>Valid Number</v>
      </c>
      <c r="G159" s="5" t="str">
        <f t="shared" si="11"/>
        <v>Data Present</v>
      </c>
      <c r="H159" s="10">
        <f>IFERROR(B159/'Raw Data'!A160,"Error: Div by Zero")</f>
        <v>5.3541942550721791</v>
      </c>
    </row>
    <row r="160" spans="1:8" x14ac:dyDescent="0.25">
      <c r="A160" s="5">
        <v>158</v>
      </c>
      <c r="B160" s="5">
        <f>'Raw Data'!N161</f>
        <v>41.3</v>
      </c>
      <c r="C160" s="5">
        <f>'Raw Data'!I161</f>
        <v>5</v>
      </c>
      <c r="D160" s="5" t="str">
        <f t="shared" si="8"/>
        <v>Low Access</v>
      </c>
      <c r="E160" s="5" t="str">
        <f t="shared" si="9"/>
        <v>$35-45k</v>
      </c>
      <c r="F160" s="5" t="str">
        <f t="shared" si="10"/>
        <v>Valid Number</v>
      </c>
      <c r="G160" s="5" t="str">
        <f t="shared" si="11"/>
        <v>Data Present</v>
      </c>
      <c r="H160" s="10">
        <f>IFERROR(B160/'Raw Data'!A161,"Error: Div by Zero")</f>
        <v>33.753412118537405</v>
      </c>
    </row>
    <row r="161" spans="1:8" x14ac:dyDescent="0.25">
      <c r="A161" s="5">
        <v>159</v>
      </c>
      <c r="B161" s="5">
        <f>'Raw Data'!N162</f>
        <v>24.3</v>
      </c>
      <c r="C161" s="5">
        <f>'Raw Data'!I162</f>
        <v>5</v>
      </c>
      <c r="D161" s="5" t="str">
        <f t="shared" si="8"/>
        <v>Low Access</v>
      </c>
      <c r="E161" s="5" t="str">
        <f t="shared" si="9"/>
        <v>$15-25k</v>
      </c>
      <c r="F161" s="5" t="str">
        <f t="shared" si="10"/>
        <v>Valid Number</v>
      </c>
      <c r="G161" s="5" t="str">
        <f t="shared" si="11"/>
        <v>Data Present</v>
      </c>
      <c r="H161" s="10">
        <f>IFERROR(B161/'Raw Data'!A162,"Error: Div by Zero")</f>
        <v>18.095975693306723</v>
      </c>
    </row>
    <row r="162" spans="1:8" x14ac:dyDescent="0.25">
      <c r="A162" s="5">
        <v>160</v>
      </c>
      <c r="B162" s="5">
        <f>'Raw Data'!N163</f>
        <v>23.3</v>
      </c>
      <c r="C162" s="5">
        <f>'Raw Data'!I163</f>
        <v>5</v>
      </c>
      <c r="D162" s="5" t="str">
        <f t="shared" si="8"/>
        <v>Low Access</v>
      </c>
      <c r="E162" s="5" t="str">
        <f t="shared" si="9"/>
        <v>$15-25k</v>
      </c>
      <c r="F162" s="5" t="str">
        <f t="shared" si="10"/>
        <v>Valid Number</v>
      </c>
      <c r="G162" s="5" t="str">
        <f t="shared" si="11"/>
        <v>Data Present</v>
      </c>
      <c r="H162" s="10">
        <f>IFERROR(B162/'Raw Data'!A163,"Error: Div by Zero")</f>
        <v>16.350647710207578</v>
      </c>
    </row>
    <row r="163" spans="1:8" x14ac:dyDescent="0.25">
      <c r="A163" s="5">
        <v>161</v>
      </c>
      <c r="B163" s="5">
        <f>'Raw Data'!N164</f>
        <v>27</v>
      </c>
      <c r="C163" s="5">
        <f>'Raw Data'!I164</f>
        <v>5</v>
      </c>
      <c r="D163" s="5" t="str">
        <f t="shared" si="8"/>
        <v>Low Access</v>
      </c>
      <c r="E163" s="5" t="str">
        <f t="shared" si="9"/>
        <v>$25-35k</v>
      </c>
      <c r="F163" s="5" t="str">
        <f t="shared" si="10"/>
        <v>Valid Number</v>
      </c>
      <c r="G163" s="5" t="str">
        <f t="shared" si="11"/>
        <v>Data Present</v>
      </c>
      <c r="H163" s="10">
        <f>IFERROR(B163/'Raw Data'!A164,"Error: Div by Zero")</f>
        <v>21.202079374303079</v>
      </c>
    </row>
    <row r="164" spans="1:8" x14ac:dyDescent="0.25">
      <c r="A164" s="5">
        <v>162</v>
      </c>
      <c r="B164" s="5">
        <f>'Raw Data'!N165</f>
        <v>50</v>
      </c>
      <c r="C164" s="5">
        <f>'Raw Data'!I165</f>
        <v>5</v>
      </c>
      <c r="D164" s="5" t="str">
        <f t="shared" si="8"/>
        <v>Low Access</v>
      </c>
      <c r="E164" s="5" t="str">
        <f t="shared" si="9"/>
        <v>Over $45k</v>
      </c>
      <c r="F164" s="5" t="str">
        <f t="shared" si="10"/>
        <v>Valid Number</v>
      </c>
      <c r="G164" s="5" t="str">
        <f t="shared" si="11"/>
        <v>Data Present</v>
      </c>
      <c r="H164" s="10">
        <f>IFERROR(B164/'Raw Data'!A165,"Error: Div by Zero")</f>
        <v>34.167942269844744</v>
      </c>
    </row>
    <row r="165" spans="1:8" x14ac:dyDescent="0.25">
      <c r="A165" s="5">
        <v>163</v>
      </c>
      <c r="B165" s="5">
        <f>'Raw Data'!N166</f>
        <v>50</v>
      </c>
      <c r="C165" s="5">
        <f>'Raw Data'!I166</f>
        <v>5</v>
      </c>
      <c r="D165" s="5" t="str">
        <f t="shared" si="8"/>
        <v>Low Access</v>
      </c>
      <c r="E165" s="5" t="str">
        <f t="shared" si="9"/>
        <v>Over $45k</v>
      </c>
      <c r="F165" s="5" t="str">
        <f t="shared" si="10"/>
        <v>Valid Number</v>
      </c>
      <c r="G165" s="5" t="str">
        <f t="shared" si="11"/>
        <v>Data Present</v>
      </c>
      <c r="H165" s="10">
        <f>IFERROR(B165/'Raw Data'!A166,"Error: Div by Zero")</f>
        <v>27.266232951787849</v>
      </c>
    </row>
    <row r="166" spans="1:8" x14ac:dyDescent="0.25">
      <c r="A166" s="5">
        <v>164</v>
      </c>
      <c r="B166" s="5">
        <f>'Raw Data'!N167</f>
        <v>50</v>
      </c>
      <c r="C166" s="5">
        <f>'Raw Data'!I167</f>
        <v>5</v>
      </c>
      <c r="D166" s="5" t="str">
        <f t="shared" si="8"/>
        <v>Low Access</v>
      </c>
      <c r="E166" s="5" t="str">
        <f t="shared" si="9"/>
        <v>Over $45k</v>
      </c>
      <c r="F166" s="5" t="str">
        <f t="shared" si="10"/>
        <v>Valid Number</v>
      </c>
      <c r="G166" s="5" t="str">
        <f t="shared" si="11"/>
        <v>Data Present</v>
      </c>
      <c r="H166" s="10">
        <f>IFERROR(B166/'Raw Data'!A167,"Error: Div by Zero")</f>
        <v>32.915958973548733</v>
      </c>
    </row>
    <row r="167" spans="1:8" x14ac:dyDescent="0.25">
      <c r="A167" s="5">
        <v>165</v>
      </c>
      <c r="B167" s="5">
        <f>'Raw Data'!N168</f>
        <v>22.7</v>
      </c>
      <c r="C167" s="5">
        <f>'Raw Data'!I168</f>
        <v>5</v>
      </c>
      <c r="D167" s="5" t="str">
        <f t="shared" si="8"/>
        <v>Low Access</v>
      </c>
      <c r="E167" s="5" t="str">
        <f t="shared" si="9"/>
        <v>$15-25k</v>
      </c>
      <c r="F167" s="5" t="str">
        <f t="shared" si="10"/>
        <v>Valid Number</v>
      </c>
      <c r="G167" s="5" t="str">
        <f t="shared" si="11"/>
        <v>Data Present</v>
      </c>
      <c r="H167" s="10">
        <f>IFERROR(B167/'Raw Data'!A168,"Error: Div by Zero")</f>
        <v>10.123262990777572</v>
      </c>
    </row>
    <row r="168" spans="1:8" x14ac:dyDescent="0.25">
      <c r="A168" s="5">
        <v>166</v>
      </c>
      <c r="B168" s="5">
        <f>'Raw Data'!N169</f>
        <v>25</v>
      </c>
      <c r="C168" s="5">
        <f>'Raw Data'!I169</f>
        <v>5</v>
      </c>
      <c r="D168" s="5" t="str">
        <f t="shared" si="8"/>
        <v>Low Access</v>
      </c>
      <c r="E168" s="5" t="str">
        <f t="shared" si="9"/>
        <v>$25-35k</v>
      </c>
      <c r="F168" s="5" t="str">
        <f t="shared" si="10"/>
        <v>Valid Number</v>
      </c>
      <c r="G168" s="5" t="str">
        <f t="shared" si="11"/>
        <v>Data Present</v>
      </c>
      <c r="H168" s="10">
        <f>IFERROR(B168/'Raw Data'!A169,"Error: Div by Zero")</f>
        <v>8.549931600547195</v>
      </c>
    </row>
    <row r="169" spans="1:8" x14ac:dyDescent="0.25">
      <c r="A169" s="5">
        <v>167</v>
      </c>
      <c r="B169" s="5">
        <f>'Raw Data'!N170</f>
        <v>50</v>
      </c>
      <c r="C169" s="5">
        <f>'Raw Data'!I170</f>
        <v>5</v>
      </c>
      <c r="D169" s="5" t="str">
        <f t="shared" si="8"/>
        <v>Low Access</v>
      </c>
      <c r="E169" s="5" t="str">
        <f t="shared" si="9"/>
        <v>Over $45k</v>
      </c>
      <c r="F169" s="5" t="str">
        <f t="shared" si="10"/>
        <v>Valid Number</v>
      </c>
      <c r="G169" s="5" t="str">
        <f t="shared" si="11"/>
        <v>Data Present</v>
      </c>
      <c r="H169" s="10">
        <f>IFERROR(B169/'Raw Data'!A170,"Error: Div by Zero")</f>
        <v>24.873270685855566</v>
      </c>
    </row>
    <row r="170" spans="1:8" x14ac:dyDescent="0.25">
      <c r="A170" s="5">
        <v>168</v>
      </c>
      <c r="B170" s="5">
        <f>'Raw Data'!N171</f>
        <v>23.8</v>
      </c>
      <c r="C170" s="5">
        <f>'Raw Data'!I171</f>
        <v>5</v>
      </c>
      <c r="D170" s="5" t="str">
        <f t="shared" si="8"/>
        <v>Low Access</v>
      </c>
      <c r="E170" s="5" t="str">
        <f t="shared" si="9"/>
        <v>$15-25k</v>
      </c>
      <c r="F170" s="5" t="str">
        <f t="shared" si="10"/>
        <v>Valid Number</v>
      </c>
      <c r="G170" s="5" t="str">
        <f t="shared" si="11"/>
        <v>Data Present</v>
      </c>
      <c r="H170" s="10">
        <f>IFERROR(B170/'Raw Data'!A171,"Error: Div by Zero")</f>
        <v>13.220165751994134</v>
      </c>
    </row>
    <row r="171" spans="1:8" x14ac:dyDescent="0.25">
      <c r="A171" s="5">
        <v>169</v>
      </c>
      <c r="B171" s="5">
        <f>'Raw Data'!N172</f>
        <v>23.8</v>
      </c>
      <c r="C171" s="5">
        <f>'Raw Data'!I172</f>
        <v>5</v>
      </c>
      <c r="D171" s="5" t="str">
        <f t="shared" si="8"/>
        <v>Low Access</v>
      </c>
      <c r="E171" s="5" t="str">
        <f t="shared" si="9"/>
        <v>$15-25k</v>
      </c>
      <c r="F171" s="5" t="str">
        <f t="shared" si="10"/>
        <v>Valid Number</v>
      </c>
      <c r="G171" s="5" t="str">
        <f t="shared" si="11"/>
        <v>Data Present</v>
      </c>
      <c r="H171" s="10">
        <f>IFERROR(B171/'Raw Data'!A172,"Error: Div by Zero")</f>
        <v>10.346026777951662</v>
      </c>
    </row>
    <row r="172" spans="1:8" x14ac:dyDescent="0.25">
      <c r="A172" s="5">
        <v>170</v>
      </c>
      <c r="B172" s="5">
        <f>'Raw Data'!N173</f>
        <v>22.3</v>
      </c>
      <c r="C172" s="5">
        <f>'Raw Data'!I173</f>
        <v>5</v>
      </c>
      <c r="D172" s="5" t="str">
        <f t="shared" si="8"/>
        <v>Low Access</v>
      </c>
      <c r="E172" s="5" t="str">
        <f t="shared" si="9"/>
        <v>$15-25k</v>
      </c>
      <c r="F172" s="5" t="str">
        <f t="shared" si="10"/>
        <v>Valid Number</v>
      </c>
      <c r="G172" s="5" t="str">
        <f t="shared" si="11"/>
        <v>Data Present</v>
      </c>
      <c r="H172" s="10">
        <f>IFERROR(B172/'Raw Data'!A173,"Error: Div by Zero")</f>
        <v>9.1037872571472889</v>
      </c>
    </row>
    <row r="173" spans="1:8" x14ac:dyDescent="0.25">
      <c r="A173" s="5">
        <v>171</v>
      </c>
      <c r="B173" s="5">
        <f>'Raw Data'!N174</f>
        <v>17.399999999999999</v>
      </c>
      <c r="C173" s="5">
        <f>'Raw Data'!I174</f>
        <v>5</v>
      </c>
      <c r="D173" s="5" t="str">
        <f t="shared" si="8"/>
        <v>Low Access</v>
      </c>
      <c r="E173" s="5" t="str">
        <f t="shared" si="9"/>
        <v>$15-25k</v>
      </c>
      <c r="F173" s="5" t="str">
        <f t="shared" si="10"/>
        <v>Valid Number</v>
      </c>
      <c r="G173" s="5" t="str">
        <f t="shared" si="11"/>
        <v>Data Present</v>
      </c>
      <c r="H173" s="10">
        <f>IFERROR(B173/'Raw Data'!A174,"Error: Div by Zero")</f>
        <v>14.410892647131901</v>
      </c>
    </row>
    <row r="174" spans="1:8" x14ac:dyDescent="0.25">
      <c r="A174" s="5">
        <v>172</v>
      </c>
      <c r="B174" s="5">
        <f>'Raw Data'!N175</f>
        <v>19.100000000000001</v>
      </c>
      <c r="C174" s="5">
        <f>'Raw Data'!I175</f>
        <v>5</v>
      </c>
      <c r="D174" s="5" t="str">
        <f t="shared" si="8"/>
        <v>Low Access</v>
      </c>
      <c r="E174" s="5" t="str">
        <f t="shared" si="9"/>
        <v>$15-25k</v>
      </c>
      <c r="F174" s="5" t="str">
        <f t="shared" si="10"/>
        <v>Valid Number</v>
      </c>
      <c r="G174" s="5" t="str">
        <f t="shared" si="11"/>
        <v>Data Present</v>
      </c>
      <c r="H174" s="10">
        <f>IFERROR(B174/'Raw Data'!A175,"Error: Div by Zero")</f>
        <v>8.2544621634469948</v>
      </c>
    </row>
    <row r="175" spans="1:8" x14ac:dyDescent="0.25">
      <c r="A175" s="5">
        <v>173</v>
      </c>
      <c r="B175" s="5">
        <f>'Raw Data'!N176</f>
        <v>23.1</v>
      </c>
      <c r="C175" s="5">
        <f>'Raw Data'!I176</f>
        <v>5</v>
      </c>
      <c r="D175" s="5" t="str">
        <f t="shared" si="8"/>
        <v>Low Access</v>
      </c>
      <c r="E175" s="5" t="str">
        <f t="shared" si="9"/>
        <v>$15-25k</v>
      </c>
      <c r="F175" s="5" t="str">
        <f t="shared" si="10"/>
        <v>Valid Number</v>
      </c>
      <c r="G175" s="5" t="str">
        <f t="shared" si="11"/>
        <v>Data Present</v>
      </c>
      <c r="H175" s="10">
        <f>IFERROR(B175/'Raw Data'!A176,"Error: Div by Zero")</f>
        <v>166.01983613626564</v>
      </c>
    </row>
    <row r="176" spans="1:8" x14ac:dyDescent="0.25">
      <c r="A176" s="5">
        <v>174</v>
      </c>
      <c r="B176" s="5">
        <f>'Raw Data'!N177</f>
        <v>23.6</v>
      </c>
      <c r="C176" s="5">
        <f>'Raw Data'!I177</f>
        <v>5</v>
      </c>
      <c r="D176" s="5" t="str">
        <f t="shared" si="8"/>
        <v>Low Access</v>
      </c>
      <c r="E176" s="5" t="str">
        <f t="shared" si="9"/>
        <v>$15-25k</v>
      </c>
      <c r="F176" s="5" t="str">
        <f t="shared" si="10"/>
        <v>Valid Number</v>
      </c>
      <c r="G176" s="5" t="str">
        <f t="shared" si="11"/>
        <v>Data Present</v>
      </c>
      <c r="H176" s="10">
        <f>IFERROR(B176/'Raw Data'!A177,"Error: Div by Zero")</f>
        <v>257.13663107430813</v>
      </c>
    </row>
    <row r="177" spans="1:8" x14ac:dyDescent="0.25">
      <c r="A177" s="5">
        <v>175</v>
      </c>
      <c r="B177" s="5">
        <f>'Raw Data'!N178</f>
        <v>22.6</v>
      </c>
      <c r="C177" s="5">
        <f>'Raw Data'!I178</f>
        <v>5</v>
      </c>
      <c r="D177" s="5" t="str">
        <f t="shared" si="8"/>
        <v>Low Access</v>
      </c>
      <c r="E177" s="5" t="str">
        <f t="shared" si="9"/>
        <v>$15-25k</v>
      </c>
      <c r="F177" s="5" t="str">
        <f t="shared" si="10"/>
        <v>Valid Number</v>
      </c>
      <c r="G177" s="5" t="str">
        <f t="shared" si="11"/>
        <v>Data Present</v>
      </c>
      <c r="H177" s="10">
        <f>IFERROR(B177/'Raw Data'!A178,"Error: Div by Zero")</f>
        <v>267.55060968391143</v>
      </c>
    </row>
    <row r="178" spans="1:8" x14ac:dyDescent="0.25">
      <c r="A178" s="5">
        <v>176</v>
      </c>
      <c r="B178" s="5">
        <f>'Raw Data'!N179</f>
        <v>29.4</v>
      </c>
      <c r="C178" s="5">
        <f>'Raw Data'!I179</f>
        <v>5</v>
      </c>
      <c r="D178" s="5" t="str">
        <f t="shared" si="8"/>
        <v>Low Access</v>
      </c>
      <c r="E178" s="5" t="str">
        <f t="shared" si="9"/>
        <v>$25-35k</v>
      </c>
      <c r="F178" s="5" t="str">
        <f t="shared" si="10"/>
        <v>Valid Number</v>
      </c>
      <c r="G178" s="5" t="str">
        <f t="shared" si="11"/>
        <v>Data Present</v>
      </c>
      <c r="H178" s="10">
        <f>IFERROR(B178/'Raw Data'!A179,"Error: Div by Zero")</f>
        <v>441.17647058823525</v>
      </c>
    </row>
    <row r="179" spans="1:8" x14ac:dyDescent="0.25">
      <c r="A179" s="5">
        <v>177</v>
      </c>
      <c r="B179" s="5">
        <f>'Raw Data'!N180</f>
        <v>23.2</v>
      </c>
      <c r="C179" s="5">
        <f>'Raw Data'!I180</f>
        <v>5</v>
      </c>
      <c r="D179" s="5" t="str">
        <f t="shared" si="8"/>
        <v>Low Access</v>
      </c>
      <c r="E179" s="5" t="str">
        <f t="shared" si="9"/>
        <v>$15-25k</v>
      </c>
      <c r="F179" s="5" t="str">
        <f t="shared" si="10"/>
        <v>Valid Number</v>
      </c>
      <c r="G179" s="5" t="str">
        <f t="shared" si="11"/>
        <v>Data Present</v>
      </c>
      <c r="H179" s="10">
        <f>IFERROR(B179/'Raw Data'!A180,"Error: Div by Zero")</f>
        <v>330.39020222158928</v>
      </c>
    </row>
    <row r="180" spans="1:8" x14ac:dyDescent="0.25">
      <c r="A180" s="5">
        <v>178</v>
      </c>
      <c r="B180" s="5">
        <f>'Raw Data'!N181</f>
        <v>24.6</v>
      </c>
      <c r="C180" s="5">
        <f>'Raw Data'!I181</f>
        <v>5</v>
      </c>
      <c r="D180" s="5" t="str">
        <f t="shared" si="8"/>
        <v>Low Access</v>
      </c>
      <c r="E180" s="5" t="str">
        <f t="shared" si="9"/>
        <v>$15-25k</v>
      </c>
      <c r="F180" s="5" t="str">
        <f t="shared" si="10"/>
        <v>Valid Number</v>
      </c>
      <c r="G180" s="5" t="str">
        <f t="shared" si="11"/>
        <v>Data Present</v>
      </c>
      <c r="H180" s="10">
        <f>IFERROR(B180/'Raw Data'!A181,"Error: Div by Zero")</f>
        <v>453.4562211981567</v>
      </c>
    </row>
    <row r="181" spans="1:8" x14ac:dyDescent="0.25">
      <c r="A181" s="5">
        <v>179</v>
      </c>
      <c r="B181" s="5">
        <f>'Raw Data'!N182</f>
        <v>29.9</v>
      </c>
      <c r="C181" s="5">
        <f>'Raw Data'!I182</f>
        <v>5</v>
      </c>
      <c r="D181" s="5" t="str">
        <f t="shared" si="8"/>
        <v>Low Access</v>
      </c>
      <c r="E181" s="5" t="str">
        <f t="shared" si="9"/>
        <v>$25-35k</v>
      </c>
      <c r="F181" s="5" t="str">
        <f t="shared" si="10"/>
        <v>Valid Number</v>
      </c>
      <c r="G181" s="5" t="str">
        <f t="shared" si="11"/>
        <v>Data Present</v>
      </c>
      <c r="H181" s="10">
        <f>IFERROR(B181/'Raw Data'!A182,"Error: Div by Zero")</f>
        <v>450.16561276723871</v>
      </c>
    </row>
    <row r="182" spans="1:8" x14ac:dyDescent="0.25">
      <c r="A182" s="5">
        <v>180</v>
      </c>
      <c r="B182" s="5">
        <f>'Raw Data'!N183</f>
        <v>37.200000000000003</v>
      </c>
      <c r="C182" s="5">
        <f>'Raw Data'!I183</f>
        <v>3</v>
      </c>
      <c r="D182" s="5" t="str">
        <f t="shared" si="8"/>
        <v>Very Low Access</v>
      </c>
      <c r="E182" s="5" t="str">
        <f t="shared" si="9"/>
        <v>$35-45k</v>
      </c>
      <c r="F182" s="5" t="str">
        <f t="shared" si="10"/>
        <v>Valid Number</v>
      </c>
      <c r="G182" s="5" t="str">
        <f t="shared" si="11"/>
        <v>Data Present</v>
      </c>
      <c r="H182" s="10">
        <f>IFERROR(B182/'Raw Data'!A183,"Error: Div by Zero")</f>
        <v>643.59861591695505</v>
      </c>
    </row>
    <row r="183" spans="1:8" x14ac:dyDescent="0.25">
      <c r="A183" s="5">
        <v>181</v>
      </c>
      <c r="B183" s="5">
        <f>'Raw Data'!N184</f>
        <v>39.799999999999997</v>
      </c>
      <c r="C183" s="5">
        <f>'Raw Data'!I184</f>
        <v>3</v>
      </c>
      <c r="D183" s="5" t="str">
        <f t="shared" si="8"/>
        <v>Very Low Access</v>
      </c>
      <c r="E183" s="5" t="str">
        <f t="shared" si="9"/>
        <v>$35-45k</v>
      </c>
      <c r="F183" s="5" t="str">
        <f t="shared" si="10"/>
        <v>Valid Number</v>
      </c>
      <c r="G183" s="5" t="str">
        <f t="shared" si="11"/>
        <v>Data Present</v>
      </c>
      <c r="H183" s="10">
        <f>IFERROR(B183/'Raw Data'!A184,"Error: Div by Zero")</f>
        <v>604.12871888281722</v>
      </c>
    </row>
    <row r="184" spans="1:8" x14ac:dyDescent="0.25">
      <c r="A184" s="5">
        <v>182</v>
      </c>
      <c r="B184" s="5">
        <f>'Raw Data'!N185</f>
        <v>36.200000000000003</v>
      </c>
      <c r="C184" s="5">
        <f>'Raw Data'!I185</f>
        <v>3</v>
      </c>
      <c r="D184" s="5" t="str">
        <f t="shared" si="8"/>
        <v>Very Low Access</v>
      </c>
      <c r="E184" s="5" t="str">
        <f t="shared" si="9"/>
        <v>$35-45k</v>
      </c>
      <c r="F184" s="5" t="str">
        <f t="shared" si="10"/>
        <v>Valid Number</v>
      </c>
      <c r="G184" s="5" t="str">
        <f t="shared" si="11"/>
        <v>Data Present</v>
      </c>
      <c r="H184" s="10">
        <f>IFERROR(B184/'Raw Data'!A185,"Error: Div by Zero")</f>
        <v>525.55168408826955</v>
      </c>
    </row>
    <row r="185" spans="1:8" x14ac:dyDescent="0.25">
      <c r="A185" s="5">
        <v>183</v>
      </c>
      <c r="B185" s="5">
        <f>'Raw Data'!N186</f>
        <v>37.9</v>
      </c>
      <c r="C185" s="5">
        <f>'Raw Data'!I186</f>
        <v>3</v>
      </c>
      <c r="D185" s="5" t="str">
        <f t="shared" si="8"/>
        <v>Very Low Access</v>
      </c>
      <c r="E185" s="5" t="str">
        <f t="shared" si="9"/>
        <v>$35-45k</v>
      </c>
      <c r="F185" s="5" t="str">
        <f t="shared" si="10"/>
        <v>Valid Number</v>
      </c>
      <c r="G185" s="5" t="str">
        <f t="shared" si="11"/>
        <v>Data Present</v>
      </c>
      <c r="H185" s="10">
        <f>IFERROR(B185/'Raw Data'!A186,"Error: Div by Zero")</f>
        <v>416.34625947489837</v>
      </c>
    </row>
    <row r="186" spans="1:8" x14ac:dyDescent="0.25">
      <c r="A186" s="5">
        <v>184</v>
      </c>
      <c r="B186" s="5">
        <f>'Raw Data'!N187</f>
        <v>32.5</v>
      </c>
      <c r="C186" s="5">
        <f>'Raw Data'!I187</f>
        <v>3</v>
      </c>
      <c r="D186" s="5" t="str">
        <f t="shared" si="8"/>
        <v>Very Low Access</v>
      </c>
      <c r="E186" s="5" t="str">
        <f t="shared" si="9"/>
        <v>$25-35k</v>
      </c>
      <c r="F186" s="5" t="str">
        <f t="shared" si="10"/>
        <v>Valid Number</v>
      </c>
      <c r="G186" s="5" t="str">
        <f t="shared" si="11"/>
        <v>Data Present</v>
      </c>
      <c r="H186" s="10">
        <f>IFERROR(B186/'Raw Data'!A187,"Error: Div by Zero")</f>
        <v>324.740207833733</v>
      </c>
    </row>
    <row r="187" spans="1:8" x14ac:dyDescent="0.25">
      <c r="A187" s="5">
        <v>185</v>
      </c>
      <c r="B187" s="5">
        <f>'Raw Data'!N188</f>
        <v>26.4</v>
      </c>
      <c r="C187" s="5">
        <f>'Raw Data'!I188</f>
        <v>3</v>
      </c>
      <c r="D187" s="5" t="str">
        <f t="shared" si="8"/>
        <v>Very Low Access</v>
      </c>
      <c r="E187" s="5" t="str">
        <f t="shared" si="9"/>
        <v>$25-35k</v>
      </c>
      <c r="F187" s="5" t="str">
        <f t="shared" si="10"/>
        <v>Valid Number</v>
      </c>
      <c r="G187" s="5" t="str">
        <f t="shared" si="11"/>
        <v>Data Present</v>
      </c>
      <c r="H187" s="10">
        <f>IFERROR(B187/'Raw Data'!A188,"Error: Div by Zero")</f>
        <v>317.76600866634567</v>
      </c>
    </row>
    <row r="188" spans="1:8" x14ac:dyDescent="0.25">
      <c r="A188" s="5">
        <v>186</v>
      </c>
      <c r="B188" s="5">
        <f>'Raw Data'!N189</f>
        <v>29.6</v>
      </c>
      <c r="C188" s="5">
        <f>'Raw Data'!I189</f>
        <v>3</v>
      </c>
      <c r="D188" s="5" t="str">
        <f t="shared" si="8"/>
        <v>Very Low Access</v>
      </c>
      <c r="E188" s="5" t="str">
        <f t="shared" si="9"/>
        <v>$25-35k</v>
      </c>
      <c r="F188" s="5" t="str">
        <f t="shared" si="10"/>
        <v>Valid Number</v>
      </c>
      <c r="G188" s="5" t="str">
        <f t="shared" si="11"/>
        <v>Data Present</v>
      </c>
      <c r="H188" s="10">
        <f>IFERROR(B188/'Raw Data'!A189,"Error: Div by Zero")</f>
        <v>489.4989250868199</v>
      </c>
    </row>
    <row r="189" spans="1:8" x14ac:dyDescent="0.25">
      <c r="A189" s="5">
        <v>187</v>
      </c>
      <c r="B189" s="5">
        <f>'Raw Data'!N190</f>
        <v>50</v>
      </c>
      <c r="C189" s="5">
        <f>'Raw Data'!I190</f>
        <v>3</v>
      </c>
      <c r="D189" s="5" t="str">
        <f t="shared" si="8"/>
        <v>Very Low Access</v>
      </c>
      <c r="E189" s="5" t="str">
        <f t="shared" si="9"/>
        <v>Over $45k</v>
      </c>
      <c r="F189" s="5" t="str">
        <f t="shared" si="10"/>
        <v>Valid Number</v>
      </c>
      <c r="G189" s="5" t="str">
        <f t="shared" si="11"/>
        <v>Data Present</v>
      </c>
      <c r="H189" s="10">
        <f>IFERROR(B189/'Raw Data'!A190,"Error: Div by Zero")</f>
        <v>892.53837915030351</v>
      </c>
    </row>
    <row r="190" spans="1:8" x14ac:dyDescent="0.25">
      <c r="A190" s="5">
        <v>188</v>
      </c>
      <c r="B190" s="5">
        <f>'Raw Data'!N191</f>
        <v>32</v>
      </c>
      <c r="C190" s="5">
        <f>'Raw Data'!I191</f>
        <v>5</v>
      </c>
      <c r="D190" s="5" t="str">
        <f t="shared" si="8"/>
        <v>Low Access</v>
      </c>
      <c r="E190" s="5" t="str">
        <f t="shared" si="9"/>
        <v>$25-35k</v>
      </c>
      <c r="F190" s="5" t="str">
        <f t="shared" si="10"/>
        <v>Valid Number</v>
      </c>
      <c r="G190" s="5" t="str">
        <f t="shared" si="11"/>
        <v>Data Present</v>
      </c>
      <c r="H190" s="10">
        <f>IFERROR(B190/'Raw Data'!A191,"Error: Div by Zero")</f>
        <v>406.34920634920633</v>
      </c>
    </row>
    <row r="191" spans="1:8" x14ac:dyDescent="0.25">
      <c r="A191" s="5">
        <v>189</v>
      </c>
      <c r="B191" s="5">
        <f>'Raw Data'!N192</f>
        <v>29.8</v>
      </c>
      <c r="C191" s="5">
        <f>'Raw Data'!I192</f>
        <v>5</v>
      </c>
      <c r="D191" s="5" t="str">
        <f t="shared" si="8"/>
        <v>Low Access</v>
      </c>
      <c r="E191" s="5" t="str">
        <f t="shared" si="9"/>
        <v>$25-35k</v>
      </c>
      <c r="F191" s="5" t="str">
        <f t="shared" si="10"/>
        <v>Valid Number</v>
      </c>
      <c r="G191" s="5" t="str">
        <f t="shared" si="11"/>
        <v>Data Present</v>
      </c>
      <c r="H191" s="10">
        <f>IFERROR(B191/'Raw Data'!A192,"Error: Div by Zero")</f>
        <v>236.9027744653788</v>
      </c>
    </row>
    <row r="192" spans="1:8" x14ac:dyDescent="0.25">
      <c r="A192" s="5">
        <v>190</v>
      </c>
      <c r="B192" s="5">
        <f>'Raw Data'!N193</f>
        <v>34.9</v>
      </c>
      <c r="C192" s="5">
        <f>'Raw Data'!I193</f>
        <v>5</v>
      </c>
      <c r="D192" s="5" t="str">
        <f t="shared" si="8"/>
        <v>Low Access</v>
      </c>
      <c r="E192" s="5" t="str">
        <f t="shared" si="9"/>
        <v>$25-35k</v>
      </c>
      <c r="F192" s="5" t="str">
        <f t="shared" si="10"/>
        <v>Valid Number</v>
      </c>
      <c r="G192" s="5" t="str">
        <f t="shared" si="11"/>
        <v>Data Present</v>
      </c>
      <c r="H192" s="10">
        <f>IFERROR(B192/'Raw Data'!A193,"Error: Div by Zero")</f>
        <v>416.96535244922342</v>
      </c>
    </row>
    <row r="193" spans="1:8" x14ac:dyDescent="0.25">
      <c r="A193" s="5">
        <v>191</v>
      </c>
      <c r="B193" s="5">
        <f>'Raw Data'!N194</f>
        <v>37</v>
      </c>
      <c r="C193" s="5">
        <f>'Raw Data'!I194</f>
        <v>5</v>
      </c>
      <c r="D193" s="5" t="str">
        <f t="shared" si="8"/>
        <v>Low Access</v>
      </c>
      <c r="E193" s="5" t="str">
        <f t="shared" si="9"/>
        <v>$35-45k</v>
      </c>
      <c r="F193" s="5" t="str">
        <f t="shared" si="10"/>
        <v>Valid Number</v>
      </c>
      <c r="G193" s="5" t="str">
        <f t="shared" si="11"/>
        <v>Data Present</v>
      </c>
      <c r="H193" s="10">
        <f>IFERROR(B193/'Raw Data'!A194,"Error: Div by Zero")</f>
        <v>408.02823114247906</v>
      </c>
    </row>
    <row r="194" spans="1:8" x14ac:dyDescent="0.25">
      <c r="A194" s="5">
        <v>192</v>
      </c>
      <c r="B194" s="5">
        <f>'Raw Data'!N195</f>
        <v>30.5</v>
      </c>
      <c r="C194" s="5">
        <f>'Raw Data'!I195</f>
        <v>5</v>
      </c>
      <c r="D194" s="5" t="str">
        <f t="shared" si="8"/>
        <v>Low Access</v>
      </c>
      <c r="E194" s="5" t="str">
        <f t="shared" si="9"/>
        <v>$25-35k</v>
      </c>
      <c r="F194" s="5" t="str">
        <f t="shared" si="10"/>
        <v>Valid Number</v>
      </c>
      <c r="G194" s="5" t="str">
        <f t="shared" si="11"/>
        <v>Data Present</v>
      </c>
      <c r="H194" s="10">
        <f>IFERROR(B194/'Raw Data'!A195,"Error: Div by Zero")</f>
        <v>441.32542323831569</v>
      </c>
    </row>
    <row r="195" spans="1:8" x14ac:dyDescent="0.25">
      <c r="A195" s="5">
        <v>193</v>
      </c>
      <c r="B195" s="5">
        <f>'Raw Data'!N196</f>
        <v>36.4</v>
      </c>
      <c r="C195" s="5">
        <f>'Raw Data'!I196</f>
        <v>5</v>
      </c>
      <c r="D195" s="5" t="str">
        <f t="shared" si="8"/>
        <v>Low Access</v>
      </c>
      <c r="E195" s="5" t="str">
        <f t="shared" si="9"/>
        <v>$35-45k</v>
      </c>
      <c r="F195" s="5" t="str">
        <f t="shared" si="10"/>
        <v>Valid Number</v>
      </c>
      <c r="G195" s="5" t="str">
        <f t="shared" si="11"/>
        <v>Data Present</v>
      </c>
      <c r="H195" s="10">
        <f>IFERROR(B195/'Raw Data'!A196,"Error: Div by Zero")</f>
        <v>420.12927054478303</v>
      </c>
    </row>
    <row r="196" spans="1:8" x14ac:dyDescent="0.25">
      <c r="A196" s="5">
        <v>194</v>
      </c>
      <c r="B196" s="5">
        <f>'Raw Data'!N197</f>
        <v>31.1</v>
      </c>
      <c r="C196" s="5">
        <f>'Raw Data'!I197</f>
        <v>1</v>
      </c>
      <c r="D196" s="5" t="str">
        <f t="shared" ref="D196:D259" si="12">CHOOSE(MIN(5,MAX(1,INT(C196/5)+1)),"Very Low Access","Low Access","Medium Access","High Access","Very High Access")</f>
        <v>Very Low Access</v>
      </c>
      <c r="E196" s="5" t="str">
        <f t="shared" ref="E196:E259" si="13">IF(B196&lt;15,"Under $15k",IF(B196&lt;25,"$15-25k",IF(B196&lt;35,"$25-35k",IF(B196&lt;45,"$35-45k","Over $45k"))))</f>
        <v>$25-35k</v>
      </c>
      <c r="F196" s="5" t="str">
        <f t="shared" ref="F196:F259" si="14">IF(ISNUMBER(B196),"Valid Number","Not a Number")</f>
        <v>Valid Number</v>
      </c>
      <c r="G196" s="5" t="str">
        <f t="shared" ref="G196:G259" si="15">IF(ISBLANK(B196),"Missing","Data Present")</f>
        <v>Data Present</v>
      </c>
      <c r="H196" s="10">
        <f>IFERROR(B196/'Raw Data'!A197,"Error: Div by Zero")</f>
        <v>1422.0393232738911</v>
      </c>
    </row>
    <row r="197" spans="1:8" x14ac:dyDescent="0.25">
      <c r="A197" s="5">
        <v>195</v>
      </c>
      <c r="B197" s="5">
        <f>'Raw Data'!N198</f>
        <v>29.1</v>
      </c>
      <c r="C197" s="5">
        <f>'Raw Data'!I198</f>
        <v>1</v>
      </c>
      <c r="D197" s="5" t="str">
        <f t="shared" si="12"/>
        <v>Very Low Access</v>
      </c>
      <c r="E197" s="5" t="str">
        <f t="shared" si="13"/>
        <v>$25-35k</v>
      </c>
      <c r="F197" s="5" t="str">
        <f t="shared" si="14"/>
        <v>Valid Number</v>
      </c>
      <c r="G197" s="5" t="str">
        <f t="shared" si="15"/>
        <v>Data Present</v>
      </c>
      <c r="H197" s="10">
        <f>IFERROR(B197/'Raw Data'!A198,"Error: Div by Zero")</f>
        <v>2022.2376650451704</v>
      </c>
    </row>
    <row r="198" spans="1:8" x14ac:dyDescent="0.25">
      <c r="A198" s="5">
        <v>196</v>
      </c>
      <c r="B198" s="5">
        <f>'Raw Data'!N199</f>
        <v>50</v>
      </c>
      <c r="C198" s="5">
        <f>'Raw Data'!I199</f>
        <v>4</v>
      </c>
      <c r="D198" s="5" t="str">
        <f t="shared" si="12"/>
        <v>Very Low Access</v>
      </c>
      <c r="E198" s="5" t="str">
        <f t="shared" si="13"/>
        <v>Over $45k</v>
      </c>
      <c r="F198" s="5" t="str">
        <f t="shared" si="14"/>
        <v>Valid Number</v>
      </c>
      <c r="G198" s="5" t="str">
        <f t="shared" si="15"/>
        <v>Data Present</v>
      </c>
      <c r="H198" s="10">
        <f>IFERROR(B198/'Raw Data'!A199,"Error: Div by Zero")</f>
        <v>3620.5648081100653</v>
      </c>
    </row>
    <row r="199" spans="1:8" x14ac:dyDescent="0.25">
      <c r="A199" s="5">
        <v>197</v>
      </c>
      <c r="B199" s="5">
        <f>'Raw Data'!N200</f>
        <v>33.299999999999997</v>
      </c>
      <c r="C199" s="5">
        <f>'Raw Data'!I200</f>
        <v>2</v>
      </c>
      <c r="D199" s="5" t="str">
        <f t="shared" si="12"/>
        <v>Very Low Access</v>
      </c>
      <c r="E199" s="5" t="str">
        <f t="shared" si="13"/>
        <v>$25-35k</v>
      </c>
      <c r="F199" s="5" t="str">
        <f t="shared" si="14"/>
        <v>Valid Number</v>
      </c>
      <c r="G199" s="5" t="str">
        <f t="shared" si="15"/>
        <v>Data Present</v>
      </c>
      <c r="H199" s="10">
        <f>IFERROR(B199/'Raw Data'!A200,"Error: Div by Zero")</f>
        <v>830.21690351533277</v>
      </c>
    </row>
    <row r="200" spans="1:8" x14ac:dyDescent="0.25">
      <c r="A200" s="5">
        <v>198</v>
      </c>
      <c r="B200" s="5">
        <f>'Raw Data'!N201</f>
        <v>30.3</v>
      </c>
      <c r="C200" s="5">
        <f>'Raw Data'!I201</f>
        <v>2</v>
      </c>
      <c r="D200" s="5" t="str">
        <f t="shared" si="12"/>
        <v>Very Low Access</v>
      </c>
      <c r="E200" s="5" t="str">
        <f t="shared" si="13"/>
        <v>$25-35k</v>
      </c>
      <c r="F200" s="5" t="str">
        <f t="shared" si="14"/>
        <v>Valid Number</v>
      </c>
      <c r="G200" s="5" t="str">
        <f t="shared" si="15"/>
        <v>Data Present</v>
      </c>
      <c r="H200" s="10">
        <f>IFERROR(B200/'Raw Data'!A201,"Error: Div by Zero")</f>
        <v>649.37848264037723</v>
      </c>
    </row>
    <row r="201" spans="1:8" x14ac:dyDescent="0.25">
      <c r="A201" s="5">
        <v>199</v>
      </c>
      <c r="B201" s="5">
        <f>'Raw Data'!N202</f>
        <v>34.6</v>
      </c>
      <c r="C201" s="5">
        <f>'Raw Data'!I202</f>
        <v>2</v>
      </c>
      <c r="D201" s="5" t="str">
        <f t="shared" si="12"/>
        <v>Very Low Access</v>
      </c>
      <c r="E201" s="5" t="str">
        <f t="shared" si="13"/>
        <v>$25-35k</v>
      </c>
      <c r="F201" s="5" t="str">
        <f t="shared" si="14"/>
        <v>Valid Number</v>
      </c>
      <c r="G201" s="5" t="str">
        <f t="shared" si="15"/>
        <v>Data Present</v>
      </c>
      <c r="H201" s="10">
        <f>IFERROR(B201/'Raw Data'!A202,"Error: Div by Zero")</f>
        <v>918.25902335456487</v>
      </c>
    </row>
    <row r="202" spans="1:8" x14ac:dyDescent="0.25">
      <c r="A202" s="5">
        <v>200</v>
      </c>
      <c r="B202" s="5">
        <f>'Raw Data'!N203</f>
        <v>34.9</v>
      </c>
      <c r="C202" s="5">
        <f>'Raw Data'!I203</f>
        <v>3</v>
      </c>
      <c r="D202" s="5" t="str">
        <f t="shared" si="12"/>
        <v>Very Low Access</v>
      </c>
      <c r="E202" s="5" t="str">
        <f t="shared" si="13"/>
        <v>$25-35k</v>
      </c>
      <c r="F202" s="5" t="str">
        <f t="shared" si="14"/>
        <v>Valid Number</v>
      </c>
      <c r="G202" s="5" t="str">
        <f t="shared" si="15"/>
        <v>Data Present</v>
      </c>
      <c r="H202" s="10">
        <f>IFERROR(B202/'Raw Data'!A203,"Error: Div by Zero")</f>
        <v>1107.936507936508</v>
      </c>
    </row>
    <row r="203" spans="1:8" x14ac:dyDescent="0.25">
      <c r="A203" s="5">
        <v>201</v>
      </c>
      <c r="B203" s="5">
        <f>'Raw Data'!N204</f>
        <v>32.9</v>
      </c>
      <c r="C203" s="5">
        <f>'Raw Data'!I204</f>
        <v>3</v>
      </c>
      <c r="D203" s="5" t="str">
        <f t="shared" si="12"/>
        <v>Very Low Access</v>
      </c>
      <c r="E203" s="5" t="str">
        <f t="shared" si="13"/>
        <v>$25-35k</v>
      </c>
      <c r="F203" s="5" t="str">
        <f t="shared" si="14"/>
        <v>Valid Number</v>
      </c>
      <c r="G203" s="5" t="str">
        <f t="shared" si="15"/>
        <v>Data Present</v>
      </c>
      <c r="H203" s="10">
        <f>IFERROR(B203/'Raw Data'!A204,"Error: Div by Zero")</f>
        <v>1850.3937007874015</v>
      </c>
    </row>
    <row r="204" spans="1:8" x14ac:dyDescent="0.25">
      <c r="A204" s="5">
        <v>202</v>
      </c>
      <c r="B204" s="5">
        <f>'Raw Data'!N205</f>
        <v>24.1</v>
      </c>
      <c r="C204" s="5">
        <f>'Raw Data'!I205</f>
        <v>2</v>
      </c>
      <c r="D204" s="5" t="str">
        <f t="shared" si="12"/>
        <v>Very Low Access</v>
      </c>
      <c r="E204" s="5" t="str">
        <f t="shared" si="13"/>
        <v>$15-25k</v>
      </c>
      <c r="F204" s="5" t="str">
        <f t="shared" si="14"/>
        <v>Valid Number</v>
      </c>
      <c r="G204" s="5" t="str">
        <f t="shared" si="15"/>
        <v>Data Present</v>
      </c>
      <c r="H204" s="10">
        <f>IFERROR(B204/'Raw Data'!A205,"Error: Div by Zero")</f>
        <v>699.56458635703916</v>
      </c>
    </row>
    <row r="205" spans="1:8" x14ac:dyDescent="0.25">
      <c r="A205" s="5">
        <v>203</v>
      </c>
      <c r="B205" s="5">
        <f>'Raw Data'!N206</f>
        <v>42.3</v>
      </c>
      <c r="C205" s="5">
        <f>'Raw Data'!I206</f>
        <v>2</v>
      </c>
      <c r="D205" s="5" t="str">
        <f t="shared" si="12"/>
        <v>Very Low Access</v>
      </c>
      <c r="E205" s="5" t="str">
        <f t="shared" si="13"/>
        <v>$35-45k</v>
      </c>
      <c r="F205" s="5" t="str">
        <f t="shared" si="14"/>
        <v>Valid Number</v>
      </c>
      <c r="G205" s="5" t="str">
        <f t="shared" si="15"/>
        <v>Data Present</v>
      </c>
      <c r="H205" s="10">
        <f>IFERROR(B205/'Raw Data'!A206,"Error: Div by Zero")</f>
        <v>1943.040881947634</v>
      </c>
    </row>
    <row r="206" spans="1:8" x14ac:dyDescent="0.25">
      <c r="A206" s="5">
        <v>204</v>
      </c>
      <c r="B206" s="5">
        <f>'Raw Data'!N207</f>
        <v>48.5</v>
      </c>
      <c r="C206" s="5">
        <f>'Raw Data'!I207</f>
        <v>4</v>
      </c>
      <c r="D206" s="5" t="str">
        <f t="shared" si="12"/>
        <v>Very Low Access</v>
      </c>
      <c r="E206" s="5" t="str">
        <f t="shared" si="13"/>
        <v>Over $45k</v>
      </c>
      <c r="F206" s="5" t="str">
        <f t="shared" si="14"/>
        <v>Valid Number</v>
      </c>
      <c r="G206" s="5" t="str">
        <f t="shared" si="15"/>
        <v>Data Present</v>
      </c>
      <c r="H206" s="10">
        <f>IFERROR(B206/'Raw Data'!A207,"Error: Div by Zero")</f>
        <v>1381.7663817663818</v>
      </c>
    </row>
    <row r="207" spans="1:8" x14ac:dyDescent="0.25">
      <c r="A207" s="5">
        <v>205</v>
      </c>
      <c r="B207" s="5">
        <f>'Raw Data'!N208</f>
        <v>50</v>
      </c>
      <c r="C207" s="5">
        <f>'Raw Data'!I208</f>
        <v>4</v>
      </c>
      <c r="D207" s="5" t="str">
        <f t="shared" si="12"/>
        <v>Very Low Access</v>
      </c>
      <c r="E207" s="5" t="str">
        <f t="shared" si="13"/>
        <v>Over $45k</v>
      </c>
      <c r="F207" s="5" t="str">
        <f t="shared" si="14"/>
        <v>Valid Number</v>
      </c>
      <c r="G207" s="5" t="str">
        <f t="shared" si="15"/>
        <v>Data Present</v>
      </c>
      <c r="H207" s="10">
        <f>IFERROR(B207/'Raw Data'!A208,"Error: Div by Zero")</f>
        <v>2488.8003982080636</v>
      </c>
    </row>
    <row r="208" spans="1:8" x14ac:dyDescent="0.25">
      <c r="A208" s="5">
        <v>206</v>
      </c>
      <c r="B208" s="5">
        <f>'Raw Data'!N209</f>
        <v>22.6</v>
      </c>
      <c r="C208" s="5">
        <f>'Raw Data'!I209</f>
        <v>4</v>
      </c>
      <c r="D208" s="5" t="str">
        <f t="shared" si="12"/>
        <v>Very Low Access</v>
      </c>
      <c r="E208" s="5" t="str">
        <f t="shared" si="13"/>
        <v>$15-25k</v>
      </c>
      <c r="F208" s="5" t="str">
        <f t="shared" si="14"/>
        <v>Valid Number</v>
      </c>
      <c r="G208" s="5" t="str">
        <f t="shared" si="15"/>
        <v>Data Present</v>
      </c>
      <c r="H208" s="10">
        <f>IFERROR(B208/'Raw Data'!A209,"Error: Div by Zero")</f>
        <v>165.66485852514293</v>
      </c>
    </row>
    <row r="209" spans="1:8" x14ac:dyDescent="0.25">
      <c r="A209" s="5">
        <v>207</v>
      </c>
      <c r="B209" s="5">
        <f>'Raw Data'!N210</f>
        <v>24.4</v>
      </c>
      <c r="C209" s="5">
        <f>'Raw Data'!I210</f>
        <v>4</v>
      </c>
      <c r="D209" s="5" t="str">
        <f t="shared" si="12"/>
        <v>Very Low Access</v>
      </c>
      <c r="E209" s="5" t="str">
        <f t="shared" si="13"/>
        <v>$15-25k</v>
      </c>
      <c r="F209" s="5" t="str">
        <f t="shared" si="14"/>
        <v>Valid Number</v>
      </c>
      <c r="G209" s="5" t="str">
        <f t="shared" si="15"/>
        <v>Data Present</v>
      </c>
      <c r="H209" s="10">
        <f>IFERROR(B209/'Raw Data'!A210,"Error: Div by Zero")</f>
        <v>106.23013627062562</v>
      </c>
    </row>
    <row r="210" spans="1:8" x14ac:dyDescent="0.25">
      <c r="A210" s="5">
        <v>208</v>
      </c>
      <c r="B210" s="5">
        <f>'Raw Data'!N211</f>
        <v>22.5</v>
      </c>
      <c r="C210" s="5">
        <f>'Raw Data'!I211</f>
        <v>4</v>
      </c>
      <c r="D210" s="5" t="str">
        <f t="shared" si="12"/>
        <v>Very Low Access</v>
      </c>
      <c r="E210" s="5" t="str">
        <f t="shared" si="13"/>
        <v>$15-25k</v>
      </c>
      <c r="F210" s="5" t="str">
        <f t="shared" si="14"/>
        <v>Valid Number</v>
      </c>
      <c r="G210" s="5" t="str">
        <f t="shared" si="15"/>
        <v>Data Present</v>
      </c>
      <c r="H210" s="10">
        <f>IFERROR(B210/'Raw Data'!A211,"Error: Div by Zero")</f>
        <v>89.289257510218661</v>
      </c>
    </row>
    <row r="211" spans="1:8" x14ac:dyDescent="0.25">
      <c r="A211" s="5">
        <v>209</v>
      </c>
      <c r="B211" s="5">
        <f>'Raw Data'!N212</f>
        <v>24.4</v>
      </c>
      <c r="C211" s="5">
        <f>'Raw Data'!I212</f>
        <v>4</v>
      </c>
      <c r="D211" s="5" t="str">
        <f t="shared" si="12"/>
        <v>Very Low Access</v>
      </c>
      <c r="E211" s="5" t="str">
        <f t="shared" si="13"/>
        <v>$15-25k</v>
      </c>
      <c r="F211" s="5" t="str">
        <f t="shared" si="14"/>
        <v>Valid Number</v>
      </c>
      <c r="G211" s="5" t="str">
        <f t="shared" si="15"/>
        <v>Data Present</v>
      </c>
      <c r="H211" s="10">
        <f>IFERROR(B211/'Raw Data'!A212,"Error: Div by Zero")</f>
        <v>179.58342533303895</v>
      </c>
    </row>
    <row r="212" spans="1:8" x14ac:dyDescent="0.25">
      <c r="A212" s="5">
        <v>210</v>
      </c>
      <c r="B212" s="5">
        <f>'Raw Data'!N213</f>
        <v>20</v>
      </c>
      <c r="C212" s="5">
        <f>'Raw Data'!I213</f>
        <v>4</v>
      </c>
      <c r="D212" s="5" t="str">
        <f t="shared" si="12"/>
        <v>Very Low Access</v>
      </c>
      <c r="E212" s="5" t="str">
        <f t="shared" si="13"/>
        <v>$15-25k</v>
      </c>
      <c r="F212" s="5" t="str">
        <f t="shared" si="14"/>
        <v>Valid Number</v>
      </c>
      <c r="G212" s="5" t="str">
        <f t="shared" si="15"/>
        <v>Data Present</v>
      </c>
      <c r="H212" s="10">
        <f>IFERROR(B212/'Raw Data'!A213,"Error: Div by Zero")</f>
        <v>45.902090840237776</v>
      </c>
    </row>
    <row r="213" spans="1:8" x14ac:dyDescent="0.25">
      <c r="A213" s="5">
        <v>211</v>
      </c>
      <c r="B213" s="5">
        <f>'Raw Data'!N214</f>
        <v>21.7</v>
      </c>
      <c r="C213" s="5">
        <f>'Raw Data'!I214</f>
        <v>4</v>
      </c>
      <c r="D213" s="5" t="str">
        <f t="shared" si="12"/>
        <v>Very Low Access</v>
      </c>
      <c r="E213" s="5" t="str">
        <f t="shared" si="13"/>
        <v>$15-25k</v>
      </c>
      <c r="F213" s="5" t="str">
        <f t="shared" si="14"/>
        <v>Valid Number</v>
      </c>
      <c r="G213" s="5" t="str">
        <f t="shared" si="15"/>
        <v>Data Present</v>
      </c>
      <c r="H213" s="10">
        <f>IFERROR(B213/'Raw Data'!A214,"Error: Div by Zero")</f>
        <v>124.38381290840306</v>
      </c>
    </row>
    <row r="214" spans="1:8" x14ac:dyDescent="0.25">
      <c r="A214" s="5">
        <v>212</v>
      </c>
      <c r="B214" s="5">
        <f>'Raw Data'!N215</f>
        <v>19.3</v>
      </c>
      <c r="C214" s="5">
        <f>'Raw Data'!I215</f>
        <v>4</v>
      </c>
      <c r="D214" s="5" t="str">
        <f t="shared" si="12"/>
        <v>Very Low Access</v>
      </c>
      <c r="E214" s="5" t="str">
        <f t="shared" si="13"/>
        <v>$15-25k</v>
      </c>
      <c r="F214" s="5" t="str">
        <f t="shared" si="14"/>
        <v>Valid Number</v>
      </c>
      <c r="G214" s="5" t="str">
        <f t="shared" si="15"/>
        <v>Data Present</v>
      </c>
      <c r="H214" s="10">
        <f>IFERROR(B214/'Raw Data'!A215,"Error: Div by Zero")</f>
        <v>51.359838203204006</v>
      </c>
    </row>
    <row r="215" spans="1:8" x14ac:dyDescent="0.25">
      <c r="A215" s="5">
        <v>213</v>
      </c>
      <c r="B215" s="5">
        <f>'Raw Data'!N216</f>
        <v>22.4</v>
      </c>
      <c r="C215" s="5">
        <f>'Raw Data'!I216</f>
        <v>4</v>
      </c>
      <c r="D215" s="5" t="str">
        <f t="shared" si="12"/>
        <v>Very Low Access</v>
      </c>
      <c r="E215" s="5" t="str">
        <f t="shared" si="13"/>
        <v>$15-25k</v>
      </c>
      <c r="F215" s="5" t="str">
        <f t="shared" si="14"/>
        <v>Valid Number</v>
      </c>
      <c r="G215" s="5" t="str">
        <f t="shared" si="15"/>
        <v>Data Present</v>
      </c>
      <c r="H215" s="10">
        <f>IFERROR(B215/'Raw Data'!A216,"Error: Div by Zero")</f>
        <v>103.13550347621897</v>
      </c>
    </row>
    <row r="216" spans="1:8" x14ac:dyDescent="0.25">
      <c r="A216" s="5">
        <v>214</v>
      </c>
      <c r="B216" s="5">
        <f>'Raw Data'!N217</f>
        <v>28.1</v>
      </c>
      <c r="C216" s="5">
        <f>'Raw Data'!I217</f>
        <v>4</v>
      </c>
      <c r="D216" s="5" t="str">
        <f t="shared" si="12"/>
        <v>Very Low Access</v>
      </c>
      <c r="E216" s="5" t="str">
        <f t="shared" si="13"/>
        <v>$25-35k</v>
      </c>
      <c r="F216" s="5" t="str">
        <f t="shared" si="14"/>
        <v>Valid Number</v>
      </c>
      <c r="G216" s="5" t="str">
        <f t="shared" si="15"/>
        <v>Data Present</v>
      </c>
      <c r="H216" s="10">
        <f>IFERROR(B216/'Raw Data'!A217,"Error: Div by Zero")</f>
        <v>199.97153430116708</v>
      </c>
    </row>
    <row r="217" spans="1:8" x14ac:dyDescent="0.25">
      <c r="A217" s="5">
        <v>215</v>
      </c>
      <c r="B217" s="5">
        <f>'Raw Data'!N218</f>
        <v>23.7</v>
      </c>
      <c r="C217" s="5">
        <f>'Raw Data'!I218</f>
        <v>4</v>
      </c>
      <c r="D217" s="5" t="str">
        <f t="shared" si="12"/>
        <v>Very Low Access</v>
      </c>
      <c r="E217" s="5" t="str">
        <f t="shared" si="13"/>
        <v>$15-25k</v>
      </c>
      <c r="F217" s="5" t="str">
        <f t="shared" si="14"/>
        <v>Valid Number</v>
      </c>
      <c r="G217" s="5" t="str">
        <f t="shared" si="15"/>
        <v>Data Present</v>
      </c>
      <c r="H217" s="10">
        <f>IFERROR(B217/'Raw Data'!A218,"Error: Div by Zero")</f>
        <v>81.85114833362114</v>
      </c>
    </row>
    <row r="218" spans="1:8" x14ac:dyDescent="0.25">
      <c r="A218" s="5">
        <v>216</v>
      </c>
      <c r="B218" s="5">
        <f>'Raw Data'!N219</f>
        <v>25</v>
      </c>
      <c r="C218" s="5">
        <f>'Raw Data'!I219</f>
        <v>4</v>
      </c>
      <c r="D218" s="5" t="str">
        <f t="shared" si="12"/>
        <v>Very Low Access</v>
      </c>
      <c r="E218" s="5" t="str">
        <f t="shared" si="13"/>
        <v>$25-35k</v>
      </c>
      <c r="F218" s="5" t="str">
        <f t="shared" si="14"/>
        <v>Valid Number</v>
      </c>
      <c r="G218" s="5" t="str">
        <f t="shared" si="15"/>
        <v>Data Present</v>
      </c>
      <c r="H218" s="10">
        <f>IFERROR(B218/'Raw Data'!A219,"Error: Div by Zero")</f>
        <v>126.24987375012626</v>
      </c>
    </row>
    <row r="219" spans="1:8" x14ac:dyDescent="0.25">
      <c r="A219" s="5">
        <v>217</v>
      </c>
      <c r="B219" s="5">
        <f>'Raw Data'!N220</f>
        <v>23.3</v>
      </c>
      <c r="C219" s="5">
        <f>'Raw Data'!I220</f>
        <v>5</v>
      </c>
      <c r="D219" s="5" t="str">
        <f t="shared" si="12"/>
        <v>Low Access</v>
      </c>
      <c r="E219" s="5" t="str">
        <f t="shared" si="13"/>
        <v>$15-25k</v>
      </c>
      <c r="F219" s="5" t="str">
        <f t="shared" si="14"/>
        <v>Valid Number</v>
      </c>
      <c r="G219" s="5" t="str">
        <f t="shared" si="15"/>
        <v>Data Present</v>
      </c>
      <c r="H219" s="10">
        <f>IFERROR(B219/'Raw Data'!A220,"Error: Div by Zero")</f>
        <v>510.96491228070175</v>
      </c>
    </row>
    <row r="220" spans="1:8" x14ac:dyDescent="0.25">
      <c r="A220" s="5">
        <v>218</v>
      </c>
      <c r="B220" s="5">
        <f>'Raw Data'!N221</f>
        <v>28.7</v>
      </c>
      <c r="C220" s="5">
        <f>'Raw Data'!I221</f>
        <v>5</v>
      </c>
      <c r="D220" s="5" t="str">
        <f t="shared" si="12"/>
        <v>Low Access</v>
      </c>
      <c r="E220" s="5" t="str">
        <f t="shared" si="13"/>
        <v>$25-35k</v>
      </c>
      <c r="F220" s="5" t="str">
        <f t="shared" si="14"/>
        <v>Valid Number</v>
      </c>
      <c r="G220" s="5" t="str">
        <f t="shared" si="15"/>
        <v>Data Present</v>
      </c>
      <c r="H220" s="10">
        <f>IFERROR(B220/'Raw Data'!A221,"Error: Div by Zero")</f>
        <v>409.23998288892057</v>
      </c>
    </row>
    <row r="221" spans="1:8" x14ac:dyDescent="0.25">
      <c r="A221" s="5">
        <v>219</v>
      </c>
      <c r="B221" s="5">
        <f>'Raw Data'!N222</f>
        <v>21.5</v>
      </c>
      <c r="C221" s="5">
        <f>'Raw Data'!I222</f>
        <v>5</v>
      </c>
      <c r="D221" s="5" t="str">
        <f t="shared" si="12"/>
        <v>Low Access</v>
      </c>
      <c r="E221" s="5" t="str">
        <f t="shared" si="13"/>
        <v>$15-25k</v>
      </c>
      <c r="F221" s="5" t="str">
        <f t="shared" si="14"/>
        <v>Valid Number</v>
      </c>
      <c r="G221" s="5" t="str">
        <f t="shared" si="15"/>
        <v>Data Present</v>
      </c>
      <c r="H221" s="10">
        <f>IFERROR(B221/'Raw Data'!A222,"Error: Div by Zero")</f>
        <v>194.23615502755445</v>
      </c>
    </row>
    <row r="222" spans="1:8" x14ac:dyDescent="0.25">
      <c r="A222" s="5">
        <v>220</v>
      </c>
      <c r="B222" s="5">
        <f>'Raw Data'!N223</f>
        <v>23</v>
      </c>
      <c r="C222" s="5">
        <f>'Raw Data'!I223</f>
        <v>5</v>
      </c>
      <c r="D222" s="5" t="str">
        <f t="shared" si="12"/>
        <v>Low Access</v>
      </c>
      <c r="E222" s="5" t="str">
        <f t="shared" si="13"/>
        <v>$15-25k</v>
      </c>
      <c r="F222" s="5" t="str">
        <f t="shared" si="14"/>
        <v>Valid Number</v>
      </c>
      <c r="G222" s="5" t="str">
        <f t="shared" si="15"/>
        <v>Data Present</v>
      </c>
      <c r="H222" s="10">
        <f>IFERROR(B222/'Raw Data'!A223,"Error: Div by Zero")</f>
        <v>201.3129102844639</v>
      </c>
    </row>
    <row r="223" spans="1:8" x14ac:dyDescent="0.25">
      <c r="A223" s="5">
        <v>221</v>
      </c>
      <c r="B223" s="5">
        <f>'Raw Data'!N224</f>
        <v>26.7</v>
      </c>
      <c r="C223" s="5">
        <f>'Raw Data'!I224</f>
        <v>8</v>
      </c>
      <c r="D223" s="5" t="str">
        <f t="shared" si="12"/>
        <v>Low Access</v>
      </c>
      <c r="E223" s="5" t="str">
        <f t="shared" si="13"/>
        <v>$25-35k</v>
      </c>
      <c r="F223" s="5" t="str">
        <f t="shared" si="14"/>
        <v>Valid Number</v>
      </c>
      <c r="G223" s="5" t="str">
        <f t="shared" si="15"/>
        <v>Data Present</v>
      </c>
      <c r="H223" s="10">
        <f>IFERROR(B223/'Raw Data'!A224,"Error: Div by Zero")</f>
        <v>74.56226088413527</v>
      </c>
    </row>
    <row r="224" spans="1:8" x14ac:dyDescent="0.25">
      <c r="A224" s="5">
        <v>222</v>
      </c>
      <c r="B224" s="5">
        <f>'Raw Data'!N225</f>
        <v>21.7</v>
      </c>
      <c r="C224" s="5">
        <f>'Raw Data'!I225</f>
        <v>8</v>
      </c>
      <c r="D224" s="5" t="str">
        <f t="shared" si="12"/>
        <v>Low Access</v>
      </c>
      <c r="E224" s="5" t="str">
        <f t="shared" si="13"/>
        <v>$15-25k</v>
      </c>
      <c r="F224" s="5" t="str">
        <f t="shared" si="14"/>
        <v>Valid Number</v>
      </c>
      <c r="G224" s="5" t="str">
        <f t="shared" si="15"/>
        <v>Data Present</v>
      </c>
      <c r="H224" s="10">
        <f>IFERROR(B224/'Raw Data'!A225,"Error: Div by Zero")</f>
        <v>53.224105369012285</v>
      </c>
    </row>
    <row r="225" spans="1:8" x14ac:dyDescent="0.25">
      <c r="A225" s="5">
        <v>223</v>
      </c>
      <c r="B225" s="5">
        <f>'Raw Data'!N226</f>
        <v>27.5</v>
      </c>
      <c r="C225" s="5">
        <f>'Raw Data'!I226</f>
        <v>8</v>
      </c>
      <c r="D225" s="5" t="str">
        <f t="shared" si="12"/>
        <v>Low Access</v>
      </c>
      <c r="E225" s="5" t="str">
        <f t="shared" si="13"/>
        <v>$25-35k</v>
      </c>
      <c r="F225" s="5" t="str">
        <f t="shared" si="14"/>
        <v>Valid Number</v>
      </c>
      <c r="G225" s="5" t="str">
        <f t="shared" si="15"/>
        <v>Data Present</v>
      </c>
      <c r="H225" s="10">
        <f>IFERROR(B225/'Raw Data'!A226,"Error: Div by Zero")</f>
        <v>44.101610109692729</v>
      </c>
    </row>
    <row r="226" spans="1:8" x14ac:dyDescent="0.25">
      <c r="A226" s="5">
        <v>224</v>
      </c>
      <c r="B226" s="5">
        <f>'Raw Data'!N227</f>
        <v>30.1</v>
      </c>
      <c r="C226" s="5">
        <f>'Raw Data'!I227</f>
        <v>8</v>
      </c>
      <c r="D226" s="5" t="str">
        <f t="shared" si="12"/>
        <v>Low Access</v>
      </c>
      <c r="E226" s="5" t="str">
        <f t="shared" si="13"/>
        <v>$25-35k</v>
      </c>
      <c r="F226" s="5" t="str">
        <f t="shared" si="14"/>
        <v>Valid Number</v>
      </c>
      <c r="G226" s="5" t="str">
        <f t="shared" si="15"/>
        <v>Data Present</v>
      </c>
      <c r="H226" s="10">
        <f>IFERROR(B226/'Raw Data'!A227,"Error: Div by Zero")</f>
        <v>48.966975760533593</v>
      </c>
    </row>
    <row r="227" spans="1:8" x14ac:dyDescent="0.25">
      <c r="A227" s="5">
        <v>225</v>
      </c>
      <c r="B227" s="5">
        <f>'Raw Data'!N228</f>
        <v>44.8</v>
      </c>
      <c r="C227" s="5">
        <f>'Raw Data'!I228</f>
        <v>8</v>
      </c>
      <c r="D227" s="5" t="str">
        <f t="shared" si="12"/>
        <v>Low Access</v>
      </c>
      <c r="E227" s="5" t="str">
        <f t="shared" si="13"/>
        <v>$35-45k</v>
      </c>
      <c r="F227" s="5" t="str">
        <f t="shared" si="14"/>
        <v>Valid Number</v>
      </c>
      <c r="G227" s="5" t="str">
        <f t="shared" si="15"/>
        <v>Data Present</v>
      </c>
      <c r="H227" s="10">
        <f>IFERROR(B227/'Raw Data'!A228,"Error: Div by Zero")</f>
        <v>142.07338343957124</v>
      </c>
    </row>
    <row r="228" spans="1:8" x14ac:dyDescent="0.25">
      <c r="A228" s="5">
        <v>226</v>
      </c>
      <c r="B228" s="5">
        <f>'Raw Data'!N229</f>
        <v>50</v>
      </c>
      <c r="C228" s="5">
        <f>'Raw Data'!I229</f>
        <v>8</v>
      </c>
      <c r="D228" s="5" t="str">
        <f t="shared" si="12"/>
        <v>Low Access</v>
      </c>
      <c r="E228" s="5" t="str">
        <f t="shared" si="13"/>
        <v>Over $45k</v>
      </c>
      <c r="F228" s="5" t="str">
        <f t="shared" si="14"/>
        <v>Valid Number</v>
      </c>
      <c r="G228" s="5" t="str">
        <f t="shared" si="15"/>
        <v>Data Present</v>
      </c>
      <c r="H228" s="10">
        <f>IFERROR(B228/'Raw Data'!A229,"Error: Div by Zero")</f>
        <v>94.889264228645175</v>
      </c>
    </row>
    <row r="229" spans="1:8" x14ac:dyDescent="0.25">
      <c r="A229" s="5">
        <v>227</v>
      </c>
      <c r="B229" s="5">
        <f>'Raw Data'!N230</f>
        <v>37.6</v>
      </c>
      <c r="C229" s="5">
        <f>'Raw Data'!I230</f>
        <v>8</v>
      </c>
      <c r="D229" s="5" t="str">
        <f t="shared" si="12"/>
        <v>Low Access</v>
      </c>
      <c r="E229" s="5" t="str">
        <f t="shared" si="13"/>
        <v>$35-45k</v>
      </c>
      <c r="F229" s="5" t="str">
        <f t="shared" si="14"/>
        <v>Valid Number</v>
      </c>
      <c r="G229" s="5" t="str">
        <f t="shared" si="15"/>
        <v>Data Present</v>
      </c>
      <c r="H229" s="10">
        <f>IFERROR(B229/'Raw Data'!A230,"Error: Div by Zero")</f>
        <v>98.393259015020675</v>
      </c>
    </row>
    <row r="230" spans="1:8" x14ac:dyDescent="0.25">
      <c r="A230" s="5">
        <v>228</v>
      </c>
      <c r="B230" s="5">
        <f>'Raw Data'!N231</f>
        <v>31.6</v>
      </c>
      <c r="C230" s="5">
        <f>'Raw Data'!I231</f>
        <v>8</v>
      </c>
      <c r="D230" s="5" t="str">
        <f t="shared" si="12"/>
        <v>Low Access</v>
      </c>
      <c r="E230" s="5" t="str">
        <f t="shared" si="13"/>
        <v>$25-35k</v>
      </c>
      <c r="F230" s="5" t="str">
        <f t="shared" si="14"/>
        <v>Valid Number</v>
      </c>
      <c r="G230" s="5" t="str">
        <f t="shared" si="15"/>
        <v>Data Present</v>
      </c>
      <c r="H230" s="10">
        <f>IFERROR(B230/'Raw Data'!A231,"Error: Div by Zero")</f>
        <v>76.628352490421449</v>
      </c>
    </row>
    <row r="231" spans="1:8" x14ac:dyDescent="0.25">
      <c r="A231" s="5">
        <v>229</v>
      </c>
      <c r="B231" s="5">
        <f>'Raw Data'!N232</f>
        <v>46.7</v>
      </c>
      <c r="C231" s="5">
        <f>'Raw Data'!I232</f>
        <v>8</v>
      </c>
      <c r="D231" s="5" t="str">
        <f t="shared" si="12"/>
        <v>Low Access</v>
      </c>
      <c r="E231" s="5" t="str">
        <f t="shared" si="13"/>
        <v>Over $45k</v>
      </c>
      <c r="F231" s="5" t="str">
        <f t="shared" si="14"/>
        <v>Valid Number</v>
      </c>
      <c r="G231" s="5" t="str">
        <f t="shared" si="15"/>
        <v>Data Present</v>
      </c>
      <c r="H231" s="10">
        <f>IFERROR(B231/'Raw Data'!A232,"Error: Div by Zero")</f>
        <v>156.61155639022101</v>
      </c>
    </row>
    <row r="232" spans="1:8" x14ac:dyDescent="0.25">
      <c r="A232" s="5">
        <v>230</v>
      </c>
      <c r="B232" s="5">
        <f>'Raw Data'!N233</f>
        <v>31.5</v>
      </c>
      <c r="C232" s="5">
        <f>'Raw Data'!I233</f>
        <v>8</v>
      </c>
      <c r="D232" s="5" t="str">
        <f t="shared" si="12"/>
        <v>Low Access</v>
      </c>
      <c r="E232" s="5" t="str">
        <f t="shared" si="13"/>
        <v>$25-35k</v>
      </c>
      <c r="F232" s="5" t="str">
        <f t="shared" si="14"/>
        <v>Valid Number</v>
      </c>
      <c r="G232" s="5" t="str">
        <f t="shared" si="15"/>
        <v>Data Present</v>
      </c>
      <c r="H232" s="10">
        <f>IFERROR(B232/'Raw Data'!A233,"Error: Div by Zero")</f>
        <v>71.302458237131603</v>
      </c>
    </row>
    <row r="233" spans="1:8" x14ac:dyDescent="0.25">
      <c r="A233" s="5">
        <v>231</v>
      </c>
      <c r="B233" s="5">
        <f>'Raw Data'!N234</f>
        <v>24.3</v>
      </c>
      <c r="C233" s="5">
        <f>'Raw Data'!I234</f>
        <v>8</v>
      </c>
      <c r="D233" s="5" t="str">
        <f t="shared" si="12"/>
        <v>Low Access</v>
      </c>
      <c r="E233" s="5" t="str">
        <f t="shared" si="13"/>
        <v>$15-25k</v>
      </c>
      <c r="F233" s="5" t="str">
        <f t="shared" si="14"/>
        <v>Valid Number</v>
      </c>
      <c r="G233" s="5" t="str">
        <f t="shared" si="15"/>
        <v>Data Present</v>
      </c>
      <c r="H233" s="10">
        <f>IFERROR(B233/'Raw Data'!A234,"Error: Div by Zero")</f>
        <v>45.25139664804469</v>
      </c>
    </row>
    <row r="234" spans="1:8" x14ac:dyDescent="0.25">
      <c r="A234" s="5">
        <v>232</v>
      </c>
      <c r="B234" s="5">
        <f>'Raw Data'!N235</f>
        <v>31.7</v>
      </c>
      <c r="C234" s="5">
        <f>'Raw Data'!I235</f>
        <v>8</v>
      </c>
      <c r="D234" s="5" t="str">
        <f t="shared" si="12"/>
        <v>Low Access</v>
      </c>
      <c r="E234" s="5" t="str">
        <f t="shared" si="13"/>
        <v>$25-35k</v>
      </c>
      <c r="F234" s="5" t="str">
        <f t="shared" si="14"/>
        <v>Valid Number</v>
      </c>
      <c r="G234" s="5" t="str">
        <f t="shared" si="15"/>
        <v>Data Present</v>
      </c>
      <c r="H234" s="10">
        <f>IFERROR(B234/'Raw Data'!A235,"Error: Div by Zero")</f>
        <v>68.472438223604627</v>
      </c>
    </row>
    <row r="235" spans="1:8" x14ac:dyDescent="0.25">
      <c r="A235" s="5">
        <v>233</v>
      </c>
      <c r="B235" s="5">
        <f>'Raw Data'!N236</f>
        <v>41.7</v>
      </c>
      <c r="C235" s="5">
        <f>'Raw Data'!I236</f>
        <v>8</v>
      </c>
      <c r="D235" s="5" t="str">
        <f t="shared" si="12"/>
        <v>Low Access</v>
      </c>
      <c r="E235" s="5" t="str">
        <f t="shared" si="13"/>
        <v>$35-45k</v>
      </c>
      <c r="F235" s="5" t="str">
        <f t="shared" si="14"/>
        <v>Valid Number</v>
      </c>
      <c r="G235" s="5" t="str">
        <f t="shared" si="15"/>
        <v>Data Present</v>
      </c>
      <c r="H235" s="10">
        <f>IFERROR(B235/'Raw Data'!A236,"Error: Div by Zero")</f>
        <v>72.485181386778848</v>
      </c>
    </row>
    <row r="236" spans="1:8" x14ac:dyDescent="0.25">
      <c r="A236" s="5">
        <v>234</v>
      </c>
      <c r="B236" s="5">
        <f>'Raw Data'!N237</f>
        <v>48.3</v>
      </c>
      <c r="C236" s="5">
        <f>'Raw Data'!I237</f>
        <v>8</v>
      </c>
      <c r="D236" s="5" t="str">
        <f t="shared" si="12"/>
        <v>Low Access</v>
      </c>
      <c r="E236" s="5" t="str">
        <f t="shared" si="13"/>
        <v>Over $45k</v>
      </c>
      <c r="F236" s="5" t="str">
        <f t="shared" si="14"/>
        <v>Valid Number</v>
      </c>
      <c r="G236" s="5" t="str">
        <f t="shared" si="15"/>
        <v>Data Present</v>
      </c>
      <c r="H236" s="10">
        <f>IFERROR(B236/'Raw Data'!A237,"Error: Div by Zero")</f>
        <v>145.71454430265183</v>
      </c>
    </row>
    <row r="237" spans="1:8" x14ac:dyDescent="0.25">
      <c r="A237" s="5">
        <v>235</v>
      </c>
      <c r="B237" s="5">
        <f>'Raw Data'!N238</f>
        <v>29</v>
      </c>
      <c r="C237" s="5">
        <f>'Raw Data'!I238</f>
        <v>8</v>
      </c>
      <c r="D237" s="5" t="str">
        <f t="shared" si="12"/>
        <v>Low Access</v>
      </c>
      <c r="E237" s="5" t="str">
        <f t="shared" si="13"/>
        <v>$25-35k</v>
      </c>
      <c r="F237" s="5" t="str">
        <f t="shared" si="14"/>
        <v>Valid Number</v>
      </c>
      <c r="G237" s="5" t="str">
        <f t="shared" si="15"/>
        <v>Data Present</v>
      </c>
      <c r="H237" s="10">
        <f>IFERROR(B237/'Raw Data'!A238,"Error: Div by Zero")</f>
        <v>64.745149695251285</v>
      </c>
    </row>
    <row r="238" spans="1:8" x14ac:dyDescent="0.25">
      <c r="A238" s="5">
        <v>236</v>
      </c>
      <c r="B238" s="5">
        <f>'Raw Data'!N239</f>
        <v>24</v>
      </c>
      <c r="C238" s="5">
        <f>'Raw Data'!I239</f>
        <v>8</v>
      </c>
      <c r="D238" s="5" t="str">
        <f t="shared" si="12"/>
        <v>Low Access</v>
      </c>
      <c r="E238" s="5" t="str">
        <f t="shared" si="13"/>
        <v>$15-25k</v>
      </c>
      <c r="F238" s="5" t="str">
        <f t="shared" si="14"/>
        <v>Valid Number</v>
      </c>
      <c r="G238" s="5" t="str">
        <f t="shared" si="15"/>
        <v>Data Present</v>
      </c>
      <c r="H238" s="10">
        <f>IFERROR(B238/'Raw Data'!A239,"Error: Div by Zero")</f>
        <v>72.628234226055369</v>
      </c>
    </row>
    <row r="239" spans="1:8" x14ac:dyDescent="0.25">
      <c r="A239" s="5">
        <v>237</v>
      </c>
      <c r="B239" s="5">
        <f>'Raw Data'!N240</f>
        <v>25.1</v>
      </c>
      <c r="C239" s="5">
        <f>'Raw Data'!I240</f>
        <v>8</v>
      </c>
      <c r="D239" s="5" t="str">
        <f t="shared" si="12"/>
        <v>Low Access</v>
      </c>
      <c r="E239" s="5" t="str">
        <f t="shared" si="13"/>
        <v>$25-35k</v>
      </c>
      <c r="F239" s="5" t="str">
        <f t="shared" si="14"/>
        <v>Valid Number</v>
      </c>
      <c r="G239" s="5" t="str">
        <f t="shared" si="15"/>
        <v>Data Present</v>
      </c>
      <c r="H239" s="10">
        <f>IFERROR(B239/'Raw Data'!A240,"Error: Div by Zero")</f>
        <v>48.215451995850778</v>
      </c>
    </row>
    <row r="240" spans="1:8" x14ac:dyDescent="0.25">
      <c r="A240" s="5">
        <v>238</v>
      </c>
      <c r="B240" s="5">
        <f>'Raw Data'!N241</f>
        <v>31.5</v>
      </c>
      <c r="C240" s="5">
        <f>'Raw Data'!I241</f>
        <v>8</v>
      </c>
      <c r="D240" s="5" t="str">
        <f t="shared" si="12"/>
        <v>Low Access</v>
      </c>
      <c r="E240" s="5" t="str">
        <f t="shared" si="13"/>
        <v>$25-35k</v>
      </c>
      <c r="F240" s="5" t="str">
        <f t="shared" si="14"/>
        <v>Valid Number</v>
      </c>
      <c r="G240" s="5" t="str">
        <f t="shared" si="15"/>
        <v>Data Present</v>
      </c>
      <c r="H240" s="10">
        <f>IFERROR(B240/'Raw Data'!A241,"Error: Div by Zero")</f>
        <v>61.543871988746261</v>
      </c>
    </row>
    <row r="241" spans="1:8" x14ac:dyDescent="0.25">
      <c r="A241" s="5">
        <v>239</v>
      </c>
      <c r="B241" s="5">
        <f>'Raw Data'!N242</f>
        <v>23.7</v>
      </c>
      <c r="C241" s="5">
        <f>'Raw Data'!I242</f>
        <v>6</v>
      </c>
      <c r="D241" s="5" t="str">
        <f t="shared" si="12"/>
        <v>Low Access</v>
      </c>
      <c r="E241" s="5" t="str">
        <f t="shared" si="13"/>
        <v>$15-25k</v>
      </c>
      <c r="F241" s="5" t="str">
        <f t="shared" si="14"/>
        <v>Valid Number</v>
      </c>
      <c r="G241" s="5" t="str">
        <f t="shared" si="15"/>
        <v>Data Present</v>
      </c>
      <c r="H241" s="10">
        <f>IFERROR(B241/'Raw Data'!A242,"Error: Div by Zero")</f>
        <v>287.48180494905387</v>
      </c>
    </row>
    <row r="242" spans="1:8" x14ac:dyDescent="0.25">
      <c r="A242" s="5">
        <v>240</v>
      </c>
      <c r="B242" s="5">
        <f>'Raw Data'!N243</f>
        <v>23.3</v>
      </c>
      <c r="C242" s="5">
        <f>'Raw Data'!I243</f>
        <v>6</v>
      </c>
      <c r="D242" s="5" t="str">
        <f t="shared" si="12"/>
        <v>Low Access</v>
      </c>
      <c r="E242" s="5" t="str">
        <f t="shared" si="13"/>
        <v>$15-25k</v>
      </c>
      <c r="F242" s="5" t="str">
        <f t="shared" si="14"/>
        <v>Valid Number</v>
      </c>
      <c r="G242" s="5" t="str">
        <f t="shared" si="15"/>
        <v>Data Present</v>
      </c>
      <c r="H242" s="10">
        <f>IFERROR(B242/'Raw Data'!A243,"Error: Div by Zero")</f>
        <v>251.83744055339386</v>
      </c>
    </row>
    <row r="243" spans="1:8" x14ac:dyDescent="0.25">
      <c r="A243" s="5">
        <v>241</v>
      </c>
      <c r="B243" s="5">
        <f>'Raw Data'!N244</f>
        <v>22</v>
      </c>
      <c r="C243" s="5">
        <f>'Raw Data'!I244</f>
        <v>6</v>
      </c>
      <c r="D243" s="5" t="str">
        <f t="shared" si="12"/>
        <v>Low Access</v>
      </c>
      <c r="E243" s="5" t="str">
        <f t="shared" si="13"/>
        <v>$15-25k</v>
      </c>
      <c r="F243" s="5" t="str">
        <f t="shared" si="14"/>
        <v>Valid Number</v>
      </c>
      <c r="G243" s="5" t="str">
        <f t="shared" si="15"/>
        <v>Data Present</v>
      </c>
      <c r="H243" s="10">
        <f>IFERROR(B243/'Raw Data'!A244,"Error: Div by Zero")</f>
        <v>194.19189690175656</v>
      </c>
    </row>
    <row r="244" spans="1:8" x14ac:dyDescent="0.25">
      <c r="A244" s="5">
        <v>242</v>
      </c>
      <c r="B244" s="5">
        <f>'Raw Data'!N245</f>
        <v>20.100000000000001</v>
      </c>
      <c r="C244" s="5">
        <f>'Raw Data'!I245</f>
        <v>6</v>
      </c>
      <c r="D244" s="5" t="str">
        <f t="shared" si="12"/>
        <v>Low Access</v>
      </c>
      <c r="E244" s="5" t="str">
        <f t="shared" si="13"/>
        <v>$15-25k</v>
      </c>
      <c r="F244" s="5" t="str">
        <f t="shared" si="14"/>
        <v>Valid Number</v>
      </c>
      <c r="G244" s="5" t="str">
        <f t="shared" si="15"/>
        <v>Data Present</v>
      </c>
      <c r="H244" s="10">
        <f>IFERROR(B244/'Raw Data'!A245,"Error: Div by Zero")</f>
        <v>189.4082171127026</v>
      </c>
    </row>
    <row r="245" spans="1:8" x14ac:dyDescent="0.25">
      <c r="A245" s="5">
        <v>243</v>
      </c>
      <c r="B245" s="5">
        <f>'Raw Data'!N246</f>
        <v>22.2</v>
      </c>
      <c r="C245" s="5">
        <f>'Raw Data'!I246</f>
        <v>6</v>
      </c>
      <c r="D245" s="5" t="str">
        <f t="shared" si="12"/>
        <v>Low Access</v>
      </c>
      <c r="E245" s="5" t="str">
        <f t="shared" si="13"/>
        <v>$15-25k</v>
      </c>
      <c r="F245" s="5" t="str">
        <f t="shared" si="14"/>
        <v>Valid Number</v>
      </c>
      <c r="G245" s="5" t="str">
        <f t="shared" si="15"/>
        <v>Data Present</v>
      </c>
      <c r="H245" s="10">
        <f>IFERROR(B245/'Raw Data'!A246,"Error: Div by Zero")</f>
        <v>215.74344023323613</v>
      </c>
    </row>
    <row r="246" spans="1:8" x14ac:dyDescent="0.25">
      <c r="A246" s="5">
        <v>244</v>
      </c>
      <c r="B246" s="5">
        <f>'Raw Data'!N247</f>
        <v>23.7</v>
      </c>
      <c r="C246" s="5">
        <f>'Raw Data'!I247</f>
        <v>6</v>
      </c>
      <c r="D246" s="5" t="str">
        <f t="shared" si="12"/>
        <v>Low Access</v>
      </c>
      <c r="E246" s="5" t="str">
        <f t="shared" si="13"/>
        <v>$15-25k</v>
      </c>
      <c r="F246" s="5" t="str">
        <f t="shared" si="14"/>
        <v>Valid Number</v>
      </c>
      <c r="G246" s="5" t="str">
        <f t="shared" si="15"/>
        <v>Data Present</v>
      </c>
      <c r="H246" s="10">
        <f>IFERROR(B246/'Raw Data'!A247,"Error: Div by Zero")</f>
        <v>185.78035588304462</v>
      </c>
    </row>
    <row r="247" spans="1:8" x14ac:dyDescent="0.25">
      <c r="A247" s="5">
        <v>245</v>
      </c>
      <c r="B247" s="5">
        <f>'Raw Data'!N248</f>
        <v>17.600000000000001</v>
      </c>
      <c r="C247" s="5">
        <f>'Raw Data'!I248</f>
        <v>7</v>
      </c>
      <c r="D247" s="5" t="str">
        <f t="shared" si="12"/>
        <v>Low Access</v>
      </c>
      <c r="E247" s="5" t="str">
        <f t="shared" si="13"/>
        <v>$15-25k</v>
      </c>
      <c r="F247" s="5" t="str">
        <f t="shared" si="14"/>
        <v>Valid Number</v>
      </c>
      <c r="G247" s="5" t="str">
        <f t="shared" si="15"/>
        <v>Data Present</v>
      </c>
      <c r="H247" s="10">
        <f>IFERROR(B247/'Raw Data'!A248,"Error: Div by Zero")</f>
        <v>85.403726708074529</v>
      </c>
    </row>
    <row r="248" spans="1:8" x14ac:dyDescent="0.25">
      <c r="A248" s="5">
        <v>246</v>
      </c>
      <c r="B248" s="5">
        <f>'Raw Data'!N249</f>
        <v>18.5</v>
      </c>
      <c r="C248" s="5">
        <f>'Raw Data'!I249</f>
        <v>7</v>
      </c>
      <c r="D248" s="5" t="str">
        <f t="shared" si="12"/>
        <v>Low Access</v>
      </c>
      <c r="E248" s="5" t="str">
        <f t="shared" si="13"/>
        <v>$15-25k</v>
      </c>
      <c r="F248" s="5" t="str">
        <f t="shared" si="14"/>
        <v>Valid Number</v>
      </c>
      <c r="G248" s="5" t="str">
        <f t="shared" si="15"/>
        <v>Data Present</v>
      </c>
      <c r="H248" s="10">
        <f>IFERROR(B248/'Raw Data'!A249,"Error: Div by Zero")</f>
        <v>96.691579992682804</v>
      </c>
    </row>
    <row r="249" spans="1:8" x14ac:dyDescent="0.25">
      <c r="A249" s="5">
        <v>247</v>
      </c>
      <c r="B249" s="5">
        <f>'Raw Data'!N250</f>
        <v>24.3</v>
      </c>
      <c r="C249" s="5">
        <f>'Raw Data'!I250</f>
        <v>7</v>
      </c>
      <c r="D249" s="5" t="str">
        <f t="shared" si="12"/>
        <v>Low Access</v>
      </c>
      <c r="E249" s="5" t="str">
        <f t="shared" si="13"/>
        <v>$15-25k</v>
      </c>
      <c r="F249" s="5" t="str">
        <f t="shared" si="14"/>
        <v>Valid Number</v>
      </c>
      <c r="G249" s="5" t="str">
        <f t="shared" si="15"/>
        <v>Data Present</v>
      </c>
      <c r="H249" s="10">
        <f>IFERROR(B249/'Raw Data'!A250,"Error: Div by Zero")</f>
        <v>71.506341405997119</v>
      </c>
    </row>
    <row r="250" spans="1:8" x14ac:dyDescent="0.25">
      <c r="A250" s="5">
        <v>248</v>
      </c>
      <c r="B250" s="5">
        <f>'Raw Data'!N251</f>
        <v>20.5</v>
      </c>
      <c r="C250" s="5">
        <f>'Raw Data'!I251</f>
        <v>7</v>
      </c>
      <c r="D250" s="5" t="str">
        <f t="shared" si="12"/>
        <v>Low Access</v>
      </c>
      <c r="E250" s="5" t="str">
        <f t="shared" si="13"/>
        <v>$15-25k</v>
      </c>
      <c r="F250" s="5" t="str">
        <f t="shared" si="14"/>
        <v>Valid Number</v>
      </c>
      <c r="G250" s="5" t="str">
        <f t="shared" si="15"/>
        <v>Data Present</v>
      </c>
      <c r="H250" s="10">
        <f>IFERROR(B250/'Raw Data'!A251,"Error: Div by Zero")</f>
        <v>104.28854860863815</v>
      </c>
    </row>
    <row r="251" spans="1:8" x14ac:dyDescent="0.25">
      <c r="A251" s="5">
        <v>249</v>
      </c>
      <c r="B251" s="5">
        <f>'Raw Data'!N252</f>
        <v>24.5</v>
      </c>
      <c r="C251" s="5">
        <f>'Raw Data'!I252</f>
        <v>7</v>
      </c>
      <c r="D251" s="5" t="str">
        <f t="shared" si="12"/>
        <v>Low Access</v>
      </c>
      <c r="E251" s="5" t="str">
        <f t="shared" si="13"/>
        <v>$15-25k</v>
      </c>
      <c r="F251" s="5" t="str">
        <f t="shared" si="14"/>
        <v>Valid Number</v>
      </c>
      <c r="G251" s="5" t="str">
        <f t="shared" si="15"/>
        <v>Data Present</v>
      </c>
      <c r="H251" s="10">
        <f>IFERROR(B251/'Raw Data'!A252,"Error: Div by Zero")</f>
        <v>149.03582943001399</v>
      </c>
    </row>
    <row r="252" spans="1:8" x14ac:dyDescent="0.25">
      <c r="A252" s="5">
        <v>250</v>
      </c>
      <c r="B252" s="5">
        <f>'Raw Data'!N253</f>
        <v>26.2</v>
      </c>
      <c r="C252" s="5">
        <f>'Raw Data'!I253</f>
        <v>7</v>
      </c>
      <c r="D252" s="5" t="str">
        <f t="shared" si="12"/>
        <v>Low Access</v>
      </c>
      <c r="E252" s="5" t="str">
        <f t="shared" si="13"/>
        <v>$25-35k</v>
      </c>
      <c r="F252" s="5" t="str">
        <f t="shared" si="14"/>
        <v>Valid Number</v>
      </c>
      <c r="G252" s="5" t="str">
        <f t="shared" si="15"/>
        <v>Data Present</v>
      </c>
      <c r="H252" s="10">
        <f>IFERROR(B252/'Raw Data'!A253,"Error: Div by Zero")</f>
        <v>137.36695852776174</v>
      </c>
    </row>
    <row r="253" spans="1:8" x14ac:dyDescent="0.25">
      <c r="A253" s="5">
        <v>251</v>
      </c>
      <c r="B253" s="5">
        <f>'Raw Data'!N254</f>
        <v>24.4</v>
      </c>
      <c r="C253" s="5">
        <f>'Raw Data'!I254</f>
        <v>7</v>
      </c>
      <c r="D253" s="5" t="str">
        <f t="shared" si="12"/>
        <v>Low Access</v>
      </c>
      <c r="E253" s="5" t="str">
        <f t="shared" si="13"/>
        <v>$15-25k</v>
      </c>
      <c r="F253" s="5" t="str">
        <f t="shared" si="14"/>
        <v>Valid Number</v>
      </c>
      <c r="G253" s="5" t="str">
        <f t="shared" si="15"/>
        <v>Data Present</v>
      </c>
      <c r="H253" s="10">
        <f>IFERROR(B253/'Raw Data'!A254,"Error: Div by Zero")</f>
        <v>173.91304347826085</v>
      </c>
    </row>
    <row r="254" spans="1:8" x14ac:dyDescent="0.25">
      <c r="A254" s="5">
        <v>252</v>
      </c>
      <c r="B254" s="5">
        <f>'Raw Data'!N255</f>
        <v>24.8</v>
      </c>
      <c r="C254" s="5">
        <f>'Raw Data'!I255</f>
        <v>7</v>
      </c>
      <c r="D254" s="5" t="str">
        <f t="shared" si="12"/>
        <v>Low Access</v>
      </c>
      <c r="E254" s="5" t="str">
        <f t="shared" si="13"/>
        <v>$15-25k</v>
      </c>
      <c r="F254" s="5" t="str">
        <f t="shared" si="14"/>
        <v>Valid Number</v>
      </c>
      <c r="G254" s="5" t="str">
        <f t="shared" si="15"/>
        <v>Data Present</v>
      </c>
      <c r="H254" s="10">
        <f>IFERROR(B254/'Raw Data'!A255,"Error: Div by Zero")</f>
        <v>115.83913307487505</v>
      </c>
    </row>
    <row r="255" spans="1:8" x14ac:dyDescent="0.25">
      <c r="A255" s="5">
        <v>253</v>
      </c>
      <c r="B255" s="5">
        <f>'Raw Data'!N256</f>
        <v>29.6</v>
      </c>
      <c r="C255" s="5">
        <f>'Raw Data'!I256</f>
        <v>7</v>
      </c>
      <c r="D255" s="5" t="str">
        <f t="shared" si="12"/>
        <v>Low Access</v>
      </c>
      <c r="E255" s="5" t="str">
        <f t="shared" si="13"/>
        <v>$25-35k</v>
      </c>
      <c r="F255" s="5" t="str">
        <f t="shared" si="14"/>
        <v>Valid Number</v>
      </c>
      <c r="G255" s="5" t="str">
        <f t="shared" si="15"/>
        <v>Data Present</v>
      </c>
      <c r="H255" s="10">
        <f>IFERROR(B255/'Raw Data'!A256,"Error: Div by Zero")</f>
        <v>360.0535214694076</v>
      </c>
    </row>
    <row r="256" spans="1:8" x14ac:dyDescent="0.25">
      <c r="A256" s="5">
        <v>254</v>
      </c>
      <c r="B256" s="5">
        <f>'Raw Data'!N257</f>
        <v>42.8</v>
      </c>
      <c r="C256" s="5">
        <f>'Raw Data'!I257</f>
        <v>7</v>
      </c>
      <c r="D256" s="5" t="str">
        <f t="shared" si="12"/>
        <v>Low Access</v>
      </c>
      <c r="E256" s="5" t="str">
        <f t="shared" si="13"/>
        <v>$35-45k</v>
      </c>
      <c r="F256" s="5" t="str">
        <f t="shared" si="14"/>
        <v>Valid Number</v>
      </c>
      <c r="G256" s="5" t="str">
        <f t="shared" si="15"/>
        <v>Data Present</v>
      </c>
      <c r="H256" s="10">
        <f>IFERROR(B256/'Raw Data'!A257,"Error: Div by Zero")</f>
        <v>116.00802298476717</v>
      </c>
    </row>
    <row r="257" spans="1:8" x14ac:dyDescent="0.25">
      <c r="A257" s="5">
        <v>255</v>
      </c>
      <c r="B257" s="5">
        <f>'Raw Data'!N258</f>
        <v>21.9</v>
      </c>
      <c r="C257" s="5">
        <f>'Raw Data'!I258</f>
        <v>1</v>
      </c>
      <c r="D257" s="5" t="str">
        <f t="shared" si="12"/>
        <v>Very Low Access</v>
      </c>
      <c r="E257" s="5" t="str">
        <f t="shared" si="13"/>
        <v>$15-25k</v>
      </c>
      <c r="F257" s="5" t="str">
        <f t="shared" si="14"/>
        <v>Valid Number</v>
      </c>
      <c r="G257" s="5" t="str">
        <f t="shared" si="15"/>
        <v>Data Present</v>
      </c>
      <c r="H257" s="10">
        <f>IFERROR(B257/'Raw Data'!A258,"Error: Div by Zero")</f>
        <v>454.45113094002903</v>
      </c>
    </row>
    <row r="258" spans="1:8" x14ac:dyDescent="0.25">
      <c r="A258" s="5">
        <v>256</v>
      </c>
      <c r="B258" s="5">
        <f>'Raw Data'!N259</f>
        <v>20.9</v>
      </c>
      <c r="C258" s="5">
        <f>'Raw Data'!I259</f>
        <v>1</v>
      </c>
      <c r="D258" s="5" t="str">
        <f t="shared" si="12"/>
        <v>Very Low Access</v>
      </c>
      <c r="E258" s="5" t="str">
        <f t="shared" si="13"/>
        <v>$15-25k</v>
      </c>
      <c r="F258" s="5" t="str">
        <f t="shared" si="14"/>
        <v>Valid Number</v>
      </c>
      <c r="G258" s="5" t="str">
        <f t="shared" si="15"/>
        <v>Data Present</v>
      </c>
      <c r="H258" s="10">
        <f>IFERROR(B258/'Raw Data'!A259,"Error: Div by Zero")</f>
        <v>589.06426155580607</v>
      </c>
    </row>
    <row r="259" spans="1:8" x14ac:dyDescent="0.25">
      <c r="A259" s="5">
        <v>257</v>
      </c>
      <c r="B259" s="5">
        <f>'Raw Data'!N260</f>
        <v>44</v>
      </c>
      <c r="C259" s="5">
        <f>'Raw Data'!I260</f>
        <v>3</v>
      </c>
      <c r="D259" s="5" t="str">
        <f t="shared" si="12"/>
        <v>Very Low Access</v>
      </c>
      <c r="E259" s="5" t="str">
        <f t="shared" si="13"/>
        <v>$35-45k</v>
      </c>
      <c r="F259" s="5" t="str">
        <f t="shared" si="14"/>
        <v>Valid Number</v>
      </c>
      <c r="G259" s="5" t="str">
        <f t="shared" si="15"/>
        <v>Data Present</v>
      </c>
      <c r="H259" s="10">
        <f>IFERROR(B259/'Raw Data'!A260,"Error: Div by Zero")</f>
        <v>2860.8582574772431</v>
      </c>
    </row>
    <row r="260" spans="1:8" x14ac:dyDescent="0.25">
      <c r="A260" s="5">
        <v>258</v>
      </c>
      <c r="B260" s="5">
        <f>'Raw Data'!N261</f>
        <v>50</v>
      </c>
      <c r="C260" s="5">
        <f>'Raw Data'!I261</f>
        <v>5</v>
      </c>
      <c r="D260" s="5" t="str">
        <f t="shared" ref="D260:D323" si="16">CHOOSE(MIN(5,MAX(1,INT(C260/5)+1)),"Very Low Access","Low Access","Medium Access","High Access","Very High Access")</f>
        <v>Low Access</v>
      </c>
      <c r="E260" s="5" t="str">
        <f t="shared" ref="E260:E323" si="17">IF(B260&lt;15,"Under $15k",IF(B260&lt;25,"$15-25k",IF(B260&lt;35,"$25-35k",IF(B260&lt;45,"$35-45k","Over $45k"))))</f>
        <v>Over $45k</v>
      </c>
      <c r="F260" s="5" t="str">
        <f t="shared" ref="F260:F323" si="18">IF(ISNUMBER(B260),"Valid Number","Not a Number")</f>
        <v>Valid Number</v>
      </c>
      <c r="G260" s="5" t="str">
        <f t="shared" ref="G260:G323" si="19">IF(ISBLANK(B260),"Missing","Data Present")</f>
        <v>Data Present</v>
      </c>
      <c r="H260" s="10">
        <f>IFERROR(B260/'Raw Data'!A261,"Error: Div by Zero")</f>
        <v>81.760800601759499</v>
      </c>
    </row>
    <row r="261" spans="1:8" x14ac:dyDescent="0.25">
      <c r="A261" s="5">
        <v>259</v>
      </c>
      <c r="B261" s="5">
        <f>'Raw Data'!N262</f>
        <v>36</v>
      </c>
      <c r="C261" s="5">
        <f>'Raw Data'!I262</f>
        <v>5</v>
      </c>
      <c r="D261" s="5" t="str">
        <f t="shared" si="16"/>
        <v>Low Access</v>
      </c>
      <c r="E261" s="5" t="str">
        <f t="shared" si="17"/>
        <v>$35-45k</v>
      </c>
      <c r="F261" s="5" t="str">
        <f t="shared" si="18"/>
        <v>Valid Number</v>
      </c>
      <c r="G261" s="5" t="str">
        <f t="shared" si="19"/>
        <v>Data Present</v>
      </c>
      <c r="H261" s="10">
        <f>IFERROR(B261/'Raw Data'!A262,"Error: Div by Zero")</f>
        <v>54.256906452050458</v>
      </c>
    </row>
    <row r="262" spans="1:8" x14ac:dyDescent="0.25">
      <c r="A262" s="5">
        <v>260</v>
      </c>
      <c r="B262" s="5">
        <f>'Raw Data'!N263</f>
        <v>30.1</v>
      </c>
      <c r="C262" s="5">
        <f>'Raw Data'!I263</f>
        <v>5</v>
      </c>
      <c r="D262" s="5" t="str">
        <f t="shared" si="16"/>
        <v>Low Access</v>
      </c>
      <c r="E262" s="5" t="str">
        <f t="shared" si="17"/>
        <v>$25-35k</v>
      </c>
      <c r="F262" s="5" t="str">
        <f t="shared" si="18"/>
        <v>Valid Number</v>
      </c>
      <c r="G262" s="5" t="str">
        <f t="shared" si="19"/>
        <v>Data Present</v>
      </c>
      <c r="H262" s="10">
        <f>IFERROR(B262/'Raw Data'!A263,"Error: Div by Zero")</f>
        <v>45.838726871240389</v>
      </c>
    </row>
    <row r="263" spans="1:8" x14ac:dyDescent="0.25">
      <c r="A263" s="5">
        <v>261</v>
      </c>
      <c r="B263" s="5">
        <f>'Raw Data'!N264</f>
        <v>33.799999999999997</v>
      </c>
      <c r="C263" s="5">
        <f>'Raw Data'!I264</f>
        <v>5</v>
      </c>
      <c r="D263" s="5" t="str">
        <f t="shared" si="16"/>
        <v>Low Access</v>
      </c>
      <c r="E263" s="5" t="str">
        <f t="shared" si="17"/>
        <v>$25-35k</v>
      </c>
      <c r="F263" s="5" t="str">
        <f t="shared" si="18"/>
        <v>Valid Number</v>
      </c>
      <c r="G263" s="5" t="str">
        <f t="shared" si="19"/>
        <v>Data Present</v>
      </c>
      <c r="H263" s="10">
        <f>IFERROR(B263/'Raw Data'!A264,"Error: Div by Zero")</f>
        <v>62.579844846420173</v>
      </c>
    </row>
    <row r="264" spans="1:8" x14ac:dyDescent="0.25">
      <c r="A264" s="5">
        <v>262</v>
      </c>
      <c r="B264" s="5">
        <f>'Raw Data'!N265</f>
        <v>43.1</v>
      </c>
      <c r="C264" s="5">
        <f>'Raw Data'!I265</f>
        <v>5</v>
      </c>
      <c r="D264" s="5" t="str">
        <f t="shared" si="16"/>
        <v>Low Access</v>
      </c>
      <c r="E264" s="5" t="str">
        <f t="shared" si="17"/>
        <v>$35-45k</v>
      </c>
      <c r="F264" s="5" t="str">
        <f t="shared" si="18"/>
        <v>Valid Number</v>
      </c>
      <c r="G264" s="5" t="str">
        <f t="shared" si="19"/>
        <v>Data Present</v>
      </c>
      <c r="H264" s="10">
        <f>IFERROR(B264/'Raw Data'!A265,"Error: Div by Zero")</f>
        <v>80.693477121246161</v>
      </c>
    </row>
    <row r="265" spans="1:8" x14ac:dyDescent="0.25">
      <c r="A265" s="5">
        <v>263</v>
      </c>
      <c r="B265" s="5">
        <f>'Raw Data'!N266</f>
        <v>48.8</v>
      </c>
      <c r="C265" s="5">
        <f>'Raw Data'!I266</f>
        <v>5</v>
      </c>
      <c r="D265" s="5" t="str">
        <f t="shared" si="16"/>
        <v>Low Access</v>
      </c>
      <c r="E265" s="5" t="str">
        <f t="shared" si="17"/>
        <v>Over $45k</v>
      </c>
      <c r="F265" s="5" t="str">
        <f t="shared" si="18"/>
        <v>Valid Number</v>
      </c>
      <c r="G265" s="5" t="str">
        <f t="shared" si="19"/>
        <v>Data Present</v>
      </c>
      <c r="H265" s="10">
        <f>IFERROR(B265/'Raw Data'!A266,"Error: Div by Zero")</f>
        <v>93.820894374591447</v>
      </c>
    </row>
    <row r="266" spans="1:8" x14ac:dyDescent="0.25">
      <c r="A266" s="5">
        <v>264</v>
      </c>
      <c r="B266" s="5">
        <f>'Raw Data'!N267</f>
        <v>31</v>
      </c>
      <c r="C266" s="5">
        <f>'Raw Data'!I267</f>
        <v>5</v>
      </c>
      <c r="D266" s="5" t="str">
        <f t="shared" si="16"/>
        <v>Low Access</v>
      </c>
      <c r="E266" s="5" t="str">
        <f t="shared" si="17"/>
        <v>$25-35k</v>
      </c>
      <c r="F266" s="5" t="str">
        <f t="shared" si="18"/>
        <v>Valid Number</v>
      </c>
      <c r="G266" s="5" t="str">
        <f t="shared" si="19"/>
        <v>Data Present</v>
      </c>
      <c r="H266" s="10">
        <f>IFERROR(B266/'Raw Data'!A267,"Error: Div by Zero")</f>
        <v>37.563919249691004</v>
      </c>
    </row>
    <row r="267" spans="1:8" x14ac:dyDescent="0.25">
      <c r="A267" s="5">
        <v>265</v>
      </c>
      <c r="B267" s="5">
        <f>'Raw Data'!N268</f>
        <v>36.5</v>
      </c>
      <c r="C267" s="5">
        <f>'Raw Data'!I268</f>
        <v>5</v>
      </c>
      <c r="D267" s="5" t="str">
        <f t="shared" si="16"/>
        <v>Low Access</v>
      </c>
      <c r="E267" s="5" t="str">
        <f t="shared" si="17"/>
        <v>$35-45k</v>
      </c>
      <c r="F267" s="5" t="str">
        <f t="shared" si="18"/>
        <v>Valid Number</v>
      </c>
      <c r="G267" s="5" t="str">
        <f t="shared" si="19"/>
        <v>Data Present</v>
      </c>
      <c r="H267" s="10">
        <f>IFERROR(B267/'Raw Data'!A268,"Error: Div by Zero")</f>
        <v>66.35519115748906</v>
      </c>
    </row>
    <row r="268" spans="1:8" x14ac:dyDescent="0.25">
      <c r="A268" s="5">
        <v>266</v>
      </c>
      <c r="B268" s="5">
        <f>'Raw Data'!N269</f>
        <v>22.8</v>
      </c>
      <c r="C268" s="5">
        <f>'Raw Data'!I269</f>
        <v>5</v>
      </c>
      <c r="D268" s="5" t="str">
        <f t="shared" si="16"/>
        <v>Low Access</v>
      </c>
      <c r="E268" s="5" t="str">
        <f t="shared" si="17"/>
        <v>$15-25k</v>
      </c>
      <c r="F268" s="5" t="str">
        <f t="shared" si="18"/>
        <v>Valid Number</v>
      </c>
      <c r="G268" s="5" t="str">
        <f t="shared" si="19"/>
        <v>Data Present</v>
      </c>
      <c r="H268" s="10">
        <f>IFERROR(B268/'Raw Data'!A269,"Error: Div by Zero")</f>
        <v>29.936188650508129</v>
      </c>
    </row>
    <row r="269" spans="1:8" x14ac:dyDescent="0.25">
      <c r="A269" s="5">
        <v>267</v>
      </c>
      <c r="B269" s="5">
        <f>'Raw Data'!N270</f>
        <v>30.7</v>
      </c>
      <c r="C269" s="5">
        <f>'Raw Data'!I270</f>
        <v>5</v>
      </c>
      <c r="D269" s="5" t="str">
        <f t="shared" si="16"/>
        <v>Low Access</v>
      </c>
      <c r="E269" s="5" t="str">
        <f t="shared" si="17"/>
        <v>$25-35k</v>
      </c>
      <c r="F269" s="5" t="str">
        <f t="shared" si="18"/>
        <v>Valid Number</v>
      </c>
      <c r="G269" s="5" t="str">
        <f t="shared" si="19"/>
        <v>Data Present</v>
      </c>
      <c r="H269" s="10">
        <f>IFERROR(B269/'Raw Data'!A270,"Error: Div by Zero")</f>
        <v>39.073437698867252</v>
      </c>
    </row>
    <row r="270" spans="1:8" x14ac:dyDescent="0.25">
      <c r="A270" s="5">
        <v>268</v>
      </c>
      <c r="B270" s="5">
        <f>'Raw Data'!N271</f>
        <v>50</v>
      </c>
      <c r="C270" s="5">
        <f>'Raw Data'!I271</f>
        <v>5</v>
      </c>
      <c r="D270" s="5" t="str">
        <f t="shared" si="16"/>
        <v>Low Access</v>
      </c>
      <c r="E270" s="5" t="str">
        <f t="shared" si="17"/>
        <v>Over $45k</v>
      </c>
      <c r="F270" s="5" t="str">
        <f t="shared" si="18"/>
        <v>Valid Number</v>
      </c>
      <c r="G270" s="5" t="str">
        <f t="shared" si="19"/>
        <v>Data Present</v>
      </c>
      <c r="H270" s="10">
        <f>IFERROR(B270/'Raw Data'!A271,"Error: Div by Zero")</f>
        <v>86.454334820347896</v>
      </c>
    </row>
    <row r="271" spans="1:8" x14ac:dyDescent="0.25">
      <c r="A271" s="5">
        <v>269</v>
      </c>
      <c r="B271" s="5">
        <f>'Raw Data'!N272</f>
        <v>43.5</v>
      </c>
      <c r="C271" s="5">
        <f>'Raw Data'!I272</f>
        <v>5</v>
      </c>
      <c r="D271" s="5" t="str">
        <f t="shared" si="16"/>
        <v>Low Access</v>
      </c>
      <c r="E271" s="5" t="str">
        <f t="shared" si="17"/>
        <v>$35-45k</v>
      </c>
      <c r="F271" s="5" t="str">
        <f t="shared" si="18"/>
        <v>Valid Number</v>
      </c>
      <c r="G271" s="5" t="str">
        <f t="shared" si="19"/>
        <v>Data Present</v>
      </c>
      <c r="H271" s="10">
        <f>IFERROR(B271/'Raw Data'!A272,"Error: Div by Zero")</f>
        <v>80.481036077705838</v>
      </c>
    </row>
    <row r="272" spans="1:8" x14ac:dyDescent="0.25">
      <c r="A272" s="5">
        <v>270</v>
      </c>
      <c r="B272" s="5">
        <f>'Raw Data'!N273</f>
        <v>20.7</v>
      </c>
      <c r="C272" s="5">
        <f>'Raw Data'!I273</f>
        <v>3</v>
      </c>
      <c r="D272" s="5" t="str">
        <f t="shared" si="16"/>
        <v>Very Low Access</v>
      </c>
      <c r="E272" s="5" t="str">
        <f t="shared" si="17"/>
        <v>$15-25k</v>
      </c>
      <c r="F272" s="5" t="str">
        <f t="shared" si="18"/>
        <v>Valid Number</v>
      </c>
      <c r="G272" s="5" t="str">
        <f t="shared" si="19"/>
        <v>Data Present</v>
      </c>
      <c r="H272" s="10">
        <f>IFERROR(B272/'Raw Data'!A273,"Error: Div by Zero")</f>
        <v>228.35079977937121</v>
      </c>
    </row>
    <row r="273" spans="1:8" x14ac:dyDescent="0.25">
      <c r="A273" s="5">
        <v>271</v>
      </c>
      <c r="B273" s="5">
        <f>'Raw Data'!N274</f>
        <v>21.1</v>
      </c>
      <c r="C273" s="5">
        <f>'Raw Data'!I274</f>
        <v>3</v>
      </c>
      <c r="D273" s="5" t="str">
        <f t="shared" si="16"/>
        <v>Very Low Access</v>
      </c>
      <c r="E273" s="5" t="str">
        <f t="shared" si="17"/>
        <v>$15-25k</v>
      </c>
      <c r="F273" s="5" t="str">
        <f t="shared" si="18"/>
        <v>Valid Number</v>
      </c>
      <c r="G273" s="5" t="str">
        <f t="shared" si="19"/>
        <v>Data Present</v>
      </c>
      <c r="H273" s="10">
        <f>IFERROR(B273/'Raw Data'!A274,"Error: Div by Zero")</f>
        <v>70.530819628292562</v>
      </c>
    </row>
    <row r="274" spans="1:8" x14ac:dyDescent="0.25">
      <c r="A274" s="5">
        <v>272</v>
      </c>
      <c r="B274" s="5">
        <f>'Raw Data'!N275</f>
        <v>25.2</v>
      </c>
      <c r="C274" s="5">
        <f>'Raw Data'!I275</f>
        <v>3</v>
      </c>
      <c r="D274" s="5" t="str">
        <f t="shared" si="16"/>
        <v>Very Low Access</v>
      </c>
      <c r="E274" s="5" t="str">
        <f t="shared" si="17"/>
        <v>$25-35k</v>
      </c>
      <c r="F274" s="5" t="str">
        <f t="shared" si="18"/>
        <v>Valid Number</v>
      </c>
      <c r="G274" s="5" t="str">
        <f t="shared" si="19"/>
        <v>Data Present</v>
      </c>
      <c r="H274" s="10">
        <f>IFERROR(B274/'Raw Data'!A275,"Error: Div by Zero")</f>
        <v>155.45000308432546</v>
      </c>
    </row>
    <row r="275" spans="1:8" x14ac:dyDescent="0.25">
      <c r="A275" s="5">
        <v>273</v>
      </c>
      <c r="B275" s="5">
        <f>'Raw Data'!N276</f>
        <v>24.4</v>
      </c>
      <c r="C275" s="5">
        <f>'Raw Data'!I276</f>
        <v>3</v>
      </c>
      <c r="D275" s="5" t="str">
        <f t="shared" si="16"/>
        <v>Very Low Access</v>
      </c>
      <c r="E275" s="5" t="str">
        <f t="shared" si="17"/>
        <v>$15-25k</v>
      </c>
      <c r="F275" s="5" t="str">
        <f t="shared" si="18"/>
        <v>Valid Number</v>
      </c>
      <c r="G275" s="5" t="str">
        <f t="shared" si="19"/>
        <v>Data Present</v>
      </c>
      <c r="H275" s="10">
        <f>IFERROR(B275/'Raw Data'!A276,"Error: Div by Zero")</f>
        <v>212.91448516579408</v>
      </c>
    </row>
    <row r="276" spans="1:8" x14ac:dyDescent="0.25">
      <c r="A276" s="5">
        <v>274</v>
      </c>
      <c r="B276" s="5">
        <f>'Raw Data'!N277</f>
        <v>35.200000000000003</v>
      </c>
      <c r="C276" s="5">
        <f>'Raw Data'!I277</f>
        <v>3</v>
      </c>
      <c r="D276" s="5" t="str">
        <f t="shared" si="16"/>
        <v>Very Low Access</v>
      </c>
      <c r="E276" s="5" t="str">
        <f t="shared" si="17"/>
        <v>$35-45k</v>
      </c>
      <c r="F276" s="5" t="str">
        <f t="shared" si="18"/>
        <v>Valid Number</v>
      </c>
      <c r="G276" s="5" t="str">
        <f t="shared" si="19"/>
        <v>Data Present</v>
      </c>
      <c r="H276" s="10">
        <f>IFERROR(B276/'Raw Data'!A277,"Error: Div by Zero")</f>
        <v>158.64431224085092</v>
      </c>
    </row>
    <row r="277" spans="1:8" x14ac:dyDescent="0.25">
      <c r="A277" s="5">
        <v>275</v>
      </c>
      <c r="B277" s="5">
        <f>'Raw Data'!N278</f>
        <v>32.4</v>
      </c>
      <c r="C277" s="5">
        <f>'Raw Data'!I278</f>
        <v>4</v>
      </c>
      <c r="D277" s="5" t="str">
        <f t="shared" si="16"/>
        <v>Very Low Access</v>
      </c>
      <c r="E277" s="5" t="str">
        <f t="shared" si="17"/>
        <v>$25-35k</v>
      </c>
      <c r="F277" s="5" t="str">
        <f t="shared" si="18"/>
        <v>Valid Number</v>
      </c>
      <c r="G277" s="5" t="str">
        <f t="shared" si="19"/>
        <v>Data Present</v>
      </c>
      <c r="H277" s="10">
        <f>IFERROR(B277/'Raw Data'!A278,"Error: Div by Zero")</f>
        <v>574.0609496810772</v>
      </c>
    </row>
    <row r="278" spans="1:8" x14ac:dyDescent="0.25">
      <c r="A278" s="5">
        <v>276</v>
      </c>
      <c r="B278" s="5">
        <f>'Raw Data'!N279</f>
        <v>32</v>
      </c>
      <c r="C278" s="5">
        <f>'Raw Data'!I279</f>
        <v>4</v>
      </c>
      <c r="D278" s="5" t="str">
        <f t="shared" si="16"/>
        <v>Very Low Access</v>
      </c>
      <c r="E278" s="5" t="str">
        <f t="shared" si="17"/>
        <v>$25-35k</v>
      </c>
      <c r="F278" s="5" t="str">
        <f t="shared" si="18"/>
        <v>Valid Number</v>
      </c>
      <c r="G278" s="5" t="str">
        <f t="shared" si="19"/>
        <v>Data Present</v>
      </c>
      <c r="H278" s="10">
        <f>IFERROR(B278/'Raw Data'!A279,"Error: Div by Zero")</f>
        <v>333.19450229071219</v>
      </c>
    </row>
    <row r="279" spans="1:8" x14ac:dyDescent="0.25">
      <c r="A279" s="5">
        <v>277</v>
      </c>
      <c r="B279" s="5">
        <f>'Raw Data'!N280</f>
        <v>33.200000000000003</v>
      </c>
      <c r="C279" s="5">
        <f>'Raw Data'!I280</f>
        <v>4</v>
      </c>
      <c r="D279" s="5" t="str">
        <f t="shared" si="16"/>
        <v>Very Low Access</v>
      </c>
      <c r="E279" s="5" t="str">
        <f t="shared" si="17"/>
        <v>$25-35k</v>
      </c>
      <c r="F279" s="5" t="str">
        <f t="shared" si="18"/>
        <v>Valid Number</v>
      </c>
      <c r="G279" s="5" t="str">
        <f t="shared" si="19"/>
        <v>Data Present</v>
      </c>
      <c r="H279" s="10">
        <f>IFERROR(B279/'Raw Data'!A280,"Error: Div by Zero")</f>
        <v>317.12675518196579</v>
      </c>
    </row>
    <row r="280" spans="1:8" x14ac:dyDescent="0.25">
      <c r="A280" s="5">
        <v>278</v>
      </c>
      <c r="B280" s="5">
        <f>'Raw Data'!N281</f>
        <v>33.1</v>
      </c>
      <c r="C280" s="5">
        <f>'Raw Data'!I281</f>
        <v>4</v>
      </c>
      <c r="D280" s="5" t="str">
        <f t="shared" si="16"/>
        <v>Very Low Access</v>
      </c>
      <c r="E280" s="5" t="str">
        <f t="shared" si="17"/>
        <v>$25-35k</v>
      </c>
      <c r="F280" s="5" t="str">
        <f t="shared" si="18"/>
        <v>Valid Number</v>
      </c>
      <c r="G280" s="5" t="str">
        <f t="shared" si="19"/>
        <v>Data Present</v>
      </c>
      <c r="H280" s="10">
        <f>IFERROR(B280/'Raw Data'!A281,"Error: Div by Zero")</f>
        <v>540.23176105761388</v>
      </c>
    </row>
    <row r="281" spans="1:8" x14ac:dyDescent="0.25">
      <c r="A281" s="5">
        <v>279</v>
      </c>
      <c r="B281" s="5">
        <f>'Raw Data'!N282</f>
        <v>29.1</v>
      </c>
      <c r="C281" s="5">
        <f>'Raw Data'!I282</f>
        <v>4</v>
      </c>
      <c r="D281" s="5" t="str">
        <f t="shared" si="16"/>
        <v>Very Low Access</v>
      </c>
      <c r="E281" s="5" t="str">
        <f t="shared" si="17"/>
        <v>$25-35k</v>
      </c>
      <c r="F281" s="5" t="str">
        <f t="shared" si="18"/>
        <v>Valid Number</v>
      </c>
      <c r="G281" s="5" t="str">
        <f t="shared" si="19"/>
        <v>Data Present</v>
      </c>
      <c r="H281" s="10">
        <f>IFERROR(B281/'Raw Data'!A282,"Error: Div by Zero")</f>
        <v>364.75307094509901</v>
      </c>
    </row>
    <row r="282" spans="1:8" x14ac:dyDescent="0.25">
      <c r="A282" s="5">
        <v>280</v>
      </c>
      <c r="B282" s="5">
        <f>'Raw Data'!N283</f>
        <v>35.1</v>
      </c>
      <c r="C282" s="5">
        <f>'Raw Data'!I283</f>
        <v>5</v>
      </c>
      <c r="D282" s="5" t="str">
        <f t="shared" si="16"/>
        <v>Low Access</v>
      </c>
      <c r="E282" s="5" t="str">
        <f t="shared" si="17"/>
        <v>$35-45k</v>
      </c>
      <c r="F282" s="5" t="str">
        <f t="shared" si="18"/>
        <v>Valid Number</v>
      </c>
      <c r="G282" s="5" t="str">
        <f t="shared" si="19"/>
        <v>Data Present</v>
      </c>
      <c r="H282" s="10">
        <f>IFERROR(B282/'Raw Data'!A283,"Error: Div by Zero")</f>
        <v>166.84095446335203</v>
      </c>
    </row>
    <row r="283" spans="1:8" x14ac:dyDescent="0.25">
      <c r="A283" s="5">
        <v>281</v>
      </c>
      <c r="B283" s="5">
        <f>'Raw Data'!N284</f>
        <v>45.4</v>
      </c>
      <c r="C283" s="5">
        <f>'Raw Data'!I284</f>
        <v>5</v>
      </c>
      <c r="D283" s="5" t="str">
        <f t="shared" si="16"/>
        <v>Low Access</v>
      </c>
      <c r="E283" s="5" t="str">
        <f t="shared" si="17"/>
        <v>Over $45k</v>
      </c>
      <c r="F283" s="5" t="str">
        <f t="shared" si="18"/>
        <v>Valid Number</v>
      </c>
      <c r="G283" s="5" t="str">
        <f t="shared" si="19"/>
        <v>Data Present</v>
      </c>
      <c r="H283" s="10">
        <f>IFERROR(B283/'Raw Data'!A284,"Error: Div by Zero")</f>
        <v>1268.8652878703185</v>
      </c>
    </row>
    <row r="284" spans="1:8" x14ac:dyDescent="0.25">
      <c r="A284" s="5">
        <v>282</v>
      </c>
      <c r="B284" s="5">
        <f>'Raw Data'!N285</f>
        <v>35.4</v>
      </c>
      <c r="C284" s="5">
        <f>'Raw Data'!I285</f>
        <v>5</v>
      </c>
      <c r="D284" s="5" t="str">
        <f t="shared" si="16"/>
        <v>Low Access</v>
      </c>
      <c r="E284" s="5" t="str">
        <f t="shared" si="17"/>
        <v>$35-45k</v>
      </c>
      <c r="F284" s="5" t="str">
        <f t="shared" si="18"/>
        <v>Valid Number</v>
      </c>
      <c r="G284" s="5" t="str">
        <f t="shared" si="19"/>
        <v>Data Present</v>
      </c>
      <c r="H284" s="10">
        <f>IFERROR(B284/'Raw Data'!A285,"Error: Div by Zero")</f>
        <v>955.46558704453435</v>
      </c>
    </row>
    <row r="285" spans="1:8" x14ac:dyDescent="0.25">
      <c r="A285" s="5">
        <v>283</v>
      </c>
      <c r="B285" s="5">
        <f>'Raw Data'!N286</f>
        <v>46</v>
      </c>
      <c r="C285" s="5">
        <f>'Raw Data'!I286</f>
        <v>5</v>
      </c>
      <c r="D285" s="5" t="str">
        <f t="shared" si="16"/>
        <v>Low Access</v>
      </c>
      <c r="E285" s="5" t="str">
        <f t="shared" si="17"/>
        <v>Over $45k</v>
      </c>
      <c r="F285" s="5" t="str">
        <f t="shared" si="18"/>
        <v>Valid Number</v>
      </c>
      <c r="G285" s="5" t="str">
        <f t="shared" si="19"/>
        <v>Data Present</v>
      </c>
      <c r="H285" s="10">
        <f>IFERROR(B285/'Raw Data'!A286,"Error: Div by Zero")</f>
        <v>750.53026594876815</v>
      </c>
    </row>
    <row r="286" spans="1:8" x14ac:dyDescent="0.25">
      <c r="A286" s="5">
        <v>284</v>
      </c>
      <c r="B286" s="5">
        <f>'Raw Data'!N287</f>
        <v>50</v>
      </c>
      <c r="C286" s="5">
        <f>'Raw Data'!I287</f>
        <v>1</v>
      </c>
      <c r="D286" s="5" t="str">
        <f t="shared" si="16"/>
        <v>Very Low Access</v>
      </c>
      <c r="E286" s="5" t="str">
        <f t="shared" si="17"/>
        <v>Over $45k</v>
      </c>
      <c r="F286" s="5" t="str">
        <f t="shared" si="18"/>
        <v>Valid Number</v>
      </c>
      <c r="G286" s="5" t="str">
        <f t="shared" si="19"/>
        <v>Data Present</v>
      </c>
      <c r="H286" s="10">
        <f>IFERROR(B286/'Raw Data'!A287,"Error: Div by Zero")</f>
        <v>3331.1125916055962</v>
      </c>
    </row>
    <row r="287" spans="1:8" x14ac:dyDescent="0.25">
      <c r="A287" s="5">
        <v>285</v>
      </c>
      <c r="B287" s="5">
        <f>'Raw Data'!N288</f>
        <v>32.200000000000003</v>
      </c>
      <c r="C287" s="5">
        <f>'Raw Data'!I288</f>
        <v>1</v>
      </c>
      <c r="D287" s="5" t="str">
        <f t="shared" si="16"/>
        <v>Very Low Access</v>
      </c>
      <c r="E287" s="5" t="str">
        <f t="shared" si="17"/>
        <v>$25-35k</v>
      </c>
      <c r="F287" s="5" t="str">
        <f t="shared" si="18"/>
        <v>Valid Number</v>
      </c>
      <c r="G287" s="5" t="str">
        <f t="shared" si="19"/>
        <v>Data Present</v>
      </c>
      <c r="H287" s="10">
        <f>IFERROR(B287/'Raw Data'!A288,"Error: Div by Zero")</f>
        <v>3554.0838852097131</v>
      </c>
    </row>
    <row r="288" spans="1:8" x14ac:dyDescent="0.25">
      <c r="A288" s="5">
        <v>286</v>
      </c>
      <c r="B288" s="5">
        <f>'Raw Data'!N289</f>
        <v>22</v>
      </c>
      <c r="C288" s="5">
        <f>'Raw Data'!I289</f>
        <v>1</v>
      </c>
      <c r="D288" s="5" t="str">
        <f t="shared" si="16"/>
        <v>Very Low Access</v>
      </c>
      <c r="E288" s="5" t="str">
        <f t="shared" si="17"/>
        <v>$15-25k</v>
      </c>
      <c r="F288" s="5" t="str">
        <f t="shared" si="18"/>
        <v>Valid Number</v>
      </c>
      <c r="G288" s="5" t="str">
        <f t="shared" si="19"/>
        <v>Data Present</v>
      </c>
      <c r="H288" s="10">
        <f>IFERROR(B288/'Raw Data'!A289,"Error: Div by Zero")</f>
        <v>2007.2992700729928</v>
      </c>
    </row>
    <row r="289" spans="1:8" x14ac:dyDescent="0.25">
      <c r="A289" s="5">
        <v>287</v>
      </c>
      <c r="B289" s="5">
        <f>'Raw Data'!N290</f>
        <v>20.100000000000001</v>
      </c>
      <c r="C289" s="5">
        <f>'Raw Data'!I290</f>
        <v>1</v>
      </c>
      <c r="D289" s="5" t="str">
        <f t="shared" si="16"/>
        <v>Very Low Access</v>
      </c>
      <c r="E289" s="5" t="str">
        <f t="shared" si="17"/>
        <v>$15-25k</v>
      </c>
      <c r="F289" s="5" t="str">
        <f t="shared" si="18"/>
        <v>Valid Number</v>
      </c>
      <c r="G289" s="5" t="str">
        <f t="shared" si="19"/>
        <v>Data Present</v>
      </c>
      <c r="H289" s="10">
        <f>IFERROR(B289/'Raw Data'!A290,"Error: Div by Zero")</f>
        <v>1022.9007633587787</v>
      </c>
    </row>
    <row r="290" spans="1:8" x14ac:dyDescent="0.25">
      <c r="A290" s="5">
        <v>288</v>
      </c>
      <c r="B290" s="5">
        <f>'Raw Data'!N291</f>
        <v>23.2</v>
      </c>
      <c r="C290" s="5">
        <f>'Raw Data'!I291</f>
        <v>6</v>
      </c>
      <c r="D290" s="5" t="str">
        <f t="shared" si="16"/>
        <v>Low Access</v>
      </c>
      <c r="E290" s="5" t="str">
        <f t="shared" si="17"/>
        <v>$15-25k</v>
      </c>
      <c r="F290" s="5" t="str">
        <f t="shared" si="18"/>
        <v>Valid Number</v>
      </c>
      <c r="G290" s="5" t="str">
        <f t="shared" si="19"/>
        <v>Data Present</v>
      </c>
      <c r="H290" s="10">
        <f>IFERROR(B290/'Raw Data'!A291,"Error: Div by Zero")</f>
        <v>599.32833893050883</v>
      </c>
    </row>
    <row r="291" spans="1:8" x14ac:dyDescent="0.25">
      <c r="A291" s="5">
        <v>289</v>
      </c>
      <c r="B291" s="5">
        <f>'Raw Data'!N292</f>
        <v>22.3</v>
      </c>
      <c r="C291" s="5">
        <f>'Raw Data'!I292</f>
        <v>6</v>
      </c>
      <c r="D291" s="5" t="str">
        <f t="shared" si="16"/>
        <v>Low Access</v>
      </c>
      <c r="E291" s="5" t="str">
        <f t="shared" si="17"/>
        <v>$15-25k</v>
      </c>
      <c r="F291" s="5" t="str">
        <f t="shared" si="18"/>
        <v>Valid Number</v>
      </c>
      <c r="G291" s="5" t="str">
        <f t="shared" si="19"/>
        <v>Data Present</v>
      </c>
      <c r="H291" s="10">
        <f>IFERROR(B291/'Raw Data'!A292,"Error: Div by Zero")</f>
        <v>485.838779956427</v>
      </c>
    </row>
    <row r="292" spans="1:8" x14ac:dyDescent="0.25">
      <c r="A292" s="5">
        <v>290</v>
      </c>
      <c r="B292" s="5">
        <f>'Raw Data'!N293</f>
        <v>24.8</v>
      </c>
      <c r="C292" s="5">
        <f>'Raw Data'!I293</f>
        <v>6</v>
      </c>
      <c r="D292" s="5" t="str">
        <f t="shared" si="16"/>
        <v>Low Access</v>
      </c>
      <c r="E292" s="5" t="str">
        <f t="shared" si="17"/>
        <v>$15-25k</v>
      </c>
      <c r="F292" s="5" t="str">
        <f t="shared" si="18"/>
        <v>Valid Number</v>
      </c>
      <c r="G292" s="5" t="str">
        <f t="shared" si="19"/>
        <v>Data Present</v>
      </c>
      <c r="H292" s="10">
        <f>IFERROR(B292/'Raw Data'!A293,"Error: Div by Zero")</f>
        <v>577.14684663718879</v>
      </c>
    </row>
    <row r="293" spans="1:8" x14ac:dyDescent="0.25">
      <c r="A293" s="5">
        <v>291</v>
      </c>
      <c r="B293" s="5">
        <f>'Raw Data'!N294</f>
        <v>28.5</v>
      </c>
      <c r="C293" s="5">
        <f>'Raw Data'!I294</f>
        <v>4</v>
      </c>
      <c r="D293" s="5" t="str">
        <f t="shared" si="16"/>
        <v>Very Low Access</v>
      </c>
      <c r="E293" s="5" t="str">
        <f t="shared" si="17"/>
        <v>$25-35k</v>
      </c>
      <c r="F293" s="5" t="str">
        <f t="shared" si="18"/>
        <v>Valid Number</v>
      </c>
      <c r="G293" s="5" t="str">
        <f t="shared" si="19"/>
        <v>Data Present</v>
      </c>
      <c r="H293" s="10">
        <f>IFERROR(B293/'Raw Data'!A294,"Error: Div by Zero")</f>
        <v>813.82067390062821</v>
      </c>
    </row>
    <row r="294" spans="1:8" x14ac:dyDescent="0.25">
      <c r="A294" s="5">
        <v>292</v>
      </c>
      <c r="B294" s="5">
        <f>'Raw Data'!N295</f>
        <v>37.299999999999997</v>
      </c>
      <c r="C294" s="5">
        <f>'Raw Data'!I295</f>
        <v>4</v>
      </c>
      <c r="D294" s="5" t="str">
        <f t="shared" si="16"/>
        <v>Very Low Access</v>
      </c>
      <c r="E294" s="5" t="str">
        <f t="shared" si="17"/>
        <v>$35-45k</v>
      </c>
      <c r="F294" s="5" t="str">
        <f t="shared" si="18"/>
        <v>Valid Number</v>
      </c>
      <c r="G294" s="5" t="str">
        <f t="shared" si="19"/>
        <v>Data Present</v>
      </c>
      <c r="H294" s="10">
        <f>IFERROR(B294/'Raw Data'!A295,"Error: Div by Zero")</f>
        <v>472.99010905401974</v>
      </c>
    </row>
    <row r="295" spans="1:8" x14ac:dyDescent="0.25">
      <c r="A295" s="5">
        <v>293</v>
      </c>
      <c r="B295" s="5">
        <f>'Raw Data'!N296</f>
        <v>27.9</v>
      </c>
      <c r="C295" s="5">
        <f>'Raw Data'!I296</f>
        <v>4</v>
      </c>
      <c r="D295" s="5" t="str">
        <f t="shared" si="16"/>
        <v>Very Low Access</v>
      </c>
      <c r="E295" s="5" t="str">
        <f t="shared" si="17"/>
        <v>$25-35k</v>
      </c>
      <c r="F295" s="5" t="str">
        <f t="shared" si="18"/>
        <v>Valid Number</v>
      </c>
      <c r="G295" s="5" t="str">
        <f t="shared" si="19"/>
        <v>Data Present</v>
      </c>
      <c r="H295" s="10">
        <f>IFERROR(B295/'Raw Data'!A296,"Error: Div by Zero")</f>
        <v>771.78423236514516</v>
      </c>
    </row>
    <row r="296" spans="1:8" x14ac:dyDescent="0.25">
      <c r="A296" s="5">
        <v>294</v>
      </c>
      <c r="B296" s="5">
        <f>'Raw Data'!N297</f>
        <v>23.9</v>
      </c>
      <c r="C296" s="5">
        <f>'Raw Data'!I297</f>
        <v>4</v>
      </c>
      <c r="D296" s="5" t="str">
        <f t="shared" si="16"/>
        <v>Very Low Access</v>
      </c>
      <c r="E296" s="5" t="str">
        <f t="shared" si="17"/>
        <v>$15-25k</v>
      </c>
      <c r="F296" s="5" t="str">
        <f t="shared" si="18"/>
        <v>Valid Number</v>
      </c>
      <c r="G296" s="5" t="str">
        <f t="shared" si="19"/>
        <v>Data Present</v>
      </c>
      <c r="H296" s="10">
        <f>IFERROR(B296/'Raw Data'!A297,"Error: Div by Zero")</f>
        <v>289.17120387174833</v>
      </c>
    </row>
    <row r="297" spans="1:8" x14ac:dyDescent="0.25">
      <c r="A297" s="5">
        <v>295</v>
      </c>
      <c r="B297" s="5">
        <f>'Raw Data'!N298</f>
        <v>21.7</v>
      </c>
      <c r="C297" s="5">
        <f>'Raw Data'!I298</f>
        <v>4</v>
      </c>
      <c r="D297" s="5" t="str">
        <f t="shared" si="16"/>
        <v>Very Low Access</v>
      </c>
      <c r="E297" s="5" t="str">
        <f t="shared" si="17"/>
        <v>$15-25k</v>
      </c>
      <c r="F297" s="5" t="str">
        <f t="shared" si="18"/>
        <v>Valid Number</v>
      </c>
      <c r="G297" s="5" t="str">
        <f t="shared" si="19"/>
        <v>Data Present</v>
      </c>
      <c r="H297" s="10">
        <f>IFERROR(B297/'Raw Data'!A298,"Error: Div by Zero")</f>
        <v>264.66642273447985</v>
      </c>
    </row>
    <row r="298" spans="1:8" x14ac:dyDescent="0.25">
      <c r="A298" s="5">
        <v>296</v>
      </c>
      <c r="B298" s="5">
        <f>'Raw Data'!N299</f>
        <v>28.6</v>
      </c>
      <c r="C298" s="5">
        <f>'Raw Data'!I299</f>
        <v>4</v>
      </c>
      <c r="D298" s="5" t="str">
        <f t="shared" si="16"/>
        <v>Very Low Access</v>
      </c>
      <c r="E298" s="5" t="str">
        <f t="shared" si="17"/>
        <v>$25-35k</v>
      </c>
      <c r="F298" s="5" t="str">
        <f t="shared" si="18"/>
        <v>Valid Number</v>
      </c>
      <c r="G298" s="5" t="str">
        <f t="shared" si="19"/>
        <v>Data Present</v>
      </c>
      <c r="H298" s="10">
        <f>IFERROR(B298/'Raw Data'!A299,"Error: Div by Zero")</f>
        <v>221.15682029075165</v>
      </c>
    </row>
    <row r="299" spans="1:8" x14ac:dyDescent="0.25">
      <c r="A299" s="5">
        <v>297</v>
      </c>
      <c r="B299" s="5">
        <f>'Raw Data'!N300</f>
        <v>27.1</v>
      </c>
      <c r="C299" s="5">
        <f>'Raw Data'!I300</f>
        <v>4</v>
      </c>
      <c r="D299" s="5" t="str">
        <f t="shared" si="16"/>
        <v>Very Low Access</v>
      </c>
      <c r="E299" s="5" t="str">
        <f t="shared" si="17"/>
        <v>$25-35k</v>
      </c>
      <c r="F299" s="5" t="str">
        <f t="shared" si="18"/>
        <v>Valid Number</v>
      </c>
      <c r="G299" s="5" t="str">
        <f t="shared" si="19"/>
        <v>Data Present</v>
      </c>
      <c r="H299" s="10">
        <f>IFERROR(B299/'Raw Data'!A300,"Error: Div by Zero")</f>
        <v>504.46760982874167</v>
      </c>
    </row>
    <row r="300" spans="1:8" x14ac:dyDescent="0.25">
      <c r="A300" s="5">
        <v>298</v>
      </c>
      <c r="B300" s="5">
        <f>'Raw Data'!N301</f>
        <v>20.3</v>
      </c>
      <c r="C300" s="5">
        <f>'Raw Data'!I301</f>
        <v>4</v>
      </c>
      <c r="D300" s="5" t="str">
        <f t="shared" si="16"/>
        <v>Very Low Access</v>
      </c>
      <c r="E300" s="5" t="str">
        <f t="shared" si="17"/>
        <v>$15-25k</v>
      </c>
      <c r="F300" s="5" t="str">
        <f t="shared" si="18"/>
        <v>Valid Number</v>
      </c>
      <c r="G300" s="5" t="str">
        <f t="shared" si="19"/>
        <v>Data Present</v>
      </c>
      <c r="H300" s="10">
        <f>IFERROR(B300/'Raw Data'!A301,"Error: Div by Zero")</f>
        <v>143.94100545983125</v>
      </c>
    </row>
    <row r="301" spans="1:8" x14ac:dyDescent="0.25">
      <c r="A301" s="5">
        <v>299</v>
      </c>
      <c r="B301" s="5">
        <f>'Raw Data'!N302</f>
        <v>22.5</v>
      </c>
      <c r="C301" s="5">
        <f>'Raw Data'!I302</f>
        <v>5</v>
      </c>
      <c r="D301" s="5" t="str">
        <f t="shared" si="16"/>
        <v>Low Access</v>
      </c>
      <c r="E301" s="5" t="str">
        <f t="shared" si="17"/>
        <v>$15-25k</v>
      </c>
      <c r="F301" s="5" t="str">
        <f t="shared" si="18"/>
        <v>Valid Number</v>
      </c>
      <c r="G301" s="5" t="str">
        <f t="shared" si="19"/>
        <v>Data Present</v>
      </c>
      <c r="H301" s="10">
        <f>IFERROR(B301/'Raw Data'!A302,"Error: Div by Zero")</f>
        <v>347.97401793999381</v>
      </c>
    </row>
    <row r="302" spans="1:8" x14ac:dyDescent="0.25">
      <c r="A302" s="5">
        <v>300</v>
      </c>
      <c r="B302" s="5">
        <f>'Raw Data'!N303</f>
        <v>29</v>
      </c>
      <c r="C302" s="5">
        <f>'Raw Data'!I303</f>
        <v>5</v>
      </c>
      <c r="D302" s="5" t="str">
        <f t="shared" si="16"/>
        <v>Low Access</v>
      </c>
      <c r="E302" s="5" t="str">
        <f t="shared" si="17"/>
        <v>$25-35k</v>
      </c>
      <c r="F302" s="5" t="str">
        <f t="shared" si="18"/>
        <v>Valid Number</v>
      </c>
      <c r="G302" s="5" t="str">
        <f t="shared" si="19"/>
        <v>Data Present</v>
      </c>
      <c r="H302" s="10">
        <f>IFERROR(B302/'Raw Data'!A303,"Error: Div by Zero")</f>
        <v>521.48894083797882</v>
      </c>
    </row>
    <row r="303" spans="1:8" x14ac:dyDescent="0.25">
      <c r="A303" s="5">
        <v>301</v>
      </c>
      <c r="B303" s="5">
        <f>'Raw Data'!N304</f>
        <v>24.8</v>
      </c>
      <c r="C303" s="5">
        <f>'Raw Data'!I304</f>
        <v>5</v>
      </c>
      <c r="D303" s="5" t="str">
        <f t="shared" si="16"/>
        <v>Low Access</v>
      </c>
      <c r="E303" s="5" t="str">
        <f t="shared" si="17"/>
        <v>$15-25k</v>
      </c>
      <c r="F303" s="5" t="str">
        <f t="shared" si="18"/>
        <v>Valid Number</v>
      </c>
      <c r="G303" s="5" t="str">
        <f t="shared" si="19"/>
        <v>Data Present</v>
      </c>
      <c r="H303" s="10">
        <f>IFERROR(B303/'Raw Data'!A304,"Error: Div by Zero")</f>
        <v>561.46705908987997</v>
      </c>
    </row>
    <row r="304" spans="1:8" x14ac:dyDescent="0.25">
      <c r="A304" s="5">
        <v>302</v>
      </c>
      <c r="B304" s="5">
        <f>'Raw Data'!N305</f>
        <v>22</v>
      </c>
      <c r="C304" s="5">
        <f>'Raw Data'!I305</f>
        <v>7</v>
      </c>
      <c r="D304" s="5" t="str">
        <f t="shared" si="16"/>
        <v>Low Access</v>
      </c>
      <c r="E304" s="5" t="str">
        <f t="shared" si="17"/>
        <v>$15-25k</v>
      </c>
      <c r="F304" s="5" t="str">
        <f t="shared" si="18"/>
        <v>Valid Number</v>
      </c>
      <c r="G304" s="5" t="str">
        <f t="shared" si="19"/>
        <v>Data Present</v>
      </c>
      <c r="H304" s="10">
        <f>IFERROR(B304/'Raw Data'!A305,"Error: Div by Zero")</f>
        <v>621.99604184337011</v>
      </c>
    </row>
    <row r="305" spans="1:8" x14ac:dyDescent="0.25">
      <c r="A305" s="5">
        <v>303</v>
      </c>
      <c r="B305" s="5">
        <f>'Raw Data'!N306</f>
        <v>26.4</v>
      </c>
      <c r="C305" s="5">
        <f>'Raw Data'!I306</f>
        <v>7</v>
      </c>
      <c r="D305" s="5" t="str">
        <f t="shared" si="16"/>
        <v>Low Access</v>
      </c>
      <c r="E305" s="5" t="str">
        <f t="shared" si="17"/>
        <v>$25-35k</v>
      </c>
      <c r="F305" s="5" t="str">
        <f t="shared" si="18"/>
        <v>Valid Number</v>
      </c>
      <c r="G305" s="5" t="str">
        <f t="shared" si="19"/>
        <v>Data Present</v>
      </c>
      <c r="H305" s="10">
        <f>IFERROR(B305/'Raw Data'!A306,"Error: Div by Zero")</f>
        <v>284.91258363911066</v>
      </c>
    </row>
    <row r="306" spans="1:8" x14ac:dyDescent="0.25">
      <c r="A306" s="5">
        <v>304</v>
      </c>
      <c r="B306" s="5">
        <f>'Raw Data'!N307</f>
        <v>33.1</v>
      </c>
      <c r="C306" s="5">
        <f>'Raw Data'!I307</f>
        <v>7</v>
      </c>
      <c r="D306" s="5" t="str">
        <f t="shared" si="16"/>
        <v>Low Access</v>
      </c>
      <c r="E306" s="5" t="str">
        <f t="shared" si="17"/>
        <v>$25-35k</v>
      </c>
      <c r="F306" s="5" t="str">
        <f t="shared" si="18"/>
        <v>Valid Number</v>
      </c>
      <c r="G306" s="5" t="str">
        <f t="shared" si="19"/>
        <v>Data Present</v>
      </c>
      <c r="H306" s="10">
        <f>IFERROR(B306/'Raw Data'!A307,"Error: Div by Zero")</f>
        <v>331</v>
      </c>
    </row>
    <row r="307" spans="1:8" x14ac:dyDescent="0.25">
      <c r="A307" s="5">
        <v>305</v>
      </c>
      <c r="B307" s="5">
        <f>'Raw Data'!N308</f>
        <v>36.1</v>
      </c>
      <c r="C307" s="5">
        <f>'Raw Data'!I308</f>
        <v>7</v>
      </c>
      <c r="D307" s="5" t="str">
        <f t="shared" si="16"/>
        <v>Low Access</v>
      </c>
      <c r="E307" s="5" t="str">
        <f t="shared" si="17"/>
        <v>$35-45k</v>
      </c>
      <c r="F307" s="5" t="str">
        <f t="shared" si="18"/>
        <v>Valid Number</v>
      </c>
      <c r="G307" s="5" t="str">
        <f t="shared" si="19"/>
        <v>Data Present</v>
      </c>
      <c r="H307" s="10">
        <f>IFERROR(B307/'Raw Data'!A308,"Error: Div by Zero")</f>
        <v>654.57842248413419</v>
      </c>
    </row>
    <row r="308" spans="1:8" x14ac:dyDescent="0.25">
      <c r="A308" s="5">
        <v>306</v>
      </c>
      <c r="B308" s="5">
        <f>'Raw Data'!N309</f>
        <v>28.4</v>
      </c>
      <c r="C308" s="5">
        <f>'Raw Data'!I309</f>
        <v>7</v>
      </c>
      <c r="D308" s="5" t="str">
        <f t="shared" si="16"/>
        <v>Low Access</v>
      </c>
      <c r="E308" s="5" t="str">
        <f t="shared" si="17"/>
        <v>$25-35k</v>
      </c>
      <c r="F308" s="5" t="str">
        <f t="shared" si="18"/>
        <v>Valid Number</v>
      </c>
      <c r="G308" s="5" t="str">
        <f t="shared" si="19"/>
        <v>Data Present</v>
      </c>
      <c r="H308" s="10">
        <f>IFERROR(B308/'Raw Data'!A309,"Error: Div by Zero")</f>
        <v>518.34276327797045</v>
      </c>
    </row>
    <row r="309" spans="1:8" x14ac:dyDescent="0.25">
      <c r="A309" s="5">
        <v>307</v>
      </c>
      <c r="B309" s="5">
        <f>'Raw Data'!N310</f>
        <v>33.4</v>
      </c>
      <c r="C309" s="5">
        <f>'Raw Data'!I310</f>
        <v>7</v>
      </c>
      <c r="D309" s="5" t="str">
        <f t="shared" si="16"/>
        <v>Low Access</v>
      </c>
      <c r="E309" s="5" t="str">
        <f t="shared" si="17"/>
        <v>$25-35k</v>
      </c>
      <c r="F309" s="5" t="str">
        <f t="shared" si="18"/>
        <v>Valid Number</v>
      </c>
      <c r="G309" s="5" t="str">
        <f t="shared" si="19"/>
        <v>Data Present</v>
      </c>
      <c r="H309" s="10">
        <f>IFERROR(B309/'Raw Data'!A310,"Error: Div by Zero")</f>
        <v>445.15527122484337</v>
      </c>
    </row>
    <row r="310" spans="1:8" x14ac:dyDescent="0.25">
      <c r="A310" s="5">
        <v>308</v>
      </c>
      <c r="B310" s="5">
        <f>'Raw Data'!N311</f>
        <v>28.2</v>
      </c>
      <c r="C310" s="5">
        <f>'Raw Data'!I311</f>
        <v>7</v>
      </c>
      <c r="D310" s="5" t="str">
        <f t="shared" si="16"/>
        <v>Low Access</v>
      </c>
      <c r="E310" s="5" t="str">
        <f t="shared" si="17"/>
        <v>$25-35k</v>
      </c>
      <c r="F310" s="5" t="str">
        <f t="shared" si="18"/>
        <v>Valid Number</v>
      </c>
      <c r="G310" s="5" t="str">
        <f t="shared" si="19"/>
        <v>Data Present</v>
      </c>
      <c r="H310" s="10">
        <f>IFERROR(B310/'Raw Data'!A311,"Error: Div by Zero")</f>
        <v>571.77615571776153</v>
      </c>
    </row>
    <row r="311" spans="1:8" x14ac:dyDescent="0.25">
      <c r="A311" s="5">
        <v>309</v>
      </c>
      <c r="B311" s="5">
        <f>'Raw Data'!N312</f>
        <v>22.8</v>
      </c>
      <c r="C311" s="5">
        <f>'Raw Data'!I312</f>
        <v>4</v>
      </c>
      <c r="D311" s="5" t="str">
        <f t="shared" si="16"/>
        <v>Very Low Access</v>
      </c>
      <c r="E311" s="5" t="str">
        <f t="shared" si="17"/>
        <v>$15-25k</v>
      </c>
      <c r="F311" s="5" t="str">
        <f t="shared" si="18"/>
        <v>Valid Number</v>
      </c>
      <c r="G311" s="5" t="str">
        <f t="shared" si="19"/>
        <v>Data Present</v>
      </c>
      <c r="H311" s="10">
        <f>IFERROR(B311/'Raw Data'!A312,"Error: Div by Zero")</f>
        <v>46.249340744046414</v>
      </c>
    </row>
    <row r="312" spans="1:8" x14ac:dyDescent="0.25">
      <c r="A312" s="5">
        <v>310</v>
      </c>
      <c r="B312" s="5">
        <f>'Raw Data'!N313</f>
        <v>20.3</v>
      </c>
      <c r="C312" s="5">
        <f>'Raw Data'!I313</f>
        <v>4</v>
      </c>
      <c r="D312" s="5" t="str">
        <f t="shared" si="16"/>
        <v>Very Low Access</v>
      </c>
      <c r="E312" s="5" t="str">
        <f t="shared" si="17"/>
        <v>$15-25k</v>
      </c>
      <c r="F312" s="5" t="str">
        <f t="shared" si="18"/>
        <v>Valid Number</v>
      </c>
      <c r="G312" s="5" t="str">
        <f t="shared" si="19"/>
        <v>Data Present</v>
      </c>
      <c r="H312" s="10">
        <f>IFERROR(B312/'Raw Data'!A313,"Error: Div by Zero")</f>
        <v>58.099599313108186</v>
      </c>
    </row>
    <row r="313" spans="1:8" x14ac:dyDescent="0.25">
      <c r="A313" s="5">
        <v>311</v>
      </c>
      <c r="B313" s="5">
        <f>'Raw Data'!N314</f>
        <v>16.100000000000001</v>
      </c>
      <c r="C313" s="5">
        <f>'Raw Data'!I314</f>
        <v>4</v>
      </c>
      <c r="D313" s="5" t="str">
        <f t="shared" si="16"/>
        <v>Very Low Access</v>
      </c>
      <c r="E313" s="5" t="str">
        <f t="shared" si="17"/>
        <v>$15-25k</v>
      </c>
      <c r="F313" s="5" t="str">
        <f t="shared" si="18"/>
        <v>Valid Number</v>
      </c>
      <c r="G313" s="5" t="str">
        <f t="shared" si="19"/>
        <v>Data Present</v>
      </c>
      <c r="H313" s="10">
        <f>IFERROR(B313/'Raw Data'!A314,"Error: Div by Zero")</f>
        <v>6.1089441012642869</v>
      </c>
    </row>
    <row r="314" spans="1:8" x14ac:dyDescent="0.25">
      <c r="A314" s="5">
        <v>312</v>
      </c>
      <c r="B314" s="5">
        <f>'Raw Data'!N315</f>
        <v>22.1</v>
      </c>
      <c r="C314" s="5">
        <f>'Raw Data'!I315</f>
        <v>4</v>
      </c>
      <c r="D314" s="5" t="str">
        <f t="shared" si="16"/>
        <v>Very Low Access</v>
      </c>
      <c r="E314" s="5" t="str">
        <f t="shared" si="17"/>
        <v>$15-25k</v>
      </c>
      <c r="F314" s="5" t="str">
        <f t="shared" si="18"/>
        <v>Valid Number</v>
      </c>
      <c r="G314" s="5" t="str">
        <f t="shared" si="19"/>
        <v>Data Present</v>
      </c>
      <c r="H314" s="10">
        <f>IFERROR(B314/'Raw Data'!A315,"Error: Div by Zero")</f>
        <v>27.960172568666898</v>
      </c>
    </row>
    <row r="315" spans="1:8" x14ac:dyDescent="0.25">
      <c r="A315" s="5">
        <v>313</v>
      </c>
      <c r="B315" s="5">
        <f>'Raw Data'!N316</f>
        <v>19.399999999999999</v>
      </c>
      <c r="C315" s="5">
        <f>'Raw Data'!I316</f>
        <v>4</v>
      </c>
      <c r="D315" s="5" t="str">
        <f t="shared" si="16"/>
        <v>Very Low Access</v>
      </c>
      <c r="E315" s="5" t="str">
        <f t="shared" si="17"/>
        <v>$15-25k</v>
      </c>
      <c r="F315" s="5" t="str">
        <f t="shared" si="18"/>
        <v>Valid Number</v>
      </c>
      <c r="G315" s="5" t="str">
        <f t="shared" si="19"/>
        <v>Data Present</v>
      </c>
      <c r="H315" s="10">
        <f>IFERROR(B315/'Raw Data'!A316,"Error: Div by Zero")</f>
        <v>74.133516756467571</v>
      </c>
    </row>
    <row r="316" spans="1:8" x14ac:dyDescent="0.25">
      <c r="A316" s="5">
        <v>314</v>
      </c>
      <c r="B316" s="5">
        <f>'Raw Data'!N317</f>
        <v>21.6</v>
      </c>
      <c r="C316" s="5">
        <f>'Raw Data'!I317</f>
        <v>4</v>
      </c>
      <c r="D316" s="5" t="str">
        <f t="shared" si="16"/>
        <v>Very Low Access</v>
      </c>
      <c r="E316" s="5" t="str">
        <f t="shared" si="17"/>
        <v>$15-25k</v>
      </c>
      <c r="F316" s="5" t="str">
        <f t="shared" si="18"/>
        <v>Valid Number</v>
      </c>
      <c r="G316" s="5" t="str">
        <f t="shared" si="19"/>
        <v>Data Present</v>
      </c>
      <c r="H316" s="10">
        <f>IFERROR(B316/'Raw Data'!A317,"Error: Div by Zero")</f>
        <v>80.184126512732945</v>
      </c>
    </row>
    <row r="317" spans="1:8" x14ac:dyDescent="0.25">
      <c r="A317" s="5">
        <v>315</v>
      </c>
      <c r="B317" s="5">
        <f>'Raw Data'!N318</f>
        <v>23.8</v>
      </c>
      <c r="C317" s="5">
        <f>'Raw Data'!I318</f>
        <v>4</v>
      </c>
      <c r="D317" s="5" t="str">
        <f t="shared" si="16"/>
        <v>Very Low Access</v>
      </c>
      <c r="E317" s="5" t="str">
        <f t="shared" si="17"/>
        <v>$15-25k</v>
      </c>
      <c r="F317" s="5" t="str">
        <f t="shared" si="18"/>
        <v>Valid Number</v>
      </c>
      <c r="G317" s="5" t="str">
        <f t="shared" si="19"/>
        <v>Data Present</v>
      </c>
      <c r="H317" s="10">
        <f>IFERROR(B317/'Raw Data'!A318,"Error: Div by Zero")</f>
        <v>64.463705308775744</v>
      </c>
    </row>
    <row r="318" spans="1:8" x14ac:dyDescent="0.25">
      <c r="A318" s="5">
        <v>316</v>
      </c>
      <c r="B318" s="5">
        <f>'Raw Data'!N319</f>
        <v>16.2</v>
      </c>
      <c r="C318" s="5">
        <f>'Raw Data'!I319</f>
        <v>4</v>
      </c>
      <c r="D318" s="5" t="str">
        <f t="shared" si="16"/>
        <v>Very Low Access</v>
      </c>
      <c r="E318" s="5" t="str">
        <f t="shared" si="17"/>
        <v>$15-25k</v>
      </c>
      <c r="F318" s="5" t="str">
        <f t="shared" si="18"/>
        <v>Valid Number</v>
      </c>
      <c r="G318" s="5" t="str">
        <f t="shared" si="19"/>
        <v>Data Present</v>
      </c>
      <c r="H318" s="10">
        <f>IFERROR(B318/'Raw Data'!A319,"Error: Div by Zero")</f>
        <v>63.890203502129665</v>
      </c>
    </row>
    <row r="319" spans="1:8" x14ac:dyDescent="0.25">
      <c r="A319" s="5">
        <v>317</v>
      </c>
      <c r="B319" s="5">
        <f>'Raw Data'!N320</f>
        <v>17.8</v>
      </c>
      <c r="C319" s="5">
        <f>'Raw Data'!I320</f>
        <v>4</v>
      </c>
      <c r="D319" s="5" t="str">
        <f t="shared" si="16"/>
        <v>Very Low Access</v>
      </c>
      <c r="E319" s="5" t="str">
        <f t="shared" si="17"/>
        <v>$15-25k</v>
      </c>
      <c r="F319" s="5" t="str">
        <f t="shared" si="18"/>
        <v>Valid Number</v>
      </c>
      <c r="G319" s="5" t="str">
        <f t="shared" si="19"/>
        <v>Data Present</v>
      </c>
      <c r="H319" s="10">
        <f>IFERROR(B319/'Raw Data'!A320,"Error: Div by Zero")</f>
        <v>55.927357275269429</v>
      </c>
    </row>
    <row r="320" spans="1:8" x14ac:dyDescent="0.25">
      <c r="A320" s="5">
        <v>318</v>
      </c>
      <c r="B320" s="5">
        <f>'Raw Data'!N321</f>
        <v>19.8</v>
      </c>
      <c r="C320" s="5">
        <f>'Raw Data'!I321</f>
        <v>4</v>
      </c>
      <c r="D320" s="5" t="str">
        <f t="shared" si="16"/>
        <v>Very Low Access</v>
      </c>
      <c r="E320" s="5" t="str">
        <f t="shared" si="17"/>
        <v>$15-25k</v>
      </c>
      <c r="F320" s="5" t="str">
        <f t="shared" si="18"/>
        <v>Valid Number</v>
      </c>
      <c r="G320" s="5" t="str">
        <f t="shared" si="19"/>
        <v>Data Present</v>
      </c>
      <c r="H320" s="10">
        <f>IFERROR(B320/'Raw Data'!A321,"Error: Div by Zero")</f>
        <v>80.74382187423538</v>
      </c>
    </row>
    <row r="321" spans="1:8" x14ac:dyDescent="0.25">
      <c r="A321" s="5">
        <v>319</v>
      </c>
      <c r="B321" s="5">
        <f>'Raw Data'!N322</f>
        <v>23.1</v>
      </c>
      <c r="C321" s="5">
        <f>'Raw Data'!I322</f>
        <v>4</v>
      </c>
      <c r="D321" s="5" t="str">
        <f t="shared" si="16"/>
        <v>Very Low Access</v>
      </c>
      <c r="E321" s="5" t="str">
        <f t="shared" si="17"/>
        <v>$15-25k</v>
      </c>
      <c r="F321" s="5" t="str">
        <f t="shared" si="18"/>
        <v>Valid Number</v>
      </c>
      <c r="G321" s="5" t="str">
        <f t="shared" si="19"/>
        <v>Data Present</v>
      </c>
      <c r="H321" s="10">
        <f>IFERROR(B321/'Raw Data'!A322,"Error: Div by Zero")</f>
        <v>57.459827869260238</v>
      </c>
    </row>
    <row r="322" spans="1:8" x14ac:dyDescent="0.25">
      <c r="A322" s="5">
        <v>320</v>
      </c>
      <c r="B322" s="5">
        <f>'Raw Data'!N323</f>
        <v>21</v>
      </c>
      <c r="C322" s="5">
        <f>'Raw Data'!I323</f>
        <v>4</v>
      </c>
      <c r="D322" s="5" t="str">
        <f t="shared" si="16"/>
        <v>Very Low Access</v>
      </c>
      <c r="E322" s="5" t="str">
        <f t="shared" si="17"/>
        <v>$15-25k</v>
      </c>
      <c r="F322" s="5" t="str">
        <f t="shared" si="18"/>
        <v>Valid Number</v>
      </c>
      <c r="G322" s="5" t="str">
        <f t="shared" si="19"/>
        <v>Data Present</v>
      </c>
      <c r="H322" s="10">
        <f>IFERROR(B322/'Raw Data'!A323,"Error: Div by Zero")</f>
        <v>44.166824405325258</v>
      </c>
    </row>
    <row r="323" spans="1:8" x14ac:dyDescent="0.25">
      <c r="A323" s="5">
        <v>321</v>
      </c>
      <c r="B323" s="5">
        <f>'Raw Data'!N324</f>
        <v>23.8</v>
      </c>
      <c r="C323" s="5">
        <f>'Raw Data'!I324</f>
        <v>5</v>
      </c>
      <c r="D323" s="5" t="str">
        <f t="shared" si="16"/>
        <v>Low Access</v>
      </c>
      <c r="E323" s="5" t="str">
        <f t="shared" si="17"/>
        <v>$15-25k</v>
      </c>
      <c r="F323" s="5" t="str">
        <f t="shared" si="18"/>
        <v>Valid Number</v>
      </c>
      <c r="G323" s="5" t="str">
        <f t="shared" si="19"/>
        <v>Data Present</v>
      </c>
      <c r="H323" s="10">
        <f>IFERROR(B323/'Raw Data'!A324,"Error: Div by Zero")</f>
        <v>142.00477326968974</v>
      </c>
    </row>
    <row r="324" spans="1:8" x14ac:dyDescent="0.25">
      <c r="A324" s="5">
        <v>322</v>
      </c>
      <c r="B324" s="5">
        <f>'Raw Data'!N325</f>
        <v>23.1</v>
      </c>
      <c r="C324" s="5">
        <f>'Raw Data'!I325</f>
        <v>5</v>
      </c>
      <c r="D324" s="5" t="str">
        <f t="shared" ref="D324:D387" si="20">CHOOSE(MIN(5,MAX(1,INT(C324/5)+1)),"Very Low Access","Low Access","Medium Access","High Access","Very High Access")</f>
        <v>Low Access</v>
      </c>
      <c r="E324" s="5" t="str">
        <f t="shared" ref="E324:E387" si="21">IF(B324&lt;15,"Under $15k",IF(B324&lt;25,"$15-25k",IF(B324&lt;35,"$25-35k",IF(B324&lt;45,"$35-45k","Over $45k"))))</f>
        <v>$15-25k</v>
      </c>
      <c r="F324" s="5" t="str">
        <f t="shared" ref="F324:F387" si="22">IF(ISNUMBER(B324),"Valid Number","Not a Number")</f>
        <v>Valid Number</v>
      </c>
      <c r="G324" s="5" t="str">
        <f t="shared" ref="G324:G387" si="23">IF(ISBLANK(B324),"Missing","Data Present")</f>
        <v>Data Present</v>
      </c>
      <c r="H324" s="10">
        <f>IFERROR(B324/'Raw Data'!A325,"Error: Div by Zero")</f>
        <v>127.20964810837602</v>
      </c>
    </row>
    <row r="325" spans="1:8" x14ac:dyDescent="0.25">
      <c r="A325" s="5">
        <v>323</v>
      </c>
      <c r="B325" s="5">
        <f>'Raw Data'!N326</f>
        <v>20.399999999999999</v>
      </c>
      <c r="C325" s="5">
        <f>'Raw Data'!I326</f>
        <v>5</v>
      </c>
      <c r="D325" s="5" t="str">
        <f t="shared" si="20"/>
        <v>Low Access</v>
      </c>
      <c r="E325" s="5" t="str">
        <f t="shared" si="21"/>
        <v>$15-25k</v>
      </c>
      <c r="F325" s="5" t="str">
        <f t="shared" si="22"/>
        <v>Valid Number</v>
      </c>
      <c r="G325" s="5" t="str">
        <f t="shared" si="23"/>
        <v>Data Present</v>
      </c>
      <c r="H325" s="10">
        <f>IFERROR(B325/'Raw Data'!A326,"Error: Div by Zero")</f>
        <v>58.096485732186586</v>
      </c>
    </row>
    <row r="326" spans="1:8" x14ac:dyDescent="0.25">
      <c r="A326" s="5">
        <v>324</v>
      </c>
      <c r="B326" s="5">
        <f>'Raw Data'!N327</f>
        <v>18.5</v>
      </c>
      <c r="C326" s="5">
        <f>'Raw Data'!I327</f>
        <v>5</v>
      </c>
      <c r="D326" s="5" t="str">
        <f t="shared" si="20"/>
        <v>Low Access</v>
      </c>
      <c r="E326" s="5" t="str">
        <f t="shared" si="21"/>
        <v>$15-25k</v>
      </c>
      <c r="F326" s="5" t="str">
        <f t="shared" si="22"/>
        <v>Valid Number</v>
      </c>
      <c r="G326" s="5" t="str">
        <f t="shared" si="23"/>
        <v>Data Present</v>
      </c>
      <c r="H326" s="10">
        <f>IFERROR(B326/'Raw Data'!A327,"Error: Div by Zero")</f>
        <v>65.159199774584394</v>
      </c>
    </row>
    <row r="327" spans="1:8" x14ac:dyDescent="0.25">
      <c r="A327" s="5">
        <v>325</v>
      </c>
      <c r="B327" s="5">
        <f>'Raw Data'!N328</f>
        <v>25</v>
      </c>
      <c r="C327" s="5">
        <f>'Raw Data'!I328</f>
        <v>5</v>
      </c>
      <c r="D327" s="5" t="str">
        <f t="shared" si="20"/>
        <v>Low Access</v>
      </c>
      <c r="E327" s="5" t="str">
        <f t="shared" si="21"/>
        <v>$25-35k</v>
      </c>
      <c r="F327" s="5" t="str">
        <f t="shared" si="22"/>
        <v>Valid Number</v>
      </c>
      <c r="G327" s="5" t="str">
        <f t="shared" si="23"/>
        <v>Data Present</v>
      </c>
      <c r="H327" s="10">
        <f>IFERROR(B327/'Raw Data'!A328,"Error: Div by Zero")</f>
        <v>73.294438418012845</v>
      </c>
    </row>
    <row r="328" spans="1:8" x14ac:dyDescent="0.25">
      <c r="A328" s="5">
        <v>326</v>
      </c>
      <c r="B328" s="5">
        <f>'Raw Data'!N329</f>
        <v>24.6</v>
      </c>
      <c r="C328" s="5">
        <f>'Raw Data'!I329</f>
        <v>5</v>
      </c>
      <c r="D328" s="5" t="str">
        <f t="shared" si="20"/>
        <v>Low Access</v>
      </c>
      <c r="E328" s="5" t="str">
        <f t="shared" si="21"/>
        <v>$15-25k</v>
      </c>
      <c r="F328" s="5" t="str">
        <f t="shared" si="22"/>
        <v>Valid Number</v>
      </c>
      <c r="G328" s="5" t="str">
        <f t="shared" si="23"/>
        <v>Data Present</v>
      </c>
      <c r="H328" s="10">
        <f>IFERROR(B328/'Raw Data'!A329,"Error: Div by Zero")</f>
        <v>128.21849265089128</v>
      </c>
    </row>
    <row r="329" spans="1:8" x14ac:dyDescent="0.25">
      <c r="A329" s="5">
        <v>327</v>
      </c>
      <c r="B329" s="5">
        <f>'Raw Data'!N330</f>
        <v>23</v>
      </c>
      <c r="C329" s="5">
        <f>'Raw Data'!I330</f>
        <v>5</v>
      </c>
      <c r="D329" s="5" t="str">
        <f t="shared" si="20"/>
        <v>Low Access</v>
      </c>
      <c r="E329" s="5" t="str">
        <f t="shared" si="21"/>
        <v>$15-25k</v>
      </c>
      <c r="F329" s="5" t="str">
        <f t="shared" si="22"/>
        <v>Valid Number</v>
      </c>
      <c r="G329" s="5" t="str">
        <f t="shared" si="23"/>
        <v>Data Present</v>
      </c>
      <c r="H329" s="10">
        <f>IFERROR(B329/'Raw Data'!A330,"Error: Div by Zero")</f>
        <v>75.790028668402144</v>
      </c>
    </row>
    <row r="330" spans="1:8" x14ac:dyDescent="0.25">
      <c r="A330" s="5">
        <v>328</v>
      </c>
      <c r="B330" s="5">
        <f>'Raw Data'!N331</f>
        <v>22.2</v>
      </c>
      <c r="C330" s="5">
        <f>'Raw Data'!I331</f>
        <v>5</v>
      </c>
      <c r="D330" s="5" t="str">
        <f t="shared" si="20"/>
        <v>Low Access</v>
      </c>
      <c r="E330" s="5" t="str">
        <f t="shared" si="21"/>
        <v>$15-25k</v>
      </c>
      <c r="F330" s="5" t="str">
        <f t="shared" si="22"/>
        <v>Valid Number</v>
      </c>
      <c r="G330" s="5" t="str">
        <f t="shared" si="23"/>
        <v>Data Present</v>
      </c>
      <c r="H330" s="10">
        <f>IFERROR(B330/'Raw Data'!A331,"Error: Div by Zero")</f>
        <v>92.104717255113471</v>
      </c>
    </row>
    <row r="331" spans="1:8" x14ac:dyDescent="0.25">
      <c r="A331" s="5">
        <v>329</v>
      </c>
      <c r="B331" s="5">
        <f>'Raw Data'!N332</f>
        <v>19.3</v>
      </c>
      <c r="C331" s="5">
        <f>'Raw Data'!I332</f>
        <v>4</v>
      </c>
      <c r="D331" s="5" t="str">
        <f t="shared" si="20"/>
        <v>Very Low Access</v>
      </c>
      <c r="E331" s="5" t="str">
        <f t="shared" si="21"/>
        <v>$15-25k</v>
      </c>
      <c r="F331" s="5" t="str">
        <f t="shared" si="22"/>
        <v>Valid Number</v>
      </c>
      <c r="G331" s="5" t="str">
        <f t="shared" si="23"/>
        <v>Data Present</v>
      </c>
      <c r="H331" s="10">
        <f>IFERROR(B331/'Raw Data'!A332,"Error: Div by Zero")</f>
        <v>291.67296357866098</v>
      </c>
    </row>
    <row r="332" spans="1:8" x14ac:dyDescent="0.25">
      <c r="A332" s="5">
        <v>330</v>
      </c>
      <c r="B332" s="5">
        <f>'Raw Data'!N333</f>
        <v>22.6</v>
      </c>
      <c r="C332" s="5">
        <f>'Raw Data'!I333</f>
        <v>4</v>
      </c>
      <c r="D332" s="5" t="str">
        <f t="shared" si="20"/>
        <v>Very Low Access</v>
      </c>
      <c r="E332" s="5" t="str">
        <f t="shared" si="21"/>
        <v>$15-25k</v>
      </c>
      <c r="F332" s="5" t="str">
        <f t="shared" si="22"/>
        <v>Valid Number</v>
      </c>
      <c r="G332" s="5" t="str">
        <f t="shared" si="23"/>
        <v>Data Present</v>
      </c>
      <c r="H332" s="10">
        <f>IFERROR(B332/'Raw Data'!A333,"Error: Div by Zero")</f>
        <v>336.10945865556221</v>
      </c>
    </row>
    <row r="333" spans="1:8" x14ac:dyDescent="0.25">
      <c r="A333" s="5">
        <v>331</v>
      </c>
      <c r="B333" s="5">
        <f>'Raw Data'!N334</f>
        <v>19.8</v>
      </c>
      <c r="C333" s="5">
        <f>'Raw Data'!I334</f>
        <v>4</v>
      </c>
      <c r="D333" s="5" t="str">
        <f t="shared" si="20"/>
        <v>Very Low Access</v>
      </c>
      <c r="E333" s="5" t="str">
        <f t="shared" si="21"/>
        <v>$15-25k</v>
      </c>
      <c r="F333" s="5" t="str">
        <f t="shared" si="22"/>
        <v>Valid Number</v>
      </c>
      <c r="G333" s="5" t="str">
        <f t="shared" si="23"/>
        <v>Data Present</v>
      </c>
      <c r="H333" s="10">
        <f>IFERROR(B333/'Raw Data'!A334,"Error: Div by Zero")</f>
        <v>435.73943661971833</v>
      </c>
    </row>
    <row r="334" spans="1:8" x14ac:dyDescent="0.25">
      <c r="A334" s="5">
        <v>332</v>
      </c>
      <c r="B334" s="5">
        <f>'Raw Data'!N335</f>
        <v>17.100000000000001</v>
      </c>
      <c r="C334" s="5">
        <f>'Raw Data'!I335</f>
        <v>1</v>
      </c>
      <c r="D334" s="5" t="str">
        <f t="shared" si="20"/>
        <v>Very Low Access</v>
      </c>
      <c r="E334" s="5" t="str">
        <f t="shared" si="21"/>
        <v>$15-25k</v>
      </c>
      <c r="F334" s="5" t="str">
        <f t="shared" si="22"/>
        <v>Valid Number</v>
      </c>
      <c r="G334" s="5" t="str">
        <f t="shared" si="23"/>
        <v>Data Present</v>
      </c>
      <c r="H334" s="10">
        <f>IFERROR(B334/'Raw Data'!A335,"Error: Div by Zero")</f>
        <v>340.4340035835159</v>
      </c>
    </row>
    <row r="335" spans="1:8" x14ac:dyDescent="0.25">
      <c r="A335" s="5">
        <v>333</v>
      </c>
      <c r="B335" s="5">
        <f>'Raw Data'!N336</f>
        <v>19.399999999999999</v>
      </c>
      <c r="C335" s="5">
        <f>'Raw Data'!I336</f>
        <v>1</v>
      </c>
      <c r="D335" s="5" t="str">
        <f t="shared" si="20"/>
        <v>Very Low Access</v>
      </c>
      <c r="E335" s="5" t="str">
        <f t="shared" si="21"/>
        <v>$15-25k</v>
      </c>
      <c r="F335" s="5" t="str">
        <f t="shared" si="22"/>
        <v>Valid Number</v>
      </c>
      <c r="G335" s="5" t="str">
        <f t="shared" si="23"/>
        <v>Data Present</v>
      </c>
      <c r="H335" s="10">
        <f>IFERROR(B335/'Raw Data'!A336,"Error: Div by Zero")</f>
        <v>559.72302365839573</v>
      </c>
    </row>
    <row r="336" spans="1:8" x14ac:dyDescent="0.25">
      <c r="A336" s="5">
        <v>334</v>
      </c>
      <c r="B336" s="5">
        <f>'Raw Data'!N337</f>
        <v>22.2</v>
      </c>
      <c r="C336" s="5">
        <f>'Raw Data'!I337</f>
        <v>5</v>
      </c>
      <c r="D336" s="5" t="str">
        <f t="shared" si="20"/>
        <v>Low Access</v>
      </c>
      <c r="E336" s="5" t="str">
        <f t="shared" si="21"/>
        <v>$15-25k</v>
      </c>
      <c r="F336" s="5" t="str">
        <f t="shared" si="22"/>
        <v>Valid Number</v>
      </c>
      <c r="G336" s="5" t="str">
        <f t="shared" si="23"/>
        <v>Data Present</v>
      </c>
      <c r="H336" s="10">
        <f>IFERROR(B336/'Raw Data'!A337,"Error: Div by Zero")</f>
        <v>436.74995081644698</v>
      </c>
    </row>
    <row r="337" spans="1:8" x14ac:dyDescent="0.25">
      <c r="A337" s="5">
        <v>335</v>
      </c>
      <c r="B337" s="5">
        <f>'Raw Data'!N338</f>
        <v>20.7</v>
      </c>
      <c r="C337" s="5">
        <f>'Raw Data'!I338</f>
        <v>5</v>
      </c>
      <c r="D337" s="5" t="str">
        <f t="shared" si="20"/>
        <v>Low Access</v>
      </c>
      <c r="E337" s="5" t="str">
        <f t="shared" si="21"/>
        <v>$15-25k</v>
      </c>
      <c r="F337" s="5" t="str">
        <f t="shared" si="22"/>
        <v>Valid Number</v>
      </c>
      <c r="G337" s="5" t="str">
        <f t="shared" si="23"/>
        <v>Data Present</v>
      </c>
      <c r="H337" s="10">
        <f>IFERROR(B337/'Raw Data'!A338,"Error: Div by Zero")</f>
        <v>553.77207062600326</v>
      </c>
    </row>
    <row r="338" spans="1:8" x14ac:dyDescent="0.25">
      <c r="A338" s="5">
        <v>336</v>
      </c>
      <c r="B338" s="5">
        <f>'Raw Data'!N339</f>
        <v>21.1</v>
      </c>
      <c r="C338" s="5">
        <f>'Raw Data'!I339</f>
        <v>5</v>
      </c>
      <c r="D338" s="5" t="str">
        <f t="shared" si="20"/>
        <v>Low Access</v>
      </c>
      <c r="E338" s="5" t="str">
        <f t="shared" si="21"/>
        <v>$15-25k</v>
      </c>
      <c r="F338" s="5" t="str">
        <f t="shared" si="22"/>
        <v>Valid Number</v>
      </c>
      <c r="G338" s="5" t="str">
        <f t="shared" si="23"/>
        <v>Data Present</v>
      </c>
      <c r="H338" s="10">
        <f>IFERROR(B338/'Raw Data'!A339,"Error: Div by Zero")</f>
        <v>532.69376420095944</v>
      </c>
    </row>
    <row r="339" spans="1:8" x14ac:dyDescent="0.25">
      <c r="A339" s="5">
        <v>337</v>
      </c>
      <c r="B339" s="5">
        <f>'Raw Data'!N340</f>
        <v>19.5</v>
      </c>
      <c r="C339" s="5">
        <f>'Raw Data'!I340</f>
        <v>5</v>
      </c>
      <c r="D339" s="5" t="str">
        <f t="shared" si="20"/>
        <v>Low Access</v>
      </c>
      <c r="E339" s="5" t="str">
        <f t="shared" si="21"/>
        <v>$15-25k</v>
      </c>
      <c r="F339" s="5" t="str">
        <f t="shared" si="22"/>
        <v>Valid Number</v>
      </c>
      <c r="G339" s="5" t="str">
        <f t="shared" si="23"/>
        <v>Data Present</v>
      </c>
      <c r="H339" s="10">
        <f>IFERROR(B339/'Raw Data'!A340,"Error: Div by Zero")</f>
        <v>569.01079661511528</v>
      </c>
    </row>
    <row r="340" spans="1:8" x14ac:dyDescent="0.25">
      <c r="A340" s="5">
        <v>338</v>
      </c>
      <c r="B340" s="5">
        <f>'Raw Data'!N341</f>
        <v>18.5</v>
      </c>
      <c r="C340" s="5">
        <f>'Raw Data'!I341</f>
        <v>5</v>
      </c>
      <c r="D340" s="5" t="str">
        <f t="shared" si="20"/>
        <v>Low Access</v>
      </c>
      <c r="E340" s="5" t="str">
        <f t="shared" si="21"/>
        <v>$15-25k</v>
      </c>
      <c r="F340" s="5" t="str">
        <f t="shared" si="22"/>
        <v>Valid Number</v>
      </c>
      <c r="G340" s="5" t="str">
        <f t="shared" si="23"/>
        <v>Data Present</v>
      </c>
      <c r="H340" s="10">
        <f>IFERROR(B340/'Raw Data'!A341,"Error: Div by Zero")</f>
        <v>608.35251561986195</v>
      </c>
    </row>
    <row r="341" spans="1:8" x14ac:dyDescent="0.25">
      <c r="A341" s="5">
        <v>339</v>
      </c>
      <c r="B341" s="5">
        <f>'Raw Data'!N342</f>
        <v>20.6</v>
      </c>
      <c r="C341" s="5">
        <f>'Raw Data'!I342</f>
        <v>5</v>
      </c>
      <c r="D341" s="5" t="str">
        <f t="shared" si="20"/>
        <v>Low Access</v>
      </c>
      <c r="E341" s="5" t="str">
        <f t="shared" si="21"/>
        <v>$15-25k</v>
      </c>
      <c r="F341" s="5" t="str">
        <f t="shared" si="22"/>
        <v>Valid Number</v>
      </c>
      <c r="G341" s="5" t="str">
        <f t="shared" si="23"/>
        <v>Data Present</v>
      </c>
      <c r="H341" s="10">
        <f>IFERROR(B341/'Raw Data'!A342,"Error: Div by Zero")</f>
        <v>623.1094978826377</v>
      </c>
    </row>
    <row r="342" spans="1:8" x14ac:dyDescent="0.25">
      <c r="A342" s="5">
        <v>340</v>
      </c>
      <c r="B342" s="5">
        <f>'Raw Data'!N343</f>
        <v>19</v>
      </c>
      <c r="C342" s="5">
        <f>'Raw Data'!I343</f>
        <v>5</v>
      </c>
      <c r="D342" s="5" t="str">
        <f t="shared" si="20"/>
        <v>Low Access</v>
      </c>
      <c r="E342" s="5" t="str">
        <f t="shared" si="21"/>
        <v>$15-25k</v>
      </c>
      <c r="F342" s="5" t="str">
        <f t="shared" si="22"/>
        <v>Valid Number</v>
      </c>
      <c r="G342" s="5" t="str">
        <f t="shared" si="23"/>
        <v>Data Present</v>
      </c>
      <c r="H342" s="10">
        <f>IFERROR(B342/'Raw Data'!A343,"Error: Div by Zero")</f>
        <v>345.64307804256867</v>
      </c>
    </row>
    <row r="343" spans="1:8" x14ac:dyDescent="0.25">
      <c r="A343" s="5">
        <v>341</v>
      </c>
      <c r="B343" s="5">
        <f>'Raw Data'!N344</f>
        <v>18.7</v>
      </c>
      <c r="C343" s="5">
        <f>'Raw Data'!I344</f>
        <v>5</v>
      </c>
      <c r="D343" s="5" t="str">
        <f t="shared" si="20"/>
        <v>Low Access</v>
      </c>
      <c r="E343" s="5" t="str">
        <f t="shared" si="21"/>
        <v>$15-25k</v>
      </c>
      <c r="F343" s="5" t="str">
        <f t="shared" si="22"/>
        <v>Valid Number</v>
      </c>
      <c r="G343" s="5" t="str">
        <f t="shared" si="23"/>
        <v>Data Present</v>
      </c>
      <c r="H343" s="10">
        <f>IFERROR(B343/'Raw Data'!A344,"Error: Div by Zero")</f>
        <v>304.01560721833846</v>
      </c>
    </row>
    <row r="344" spans="1:8" x14ac:dyDescent="0.25">
      <c r="A344" s="5">
        <v>342</v>
      </c>
      <c r="B344" s="5">
        <f>'Raw Data'!N345</f>
        <v>32.700000000000003</v>
      </c>
      <c r="C344" s="5">
        <f>'Raw Data'!I345</f>
        <v>1</v>
      </c>
      <c r="D344" s="5" t="str">
        <f t="shared" si="20"/>
        <v>Very Low Access</v>
      </c>
      <c r="E344" s="5" t="str">
        <f t="shared" si="21"/>
        <v>$25-35k</v>
      </c>
      <c r="F344" s="5" t="str">
        <f t="shared" si="22"/>
        <v>Valid Number</v>
      </c>
      <c r="G344" s="5" t="str">
        <f t="shared" si="23"/>
        <v>Data Present</v>
      </c>
      <c r="H344" s="10">
        <f>IFERROR(B344/'Raw Data'!A345,"Error: Div by Zero")</f>
        <v>2513.4511913912374</v>
      </c>
    </row>
    <row r="345" spans="1:8" x14ac:dyDescent="0.25">
      <c r="A345" s="5">
        <v>343</v>
      </c>
      <c r="B345" s="5">
        <f>'Raw Data'!N346</f>
        <v>16.5</v>
      </c>
      <c r="C345" s="5">
        <f>'Raw Data'!I346</f>
        <v>1</v>
      </c>
      <c r="D345" s="5" t="str">
        <f t="shared" si="20"/>
        <v>Very Low Access</v>
      </c>
      <c r="E345" s="5" t="str">
        <f t="shared" si="21"/>
        <v>$15-25k</v>
      </c>
      <c r="F345" s="5" t="str">
        <f t="shared" si="22"/>
        <v>Valid Number</v>
      </c>
      <c r="G345" s="5" t="str">
        <f t="shared" si="23"/>
        <v>Data Present</v>
      </c>
      <c r="H345" s="10">
        <f>IFERROR(B345/'Raw Data'!A346,"Error: Div by Zero")</f>
        <v>660.52842273819056</v>
      </c>
    </row>
    <row r="346" spans="1:8" x14ac:dyDescent="0.25">
      <c r="A346" s="5">
        <v>344</v>
      </c>
      <c r="B346" s="5">
        <f>'Raw Data'!N347</f>
        <v>23.9</v>
      </c>
      <c r="C346" s="5">
        <f>'Raw Data'!I347</f>
        <v>5</v>
      </c>
      <c r="D346" s="5" t="str">
        <f t="shared" si="20"/>
        <v>Low Access</v>
      </c>
      <c r="E346" s="5" t="str">
        <f t="shared" si="21"/>
        <v>$15-25k</v>
      </c>
      <c r="F346" s="5" t="str">
        <f t="shared" si="22"/>
        <v>Valid Number</v>
      </c>
      <c r="G346" s="5" t="str">
        <f t="shared" si="23"/>
        <v>Data Present</v>
      </c>
      <c r="H346" s="10">
        <f>IFERROR(B346/'Raw Data'!A347,"Error: Div by Zero")</f>
        <v>939.83484073928423</v>
      </c>
    </row>
    <row r="347" spans="1:8" x14ac:dyDescent="0.25">
      <c r="A347" s="5">
        <v>345</v>
      </c>
      <c r="B347" s="5">
        <f>'Raw Data'!N348</f>
        <v>31.2</v>
      </c>
      <c r="C347" s="5">
        <f>'Raw Data'!I348</f>
        <v>5</v>
      </c>
      <c r="D347" s="5" t="str">
        <f t="shared" si="20"/>
        <v>Low Access</v>
      </c>
      <c r="E347" s="5" t="str">
        <f t="shared" si="21"/>
        <v>$25-35k</v>
      </c>
      <c r="F347" s="5" t="str">
        <f t="shared" si="22"/>
        <v>Valid Number</v>
      </c>
      <c r="G347" s="5" t="str">
        <f t="shared" si="23"/>
        <v>Data Present</v>
      </c>
      <c r="H347" s="10">
        <f>IFERROR(B347/'Raw Data'!A348,"Error: Div by Zero")</f>
        <v>1023.2863233847163</v>
      </c>
    </row>
    <row r="348" spans="1:8" x14ac:dyDescent="0.25">
      <c r="A348" s="5">
        <v>346</v>
      </c>
      <c r="B348" s="5">
        <f>'Raw Data'!N349</f>
        <v>17.5</v>
      </c>
      <c r="C348" s="5">
        <f>'Raw Data'!I349</f>
        <v>3</v>
      </c>
      <c r="D348" s="5" t="str">
        <f t="shared" si="20"/>
        <v>Very Low Access</v>
      </c>
      <c r="E348" s="5" t="str">
        <f t="shared" si="21"/>
        <v>$15-25k</v>
      </c>
      <c r="F348" s="5" t="str">
        <f t="shared" si="22"/>
        <v>Valid Number</v>
      </c>
      <c r="G348" s="5" t="str">
        <f t="shared" si="23"/>
        <v>Data Present</v>
      </c>
      <c r="H348" s="10">
        <f>IFERROR(B348/'Raw Data'!A349,"Error: Div by Zero")</f>
        <v>562.15868936716993</v>
      </c>
    </row>
    <row r="349" spans="1:8" x14ac:dyDescent="0.25">
      <c r="A349" s="5">
        <v>347</v>
      </c>
      <c r="B349" s="5">
        <f>'Raw Data'!N350</f>
        <v>17.2</v>
      </c>
      <c r="C349" s="5">
        <f>'Raw Data'!I350</f>
        <v>3</v>
      </c>
      <c r="D349" s="5" t="str">
        <f t="shared" si="20"/>
        <v>Very Low Access</v>
      </c>
      <c r="E349" s="5" t="str">
        <f t="shared" si="21"/>
        <v>$15-25k</v>
      </c>
      <c r="F349" s="5" t="str">
        <f t="shared" si="22"/>
        <v>Valid Number</v>
      </c>
      <c r="G349" s="5" t="str">
        <f t="shared" si="23"/>
        <v>Data Present</v>
      </c>
      <c r="H349" s="10">
        <f>IFERROR(B349/'Raw Data'!A350,"Error: Div by Zero")</f>
        <v>279.13015254787405</v>
      </c>
    </row>
    <row r="350" spans="1:8" x14ac:dyDescent="0.25">
      <c r="A350" s="5">
        <v>348</v>
      </c>
      <c r="B350" s="5">
        <f>'Raw Data'!N351</f>
        <v>23.1</v>
      </c>
      <c r="C350" s="5">
        <f>'Raw Data'!I351</f>
        <v>4</v>
      </c>
      <c r="D350" s="5" t="str">
        <f t="shared" si="20"/>
        <v>Very Low Access</v>
      </c>
      <c r="E350" s="5" t="str">
        <f t="shared" si="21"/>
        <v>$15-25k</v>
      </c>
      <c r="F350" s="5" t="str">
        <f t="shared" si="22"/>
        <v>Valid Number</v>
      </c>
      <c r="G350" s="5" t="str">
        <f t="shared" si="23"/>
        <v>Data Present</v>
      </c>
      <c r="H350" s="10">
        <f>IFERROR(B350/'Raw Data'!A351,"Error: Div by Zero")</f>
        <v>1235.2941176470588</v>
      </c>
    </row>
    <row r="351" spans="1:8" x14ac:dyDescent="0.25">
      <c r="A351" s="5">
        <v>349</v>
      </c>
      <c r="B351" s="5">
        <f>'Raw Data'!N352</f>
        <v>24.5</v>
      </c>
      <c r="C351" s="5">
        <f>'Raw Data'!I352</f>
        <v>4</v>
      </c>
      <c r="D351" s="5" t="str">
        <f t="shared" si="20"/>
        <v>Very Low Access</v>
      </c>
      <c r="E351" s="5" t="str">
        <f t="shared" si="21"/>
        <v>$15-25k</v>
      </c>
      <c r="F351" s="5" t="str">
        <f t="shared" si="22"/>
        <v>Valid Number</v>
      </c>
      <c r="G351" s="5" t="str">
        <f t="shared" si="23"/>
        <v>Data Present</v>
      </c>
      <c r="H351" s="10">
        <f>IFERROR(B351/'Raw Data'!A352,"Error: Div by Zero")</f>
        <v>1632.2451698867421</v>
      </c>
    </row>
    <row r="352" spans="1:8" x14ac:dyDescent="0.25">
      <c r="A352" s="5">
        <v>350</v>
      </c>
      <c r="B352" s="5">
        <f>'Raw Data'!N353</f>
        <v>26.6</v>
      </c>
      <c r="C352" s="5">
        <f>'Raw Data'!I353</f>
        <v>1</v>
      </c>
      <c r="D352" s="5" t="str">
        <f t="shared" si="20"/>
        <v>Very Low Access</v>
      </c>
      <c r="E352" s="5" t="str">
        <f t="shared" si="21"/>
        <v>$25-35k</v>
      </c>
      <c r="F352" s="5" t="str">
        <f t="shared" si="22"/>
        <v>Valid Number</v>
      </c>
      <c r="G352" s="5" t="str">
        <f t="shared" si="23"/>
        <v>Data Present</v>
      </c>
      <c r="H352" s="10">
        <f>IFERROR(B352/'Raw Data'!A353,"Error: Div by Zero")</f>
        <v>917.55777854432574</v>
      </c>
    </row>
    <row r="353" spans="1:8" x14ac:dyDescent="0.25">
      <c r="A353" s="5">
        <v>351</v>
      </c>
      <c r="B353" s="5">
        <f>'Raw Data'!N354</f>
        <v>22.9</v>
      </c>
      <c r="C353" s="5">
        <f>'Raw Data'!I354</f>
        <v>1</v>
      </c>
      <c r="D353" s="5" t="str">
        <f t="shared" si="20"/>
        <v>Very Low Access</v>
      </c>
      <c r="E353" s="5" t="str">
        <f t="shared" si="21"/>
        <v>$15-25k</v>
      </c>
      <c r="F353" s="5" t="str">
        <f t="shared" si="22"/>
        <v>Valid Number</v>
      </c>
      <c r="G353" s="5" t="str">
        <f t="shared" si="23"/>
        <v>Data Present</v>
      </c>
      <c r="H353" s="10">
        <f>IFERROR(B353/'Raw Data'!A354,"Error: Div by Zero")</f>
        <v>368.70069232007728</v>
      </c>
    </row>
    <row r="354" spans="1:8" x14ac:dyDescent="0.25">
      <c r="A354" s="5">
        <v>352</v>
      </c>
      <c r="B354" s="5">
        <f>'Raw Data'!N355</f>
        <v>24.1</v>
      </c>
      <c r="C354" s="5">
        <f>'Raw Data'!I355</f>
        <v>4</v>
      </c>
      <c r="D354" s="5" t="str">
        <f t="shared" si="20"/>
        <v>Very Low Access</v>
      </c>
      <c r="E354" s="5" t="str">
        <f t="shared" si="21"/>
        <v>$15-25k</v>
      </c>
      <c r="F354" s="5" t="str">
        <f t="shared" si="22"/>
        <v>Valid Number</v>
      </c>
      <c r="G354" s="5" t="str">
        <f t="shared" si="23"/>
        <v>Data Present</v>
      </c>
      <c r="H354" s="10">
        <f>IFERROR(B354/'Raw Data'!A355,"Error: Div by Zero")</f>
        <v>303.14465408805034</v>
      </c>
    </row>
    <row r="355" spans="1:8" x14ac:dyDescent="0.25">
      <c r="A355" s="5">
        <v>353</v>
      </c>
      <c r="B355" s="5">
        <f>'Raw Data'!N356</f>
        <v>18.600000000000001</v>
      </c>
      <c r="C355" s="5">
        <f>'Raw Data'!I356</f>
        <v>4</v>
      </c>
      <c r="D355" s="5" t="str">
        <f t="shared" si="20"/>
        <v>Very Low Access</v>
      </c>
      <c r="E355" s="5" t="str">
        <f t="shared" si="21"/>
        <v>$15-25k</v>
      </c>
      <c r="F355" s="5" t="str">
        <f t="shared" si="22"/>
        <v>Valid Number</v>
      </c>
      <c r="G355" s="5" t="str">
        <f t="shared" si="23"/>
        <v>Data Present</v>
      </c>
      <c r="H355" s="10">
        <f>IFERROR(B355/'Raw Data'!A356,"Error: Div by Zero")</f>
        <v>256.76421866372169</v>
      </c>
    </row>
    <row r="356" spans="1:8" x14ac:dyDescent="0.25">
      <c r="A356" s="5">
        <v>354</v>
      </c>
      <c r="B356" s="5">
        <f>'Raw Data'!N357</f>
        <v>30.1</v>
      </c>
      <c r="C356" s="5">
        <f>'Raw Data'!I357</f>
        <v>5</v>
      </c>
      <c r="D356" s="5" t="str">
        <f t="shared" si="20"/>
        <v>Low Access</v>
      </c>
      <c r="E356" s="5" t="str">
        <f t="shared" si="21"/>
        <v>$25-35k</v>
      </c>
      <c r="F356" s="5" t="str">
        <f t="shared" si="22"/>
        <v>Valid Number</v>
      </c>
      <c r="G356" s="5" t="str">
        <f t="shared" si="23"/>
        <v>Data Present</v>
      </c>
      <c r="H356" s="10">
        <f>IFERROR(B356/'Raw Data'!A357,"Error: Div by Zero")</f>
        <v>1761.2638970157986</v>
      </c>
    </row>
    <row r="357" spans="1:8" x14ac:dyDescent="0.25">
      <c r="A357" s="5">
        <v>355</v>
      </c>
      <c r="B357" s="5">
        <f>'Raw Data'!N358</f>
        <v>18.2</v>
      </c>
      <c r="C357" s="5">
        <f>'Raw Data'!I358</f>
        <v>4</v>
      </c>
      <c r="D357" s="5" t="str">
        <f t="shared" si="20"/>
        <v>Very Low Access</v>
      </c>
      <c r="E357" s="5" t="str">
        <f t="shared" si="21"/>
        <v>$15-25k</v>
      </c>
      <c r="F357" s="5" t="str">
        <f t="shared" si="22"/>
        <v>Valid Number</v>
      </c>
      <c r="G357" s="5" t="str">
        <f t="shared" si="23"/>
        <v>Data Present</v>
      </c>
      <c r="H357" s="10">
        <f>IFERROR(B357/'Raw Data'!A358,"Error: Div by Zero")</f>
        <v>423.15740525459194</v>
      </c>
    </row>
    <row r="358" spans="1:8" x14ac:dyDescent="0.25">
      <c r="A358" s="5">
        <v>356</v>
      </c>
      <c r="B358" s="5">
        <f>'Raw Data'!N359</f>
        <v>20.6</v>
      </c>
      <c r="C358" s="5">
        <f>'Raw Data'!I359</f>
        <v>4</v>
      </c>
      <c r="D358" s="5" t="str">
        <f t="shared" si="20"/>
        <v>Very Low Access</v>
      </c>
      <c r="E358" s="5" t="str">
        <f t="shared" si="21"/>
        <v>$15-25k</v>
      </c>
      <c r="F358" s="5" t="str">
        <f t="shared" si="22"/>
        <v>Valid Number</v>
      </c>
      <c r="G358" s="5" t="str">
        <f t="shared" si="23"/>
        <v>Data Present</v>
      </c>
      <c r="H358" s="10">
        <f>IFERROR(B358/'Raw Data'!A359,"Error: Div by Zero")</f>
        <v>193.26390843418707</v>
      </c>
    </row>
    <row r="359" spans="1:8" x14ac:dyDescent="0.25">
      <c r="A359" s="5">
        <v>357</v>
      </c>
      <c r="B359" s="5">
        <f>'Raw Data'!N360</f>
        <v>17.8</v>
      </c>
      <c r="C359" s="5">
        <f>'Raw Data'!I360</f>
        <v>24</v>
      </c>
      <c r="D359" s="5" t="str">
        <f t="shared" si="20"/>
        <v>Very High Access</v>
      </c>
      <c r="E359" s="5" t="str">
        <f t="shared" si="21"/>
        <v>$15-25k</v>
      </c>
      <c r="F359" s="5" t="str">
        <f t="shared" si="22"/>
        <v>Valid Number</v>
      </c>
      <c r="G359" s="5" t="str">
        <f t="shared" si="23"/>
        <v>Data Present</v>
      </c>
      <c r="H359" s="10">
        <f>IFERROR(B359/'Raw Data'!A360,"Error: Div by Zero")</f>
        <v>1.9815294735810913</v>
      </c>
    </row>
    <row r="360" spans="1:8" x14ac:dyDescent="0.25">
      <c r="A360" s="5">
        <v>358</v>
      </c>
      <c r="B360" s="5">
        <f>'Raw Data'!N361</f>
        <v>21.7</v>
      </c>
      <c r="C360" s="5">
        <f>'Raw Data'!I361</f>
        <v>24</v>
      </c>
      <c r="D360" s="5" t="str">
        <f t="shared" si="20"/>
        <v>Very High Access</v>
      </c>
      <c r="E360" s="5" t="str">
        <f t="shared" si="21"/>
        <v>$15-25k</v>
      </c>
      <c r="F360" s="5" t="str">
        <f t="shared" si="22"/>
        <v>Valid Number</v>
      </c>
      <c r="G360" s="5" t="str">
        <f t="shared" si="23"/>
        <v>Data Present</v>
      </c>
      <c r="H360" s="10">
        <f>IFERROR(B360/'Raw Data'!A361,"Error: Div by Zero")</f>
        <v>5.6368028677559288</v>
      </c>
    </row>
    <row r="361" spans="1:8" x14ac:dyDescent="0.25">
      <c r="A361" s="5">
        <v>359</v>
      </c>
      <c r="B361" s="5">
        <f>'Raw Data'!N362</f>
        <v>22.7</v>
      </c>
      <c r="C361" s="5">
        <f>'Raw Data'!I362</f>
        <v>24</v>
      </c>
      <c r="D361" s="5" t="str">
        <f t="shared" si="20"/>
        <v>Very High Access</v>
      </c>
      <c r="E361" s="5" t="str">
        <f t="shared" si="21"/>
        <v>$15-25k</v>
      </c>
      <c r="F361" s="5" t="str">
        <f t="shared" si="22"/>
        <v>Valid Number</v>
      </c>
      <c r="G361" s="5" t="str">
        <f t="shared" si="23"/>
        <v>Data Present</v>
      </c>
      <c r="H361" s="10">
        <f>IFERROR(B361/'Raw Data'!A362,"Error: Div by Zero")</f>
        <v>4.3638992112300237</v>
      </c>
    </row>
    <row r="362" spans="1:8" x14ac:dyDescent="0.25">
      <c r="A362" s="5">
        <v>360</v>
      </c>
      <c r="B362" s="5">
        <f>'Raw Data'!N363</f>
        <v>22.6</v>
      </c>
      <c r="C362" s="5">
        <f>'Raw Data'!I363</f>
        <v>24</v>
      </c>
      <c r="D362" s="5" t="str">
        <f t="shared" si="20"/>
        <v>Very High Access</v>
      </c>
      <c r="E362" s="5" t="str">
        <f t="shared" si="21"/>
        <v>$15-25k</v>
      </c>
      <c r="F362" s="5" t="str">
        <f t="shared" si="22"/>
        <v>Valid Number</v>
      </c>
      <c r="G362" s="5" t="str">
        <f t="shared" si="23"/>
        <v>Data Present</v>
      </c>
      <c r="H362" s="10">
        <f>IFERROR(B362/'Raw Data'!A363,"Error: Div by Zero")</f>
        <v>5.3035334204739861</v>
      </c>
    </row>
    <row r="363" spans="1:8" x14ac:dyDescent="0.25">
      <c r="A363" s="5">
        <v>361</v>
      </c>
      <c r="B363" s="5">
        <f>'Raw Data'!N364</f>
        <v>25</v>
      </c>
      <c r="C363" s="5">
        <f>'Raw Data'!I364</f>
        <v>24</v>
      </c>
      <c r="D363" s="5" t="str">
        <f t="shared" si="20"/>
        <v>Very High Access</v>
      </c>
      <c r="E363" s="5" t="str">
        <f t="shared" si="21"/>
        <v>$25-35k</v>
      </c>
      <c r="F363" s="5" t="str">
        <f t="shared" si="22"/>
        <v>Valid Number</v>
      </c>
      <c r="G363" s="5" t="str">
        <f t="shared" si="23"/>
        <v>Data Present</v>
      </c>
      <c r="H363" s="10">
        <f>IFERROR(B363/'Raw Data'!A364,"Error: Div by Zero")</f>
        <v>5.5042801282277098</v>
      </c>
    </row>
    <row r="364" spans="1:8" x14ac:dyDescent="0.25">
      <c r="A364" s="5">
        <v>362</v>
      </c>
      <c r="B364" s="5">
        <f>'Raw Data'!N365</f>
        <v>19.899999999999999</v>
      </c>
      <c r="C364" s="5">
        <f>'Raw Data'!I365</f>
        <v>24</v>
      </c>
      <c r="D364" s="5" t="str">
        <f t="shared" si="20"/>
        <v>Very High Access</v>
      </c>
      <c r="E364" s="5" t="str">
        <f t="shared" si="21"/>
        <v>$15-25k</v>
      </c>
      <c r="F364" s="5" t="str">
        <f t="shared" si="22"/>
        <v>Valid Number</v>
      </c>
      <c r="G364" s="5" t="str">
        <f t="shared" si="23"/>
        <v>Data Present</v>
      </c>
      <c r="H364" s="10">
        <f>IFERROR(B364/'Raw Data'!A365,"Error: Div by Zero")</f>
        <v>5.1865597731466515</v>
      </c>
    </row>
    <row r="365" spans="1:8" x14ac:dyDescent="0.25">
      <c r="A365" s="5">
        <v>363</v>
      </c>
      <c r="B365" s="5">
        <f>'Raw Data'!N366</f>
        <v>20.8</v>
      </c>
      <c r="C365" s="5">
        <f>'Raw Data'!I366</f>
        <v>24</v>
      </c>
      <c r="D365" s="5" t="str">
        <f t="shared" si="20"/>
        <v>Very High Access</v>
      </c>
      <c r="E365" s="5" t="str">
        <f t="shared" si="21"/>
        <v>$15-25k</v>
      </c>
      <c r="F365" s="5" t="str">
        <f t="shared" si="22"/>
        <v>Valid Number</v>
      </c>
      <c r="G365" s="5" t="str">
        <f t="shared" si="23"/>
        <v>Data Present</v>
      </c>
      <c r="H365" s="10">
        <f>IFERROR(B365/'Raw Data'!A366,"Error: Div by Zero")</f>
        <v>5.6549091680214891</v>
      </c>
    </row>
    <row r="366" spans="1:8" x14ac:dyDescent="0.25">
      <c r="A366" s="5">
        <v>364</v>
      </c>
      <c r="B366" s="5">
        <f>'Raw Data'!N367</f>
        <v>16.8</v>
      </c>
      <c r="C366" s="5">
        <f>'Raw Data'!I367</f>
        <v>24</v>
      </c>
      <c r="D366" s="5" t="str">
        <f t="shared" si="20"/>
        <v>Very High Access</v>
      </c>
      <c r="E366" s="5" t="str">
        <f t="shared" si="21"/>
        <v>$15-25k</v>
      </c>
      <c r="F366" s="5" t="str">
        <f t="shared" si="22"/>
        <v>Valid Number</v>
      </c>
      <c r="G366" s="5" t="str">
        <f t="shared" si="23"/>
        <v>Data Present</v>
      </c>
      <c r="H366" s="10">
        <f>IFERROR(B366/'Raw Data'!A367,"Error: Div by Zero")</f>
        <v>3.9787892639003033</v>
      </c>
    </row>
    <row r="367" spans="1:8" x14ac:dyDescent="0.25">
      <c r="A367" s="5">
        <v>365</v>
      </c>
      <c r="B367" s="5">
        <f>'Raw Data'!N368</f>
        <v>21.9</v>
      </c>
      <c r="C367" s="5">
        <f>'Raw Data'!I368</f>
        <v>24</v>
      </c>
      <c r="D367" s="5" t="str">
        <f t="shared" si="20"/>
        <v>Very High Access</v>
      </c>
      <c r="E367" s="5" t="str">
        <f t="shared" si="21"/>
        <v>$15-25k</v>
      </c>
      <c r="F367" s="5" t="str">
        <f t="shared" si="22"/>
        <v>Valid Number</v>
      </c>
      <c r="G367" s="5" t="str">
        <f t="shared" si="23"/>
        <v>Data Present</v>
      </c>
      <c r="H367" s="10">
        <f>IFERROR(B367/'Raw Data'!A368,"Error: Div by Zero")</f>
        <v>6.3034643149084122</v>
      </c>
    </row>
    <row r="368" spans="1:8" x14ac:dyDescent="0.25">
      <c r="A368" s="5">
        <v>366</v>
      </c>
      <c r="B368" s="5">
        <f>'Raw Data'!N369</f>
        <v>27.5</v>
      </c>
      <c r="C368" s="5">
        <f>'Raw Data'!I369</f>
        <v>24</v>
      </c>
      <c r="D368" s="5" t="str">
        <f t="shared" si="20"/>
        <v>Very High Access</v>
      </c>
      <c r="E368" s="5" t="str">
        <f t="shared" si="21"/>
        <v>$25-35k</v>
      </c>
      <c r="F368" s="5" t="str">
        <f t="shared" si="22"/>
        <v>Valid Number</v>
      </c>
      <c r="G368" s="5" t="str">
        <f t="shared" si="23"/>
        <v>Data Present</v>
      </c>
      <c r="H368" s="10">
        <f>IFERROR(B368/'Raw Data'!A369,"Error: Div by Zero")</f>
        <v>6.0361687229881458</v>
      </c>
    </row>
    <row r="369" spans="1:8" x14ac:dyDescent="0.25">
      <c r="A369" s="5">
        <v>367</v>
      </c>
      <c r="B369" s="5">
        <f>'Raw Data'!N370</f>
        <v>21.9</v>
      </c>
      <c r="C369" s="5">
        <f>'Raw Data'!I370</f>
        <v>24</v>
      </c>
      <c r="D369" s="5" t="str">
        <f t="shared" si="20"/>
        <v>Very High Access</v>
      </c>
      <c r="E369" s="5" t="str">
        <f t="shared" si="21"/>
        <v>$15-25k</v>
      </c>
      <c r="F369" s="5" t="str">
        <f t="shared" si="22"/>
        <v>Valid Number</v>
      </c>
      <c r="G369" s="5" t="str">
        <f t="shared" si="23"/>
        <v>Data Present</v>
      </c>
      <c r="H369" s="10">
        <f>IFERROR(B369/'Raw Data'!A370,"Error: Div by Zero")</f>
        <v>5.9238020530437243</v>
      </c>
    </row>
    <row r="370" spans="1:8" x14ac:dyDescent="0.25">
      <c r="A370" s="5">
        <v>368</v>
      </c>
      <c r="B370" s="5">
        <f>'Raw Data'!N371</f>
        <v>0</v>
      </c>
      <c r="C370" s="5">
        <f>'Raw Data'!I371</f>
        <v>666</v>
      </c>
      <c r="D370" s="5" t="str">
        <f t="shared" si="20"/>
        <v>Very High Access</v>
      </c>
      <c r="E370" s="5" t="str">
        <f t="shared" si="21"/>
        <v>Under $15k</v>
      </c>
      <c r="F370" s="5" t="str">
        <f t="shared" si="22"/>
        <v>Valid Number</v>
      </c>
      <c r="G370" s="5" t="str">
        <f t="shared" si="23"/>
        <v>Data Present</v>
      </c>
      <c r="H370" s="10" t="str">
        <f>IFERROR(B370/'Raw Data'!A371,"Error: Div by Zero")</f>
        <v>Error: Div by Zero</v>
      </c>
    </row>
    <row r="371" spans="1:8" x14ac:dyDescent="0.25">
      <c r="A371" s="5">
        <v>369</v>
      </c>
      <c r="B371" s="5">
        <f>'Raw Data'!N372</f>
        <v>50</v>
      </c>
      <c r="C371" s="5">
        <f>'Raw Data'!I372</f>
        <v>24</v>
      </c>
      <c r="D371" s="5" t="str">
        <f t="shared" si="20"/>
        <v>Very High Access</v>
      </c>
      <c r="E371" s="5" t="str">
        <f t="shared" si="21"/>
        <v>Over $45k</v>
      </c>
      <c r="F371" s="5" t="str">
        <f t="shared" si="22"/>
        <v>Valid Number</v>
      </c>
      <c r="G371" s="5" t="str">
        <f t="shared" si="23"/>
        <v>Data Present</v>
      </c>
      <c r="H371" s="10">
        <f>IFERROR(B371/'Raw Data'!A372,"Error: Div by Zero")</f>
        <v>10.207789768528158</v>
      </c>
    </row>
    <row r="372" spans="1:8" x14ac:dyDescent="0.25">
      <c r="A372" s="5">
        <v>370</v>
      </c>
      <c r="B372" s="5">
        <f>'Raw Data'!N373</f>
        <v>50</v>
      </c>
      <c r="C372" s="5">
        <f>'Raw Data'!I373</f>
        <v>24</v>
      </c>
      <c r="D372" s="5" t="str">
        <f t="shared" si="20"/>
        <v>Very High Access</v>
      </c>
      <c r="E372" s="5" t="str">
        <f t="shared" si="21"/>
        <v>Over $45k</v>
      </c>
      <c r="F372" s="5" t="str">
        <f t="shared" si="22"/>
        <v>Valid Number</v>
      </c>
      <c r="G372" s="5" t="str">
        <f t="shared" si="23"/>
        <v>Data Present</v>
      </c>
      <c r="H372" s="10">
        <f>IFERROR(B372/'Raw Data'!A373,"Error: Div by Zero")</f>
        <v>8.8183732570485258</v>
      </c>
    </row>
    <row r="373" spans="1:8" x14ac:dyDescent="0.25">
      <c r="A373" s="5">
        <v>371</v>
      </c>
      <c r="B373" s="5">
        <f>'Raw Data'!N374</f>
        <v>50</v>
      </c>
      <c r="C373" s="5">
        <f>'Raw Data'!I374</f>
        <v>24</v>
      </c>
      <c r="D373" s="5" t="str">
        <f t="shared" si="20"/>
        <v>Very High Access</v>
      </c>
      <c r="E373" s="5" t="str">
        <f t="shared" si="21"/>
        <v>Over $45k</v>
      </c>
      <c r="F373" s="5" t="str">
        <f t="shared" si="22"/>
        <v>Valid Number</v>
      </c>
      <c r="G373" s="5" t="str">
        <f t="shared" si="23"/>
        <v>Data Present</v>
      </c>
      <c r="H373" s="10">
        <f>IFERROR(B373/'Raw Data'!A374,"Error: Div by Zero")</f>
        <v>7.6467097737185643</v>
      </c>
    </row>
    <row r="374" spans="1:8" x14ac:dyDescent="0.25">
      <c r="A374" s="5">
        <v>372</v>
      </c>
      <c r="B374" s="5">
        <f>'Raw Data'!N375</f>
        <v>50</v>
      </c>
      <c r="C374" s="5">
        <f>'Raw Data'!I375</f>
        <v>24</v>
      </c>
      <c r="D374" s="5" t="str">
        <f t="shared" si="20"/>
        <v>Very High Access</v>
      </c>
      <c r="E374" s="5" t="str">
        <f t="shared" si="21"/>
        <v>Over $45k</v>
      </c>
      <c r="F374" s="5" t="str">
        <f t="shared" si="22"/>
        <v>Valid Number</v>
      </c>
      <c r="G374" s="5" t="str">
        <f t="shared" si="23"/>
        <v>Data Present</v>
      </c>
      <c r="H374" s="10">
        <f>IFERROR(B374/'Raw Data'!A375,"Error: Div by Zero")</f>
        <v>5.4157685517151739</v>
      </c>
    </row>
    <row r="375" spans="1:8" x14ac:dyDescent="0.25">
      <c r="A375" s="5">
        <v>373</v>
      </c>
      <c r="B375" s="5">
        <f>'Raw Data'!N376</f>
        <v>50</v>
      </c>
      <c r="C375" s="5">
        <f>'Raw Data'!I376</f>
        <v>24</v>
      </c>
      <c r="D375" s="5" t="str">
        <f t="shared" si="20"/>
        <v>Very High Access</v>
      </c>
      <c r="E375" s="5" t="str">
        <f t="shared" si="21"/>
        <v>Over $45k</v>
      </c>
      <c r="F375" s="5" t="str">
        <f t="shared" si="22"/>
        <v>Valid Number</v>
      </c>
      <c r="G375" s="5" t="str">
        <f t="shared" si="23"/>
        <v>Data Present</v>
      </c>
      <c r="H375" s="10">
        <f>IFERROR(B375/'Raw Data'!A376,"Error: Div by Zero")</f>
        <v>6.0479603253802647</v>
      </c>
    </row>
    <row r="376" spans="1:8" x14ac:dyDescent="0.25">
      <c r="A376" s="5">
        <v>374</v>
      </c>
      <c r="B376" s="5">
        <f>'Raw Data'!N377</f>
        <v>0</v>
      </c>
      <c r="C376" s="5">
        <f>'Raw Data'!I377</f>
        <v>666</v>
      </c>
      <c r="D376" s="5" t="str">
        <f t="shared" si="20"/>
        <v>Very High Access</v>
      </c>
      <c r="E376" s="5" t="str">
        <f t="shared" si="21"/>
        <v>Under $15k</v>
      </c>
      <c r="F376" s="5" t="str">
        <f t="shared" si="22"/>
        <v>Valid Number</v>
      </c>
      <c r="G376" s="5" t="str">
        <f t="shared" si="23"/>
        <v>Data Present</v>
      </c>
      <c r="H376" s="10" t="str">
        <f>IFERROR(B376/'Raw Data'!A377,"Error: Div by Zero")</f>
        <v>Error: Div by Zero</v>
      </c>
    </row>
    <row r="377" spans="1:8" x14ac:dyDescent="0.25">
      <c r="A377" s="5">
        <v>375</v>
      </c>
      <c r="B377" s="5">
        <f>'Raw Data'!N378</f>
        <v>0</v>
      </c>
      <c r="C377" s="5">
        <f>'Raw Data'!I378</f>
        <v>666</v>
      </c>
      <c r="D377" s="5" t="str">
        <f t="shared" si="20"/>
        <v>Very High Access</v>
      </c>
      <c r="E377" s="5" t="str">
        <f t="shared" si="21"/>
        <v>Under $15k</v>
      </c>
      <c r="F377" s="5" t="str">
        <f t="shared" si="22"/>
        <v>Valid Number</v>
      </c>
      <c r="G377" s="5" t="str">
        <f t="shared" si="23"/>
        <v>Data Present</v>
      </c>
      <c r="H377" s="10" t="str">
        <f>IFERROR(B377/'Raw Data'!A378,"Error: Div by Zero")</f>
        <v>Error: Div by Zero</v>
      </c>
    </row>
    <row r="378" spans="1:8" x14ac:dyDescent="0.25">
      <c r="A378" s="5">
        <v>376</v>
      </c>
      <c r="B378" s="5">
        <f>'Raw Data'!N379</f>
        <v>0</v>
      </c>
      <c r="C378" s="5">
        <f>'Raw Data'!I379</f>
        <v>666</v>
      </c>
      <c r="D378" s="5" t="str">
        <f t="shared" si="20"/>
        <v>Very High Access</v>
      </c>
      <c r="E378" s="5" t="str">
        <f t="shared" si="21"/>
        <v>Under $15k</v>
      </c>
      <c r="F378" s="5" t="str">
        <f t="shared" si="22"/>
        <v>Valid Number</v>
      </c>
      <c r="G378" s="5" t="str">
        <f t="shared" si="23"/>
        <v>Data Present</v>
      </c>
      <c r="H378" s="10" t="str">
        <f>IFERROR(B378/'Raw Data'!A379,"Error: Div by Zero")</f>
        <v>Error: Div by Zero</v>
      </c>
    </row>
    <row r="379" spans="1:8" x14ac:dyDescent="0.25">
      <c r="A379" s="5">
        <v>377</v>
      </c>
      <c r="B379" s="5">
        <f>'Raw Data'!N380</f>
        <v>0</v>
      </c>
      <c r="C379" s="5">
        <f>'Raw Data'!I380</f>
        <v>666</v>
      </c>
      <c r="D379" s="5" t="str">
        <f t="shared" si="20"/>
        <v>Very High Access</v>
      </c>
      <c r="E379" s="5" t="str">
        <f t="shared" si="21"/>
        <v>Under $15k</v>
      </c>
      <c r="F379" s="5" t="str">
        <f t="shared" si="22"/>
        <v>Valid Number</v>
      </c>
      <c r="G379" s="5" t="str">
        <f t="shared" si="23"/>
        <v>Data Present</v>
      </c>
      <c r="H379" s="10" t="str">
        <f>IFERROR(B379/'Raw Data'!A380,"Error: Div by Zero")</f>
        <v>Error: Div by Zero</v>
      </c>
    </row>
    <row r="380" spans="1:8" x14ac:dyDescent="0.25">
      <c r="A380" s="5">
        <v>378</v>
      </c>
      <c r="B380" s="5">
        <f>'Raw Data'!N381</f>
        <v>13.3</v>
      </c>
      <c r="C380" s="5">
        <f>'Raw Data'!I381</f>
        <v>24</v>
      </c>
      <c r="D380" s="5" t="str">
        <f t="shared" si="20"/>
        <v>Very High Access</v>
      </c>
      <c r="E380" s="5" t="str">
        <f t="shared" si="21"/>
        <v>Under $15k</v>
      </c>
      <c r="F380" s="5" t="str">
        <f t="shared" si="22"/>
        <v>Valid Number</v>
      </c>
      <c r="G380" s="5" t="str">
        <f t="shared" si="23"/>
        <v>Data Present</v>
      </c>
      <c r="H380" s="10">
        <f>IFERROR(B380/'Raw Data'!A381,"Error: Div by Zero")</f>
        <v>1.3538976473737949</v>
      </c>
    </row>
    <row r="381" spans="1:8" x14ac:dyDescent="0.25">
      <c r="A381" s="5">
        <v>379</v>
      </c>
      <c r="B381" s="5">
        <f>'Raw Data'!N382</f>
        <v>0</v>
      </c>
      <c r="C381" s="5">
        <f>'Raw Data'!I382</f>
        <v>666</v>
      </c>
      <c r="D381" s="5" t="str">
        <f t="shared" si="20"/>
        <v>Very High Access</v>
      </c>
      <c r="E381" s="5" t="str">
        <f t="shared" si="21"/>
        <v>Under $15k</v>
      </c>
      <c r="F381" s="5" t="str">
        <f t="shared" si="22"/>
        <v>Valid Number</v>
      </c>
      <c r="G381" s="5" t="str">
        <f t="shared" si="23"/>
        <v>Data Present</v>
      </c>
      <c r="H381" s="10" t="str">
        <f>IFERROR(B381/'Raw Data'!A382,"Error: Div by Zero")</f>
        <v>Error: Div by Zero</v>
      </c>
    </row>
    <row r="382" spans="1:8" x14ac:dyDescent="0.25">
      <c r="A382" s="5">
        <v>380</v>
      </c>
      <c r="B382" s="5">
        <f>'Raw Data'!N383</f>
        <v>0</v>
      </c>
      <c r="C382" s="5">
        <f>'Raw Data'!I383</f>
        <v>666</v>
      </c>
      <c r="D382" s="5" t="str">
        <f t="shared" si="20"/>
        <v>Very High Access</v>
      </c>
      <c r="E382" s="5" t="str">
        <f t="shared" si="21"/>
        <v>Under $15k</v>
      </c>
      <c r="F382" s="5" t="str">
        <f t="shared" si="22"/>
        <v>Valid Number</v>
      </c>
      <c r="G382" s="5" t="str">
        <f t="shared" si="23"/>
        <v>Data Present</v>
      </c>
      <c r="H382" s="10" t="str">
        <f>IFERROR(B382/'Raw Data'!A383,"Error: Div by Zero")</f>
        <v>Error: Div by Zero</v>
      </c>
    </row>
    <row r="383" spans="1:8" x14ac:dyDescent="0.25">
      <c r="A383" s="5">
        <v>381</v>
      </c>
      <c r="B383" s="5">
        <f>'Raw Data'!N384</f>
        <v>0</v>
      </c>
      <c r="C383" s="5">
        <f>'Raw Data'!I384</f>
        <v>666</v>
      </c>
      <c r="D383" s="5" t="str">
        <f t="shared" si="20"/>
        <v>Very High Access</v>
      </c>
      <c r="E383" s="5" t="str">
        <f t="shared" si="21"/>
        <v>Under $15k</v>
      </c>
      <c r="F383" s="5" t="str">
        <f t="shared" si="22"/>
        <v>Valid Number</v>
      </c>
      <c r="G383" s="5" t="str">
        <f t="shared" si="23"/>
        <v>Data Present</v>
      </c>
      <c r="H383" s="10" t="str">
        <f>IFERROR(B383/'Raw Data'!A384,"Error: Div by Zero")</f>
        <v>Error: Div by Zero</v>
      </c>
    </row>
    <row r="384" spans="1:8" x14ac:dyDescent="0.25">
      <c r="A384" s="5">
        <v>382</v>
      </c>
      <c r="B384" s="5">
        <f>'Raw Data'!N385</f>
        <v>0</v>
      </c>
      <c r="C384" s="5">
        <f>'Raw Data'!I385</f>
        <v>666</v>
      </c>
      <c r="D384" s="5" t="str">
        <f t="shared" si="20"/>
        <v>Very High Access</v>
      </c>
      <c r="E384" s="5" t="str">
        <f t="shared" si="21"/>
        <v>Under $15k</v>
      </c>
      <c r="F384" s="5" t="str">
        <f t="shared" si="22"/>
        <v>Valid Number</v>
      </c>
      <c r="G384" s="5" t="str">
        <f t="shared" si="23"/>
        <v>Data Present</v>
      </c>
      <c r="H384" s="10" t="str">
        <f>IFERROR(B384/'Raw Data'!A385,"Error: Div by Zero")</f>
        <v>Error: Div by Zero</v>
      </c>
    </row>
    <row r="385" spans="1:8" x14ac:dyDescent="0.25">
      <c r="A385" s="5">
        <v>383</v>
      </c>
      <c r="B385" s="5">
        <f>'Raw Data'!N386</f>
        <v>11.3</v>
      </c>
      <c r="C385" s="5">
        <f>'Raw Data'!I386</f>
        <v>24</v>
      </c>
      <c r="D385" s="5" t="str">
        <f t="shared" si="20"/>
        <v>Very High Access</v>
      </c>
      <c r="E385" s="5" t="str">
        <f t="shared" si="21"/>
        <v>Under $15k</v>
      </c>
      <c r="F385" s="5" t="str">
        <f t="shared" si="22"/>
        <v>Valid Number</v>
      </c>
      <c r="G385" s="5" t="str">
        <f t="shared" si="23"/>
        <v>Data Present</v>
      </c>
      <c r="H385" s="10">
        <f>IFERROR(B385/'Raw Data'!A386,"Error: Div by Zero")</f>
        <v>1.2299962338168415</v>
      </c>
    </row>
    <row r="386" spans="1:8" x14ac:dyDescent="0.25">
      <c r="A386" s="5">
        <v>384</v>
      </c>
      <c r="B386" s="5">
        <f>'Raw Data'!N387</f>
        <v>12.3</v>
      </c>
      <c r="C386" s="5">
        <f>'Raw Data'!I387</f>
        <v>24</v>
      </c>
      <c r="D386" s="5" t="str">
        <f t="shared" si="20"/>
        <v>Very High Access</v>
      </c>
      <c r="E386" s="5" t="str">
        <f t="shared" si="21"/>
        <v>Under $15k</v>
      </c>
      <c r="F386" s="5" t="str">
        <f t="shared" si="22"/>
        <v>Valid Number</v>
      </c>
      <c r="G386" s="5" t="str">
        <f t="shared" si="23"/>
        <v>Data Present</v>
      </c>
      <c r="H386" s="10">
        <f>IFERROR(B386/'Raw Data'!A387,"Error: Div by Zero")</f>
        <v>1.5389466098132245</v>
      </c>
    </row>
    <row r="387" spans="1:8" x14ac:dyDescent="0.25">
      <c r="A387" s="5">
        <v>385</v>
      </c>
      <c r="B387" s="5">
        <f>'Raw Data'!N388</f>
        <v>0</v>
      </c>
      <c r="C387" s="5">
        <f>'Raw Data'!I388</f>
        <v>666</v>
      </c>
      <c r="D387" s="5" t="str">
        <f t="shared" si="20"/>
        <v>Very High Access</v>
      </c>
      <c r="E387" s="5" t="str">
        <f t="shared" si="21"/>
        <v>Under $15k</v>
      </c>
      <c r="F387" s="5" t="str">
        <f t="shared" si="22"/>
        <v>Valid Number</v>
      </c>
      <c r="G387" s="5" t="str">
        <f t="shared" si="23"/>
        <v>Data Present</v>
      </c>
      <c r="H387" s="10" t="str">
        <f>IFERROR(B387/'Raw Data'!A388,"Error: Div by Zero")</f>
        <v>Error: Div by Zero</v>
      </c>
    </row>
    <row r="388" spans="1:8" x14ac:dyDescent="0.25">
      <c r="A388" s="5">
        <v>386</v>
      </c>
      <c r="B388" s="5">
        <f>'Raw Data'!N389</f>
        <v>0</v>
      </c>
      <c r="C388" s="5">
        <f>'Raw Data'!I389</f>
        <v>666</v>
      </c>
      <c r="D388" s="5" t="str">
        <f t="shared" ref="D388:D451" si="24">CHOOSE(MIN(5,MAX(1,INT(C388/5)+1)),"Very Low Access","Low Access","Medium Access","High Access","Very High Access")</f>
        <v>Very High Access</v>
      </c>
      <c r="E388" s="5" t="str">
        <f t="shared" ref="E388:E451" si="25">IF(B388&lt;15,"Under $15k",IF(B388&lt;25,"$15-25k",IF(B388&lt;35,"$25-35k",IF(B388&lt;45,"$35-45k","Over $45k"))))</f>
        <v>Under $15k</v>
      </c>
      <c r="F388" s="5" t="str">
        <f t="shared" ref="F388:F451" si="26">IF(ISNUMBER(B388),"Valid Number","Not a Number")</f>
        <v>Valid Number</v>
      </c>
      <c r="G388" s="5" t="str">
        <f t="shared" ref="G388:G451" si="27">IF(ISBLANK(B388),"Missing","Data Present")</f>
        <v>Data Present</v>
      </c>
      <c r="H388" s="10" t="str">
        <f>IFERROR(B388/'Raw Data'!A389,"Error: Div by Zero")</f>
        <v>Error: Div by Zero</v>
      </c>
    </row>
    <row r="389" spans="1:8" x14ac:dyDescent="0.25">
      <c r="A389" s="5">
        <v>387</v>
      </c>
      <c r="B389" s="5">
        <f>'Raw Data'!N390</f>
        <v>0</v>
      </c>
      <c r="C389" s="5">
        <f>'Raw Data'!I390</f>
        <v>666</v>
      </c>
      <c r="D389" s="5" t="str">
        <f t="shared" si="24"/>
        <v>Very High Access</v>
      </c>
      <c r="E389" s="5" t="str">
        <f t="shared" si="25"/>
        <v>Under $15k</v>
      </c>
      <c r="F389" s="5" t="str">
        <f t="shared" si="26"/>
        <v>Valid Number</v>
      </c>
      <c r="G389" s="5" t="str">
        <f t="shared" si="27"/>
        <v>Data Present</v>
      </c>
      <c r="H389" s="10" t="str">
        <f>IFERROR(B389/'Raw Data'!A390,"Error: Div by Zero")</f>
        <v>Error: Div by Zero</v>
      </c>
    </row>
    <row r="390" spans="1:8" x14ac:dyDescent="0.25">
      <c r="A390" s="5">
        <v>388</v>
      </c>
      <c r="B390" s="5">
        <f>'Raw Data'!N391</f>
        <v>0</v>
      </c>
      <c r="C390" s="5">
        <f>'Raw Data'!I391</f>
        <v>666</v>
      </c>
      <c r="D390" s="5" t="str">
        <f t="shared" si="24"/>
        <v>Very High Access</v>
      </c>
      <c r="E390" s="5" t="str">
        <f t="shared" si="25"/>
        <v>Under $15k</v>
      </c>
      <c r="F390" s="5" t="str">
        <f t="shared" si="26"/>
        <v>Valid Number</v>
      </c>
      <c r="G390" s="5" t="str">
        <f t="shared" si="27"/>
        <v>Data Present</v>
      </c>
      <c r="H390" s="10" t="str">
        <f>IFERROR(B390/'Raw Data'!A391,"Error: Div by Zero")</f>
        <v>Error: Div by Zero</v>
      </c>
    </row>
    <row r="391" spans="1:8" x14ac:dyDescent="0.25">
      <c r="A391" s="5">
        <v>389</v>
      </c>
      <c r="B391" s="5">
        <f>'Raw Data'!N392</f>
        <v>0</v>
      </c>
      <c r="C391" s="5">
        <f>'Raw Data'!I392</f>
        <v>666</v>
      </c>
      <c r="D391" s="5" t="str">
        <f t="shared" si="24"/>
        <v>Very High Access</v>
      </c>
      <c r="E391" s="5" t="str">
        <f t="shared" si="25"/>
        <v>Under $15k</v>
      </c>
      <c r="F391" s="5" t="str">
        <f t="shared" si="26"/>
        <v>Valid Number</v>
      </c>
      <c r="G391" s="5" t="str">
        <f t="shared" si="27"/>
        <v>Data Present</v>
      </c>
      <c r="H391" s="10" t="str">
        <f>IFERROR(B391/'Raw Data'!A392,"Error: Div by Zero")</f>
        <v>Error: Div by Zero</v>
      </c>
    </row>
    <row r="392" spans="1:8" x14ac:dyDescent="0.25">
      <c r="A392" s="5">
        <v>390</v>
      </c>
      <c r="B392" s="5">
        <f>'Raw Data'!N393</f>
        <v>11.5</v>
      </c>
      <c r="C392" s="5">
        <f>'Raw Data'!I393</f>
        <v>24</v>
      </c>
      <c r="D392" s="5" t="str">
        <f t="shared" si="24"/>
        <v>Very High Access</v>
      </c>
      <c r="E392" s="5" t="str">
        <f t="shared" si="25"/>
        <v>Under $15k</v>
      </c>
      <c r="F392" s="5" t="str">
        <f t="shared" si="26"/>
        <v>Valid Number</v>
      </c>
      <c r="G392" s="5" t="str">
        <f t="shared" si="27"/>
        <v>Data Present</v>
      </c>
      <c r="H392" s="10">
        <f>IFERROR(B392/'Raw Data'!A393,"Error: Div by Zero")</f>
        <v>1.4107417557478525</v>
      </c>
    </row>
    <row r="393" spans="1:8" x14ac:dyDescent="0.25">
      <c r="A393" s="5">
        <v>391</v>
      </c>
      <c r="B393" s="5">
        <f>'Raw Data'!N394</f>
        <v>15.1</v>
      </c>
      <c r="C393" s="5">
        <f>'Raw Data'!I394</f>
        <v>24</v>
      </c>
      <c r="D393" s="5" t="str">
        <f t="shared" si="24"/>
        <v>Very High Access</v>
      </c>
      <c r="E393" s="5" t="str">
        <f t="shared" si="25"/>
        <v>$15-25k</v>
      </c>
      <c r="F393" s="5" t="str">
        <f t="shared" si="26"/>
        <v>Valid Number</v>
      </c>
      <c r="G393" s="5" t="str">
        <f t="shared" si="27"/>
        <v>Data Present</v>
      </c>
      <c r="H393" s="10">
        <f>IFERROR(B393/'Raw Data'!A394,"Error: Div by Zero")</f>
        <v>2.1688702484146418</v>
      </c>
    </row>
    <row r="394" spans="1:8" x14ac:dyDescent="0.25">
      <c r="A394" s="5">
        <v>392</v>
      </c>
      <c r="B394" s="5">
        <f>'Raw Data'!N395</f>
        <v>23.2</v>
      </c>
      <c r="C394" s="5">
        <f>'Raw Data'!I395</f>
        <v>24</v>
      </c>
      <c r="D394" s="5" t="str">
        <f t="shared" si="24"/>
        <v>Very High Access</v>
      </c>
      <c r="E394" s="5" t="str">
        <f t="shared" si="25"/>
        <v>$15-25k</v>
      </c>
      <c r="F394" s="5" t="str">
        <f t="shared" si="26"/>
        <v>Valid Number</v>
      </c>
      <c r="G394" s="5" t="str">
        <f t="shared" si="27"/>
        <v>Data Present</v>
      </c>
      <c r="H394" s="10">
        <f>IFERROR(B394/'Raw Data'!A395,"Error: Div by Zero")</f>
        <v>4.3831061486288618</v>
      </c>
    </row>
    <row r="395" spans="1:8" x14ac:dyDescent="0.25">
      <c r="A395" s="5">
        <v>393</v>
      </c>
      <c r="B395" s="5">
        <f>'Raw Data'!N396</f>
        <v>0</v>
      </c>
      <c r="C395" s="5">
        <f>'Raw Data'!I396</f>
        <v>666</v>
      </c>
      <c r="D395" s="5" t="str">
        <f t="shared" si="24"/>
        <v>Very High Access</v>
      </c>
      <c r="E395" s="5" t="str">
        <f t="shared" si="25"/>
        <v>Under $15k</v>
      </c>
      <c r="F395" s="5" t="str">
        <f t="shared" si="26"/>
        <v>Valid Number</v>
      </c>
      <c r="G395" s="5" t="str">
        <f t="shared" si="27"/>
        <v>Data Present</v>
      </c>
      <c r="H395" s="10" t="str">
        <f>IFERROR(B395/'Raw Data'!A396,"Error: Div by Zero")</f>
        <v>Error: Div by Zero</v>
      </c>
    </row>
    <row r="396" spans="1:8" x14ac:dyDescent="0.25">
      <c r="A396" s="5">
        <v>394</v>
      </c>
      <c r="B396" s="5">
        <f>'Raw Data'!N397</f>
        <v>13.8</v>
      </c>
      <c r="C396" s="5">
        <f>'Raw Data'!I397</f>
        <v>24</v>
      </c>
      <c r="D396" s="5" t="str">
        <f t="shared" si="24"/>
        <v>Very High Access</v>
      </c>
      <c r="E396" s="5" t="str">
        <f t="shared" si="25"/>
        <v>Under $15k</v>
      </c>
      <c r="F396" s="5" t="str">
        <f t="shared" si="26"/>
        <v>Valid Number</v>
      </c>
      <c r="G396" s="5" t="str">
        <f t="shared" si="27"/>
        <v>Data Present</v>
      </c>
      <c r="H396" s="10">
        <f>IFERROR(B396/'Raw Data'!A397,"Error: Div by Zero")</f>
        <v>1.596342755611492</v>
      </c>
    </row>
    <row r="397" spans="1:8" x14ac:dyDescent="0.25">
      <c r="A397" s="5">
        <v>395</v>
      </c>
      <c r="B397" s="5">
        <f>'Raw Data'!N398</f>
        <v>0</v>
      </c>
      <c r="C397" s="5">
        <f>'Raw Data'!I398</f>
        <v>666</v>
      </c>
      <c r="D397" s="5" t="str">
        <f t="shared" si="24"/>
        <v>Very High Access</v>
      </c>
      <c r="E397" s="5" t="str">
        <f t="shared" si="25"/>
        <v>Under $15k</v>
      </c>
      <c r="F397" s="5" t="str">
        <f t="shared" si="26"/>
        <v>Valid Number</v>
      </c>
      <c r="G397" s="5" t="str">
        <f t="shared" si="27"/>
        <v>Data Present</v>
      </c>
      <c r="H397" s="10" t="str">
        <f>IFERROR(B397/'Raw Data'!A398,"Error: Div by Zero")</f>
        <v>Error: Div by Zero</v>
      </c>
    </row>
    <row r="398" spans="1:8" x14ac:dyDescent="0.25">
      <c r="A398" s="5">
        <v>396</v>
      </c>
      <c r="B398" s="5">
        <f>'Raw Data'!N399</f>
        <v>13.1</v>
      </c>
      <c r="C398" s="5">
        <f>'Raw Data'!I399</f>
        <v>24</v>
      </c>
      <c r="D398" s="5" t="str">
        <f t="shared" si="24"/>
        <v>Very High Access</v>
      </c>
      <c r="E398" s="5" t="str">
        <f t="shared" si="25"/>
        <v>Under $15k</v>
      </c>
      <c r="F398" s="5" t="str">
        <f t="shared" si="26"/>
        <v>Valid Number</v>
      </c>
      <c r="G398" s="5" t="str">
        <f t="shared" si="27"/>
        <v>Data Present</v>
      </c>
      <c r="H398" s="10">
        <f>IFERROR(B398/'Raw Data'!A399,"Error: Div by Zero")</f>
        <v>1.5028537012074454</v>
      </c>
    </row>
    <row r="399" spans="1:8" x14ac:dyDescent="0.25">
      <c r="A399" s="5">
        <v>397</v>
      </c>
      <c r="B399" s="5">
        <f>'Raw Data'!N400</f>
        <v>12.5</v>
      </c>
      <c r="C399" s="5">
        <f>'Raw Data'!I400</f>
        <v>24</v>
      </c>
      <c r="D399" s="5" t="str">
        <f t="shared" si="24"/>
        <v>Very High Access</v>
      </c>
      <c r="E399" s="5" t="str">
        <f t="shared" si="25"/>
        <v>Under $15k</v>
      </c>
      <c r="F399" s="5" t="str">
        <f t="shared" si="26"/>
        <v>Valid Number</v>
      </c>
      <c r="G399" s="5" t="str">
        <f t="shared" si="27"/>
        <v>Data Present</v>
      </c>
      <c r="H399" s="10">
        <f>IFERROR(B399/'Raw Data'!A400,"Error: Div by Zero")</f>
        <v>2.128728467911547</v>
      </c>
    </row>
    <row r="400" spans="1:8" x14ac:dyDescent="0.25">
      <c r="A400" s="5">
        <v>398</v>
      </c>
      <c r="B400" s="5">
        <f>'Raw Data'!N401</f>
        <v>8.5</v>
      </c>
      <c r="C400" s="5">
        <f>'Raw Data'!I401</f>
        <v>24</v>
      </c>
      <c r="D400" s="5" t="str">
        <f t="shared" si="24"/>
        <v>Very High Access</v>
      </c>
      <c r="E400" s="5" t="str">
        <f t="shared" si="25"/>
        <v>Under $15k</v>
      </c>
      <c r="F400" s="5" t="str">
        <f t="shared" si="26"/>
        <v>Valid Number</v>
      </c>
      <c r="G400" s="5" t="str">
        <f t="shared" si="27"/>
        <v>Data Present</v>
      </c>
      <c r="H400" s="10">
        <f>IFERROR(B400/'Raw Data'!A401,"Error: Div by Zero")</f>
        <v>1.1079220335713411</v>
      </c>
    </row>
    <row r="401" spans="1:8" x14ac:dyDescent="0.25">
      <c r="A401" s="5">
        <v>399</v>
      </c>
      <c r="B401" s="5">
        <f>'Raw Data'!N402</f>
        <v>0</v>
      </c>
      <c r="C401" s="5">
        <f>'Raw Data'!I402</f>
        <v>666</v>
      </c>
      <c r="D401" s="5" t="str">
        <f t="shared" si="24"/>
        <v>Very High Access</v>
      </c>
      <c r="E401" s="5" t="str">
        <f t="shared" si="25"/>
        <v>Under $15k</v>
      </c>
      <c r="F401" s="5" t="str">
        <f t="shared" si="26"/>
        <v>Valid Number</v>
      </c>
      <c r="G401" s="5" t="str">
        <f t="shared" si="27"/>
        <v>Data Present</v>
      </c>
      <c r="H401" s="10" t="str">
        <f>IFERROR(B401/'Raw Data'!A402,"Error: Div by Zero")</f>
        <v>Error: Div by Zero</v>
      </c>
    </row>
    <row r="402" spans="1:8" x14ac:dyDescent="0.25">
      <c r="A402" s="5">
        <v>400</v>
      </c>
      <c r="B402" s="5">
        <f>'Raw Data'!N403</f>
        <v>6.3</v>
      </c>
      <c r="C402" s="5">
        <f>'Raw Data'!I403</f>
        <v>24</v>
      </c>
      <c r="D402" s="5" t="str">
        <f t="shared" si="24"/>
        <v>Very High Access</v>
      </c>
      <c r="E402" s="5" t="str">
        <f t="shared" si="25"/>
        <v>Under $15k</v>
      </c>
      <c r="F402" s="5" t="str">
        <f t="shared" si="26"/>
        <v>Valid Number</v>
      </c>
      <c r="G402" s="5" t="str">
        <f t="shared" si="27"/>
        <v>Data Present</v>
      </c>
      <c r="H402" s="10">
        <f>IFERROR(B402/'Raw Data'!A403,"Error: Div by Zero")</f>
        <v>0.63530159178343271</v>
      </c>
    </row>
    <row r="403" spans="1:8" x14ac:dyDescent="0.25">
      <c r="A403" s="5">
        <v>401</v>
      </c>
      <c r="B403" s="5">
        <f>'Raw Data'!N404</f>
        <v>0</v>
      </c>
      <c r="C403" s="5">
        <f>'Raw Data'!I404</f>
        <v>666</v>
      </c>
      <c r="D403" s="5" t="str">
        <f t="shared" si="24"/>
        <v>Very High Access</v>
      </c>
      <c r="E403" s="5" t="str">
        <f t="shared" si="25"/>
        <v>Under $15k</v>
      </c>
      <c r="F403" s="5" t="str">
        <f t="shared" si="26"/>
        <v>Valid Number</v>
      </c>
      <c r="G403" s="5" t="str">
        <f t="shared" si="27"/>
        <v>Data Present</v>
      </c>
      <c r="H403" s="10" t="str">
        <f>IFERROR(B403/'Raw Data'!A404,"Error: Div by Zero")</f>
        <v>Error: Div by Zero</v>
      </c>
    </row>
    <row r="404" spans="1:8" x14ac:dyDescent="0.25">
      <c r="A404" s="5">
        <v>402</v>
      </c>
      <c r="B404" s="5">
        <f>'Raw Data'!N405</f>
        <v>0</v>
      </c>
      <c r="C404" s="5">
        <f>'Raw Data'!I405</f>
        <v>666</v>
      </c>
      <c r="D404" s="5" t="str">
        <f t="shared" si="24"/>
        <v>Very High Access</v>
      </c>
      <c r="E404" s="5" t="str">
        <f t="shared" si="25"/>
        <v>Under $15k</v>
      </c>
      <c r="F404" s="5" t="str">
        <f t="shared" si="26"/>
        <v>Valid Number</v>
      </c>
      <c r="G404" s="5" t="str">
        <f t="shared" si="27"/>
        <v>Data Present</v>
      </c>
      <c r="H404" s="10" t="str">
        <f>IFERROR(B404/'Raw Data'!A405,"Error: Div by Zero")</f>
        <v>Error: Div by Zero</v>
      </c>
    </row>
    <row r="405" spans="1:8" x14ac:dyDescent="0.25">
      <c r="A405" s="5">
        <v>403</v>
      </c>
      <c r="B405" s="5">
        <f>'Raw Data'!N406</f>
        <v>12.1</v>
      </c>
      <c r="C405" s="5">
        <f>'Raw Data'!I406</f>
        <v>24</v>
      </c>
      <c r="D405" s="5" t="str">
        <f t="shared" si="24"/>
        <v>Very High Access</v>
      </c>
      <c r="E405" s="5" t="str">
        <f t="shared" si="25"/>
        <v>Under $15k</v>
      </c>
      <c r="F405" s="5" t="str">
        <f t="shared" si="26"/>
        <v>Valid Number</v>
      </c>
      <c r="G405" s="5" t="str">
        <f t="shared" si="27"/>
        <v>Data Present</v>
      </c>
      <c r="H405" s="10">
        <f>IFERROR(B405/'Raw Data'!A406,"Error: Div by Zero")</f>
        <v>1.2609801671788747</v>
      </c>
    </row>
    <row r="406" spans="1:8" x14ac:dyDescent="0.25">
      <c r="A406" s="5">
        <v>404</v>
      </c>
      <c r="B406" s="5">
        <f>'Raw Data'!N407</f>
        <v>0</v>
      </c>
      <c r="C406" s="5">
        <f>'Raw Data'!I407</f>
        <v>666</v>
      </c>
      <c r="D406" s="5" t="str">
        <f t="shared" si="24"/>
        <v>Very High Access</v>
      </c>
      <c r="E406" s="5" t="str">
        <f t="shared" si="25"/>
        <v>Under $15k</v>
      </c>
      <c r="F406" s="5" t="str">
        <f t="shared" si="26"/>
        <v>Valid Number</v>
      </c>
      <c r="G406" s="5" t="str">
        <f t="shared" si="27"/>
        <v>Data Present</v>
      </c>
      <c r="H406" s="10" t="str">
        <f>IFERROR(B406/'Raw Data'!A407,"Error: Div by Zero")</f>
        <v>Error: Div by Zero</v>
      </c>
    </row>
    <row r="407" spans="1:8" x14ac:dyDescent="0.25">
      <c r="A407" s="5">
        <v>405</v>
      </c>
      <c r="B407" s="5">
        <f>'Raw Data'!N408</f>
        <v>0</v>
      </c>
      <c r="C407" s="5">
        <f>'Raw Data'!I408</f>
        <v>666</v>
      </c>
      <c r="D407" s="5" t="str">
        <f t="shared" si="24"/>
        <v>Very High Access</v>
      </c>
      <c r="E407" s="5" t="str">
        <f t="shared" si="25"/>
        <v>Under $15k</v>
      </c>
      <c r="F407" s="5" t="str">
        <f t="shared" si="26"/>
        <v>Valid Number</v>
      </c>
      <c r="G407" s="5" t="str">
        <f t="shared" si="27"/>
        <v>Data Present</v>
      </c>
      <c r="H407" s="10" t="str">
        <f>IFERROR(B407/'Raw Data'!A408,"Error: Div by Zero")</f>
        <v>Error: Div by Zero</v>
      </c>
    </row>
    <row r="408" spans="1:8" x14ac:dyDescent="0.25">
      <c r="A408" s="5">
        <v>406</v>
      </c>
      <c r="B408" s="5">
        <f>'Raw Data'!N409</f>
        <v>0</v>
      </c>
      <c r="C408" s="5">
        <f>'Raw Data'!I409</f>
        <v>666</v>
      </c>
      <c r="D408" s="5" t="str">
        <f t="shared" si="24"/>
        <v>Very High Access</v>
      </c>
      <c r="E408" s="5" t="str">
        <f t="shared" si="25"/>
        <v>Under $15k</v>
      </c>
      <c r="F408" s="5" t="str">
        <f t="shared" si="26"/>
        <v>Valid Number</v>
      </c>
      <c r="G408" s="5" t="str">
        <f t="shared" si="27"/>
        <v>Data Present</v>
      </c>
      <c r="H408" s="10" t="str">
        <f>IFERROR(B408/'Raw Data'!A409,"Error: Div by Zero")</f>
        <v>Error: Div by Zero</v>
      </c>
    </row>
    <row r="409" spans="1:8" x14ac:dyDescent="0.25">
      <c r="A409" s="5">
        <v>407</v>
      </c>
      <c r="B409" s="5">
        <f>'Raw Data'!N410</f>
        <v>0</v>
      </c>
      <c r="C409" s="5">
        <f>'Raw Data'!I410</f>
        <v>666</v>
      </c>
      <c r="D409" s="5" t="str">
        <f t="shared" si="24"/>
        <v>Very High Access</v>
      </c>
      <c r="E409" s="5" t="str">
        <f t="shared" si="25"/>
        <v>Under $15k</v>
      </c>
      <c r="F409" s="5" t="str">
        <f t="shared" si="26"/>
        <v>Valid Number</v>
      </c>
      <c r="G409" s="5" t="str">
        <f t="shared" si="27"/>
        <v>Data Present</v>
      </c>
      <c r="H409" s="10" t="str">
        <f>IFERROR(B409/'Raw Data'!A410,"Error: Div by Zero")</f>
        <v>Error: Div by Zero</v>
      </c>
    </row>
    <row r="410" spans="1:8" x14ac:dyDescent="0.25">
      <c r="A410" s="5">
        <v>408</v>
      </c>
      <c r="B410" s="5">
        <f>'Raw Data'!N411</f>
        <v>0</v>
      </c>
      <c r="C410" s="5">
        <f>'Raw Data'!I411</f>
        <v>666</v>
      </c>
      <c r="D410" s="5" t="str">
        <f t="shared" si="24"/>
        <v>Very High Access</v>
      </c>
      <c r="E410" s="5" t="str">
        <f t="shared" si="25"/>
        <v>Under $15k</v>
      </c>
      <c r="F410" s="5" t="str">
        <f t="shared" si="26"/>
        <v>Valid Number</v>
      </c>
      <c r="G410" s="5" t="str">
        <f t="shared" si="27"/>
        <v>Data Present</v>
      </c>
      <c r="H410" s="10" t="str">
        <f>IFERROR(B410/'Raw Data'!A411,"Error: Div by Zero")</f>
        <v>Error: Div by Zero</v>
      </c>
    </row>
    <row r="411" spans="1:8" x14ac:dyDescent="0.25">
      <c r="A411" s="5">
        <v>409</v>
      </c>
      <c r="B411" s="5">
        <f>'Raw Data'!N412</f>
        <v>17.2</v>
      </c>
      <c r="C411" s="5">
        <f>'Raw Data'!I412</f>
        <v>24</v>
      </c>
      <c r="D411" s="5" t="str">
        <f t="shared" si="24"/>
        <v>Very High Access</v>
      </c>
      <c r="E411" s="5" t="str">
        <f t="shared" si="25"/>
        <v>$15-25k</v>
      </c>
      <c r="F411" s="5" t="str">
        <f t="shared" si="26"/>
        <v>Valid Number</v>
      </c>
      <c r="G411" s="5" t="str">
        <f t="shared" si="27"/>
        <v>Data Present</v>
      </c>
      <c r="H411" s="10">
        <f>IFERROR(B411/'Raw Data'!A412,"Error: Div by Zero")</f>
        <v>2.323103125519153</v>
      </c>
    </row>
    <row r="412" spans="1:8" x14ac:dyDescent="0.25">
      <c r="A412" s="5">
        <v>410</v>
      </c>
      <c r="B412" s="5">
        <f>'Raw Data'!N413</f>
        <v>0</v>
      </c>
      <c r="C412" s="5">
        <f>'Raw Data'!I413</f>
        <v>666</v>
      </c>
      <c r="D412" s="5" t="str">
        <f t="shared" si="24"/>
        <v>Very High Access</v>
      </c>
      <c r="E412" s="5" t="str">
        <f t="shared" si="25"/>
        <v>Under $15k</v>
      </c>
      <c r="F412" s="5" t="str">
        <f t="shared" si="26"/>
        <v>Valid Number</v>
      </c>
      <c r="G412" s="5" t="str">
        <f t="shared" si="27"/>
        <v>Data Present</v>
      </c>
      <c r="H412" s="10" t="str">
        <f>IFERROR(B412/'Raw Data'!A413,"Error: Div by Zero")</f>
        <v>Error: Div by Zero</v>
      </c>
    </row>
    <row r="413" spans="1:8" x14ac:dyDescent="0.25">
      <c r="A413" s="5">
        <v>411</v>
      </c>
      <c r="B413" s="5">
        <f>'Raw Data'!N414</f>
        <v>0</v>
      </c>
      <c r="C413" s="5">
        <f>'Raw Data'!I414</f>
        <v>666</v>
      </c>
      <c r="D413" s="5" t="str">
        <f t="shared" si="24"/>
        <v>Very High Access</v>
      </c>
      <c r="E413" s="5" t="str">
        <f t="shared" si="25"/>
        <v>Under $15k</v>
      </c>
      <c r="F413" s="5" t="str">
        <f t="shared" si="26"/>
        <v>Valid Number</v>
      </c>
      <c r="G413" s="5" t="str">
        <f t="shared" si="27"/>
        <v>Data Present</v>
      </c>
      <c r="H413" s="10" t="str">
        <f>IFERROR(B413/'Raw Data'!A414,"Error: Div by Zero")</f>
        <v>Error: Div by Zero</v>
      </c>
    </row>
    <row r="414" spans="1:8" x14ac:dyDescent="0.25">
      <c r="A414" s="5">
        <v>412</v>
      </c>
      <c r="B414" s="5">
        <f>'Raw Data'!N415</f>
        <v>0</v>
      </c>
      <c r="C414" s="5">
        <f>'Raw Data'!I415</f>
        <v>666</v>
      </c>
      <c r="D414" s="5" t="str">
        <f t="shared" si="24"/>
        <v>Very High Access</v>
      </c>
      <c r="E414" s="5" t="str">
        <f t="shared" si="25"/>
        <v>Under $15k</v>
      </c>
      <c r="F414" s="5" t="str">
        <f t="shared" si="26"/>
        <v>Valid Number</v>
      </c>
      <c r="G414" s="5" t="str">
        <f t="shared" si="27"/>
        <v>Data Present</v>
      </c>
      <c r="H414" s="10" t="str">
        <f>IFERROR(B414/'Raw Data'!A415,"Error: Div by Zero")</f>
        <v>Error: Div by Zero</v>
      </c>
    </row>
    <row r="415" spans="1:8" x14ac:dyDescent="0.25">
      <c r="A415" s="5">
        <v>413</v>
      </c>
      <c r="B415" s="5">
        <f>'Raw Data'!N416</f>
        <v>0</v>
      </c>
      <c r="C415" s="5">
        <f>'Raw Data'!I416</f>
        <v>666</v>
      </c>
      <c r="D415" s="5" t="str">
        <f t="shared" si="24"/>
        <v>Very High Access</v>
      </c>
      <c r="E415" s="5" t="str">
        <f t="shared" si="25"/>
        <v>Under $15k</v>
      </c>
      <c r="F415" s="5" t="str">
        <f t="shared" si="26"/>
        <v>Valid Number</v>
      </c>
      <c r="G415" s="5" t="str">
        <f t="shared" si="27"/>
        <v>Data Present</v>
      </c>
      <c r="H415" s="10" t="str">
        <f>IFERROR(B415/'Raw Data'!A416,"Error: Div by Zero")</f>
        <v>Error: Div by Zero</v>
      </c>
    </row>
    <row r="416" spans="1:8" x14ac:dyDescent="0.25">
      <c r="A416" s="5">
        <v>414</v>
      </c>
      <c r="B416" s="5">
        <f>'Raw Data'!N417</f>
        <v>0</v>
      </c>
      <c r="C416" s="5">
        <f>'Raw Data'!I417</f>
        <v>666</v>
      </c>
      <c r="D416" s="5" t="str">
        <f t="shared" si="24"/>
        <v>Very High Access</v>
      </c>
      <c r="E416" s="5" t="str">
        <f t="shared" si="25"/>
        <v>Under $15k</v>
      </c>
      <c r="F416" s="5" t="str">
        <f t="shared" si="26"/>
        <v>Valid Number</v>
      </c>
      <c r="G416" s="5" t="str">
        <f t="shared" si="27"/>
        <v>Data Present</v>
      </c>
      <c r="H416" s="10" t="str">
        <f>IFERROR(B416/'Raw Data'!A417,"Error: Div by Zero")</f>
        <v>Error: Div by Zero</v>
      </c>
    </row>
    <row r="417" spans="1:8" x14ac:dyDescent="0.25">
      <c r="A417" s="5">
        <v>415</v>
      </c>
      <c r="B417" s="5">
        <f>'Raw Data'!N418</f>
        <v>0</v>
      </c>
      <c r="C417" s="5">
        <f>'Raw Data'!I418</f>
        <v>666</v>
      </c>
      <c r="D417" s="5" t="str">
        <f t="shared" si="24"/>
        <v>Very High Access</v>
      </c>
      <c r="E417" s="5" t="str">
        <f t="shared" si="25"/>
        <v>Under $15k</v>
      </c>
      <c r="F417" s="5" t="str">
        <f t="shared" si="26"/>
        <v>Valid Number</v>
      </c>
      <c r="G417" s="5" t="str">
        <f t="shared" si="27"/>
        <v>Data Present</v>
      </c>
      <c r="H417" s="10" t="str">
        <f>IFERROR(B417/'Raw Data'!A418,"Error: Div by Zero")</f>
        <v>Error: Div by Zero</v>
      </c>
    </row>
    <row r="418" spans="1:8" x14ac:dyDescent="0.25">
      <c r="A418" s="5">
        <v>416</v>
      </c>
      <c r="B418" s="5">
        <f>'Raw Data'!N419</f>
        <v>0</v>
      </c>
      <c r="C418" s="5">
        <f>'Raw Data'!I419</f>
        <v>666</v>
      </c>
      <c r="D418" s="5" t="str">
        <f t="shared" si="24"/>
        <v>Very High Access</v>
      </c>
      <c r="E418" s="5" t="str">
        <f t="shared" si="25"/>
        <v>Under $15k</v>
      </c>
      <c r="F418" s="5" t="str">
        <f t="shared" si="26"/>
        <v>Valid Number</v>
      </c>
      <c r="G418" s="5" t="str">
        <f t="shared" si="27"/>
        <v>Data Present</v>
      </c>
      <c r="H418" s="10" t="str">
        <f>IFERROR(B418/'Raw Data'!A419,"Error: Div by Zero")</f>
        <v>Error: Div by Zero</v>
      </c>
    </row>
    <row r="419" spans="1:8" x14ac:dyDescent="0.25">
      <c r="A419" s="5">
        <v>417</v>
      </c>
      <c r="B419" s="5">
        <f>'Raw Data'!N420</f>
        <v>0</v>
      </c>
      <c r="C419" s="5">
        <f>'Raw Data'!I420</f>
        <v>666</v>
      </c>
      <c r="D419" s="5" t="str">
        <f t="shared" si="24"/>
        <v>Very High Access</v>
      </c>
      <c r="E419" s="5" t="str">
        <f t="shared" si="25"/>
        <v>Under $15k</v>
      </c>
      <c r="F419" s="5" t="str">
        <f t="shared" si="26"/>
        <v>Valid Number</v>
      </c>
      <c r="G419" s="5" t="str">
        <f t="shared" si="27"/>
        <v>Data Present</v>
      </c>
      <c r="H419" s="10" t="str">
        <f>IFERROR(B419/'Raw Data'!A420,"Error: Div by Zero")</f>
        <v>Error: Div by Zero</v>
      </c>
    </row>
    <row r="420" spans="1:8" x14ac:dyDescent="0.25">
      <c r="A420" s="5">
        <v>418</v>
      </c>
      <c r="B420" s="5">
        <f>'Raw Data'!N421</f>
        <v>0</v>
      </c>
      <c r="C420" s="5">
        <f>'Raw Data'!I421</f>
        <v>666</v>
      </c>
      <c r="D420" s="5" t="str">
        <f t="shared" si="24"/>
        <v>Very High Access</v>
      </c>
      <c r="E420" s="5" t="str">
        <f t="shared" si="25"/>
        <v>Under $15k</v>
      </c>
      <c r="F420" s="5" t="str">
        <f t="shared" si="26"/>
        <v>Valid Number</v>
      </c>
      <c r="G420" s="5" t="str">
        <f t="shared" si="27"/>
        <v>Data Present</v>
      </c>
      <c r="H420" s="10" t="str">
        <f>IFERROR(B420/'Raw Data'!A421,"Error: Div by Zero")</f>
        <v>Error: Div by Zero</v>
      </c>
    </row>
    <row r="421" spans="1:8" x14ac:dyDescent="0.25">
      <c r="A421" s="5">
        <v>419</v>
      </c>
      <c r="B421" s="5">
        <f>'Raw Data'!N422</f>
        <v>0</v>
      </c>
      <c r="C421" s="5">
        <f>'Raw Data'!I422</f>
        <v>666</v>
      </c>
      <c r="D421" s="5" t="str">
        <f t="shared" si="24"/>
        <v>Very High Access</v>
      </c>
      <c r="E421" s="5" t="str">
        <f t="shared" si="25"/>
        <v>Under $15k</v>
      </c>
      <c r="F421" s="5" t="str">
        <f t="shared" si="26"/>
        <v>Valid Number</v>
      </c>
      <c r="G421" s="5" t="str">
        <f t="shared" si="27"/>
        <v>Data Present</v>
      </c>
      <c r="H421" s="10" t="str">
        <f>IFERROR(B421/'Raw Data'!A422,"Error: Div by Zero")</f>
        <v>Error: Div by Zero</v>
      </c>
    </row>
    <row r="422" spans="1:8" x14ac:dyDescent="0.25">
      <c r="A422" s="5">
        <v>420</v>
      </c>
      <c r="B422" s="5">
        <f>'Raw Data'!N423</f>
        <v>0</v>
      </c>
      <c r="C422" s="5">
        <f>'Raw Data'!I423</f>
        <v>666</v>
      </c>
      <c r="D422" s="5" t="str">
        <f t="shared" si="24"/>
        <v>Very High Access</v>
      </c>
      <c r="E422" s="5" t="str">
        <f t="shared" si="25"/>
        <v>Under $15k</v>
      </c>
      <c r="F422" s="5" t="str">
        <f t="shared" si="26"/>
        <v>Valid Number</v>
      </c>
      <c r="G422" s="5" t="str">
        <f t="shared" si="27"/>
        <v>Data Present</v>
      </c>
      <c r="H422" s="10" t="str">
        <f>IFERROR(B422/'Raw Data'!A423,"Error: Div by Zero")</f>
        <v>Error: Div by Zero</v>
      </c>
    </row>
    <row r="423" spans="1:8" x14ac:dyDescent="0.25">
      <c r="A423" s="5">
        <v>421</v>
      </c>
      <c r="B423" s="5">
        <f>'Raw Data'!N424</f>
        <v>0</v>
      </c>
      <c r="C423" s="5">
        <f>'Raw Data'!I424</f>
        <v>666</v>
      </c>
      <c r="D423" s="5" t="str">
        <f t="shared" si="24"/>
        <v>Very High Access</v>
      </c>
      <c r="E423" s="5" t="str">
        <f t="shared" si="25"/>
        <v>Under $15k</v>
      </c>
      <c r="F423" s="5" t="str">
        <f t="shared" si="26"/>
        <v>Valid Number</v>
      </c>
      <c r="G423" s="5" t="str">
        <f t="shared" si="27"/>
        <v>Data Present</v>
      </c>
      <c r="H423" s="10" t="str">
        <f>IFERROR(B423/'Raw Data'!A424,"Error: Div by Zero")</f>
        <v>Error: Div by Zero</v>
      </c>
    </row>
    <row r="424" spans="1:8" x14ac:dyDescent="0.25">
      <c r="A424" s="5">
        <v>422</v>
      </c>
      <c r="B424" s="5">
        <f>'Raw Data'!N425</f>
        <v>14.2</v>
      </c>
      <c r="C424" s="5">
        <f>'Raw Data'!I425</f>
        <v>24</v>
      </c>
      <c r="D424" s="5" t="str">
        <f t="shared" si="24"/>
        <v>Very High Access</v>
      </c>
      <c r="E424" s="5" t="str">
        <f t="shared" si="25"/>
        <v>Under $15k</v>
      </c>
      <c r="F424" s="5" t="str">
        <f t="shared" si="26"/>
        <v>Valid Number</v>
      </c>
      <c r="G424" s="5" t="str">
        <f t="shared" si="27"/>
        <v>Data Present</v>
      </c>
      <c r="H424" s="10">
        <f>IFERROR(B424/'Raw Data'!A425,"Error: Div by Zero")</f>
        <v>2.0220459972745095</v>
      </c>
    </row>
    <row r="425" spans="1:8" x14ac:dyDescent="0.25">
      <c r="A425" s="5">
        <v>423</v>
      </c>
      <c r="B425" s="5">
        <f>'Raw Data'!N426</f>
        <v>0</v>
      </c>
      <c r="C425" s="5">
        <f>'Raw Data'!I426</f>
        <v>666</v>
      </c>
      <c r="D425" s="5" t="str">
        <f t="shared" si="24"/>
        <v>Very High Access</v>
      </c>
      <c r="E425" s="5" t="str">
        <f t="shared" si="25"/>
        <v>Under $15k</v>
      </c>
      <c r="F425" s="5" t="str">
        <f t="shared" si="26"/>
        <v>Valid Number</v>
      </c>
      <c r="G425" s="5" t="str">
        <f t="shared" si="27"/>
        <v>Data Present</v>
      </c>
      <c r="H425" s="10" t="str">
        <f>IFERROR(B425/'Raw Data'!A426,"Error: Div by Zero")</f>
        <v>Error: Div by Zero</v>
      </c>
    </row>
    <row r="426" spans="1:8" x14ac:dyDescent="0.25">
      <c r="A426" s="5">
        <v>424</v>
      </c>
      <c r="B426" s="5">
        <f>'Raw Data'!N427</f>
        <v>13.4</v>
      </c>
      <c r="C426" s="5">
        <f>'Raw Data'!I427</f>
        <v>24</v>
      </c>
      <c r="D426" s="5" t="str">
        <f t="shared" si="24"/>
        <v>Very High Access</v>
      </c>
      <c r="E426" s="5" t="str">
        <f t="shared" si="25"/>
        <v>Under $15k</v>
      </c>
      <c r="F426" s="5" t="str">
        <f t="shared" si="26"/>
        <v>Valid Number</v>
      </c>
      <c r="G426" s="5" t="str">
        <f t="shared" si="27"/>
        <v>Data Present</v>
      </c>
      <c r="H426" s="10">
        <f>IFERROR(B426/'Raw Data'!A427,"Error: Div by Zero")</f>
        <v>1.9005959928628366</v>
      </c>
    </row>
    <row r="427" spans="1:8" x14ac:dyDescent="0.25">
      <c r="A427" s="5">
        <v>425</v>
      </c>
      <c r="B427" s="5">
        <f>'Raw Data'!N428</f>
        <v>11.7</v>
      </c>
      <c r="C427" s="5">
        <f>'Raw Data'!I428</f>
        <v>24</v>
      </c>
      <c r="D427" s="5" t="str">
        <f t="shared" si="24"/>
        <v>Very High Access</v>
      </c>
      <c r="E427" s="5" t="str">
        <f t="shared" si="25"/>
        <v>Under $15k</v>
      </c>
      <c r="F427" s="5" t="str">
        <f t="shared" si="26"/>
        <v>Valid Number</v>
      </c>
      <c r="G427" s="5" t="str">
        <f t="shared" si="27"/>
        <v>Data Present</v>
      </c>
      <c r="H427" s="10">
        <f>IFERROR(B427/'Raw Data'!A428,"Error: Div by Zero")</f>
        <v>1.3307370691027873</v>
      </c>
    </row>
    <row r="428" spans="1:8" x14ac:dyDescent="0.25">
      <c r="A428" s="5">
        <v>426</v>
      </c>
      <c r="B428" s="5">
        <f>'Raw Data'!N429</f>
        <v>0</v>
      </c>
      <c r="C428" s="5">
        <f>'Raw Data'!I429</f>
        <v>666</v>
      </c>
      <c r="D428" s="5" t="str">
        <f t="shared" si="24"/>
        <v>Very High Access</v>
      </c>
      <c r="E428" s="5" t="str">
        <f t="shared" si="25"/>
        <v>Under $15k</v>
      </c>
      <c r="F428" s="5" t="str">
        <f t="shared" si="26"/>
        <v>Valid Number</v>
      </c>
      <c r="G428" s="5" t="str">
        <f t="shared" si="27"/>
        <v>Data Present</v>
      </c>
      <c r="H428" s="10" t="str">
        <f>IFERROR(B428/'Raw Data'!A429,"Error: Div by Zero")</f>
        <v>Error: Div by Zero</v>
      </c>
    </row>
    <row r="429" spans="1:8" x14ac:dyDescent="0.25">
      <c r="A429" s="5">
        <v>427</v>
      </c>
      <c r="B429" s="5">
        <f>'Raw Data'!N430</f>
        <v>0</v>
      </c>
      <c r="C429" s="5">
        <f>'Raw Data'!I430</f>
        <v>666</v>
      </c>
      <c r="D429" s="5" t="str">
        <f t="shared" si="24"/>
        <v>Very High Access</v>
      </c>
      <c r="E429" s="5" t="str">
        <f t="shared" si="25"/>
        <v>Under $15k</v>
      </c>
      <c r="F429" s="5" t="str">
        <f t="shared" si="26"/>
        <v>Valid Number</v>
      </c>
      <c r="G429" s="5" t="str">
        <f t="shared" si="27"/>
        <v>Data Present</v>
      </c>
      <c r="H429" s="10" t="str">
        <f>IFERROR(B429/'Raw Data'!A430,"Error: Div by Zero")</f>
        <v>Error: Div by Zero</v>
      </c>
    </row>
    <row r="430" spans="1:8" x14ac:dyDescent="0.25">
      <c r="A430" s="5">
        <v>428</v>
      </c>
      <c r="B430" s="5">
        <f>'Raw Data'!N431</f>
        <v>0</v>
      </c>
      <c r="C430" s="5">
        <f>'Raw Data'!I431</f>
        <v>666</v>
      </c>
      <c r="D430" s="5" t="str">
        <f t="shared" si="24"/>
        <v>Very High Access</v>
      </c>
      <c r="E430" s="5" t="str">
        <f t="shared" si="25"/>
        <v>Under $15k</v>
      </c>
      <c r="F430" s="5" t="str">
        <f t="shared" si="26"/>
        <v>Valid Number</v>
      </c>
      <c r="G430" s="5" t="str">
        <f t="shared" si="27"/>
        <v>Data Present</v>
      </c>
      <c r="H430" s="10" t="str">
        <f>IFERROR(B430/'Raw Data'!A431,"Error: Div by Zero")</f>
        <v>Error: Div by Zero</v>
      </c>
    </row>
    <row r="431" spans="1:8" x14ac:dyDescent="0.25">
      <c r="A431" s="5">
        <v>429</v>
      </c>
      <c r="B431" s="5">
        <f>'Raw Data'!N432</f>
        <v>11</v>
      </c>
      <c r="C431" s="5">
        <f>'Raw Data'!I432</f>
        <v>24</v>
      </c>
      <c r="D431" s="5" t="str">
        <f t="shared" si="24"/>
        <v>Very High Access</v>
      </c>
      <c r="E431" s="5" t="str">
        <f t="shared" si="25"/>
        <v>Under $15k</v>
      </c>
      <c r="F431" s="5" t="str">
        <f t="shared" si="26"/>
        <v>Valid Number</v>
      </c>
      <c r="G431" s="5" t="str">
        <f t="shared" si="27"/>
        <v>Data Present</v>
      </c>
      <c r="H431" s="10">
        <f>IFERROR(B431/'Raw Data'!A432,"Error: Div by Zero")</f>
        <v>1.4931228120660611</v>
      </c>
    </row>
    <row r="432" spans="1:8" x14ac:dyDescent="0.25">
      <c r="A432" s="5">
        <v>430</v>
      </c>
      <c r="B432" s="5">
        <f>'Raw Data'!N433</f>
        <v>9.5</v>
      </c>
      <c r="C432" s="5">
        <f>'Raw Data'!I433</f>
        <v>24</v>
      </c>
      <c r="D432" s="5" t="str">
        <f t="shared" si="24"/>
        <v>Very High Access</v>
      </c>
      <c r="E432" s="5" t="str">
        <f t="shared" si="25"/>
        <v>Under $15k</v>
      </c>
      <c r="F432" s="5" t="str">
        <f t="shared" si="26"/>
        <v>Valid Number</v>
      </c>
      <c r="G432" s="5" t="str">
        <f t="shared" si="27"/>
        <v>Data Present</v>
      </c>
      <c r="H432" s="10">
        <f>IFERROR(B432/'Raw Data'!A433,"Error: Div by Zero")</f>
        <v>1.0172515149016639</v>
      </c>
    </row>
    <row r="433" spans="1:8" x14ac:dyDescent="0.25">
      <c r="A433" s="5">
        <v>431</v>
      </c>
      <c r="B433" s="5">
        <f>'Raw Data'!N434</f>
        <v>14.5</v>
      </c>
      <c r="C433" s="5">
        <f>'Raw Data'!I434</f>
        <v>24</v>
      </c>
      <c r="D433" s="5" t="str">
        <f t="shared" si="24"/>
        <v>Very High Access</v>
      </c>
      <c r="E433" s="5" t="str">
        <f t="shared" si="25"/>
        <v>Under $15k</v>
      </c>
      <c r="F433" s="5" t="str">
        <f t="shared" si="26"/>
        <v>Valid Number</v>
      </c>
      <c r="G433" s="5" t="str">
        <f t="shared" si="27"/>
        <v>Data Present</v>
      </c>
      <c r="H433" s="10">
        <f>IFERROR(B433/'Raw Data'!A434,"Error: Div by Zero")</f>
        <v>1.7074632630447251</v>
      </c>
    </row>
    <row r="434" spans="1:8" x14ac:dyDescent="0.25">
      <c r="A434" s="5">
        <v>432</v>
      </c>
      <c r="B434" s="5">
        <f>'Raw Data'!N435</f>
        <v>0</v>
      </c>
      <c r="C434" s="5">
        <f>'Raw Data'!I435</f>
        <v>666</v>
      </c>
      <c r="D434" s="5" t="str">
        <f t="shared" si="24"/>
        <v>Very High Access</v>
      </c>
      <c r="E434" s="5" t="str">
        <f t="shared" si="25"/>
        <v>Under $15k</v>
      </c>
      <c r="F434" s="5" t="str">
        <f t="shared" si="26"/>
        <v>Valid Number</v>
      </c>
      <c r="G434" s="5" t="str">
        <f t="shared" si="27"/>
        <v>Data Present</v>
      </c>
      <c r="H434" s="10" t="str">
        <f>IFERROR(B434/'Raw Data'!A435,"Error: Div by Zero")</f>
        <v>Error: Div by Zero</v>
      </c>
    </row>
    <row r="435" spans="1:8" x14ac:dyDescent="0.25">
      <c r="A435" s="5">
        <v>433</v>
      </c>
      <c r="B435" s="5">
        <f>'Raw Data'!N436</f>
        <v>16.100000000000001</v>
      </c>
      <c r="C435" s="5">
        <f>'Raw Data'!I436</f>
        <v>24</v>
      </c>
      <c r="D435" s="5" t="str">
        <f t="shared" si="24"/>
        <v>Very High Access</v>
      </c>
      <c r="E435" s="5" t="str">
        <f t="shared" si="25"/>
        <v>$15-25k</v>
      </c>
      <c r="F435" s="5" t="str">
        <f t="shared" si="26"/>
        <v>Valid Number</v>
      </c>
      <c r="G435" s="5" t="str">
        <f t="shared" si="27"/>
        <v>Data Present</v>
      </c>
      <c r="H435" s="10">
        <f>IFERROR(B435/'Raw Data'!A436,"Error: Div by Zero")</f>
        <v>2.4984287831410374</v>
      </c>
    </row>
    <row r="436" spans="1:8" x14ac:dyDescent="0.25">
      <c r="A436" s="5">
        <v>434</v>
      </c>
      <c r="B436" s="5">
        <f>'Raw Data'!N437</f>
        <v>14.3</v>
      </c>
      <c r="C436" s="5">
        <f>'Raw Data'!I437</f>
        <v>24</v>
      </c>
      <c r="D436" s="5" t="str">
        <f t="shared" si="24"/>
        <v>Very High Access</v>
      </c>
      <c r="E436" s="5" t="str">
        <f t="shared" si="25"/>
        <v>Under $15k</v>
      </c>
      <c r="F436" s="5" t="str">
        <f t="shared" si="26"/>
        <v>Valid Number</v>
      </c>
      <c r="G436" s="5" t="str">
        <f t="shared" si="27"/>
        <v>Data Present</v>
      </c>
      <c r="H436" s="10">
        <f>IFERROR(B436/'Raw Data'!A437,"Error: Div by Zero")</f>
        <v>2.5622326901472299</v>
      </c>
    </row>
    <row r="437" spans="1:8" x14ac:dyDescent="0.25">
      <c r="A437" s="5">
        <v>435</v>
      </c>
      <c r="B437" s="5">
        <f>'Raw Data'!N438</f>
        <v>0</v>
      </c>
      <c r="C437" s="5">
        <f>'Raw Data'!I438</f>
        <v>666</v>
      </c>
      <c r="D437" s="5" t="str">
        <f t="shared" si="24"/>
        <v>Very High Access</v>
      </c>
      <c r="E437" s="5" t="str">
        <f t="shared" si="25"/>
        <v>Under $15k</v>
      </c>
      <c r="F437" s="5" t="str">
        <f t="shared" si="26"/>
        <v>Valid Number</v>
      </c>
      <c r="G437" s="5" t="str">
        <f t="shared" si="27"/>
        <v>Data Present</v>
      </c>
      <c r="H437" s="10" t="str">
        <f>IFERROR(B437/'Raw Data'!A438,"Error: Div by Zero")</f>
        <v>Error: Div by Zero</v>
      </c>
    </row>
    <row r="438" spans="1:8" x14ac:dyDescent="0.25">
      <c r="A438" s="5">
        <v>436</v>
      </c>
      <c r="B438" s="5">
        <f>'Raw Data'!N439</f>
        <v>0</v>
      </c>
      <c r="C438" s="5">
        <f>'Raw Data'!I439</f>
        <v>666</v>
      </c>
      <c r="D438" s="5" t="str">
        <f t="shared" si="24"/>
        <v>Very High Access</v>
      </c>
      <c r="E438" s="5" t="str">
        <f t="shared" si="25"/>
        <v>Under $15k</v>
      </c>
      <c r="F438" s="5" t="str">
        <f t="shared" si="26"/>
        <v>Valid Number</v>
      </c>
      <c r="G438" s="5" t="str">
        <f t="shared" si="27"/>
        <v>Data Present</v>
      </c>
      <c r="H438" s="10" t="str">
        <f>IFERROR(B438/'Raw Data'!A439,"Error: Div by Zero")</f>
        <v>Error: Div by Zero</v>
      </c>
    </row>
    <row r="439" spans="1:8" x14ac:dyDescent="0.25">
      <c r="A439" s="5">
        <v>437</v>
      </c>
      <c r="B439" s="5">
        <f>'Raw Data'!N440</f>
        <v>0</v>
      </c>
      <c r="C439" s="5">
        <f>'Raw Data'!I440</f>
        <v>666</v>
      </c>
      <c r="D439" s="5" t="str">
        <f t="shared" si="24"/>
        <v>Very High Access</v>
      </c>
      <c r="E439" s="5" t="str">
        <f t="shared" si="25"/>
        <v>Under $15k</v>
      </c>
      <c r="F439" s="5" t="str">
        <f t="shared" si="26"/>
        <v>Valid Number</v>
      </c>
      <c r="G439" s="5" t="str">
        <f t="shared" si="27"/>
        <v>Data Present</v>
      </c>
      <c r="H439" s="10" t="str">
        <f>IFERROR(B439/'Raw Data'!A440,"Error: Div by Zero")</f>
        <v>Error: Div by Zero</v>
      </c>
    </row>
    <row r="440" spans="1:8" x14ac:dyDescent="0.25">
      <c r="A440" s="5">
        <v>438</v>
      </c>
      <c r="B440" s="5">
        <f>'Raw Data'!N441</f>
        <v>0</v>
      </c>
      <c r="C440" s="5">
        <f>'Raw Data'!I441</f>
        <v>666</v>
      </c>
      <c r="D440" s="5" t="str">
        <f t="shared" si="24"/>
        <v>Very High Access</v>
      </c>
      <c r="E440" s="5" t="str">
        <f t="shared" si="25"/>
        <v>Under $15k</v>
      </c>
      <c r="F440" s="5" t="str">
        <f t="shared" si="26"/>
        <v>Valid Number</v>
      </c>
      <c r="G440" s="5" t="str">
        <f t="shared" si="27"/>
        <v>Data Present</v>
      </c>
      <c r="H440" s="10" t="str">
        <f>IFERROR(B440/'Raw Data'!A441,"Error: Div by Zero")</f>
        <v>Error: Div by Zero</v>
      </c>
    </row>
    <row r="441" spans="1:8" x14ac:dyDescent="0.25">
      <c r="A441" s="5">
        <v>439</v>
      </c>
      <c r="B441" s="5">
        <f>'Raw Data'!N442</f>
        <v>0</v>
      </c>
      <c r="C441" s="5">
        <f>'Raw Data'!I442</f>
        <v>666</v>
      </c>
      <c r="D441" s="5" t="str">
        <f t="shared" si="24"/>
        <v>Very High Access</v>
      </c>
      <c r="E441" s="5" t="str">
        <f t="shared" si="25"/>
        <v>Under $15k</v>
      </c>
      <c r="F441" s="5" t="str">
        <f t="shared" si="26"/>
        <v>Valid Number</v>
      </c>
      <c r="G441" s="5" t="str">
        <f t="shared" si="27"/>
        <v>Data Present</v>
      </c>
      <c r="H441" s="10" t="str">
        <f>IFERROR(B441/'Raw Data'!A442,"Error: Div by Zero")</f>
        <v>Error: Div by Zero</v>
      </c>
    </row>
    <row r="442" spans="1:8" x14ac:dyDescent="0.25">
      <c r="A442" s="5">
        <v>440</v>
      </c>
      <c r="B442" s="5">
        <f>'Raw Data'!N443</f>
        <v>12.8</v>
      </c>
      <c r="C442" s="5">
        <f>'Raw Data'!I443</f>
        <v>24</v>
      </c>
      <c r="D442" s="5" t="str">
        <f t="shared" si="24"/>
        <v>Very High Access</v>
      </c>
      <c r="E442" s="5" t="str">
        <f t="shared" si="25"/>
        <v>Under $15k</v>
      </c>
      <c r="F442" s="5" t="str">
        <f t="shared" si="26"/>
        <v>Valid Number</v>
      </c>
      <c r="G442" s="5" t="str">
        <f t="shared" si="27"/>
        <v>Data Present</v>
      </c>
      <c r="H442" s="10">
        <f>IFERROR(B442/'Raw Data'!A443,"Error: Div by Zero")</f>
        <v>1.3630608383037135</v>
      </c>
    </row>
    <row r="443" spans="1:8" x14ac:dyDescent="0.25">
      <c r="A443" s="5">
        <v>441</v>
      </c>
      <c r="B443" s="5">
        <f>'Raw Data'!N444</f>
        <v>0</v>
      </c>
      <c r="C443" s="5">
        <f>'Raw Data'!I444</f>
        <v>666</v>
      </c>
      <c r="D443" s="5" t="str">
        <f t="shared" si="24"/>
        <v>Very High Access</v>
      </c>
      <c r="E443" s="5" t="str">
        <f t="shared" si="25"/>
        <v>Under $15k</v>
      </c>
      <c r="F443" s="5" t="str">
        <f t="shared" si="26"/>
        <v>Valid Number</v>
      </c>
      <c r="G443" s="5" t="str">
        <f t="shared" si="27"/>
        <v>Data Present</v>
      </c>
      <c r="H443" s="10" t="str">
        <f>IFERROR(B443/'Raw Data'!A444,"Error: Div by Zero")</f>
        <v>Error: Div by Zero</v>
      </c>
    </row>
    <row r="444" spans="1:8" x14ac:dyDescent="0.25">
      <c r="A444" s="5">
        <v>442</v>
      </c>
      <c r="B444" s="5">
        <f>'Raw Data'!N445</f>
        <v>17.100000000000001</v>
      </c>
      <c r="C444" s="5">
        <f>'Raw Data'!I445</f>
        <v>24</v>
      </c>
      <c r="D444" s="5" t="str">
        <f t="shared" si="24"/>
        <v>Very High Access</v>
      </c>
      <c r="E444" s="5" t="str">
        <f t="shared" si="25"/>
        <v>$15-25k</v>
      </c>
      <c r="F444" s="5" t="str">
        <f t="shared" si="26"/>
        <v>Valid Number</v>
      </c>
      <c r="G444" s="5" t="str">
        <f t="shared" si="27"/>
        <v>Data Present</v>
      </c>
      <c r="H444" s="10">
        <f>IFERROR(B444/'Raw Data'!A445,"Error: Div by Zero")</f>
        <v>1.7585030305897258</v>
      </c>
    </row>
    <row r="445" spans="1:8" x14ac:dyDescent="0.25">
      <c r="A445" s="5">
        <v>443</v>
      </c>
      <c r="B445" s="5">
        <f>'Raw Data'!N446</f>
        <v>18.399999999999999</v>
      </c>
      <c r="C445" s="5">
        <f>'Raw Data'!I446</f>
        <v>24</v>
      </c>
      <c r="D445" s="5" t="str">
        <f t="shared" si="24"/>
        <v>Very High Access</v>
      </c>
      <c r="E445" s="5" t="str">
        <f t="shared" si="25"/>
        <v>$15-25k</v>
      </c>
      <c r="F445" s="5" t="str">
        <f t="shared" si="26"/>
        <v>Valid Number</v>
      </c>
      <c r="G445" s="5" t="str">
        <f t="shared" si="27"/>
        <v>Data Present</v>
      </c>
      <c r="H445" s="10">
        <f>IFERROR(B445/'Raw Data'!A446,"Error: Div by Zero")</f>
        <v>3.2472288255091</v>
      </c>
    </row>
    <row r="446" spans="1:8" x14ac:dyDescent="0.25">
      <c r="A446" s="5">
        <v>444</v>
      </c>
      <c r="B446" s="5">
        <f>'Raw Data'!N447</f>
        <v>15.4</v>
      </c>
      <c r="C446" s="5">
        <f>'Raw Data'!I447</f>
        <v>24</v>
      </c>
      <c r="D446" s="5" t="str">
        <f t="shared" si="24"/>
        <v>Very High Access</v>
      </c>
      <c r="E446" s="5" t="str">
        <f t="shared" si="25"/>
        <v>$15-25k</v>
      </c>
      <c r="F446" s="5" t="str">
        <f t="shared" si="26"/>
        <v>Valid Number</v>
      </c>
      <c r="G446" s="5" t="str">
        <f t="shared" si="27"/>
        <v>Data Present</v>
      </c>
      <c r="H446" s="10">
        <f>IFERROR(B446/'Raw Data'!A447,"Error: Div by Zero")</f>
        <v>1.5451701392860511</v>
      </c>
    </row>
    <row r="447" spans="1:8" x14ac:dyDescent="0.25">
      <c r="A447" s="5">
        <v>445</v>
      </c>
      <c r="B447" s="5">
        <f>'Raw Data'!N448</f>
        <v>0</v>
      </c>
      <c r="C447" s="5">
        <f>'Raw Data'!I448</f>
        <v>666</v>
      </c>
      <c r="D447" s="5" t="str">
        <f t="shared" si="24"/>
        <v>Very High Access</v>
      </c>
      <c r="E447" s="5" t="str">
        <f t="shared" si="25"/>
        <v>Under $15k</v>
      </c>
      <c r="F447" s="5" t="str">
        <f t="shared" si="26"/>
        <v>Valid Number</v>
      </c>
      <c r="G447" s="5" t="str">
        <f t="shared" si="27"/>
        <v>Data Present</v>
      </c>
      <c r="H447" s="10" t="str">
        <f>IFERROR(B447/'Raw Data'!A448,"Error: Div by Zero")</f>
        <v>Error: Div by Zero</v>
      </c>
    </row>
    <row r="448" spans="1:8" x14ac:dyDescent="0.25">
      <c r="A448" s="5">
        <v>446</v>
      </c>
      <c r="B448" s="5">
        <f>'Raw Data'!N449</f>
        <v>0</v>
      </c>
      <c r="C448" s="5">
        <f>'Raw Data'!I449</f>
        <v>666</v>
      </c>
      <c r="D448" s="5" t="str">
        <f t="shared" si="24"/>
        <v>Very High Access</v>
      </c>
      <c r="E448" s="5" t="str">
        <f t="shared" si="25"/>
        <v>Under $15k</v>
      </c>
      <c r="F448" s="5" t="str">
        <f t="shared" si="26"/>
        <v>Valid Number</v>
      </c>
      <c r="G448" s="5" t="str">
        <f t="shared" si="27"/>
        <v>Data Present</v>
      </c>
      <c r="H448" s="10" t="str">
        <f>IFERROR(B448/'Raw Data'!A449,"Error: Div by Zero")</f>
        <v>Error: Div by Zero</v>
      </c>
    </row>
    <row r="449" spans="1:8" x14ac:dyDescent="0.25">
      <c r="A449" s="5">
        <v>447</v>
      </c>
      <c r="B449" s="5">
        <f>'Raw Data'!N450</f>
        <v>14.9</v>
      </c>
      <c r="C449" s="5">
        <f>'Raw Data'!I450</f>
        <v>24</v>
      </c>
      <c r="D449" s="5" t="str">
        <f t="shared" si="24"/>
        <v>Very High Access</v>
      </c>
      <c r="E449" s="5" t="str">
        <f t="shared" si="25"/>
        <v>Under $15k</v>
      </c>
      <c r="F449" s="5" t="str">
        <f t="shared" si="26"/>
        <v>Valid Number</v>
      </c>
      <c r="G449" s="5" t="str">
        <f t="shared" si="27"/>
        <v>Data Present</v>
      </c>
      <c r="H449" s="10">
        <f>IFERROR(B449/'Raw Data'!A450,"Error: Div by Zero")</f>
        <v>2.3695664965561769</v>
      </c>
    </row>
    <row r="450" spans="1:8" x14ac:dyDescent="0.25">
      <c r="A450" s="5">
        <v>448</v>
      </c>
      <c r="B450" s="5">
        <f>'Raw Data'!N451</f>
        <v>12.6</v>
      </c>
      <c r="C450" s="5">
        <f>'Raw Data'!I451</f>
        <v>24</v>
      </c>
      <c r="D450" s="5" t="str">
        <f t="shared" si="24"/>
        <v>Very High Access</v>
      </c>
      <c r="E450" s="5" t="str">
        <f t="shared" si="25"/>
        <v>Under $15k</v>
      </c>
      <c r="F450" s="5" t="str">
        <f t="shared" si="26"/>
        <v>Valid Number</v>
      </c>
      <c r="G450" s="5" t="str">
        <f t="shared" si="27"/>
        <v>Data Present</v>
      </c>
      <c r="H450" s="10">
        <f>IFERROR(B450/'Raw Data'!A451,"Error: Div by Zero")</f>
        <v>1.2695405975908955</v>
      </c>
    </row>
    <row r="451" spans="1:8" x14ac:dyDescent="0.25">
      <c r="A451" s="5">
        <v>449</v>
      </c>
      <c r="B451" s="5">
        <f>'Raw Data'!N452</f>
        <v>14.1</v>
      </c>
      <c r="C451" s="5">
        <f>'Raw Data'!I452</f>
        <v>24</v>
      </c>
      <c r="D451" s="5" t="str">
        <f t="shared" si="24"/>
        <v>Very High Access</v>
      </c>
      <c r="E451" s="5" t="str">
        <f t="shared" si="25"/>
        <v>Under $15k</v>
      </c>
      <c r="F451" s="5" t="str">
        <f t="shared" si="26"/>
        <v>Valid Number</v>
      </c>
      <c r="G451" s="5" t="str">
        <f t="shared" si="27"/>
        <v>Data Present</v>
      </c>
      <c r="H451" s="10">
        <f>IFERROR(B451/'Raw Data'!A452,"Error: Div by Zero")</f>
        <v>1.5114014335803383</v>
      </c>
    </row>
    <row r="452" spans="1:8" x14ac:dyDescent="0.25">
      <c r="A452" s="5">
        <v>450</v>
      </c>
      <c r="B452" s="5">
        <f>'Raw Data'!N453</f>
        <v>13</v>
      </c>
      <c r="C452" s="5">
        <f>'Raw Data'!I453</f>
        <v>24</v>
      </c>
      <c r="D452" s="5" t="str">
        <f t="shared" ref="D452:D508" si="28">CHOOSE(MIN(5,MAX(1,INT(C452/5)+1)),"Very Low Access","Low Access","Medium Access","High Access","Very High Access")</f>
        <v>Very High Access</v>
      </c>
      <c r="E452" s="5" t="str">
        <f t="shared" ref="E452:E508" si="29">IF(B452&lt;15,"Under $15k",IF(B452&lt;25,"$15-25k",IF(B452&lt;35,"$25-35k",IF(B452&lt;45,"$35-45k","Over $45k"))))</f>
        <v>Under $15k</v>
      </c>
      <c r="F452" s="5" t="str">
        <f t="shared" ref="F452:F508" si="30">IF(ISNUMBER(B452),"Valid Number","Not a Number")</f>
        <v>Valid Number</v>
      </c>
      <c r="G452" s="5" t="str">
        <f t="shared" ref="G452:G508" si="31">IF(ISBLANK(B452),"Missing","Data Present")</f>
        <v>Data Present</v>
      </c>
      <c r="H452" s="10">
        <f>IFERROR(B452/'Raw Data'!A453,"Error: Div by Zero")</f>
        <v>1.7273429081279454</v>
      </c>
    </row>
    <row r="453" spans="1:8" x14ac:dyDescent="0.25">
      <c r="A453" s="5">
        <v>451</v>
      </c>
      <c r="B453" s="5">
        <f>'Raw Data'!N454</f>
        <v>13.4</v>
      </c>
      <c r="C453" s="5">
        <f>'Raw Data'!I454</f>
        <v>24</v>
      </c>
      <c r="D453" s="5" t="str">
        <f t="shared" si="28"/>
        <v>Very High Access</v>
      </c>
      <c r="E453" s="5" t="str">
        <f t="shared" si="29"/>
        <v>Under $15k</v>
      </c>
      <c r="F453" s="5" t="str">
        <f t="shared" si="30"/>
        <v>Valid Number</v>
      </c>
      <c r="G453" s="5" t="str">
        <f t="shared" si="31"/>
        <v>Data Present</v>
      </c>
      <c r="H453" s="10">
        <f>IFERROR(B453/'Raw Data'!A454,"Error: Div by Zero")</f>
        <v>1.9947244005406597</v>
      </c>
    </row>
    <row r="454" spans="1:8" x14ac:dyDescent="0.25">
      <c r="A454" s="5">
        <v>452</v>
      </c>
      <c r="B454" s="5">
        <f>'Raw Data'!N455</f>
        <v>15.2</v>
      </c>
      <c r="C454" s="5">
        <f>'Raw Data'!I455</f>
        <v>24</v>
      </c>
      <c r="D454" s="5" t="str">
        <f t="shared" si="28"/>
        <v>Very High Access</v>
      </c>
      <c r="E454" s="5" t="str">
        <f t="shared" si="29"/>
        <v>$15-25k</v>
      </c>
      <c r="F454" s="5" t="str">
        <f t="shared" si="30"/>
        <v>Valid Number</v>
      </c>
      <c r="G454" s="5" t="str">
        <f t="shared" si="31"/>
        <v>Data Present</v>
      </c>
      <c r="H454" s="10">
        <f>IFERROR(B454/'Raw Data'!A455,"Error: Div by Zero")</f>
        <v>2.7935322377295932</v>
      </c>
    </row>
    <row r="455" spans="1:8" x14ac:dyDescent="0.25">
      <c r="A455" s="5">
        <v>453</v>
      </c>
      <c r="B455" s="5">
        <f>'Raw Data'!N456</f>
        <v>16.100000000000001</v>
      </c>
      <c r="C455" s="5">
        <f>'Raw Data'!I456</f>
        <v>24</v>
      </c>
      <c r="D455" s="5" t="str">
        <f t="shared" si="28"/>
        <v>Very High Access</v>
      </c>
      <c r="E455" s="5" t="str">
        <f t="shared" si="29"/>
        <v>$15-25k</v>
      </c>
      <c r="F455" s="5" t="str">
        <f t="shared" si="30"/>
        <v>Valid Number</v>
      </c>
      <c r="G455" s="5" t="str">
        <f t="shared" si="31"/>
        <v>Data Present</v>
      </c>
      <c r="H455" s="10">
        <f>IFERROR(B455/'Raw Data'!A456,"Error: Div by Zero")</f>
        <v>3.1629591938972572</v>
      </c>
    </row>
    <row r="456" spans="1:8" x14ac:dyDescent="0.25">
      <c r="A456" s="5">
        <v>454</v>
      </c>
      <c r="B456" s="5">
        <f>'Raw Data'!N457</f>
        <v>17.8</v>
      </c>
      <c r="C456" s="5">
        <f>'Raw Data'!I457</f>
        <v>24</v>
      </c>
      <c r="D456" s="5" t="str">
        <f t="shared" si="28"/>
        <v>Very High Access</v>
      </c>
      <c r="E456" s="5" t="str">
        <f t="shared" si="29"/>
        <v>$15-25k</v>
      </c>
      <c r="F456" s="5" t="str">
        <f t="shared" si="30"/>
        <v>Valid Number</v>
      </c>
      <c r="G456" s="5" t="str">
        <f t="shared" si="31"/>
        <v>Data Present</v>
      </c>
      <c r="H456" s="10">
        <f>IFERROR(B456/'Raw Data'!A457,"Error: Div by Zero")</f>
        <v>2.1580753847254335</v>
      </c>
    </row>
    <row r="457" spans="1:8" x14ac:dyDescent="0.25">
      <c r="A457" s="5">
        <v>455</v>
      </c>
      <c r="B457" s="5">
        <f>'Raw Data'!N458</f>
        <v>14.9</v>
      </c>
      <c r="C457" s="5">
        <f>'Raw Data'!I458</f>
        <v>24</v>
      </c>
      <c r="D457" s="5" t="str">
        <f t="shared" si="28"/>
        <v>Very High Access</v>
      </c>
      <c r="E457" s="5" t="str">
        <f t="shared" si="29"/>
        <v>Under $15k</v>
      </c>
      <c r="F457" s="5" t="str">
        <f t="shared" si="30"/>
        <v>Valid Number</v>
      </c>
      <c r="G457" s="5" t="str">
        <f t="shared" si="31"/>
        <v>Data Present</v>
      </c>
      <c r="H457" s="10">
        <f>IFERROR(B457/'Raw Data'!A458,"Error: Div by Zero")</f>
        <v>1.5661740050853357</v>
      </c>
    </row>
    <row r="458" spans="1:8" x14ac:dyDescent="0.25">
      <c r="A458" s="5">
        <v>456</v>
      </c>
      <c r="B458" s="5">
        <f>'Raw Data'!N459</f>
        <v>14.1</v>
      </c>
      <c r="C458" s="5">
        <f>'Raw Data'!I459</f>
        <v>24</v>
      </c>
      <c r="D458" s="5" t="str">
        <f t="shared" si="28"/>
        <v>Very High Access</v>
      </c>
      <c r="E458" s="5" t="str">
        <f t="shared" si="29"/>
        <v>Under $15k</v>
      </c>
      <c r="F458" s="5" t="str">
        <f t="shared" si="30"/>
        <v>Valid Number</v>
      </c>
      <c r="G458" s="5" t="str">
        <f t="shared" si="31"/>
        <v>Data Present</v>
      </c>
      <c r="H458" s="10">
        <f>IFERROR(B458/'Raw Data'!A459,"Error: Div by Zero")</f>
        <v>2.966940705374371</v>
      </c>
    </row>
    <row r="459" spans="1:8" x14ac:dyDescent="0.25">
      <c r="A459" s="5">
        <v>457</v>
      </c>
      <c r="B459" s="5">
        <f>'Raw Data'!N460</f>
        <v>12.7</v>
      </c>
      <c r="C459" s="5">
        <f>'Raw Data'!I460</f>
        <v>24</v>
      </c>
      <c r="D459" s="5" t="str">
        <f t="shared" si="28"/>
        <v>Very High Access</v>
      </c>
      <c r="E459" s="5" t="str">
        <f t="shared" si="29"/>
        <v>Under $15k</v>
      </c>
      <c r="F459" s="5" t="str">
        <f t="shared" si="30"/>
        <v>Valid Number</v>
      </c>
      <c r="G459" s="5" t="str">
        <f t="shared" si="31"/>
        <v>Data Present</v>
      </c>
      <c r="H459" s="10">
        <f>IFERROR(B459/'Raw Data'!A460,"Error: Div by Zero")</f>
        <v>2.7201675794578084</v>
      </c>
    </row>
    <row r="460" spans="1:8" x14ac:dyDescent="0.25">
      <c r="A460" s="5">
        <v>458</v>
      </c>
      <c r="B460" s="5">
        <f>'Raw Data'!N461</f>
        <v>13.5</v>
      </c>
      <c r="C460" s="5">
        <f>'Raw Data'!I461</f>
        <v>24</v>
      </c>
      <c r="D460" s="5" t="str">
        <f t="shared" si="28"/>
        <v>Very High Access</v>
      </c>
      <c r="E460" s="5" t="str">
        <f t="shared" si="29"/>
        <v>Under $15k</v>
      </c>
      <c r="F460" s="5" t="str">
        <f t="shared" si="30"/>
        <v>Valid Number</v>
      </c>
      <c r="G460" s="5" t="str">
        <f t="shared" si="31"/>
        <v>Data Present</v>
      </c>
      <c r="H460" s="10">
        <f>IFERROR(B460/'Raw Data'!A461,"Error: Div by Zero")</f>
        <v>1.6462250231081215</v>
      </c>
    </row>
    <row r="461" spans="1:8" x14ac:dyDescent="0.25">
      <c r="A461" s="5">
        <v>459</v>
      </c>
      <c r="B461" s="5">
        <f>'Raw Data'!N462</f>
        <v>14.9</v>
      </c>
      <c r="C461" s="5">
        <f>'Raw Data'!I462</f>
        <v>24</v>
      </c>
      <c r="D461" s="5" t="str">
        <f t="shared" si="28"/>
        <v>Very High Access</v>
      </c>
      <c r="E461" s="5" t="str">
        <f t="shared" si="29"/>
        <v>Under $15k</v>
      </c>
      <c r="F461" s="5" t="str">
        <f t="shared" si="30"/>
        <v>Valid Number</v>
      </c>
      <c r="G461" s="5" t="str">
        <f t="shared" si="31"/>
        <v>Data Present</v>
      </c>
      <c r="H461" s="10">
        <f>IFERROR(B461/'Raw Data'!A462,"Error: Div by Zero")</f>
        <v>1.9220275972204128</v>
      </c>
    </row>
    <row r="462" spans="1:8" x14ac:dyDescent="0.25">
      <c r="A462" s="5">
        <v>460</v>
      </c>
      <c r="B462" s="5">
        <f>'Raw Data'!N463</f>
        <v>20</v>
      </c>
      <c r="C462" s="5">
        <f>'Raw Data'!I463</f>
        <v>24</v>
      </c>
      <c r="D462" s="5" t="str">
        <f t="shared" si="28"/>
        <v>Very High Access</v>
      </c>
      <c r="E462" s="5" t="str">
        <f t="shared" si="29"/>
        <v>$15-25k</v>
      </c>
      <c r="F462" s="5" t="str">
        <f t="shared" si="30"/>
        <v>Valid Number</v>
      </c>
      <c r="G462" s="5" t="str">
        <f t="shared" si="31"/>
        <v>Data Present</v>
      </c>
      <c r="H462" s="10">
        <f>IFERROR(B462/'Raw Data'!A463,"Error: Div by Zero")</f>
        <v>2.940670502281225</v>
      </c>
    </row>
    <row r="463" spans="1:8" x14ac:dyDescent="0.25">
      <c r="A463" s="5">
        <v>461</v>
      </c>
      <c r="B463" s="5">
        <f>'Raw Data'!N464</f>
        <v>16.399999999999999</v>
      </c>
      <c r="C463" s="5">
        <f>'Raw Data'!I464</f>
        <v>24</v>
      </c>
      <c r="D463" s="5" t="str">
        <f t="shared" si="28"/>
        <v>Very High Access</v>
      </c>
      <c r="E463" s="5" t="str">
        <f t="shared" si="29"/>
        <v>$15-25k</v>
      </c>
      <c r="F463" s="5" t="str">
        <f t="shared" si="30"/>
        <v>Valid Number</v>
      </c>
      <c r="G463" s="5" t="str">
        <f t="shared" si="31"/>
        <v>Data Present</v>
      </c>
      <c r="H463" s="10">
        <f>IFERROR(B463/'Raw Data'!A464,"Error: Div by Zero")</f>
        <v>3.4080542296238878</v>
      </c>
    </row>
    <row r="464" spans="1:8" x14ac:dyDescent="0.25">
      <c r="A464" s="5">
        <v>462</v>
      </c>
      <c r="B464" s="5">
        <f>'Raw Data'!N465</f>
        <v>17.7</v>
      </c>
      <c r="C464" s="5">
        <f>'Raw Data'!I465</f>
        <v>24</v>
      </c>
      <c r="D464" s="5" t="str">
        <f t="shared" si="28"/>
        <v>Very High Access</v>
      </c>
      <c r="E464" s="5" t="str">
        <f t="shared" si="29"/>
        <v>$15-25k</v>
      </c>
      <c r="F464" s="5" t="str">
        <f t="shared" si="30"/>
        <v>Valid Number</v>
      </c>
      <c r="G464" s="5" t="str">
        <f t="shared" si="31"/>
        <v>Data Present</v>
      </c>
      <c r="H464" s="10">
        <f>IFERROR(B464/'Raw Data'!A465,"Error: Div by Zero")</f>
        <v>4.7927085843638562</v>
      </c>
    </row>
    <row r="465" spans="1:8" x14ac:dyDescent="0.25">
      <c r="A465" s="5">
        <v>463</v>
      </c>
      <c r="B465" s="5">
        <f>'Raw Data'!N466</f>
        <v>19.5</v>
      </c>
      <c r="C465" s="5">
        <f>'Raw Data'!I466</f>
        <v>24</v>
      </c>
      <c r="D465" s="5" t="str">
        <f t="shared" si="28"/>
        <v>Very High Access</v>
      </c>
      <c r="E465" s="5" t="str">
        <f t="shared" si="29"/>
        <v>$15-25k</v>
      </c>
      <c r="F465" s="5" t="str">
        <f t="shared" si="30"/>
        <v>Valid Number</v>
      </c>
      <c r="G465" s="5" t="str">
        <f t="shared" si="31"/>
        <v>Data Present</v>
      </c>
      <c r="H465" s="10">
        <f>IFERROR(B465/'Raw Data'!A466,"Error: Div by Zero")</f>
        <v>2.9301629471128128</v>
      </c>
    </row>
    <row r="466" spans="1:8" x14ac:dyDescent="0.25">
      <c r="A466" s="5">
        <v>464</v>
      </c>
      <c r="B466" s="5">
        <f>'Raw Data'!N467</f>
        <v>20.2</v>
      </c>
      <c r="C466" s="5">
        <f>'Raw Data'!I467</f>
        <v>24</v>
      </c>
      <c r="D466" s="5" t="str">
        <f t="shared" si="28"/>
        <v>Very High Access</v>
      </c>
      <c r="E466" s="5" t="str">
        <f t="shared" si="29"/>
        <v>$15-25k</v>
      </c>
      <c r="F466" s="5" t="str">
        <f t="shared" si="30"/>
        <v>Valid Number</v>
      </c>
      <c r="G466" s="5" t="str">
        <f t="shared" si="31"/>
        <v>Data Present</v>
      </c>
      <c r="H466" s="10">
        <f>IFERROR(B466/'Raw Data'!A467,"Error: Div by Zero")</f>
        <v>3.4701047043968973</v>
      </c>
    </row>
    <row r="467" spans="1:8" x14ac:dyDescent="0.25">
      <c r="A467" s="5">
        <v>465</v>
      </c>
      <c r="B467" s="5">
        <f>'Raw Data'!N468</f>
        <v>21.4</v>
      </c>
      <c r="C467" s="5">
        <f>'Raw Data'!I468</f>
        <v>24</v>
      </c>
      <c r="D467" s="5" t="str">
        <f t="shared" si="28"/>
        <v>Very High Access</v>
      </c>
      <c r="E467" s="5" t="str">
        <f t="shared" si="29"/>
        <v>$15-25k</v>
      </c>
      <c r="F467" s="5" t="str">
        <f t="shared" si="30"/>
        <v>Valid Number</v>
      </c>
      <c r="G467" s="5" t="str">
        <f t="shared" si="31"/>
        <v>Data Present</v>
      </c>
      <c r="H467" s="10">
        <f>IFERROR(B467/'Raw Data'!A468,"Error: Div by Zero")</f>
        <v>2.7298286075833107</v>
      </c>
    </row>
    <row r="468" spans="1:8" x14ac:dyDescent="0.25">
      <c r="A468" s="5">
        <v>466</v>
      </c>
      <c r="B468" s="5">
        <f>'Raw Data'!N469</f>
        <v>19.899999999999999</v>
      </c>
      <c r="C468" s="5">
        <f>'Raw Data'!I469</f>
        <v>24</v>
      </c>
      <c r="D468" s="5" t="str">
        <f t="shared" si="28"/>
        <v>Very High Access</v>
      </c>
      <c r="E468" s="5" t="str">
        <f t="shared" si="29"/>
        <v>$15-25k</v>
      </c>
      <c r="F468" s="5" t="str">
        <f t="shared" si="30"/>
        <v>Valid Number</v>
      </c>
      <c r="G468" s="5" t="str">
        <f t="shared" si="31"/>
        <v>Data Present</v>
      </c>
      <c r="H468" s="10">
        <f>IFERROR(B468/'Raw Data'!A469,"Error: Div by Zero")</f>
        <v>6.2903021873814637</v>
      </c>
    </row>
    <row r="469" spans="1:8" x14ac:dyDescent="0.25">
      <c r="A469" s="5">
        <v>467</v>
      </c>
      <c r="B469" s="5">
        <f>'Raw Data'!N470</f>
        <v>19</v>
      </c>
      <c r="C469" s="5">
        <f>'Raw Data'!I470</f>
        <v>24</v>
      </c>
      <c r="D469" s="5" t="str">
        <f t="shared" si="28"/>
        <v>Very High Access</v>
      </c>
      <c r="E469" s="5" t="str">
        <f t="shared" si="29"/>
        <v>$15-25k</v>
      </c>
      <c r="F469" s="5" t="str">
        <f t="shared" si="30"/>
        <v>Valid Number</v>
      </c>
      <c r="G469" s="5" t="str">
        <f t="shared" si="31"/>
        <v>Data Present</v>
      </c>
      <c r="H469" s="10">
        <f>IFERROR(B469/'Raw Data'!A470,"Error: Div by Zero")</f>
        <v>5.0331392484198592</v>
      </c>
    </row>
    <row r="470" spans="1:8" x14ac:dyDescent="0.25">
      <c r="A470" s="5">
        <v>468</v>
      </c>
      <c r="B470" s="5">
        <f>'Raw Data'!N471</f>
        <v>19.100000000000001</v>
      </c>
      <c r="C470" s="5">
        <f>'Raw Data'!I471</f>
        <v>24</v>
      </c>
      <c r="D470" s="5" t="str">
        <f t="shared" si="28"/>
        <v>Very High Access</v>
      </c>
      <c r="E470" s="5" t="str">
        <f t="shared" si="29"/>
        <v>$15-25k</v>
      </c>
      <c r="F470" s="5" t="str">
        <f t="shared" si="30"/>
        <v>Valid Number</v>
      </c>
      <c r="G470" s="5" t="str">
        <f t="shared" si="31"/>
        <v>Data Present</v>
      </c>
      <c r="H470" s="10">
        <f>IFERROR(B470/'Raw Data'!A471,"Error: Div by Zero")</f>
        <v>4.3190390477310352</v>
      </c>
    </row>
    <row r="471" spans="1:8" x14ac:dyDescent="0.25">
      <c r="A471" s="5">
        <v>469</v>
      </c>
      <c r="B471" s="5">
        <f>'Raw Data'!N472</f>
        <v>0</v>
      </c>
      <c r="C471" s="5">
        <f>'Raw Data'!I472</f>
        <v>666</v>
      </c>
      <c r="D471" s="5" t="str">
        <f t="shared" si="28"/>
        <v>Very High Access</v>
      </c>
      <c r="E471" s="5" t="str">
        <f t="shared" si="29"/>
        <v>Under $15k</v>
      </c>
      <c r="F471" s="5" t="str">
        <f t="shared" si="30"/>
        <v>Valid Number</v>
      </c>
      <c r="G471" s="5" t="str">
        <f t="shared" si="31"/>
        <v>Data Present</v>
      </c>
      <c r="H471" s="10" t="str">
        <f>IFERROR(B471/'Raw Data'!A472,"Error: Div by Zero")</f>
        <v>Error: Div by Zero</v>
      </c>
    </row>
    <row r="472" spans="1:8" x14ac:dyDescent="0.25">
      <c r="A472" s="5">
        <v>470</v>
      </c>
      <c r="B472" s="5">
        <f>'Raw Data'!N473</f>
        <v>0</v>
      </c>
      <c r="C472" s="5">
        <f>'Raw Data'!I473</f>
        <v>666</v>
      </c>
      <c r="D472" s="5" t="str">
        <f t="shared" si="28"/>
        <v>Very High Access</v>
      </c>
      <c r="E472" s="5" t="str">
        <f t="shared" si="29"/>
        <v>Under $15k</v>
      </c>
      <c r="F472" s="5" t="str">
        <f t="shared" si="30"/>
        <v>Valid Number</v>
      </c>
      <c r="G472" s="5" t="str">
        <f t="shared" si="31"/>
        <v>Data Present</v>
      </c>
      <c r="H472" s="10" t="str">
        <f>IFERROR(B472/'Raw Data'!A473,"Error: Div by Zero")</f>
        <v>Error: Div by Zero</v>
      </c>
    </row>
    <row r="473" spans="1:8" x14ac:dyDescent="0.25">
      <c r="A473" s="5">
        <v>471</v>
      </c>
      <c r="B473" s="5">
        <f>'Raw Data'!N474</f>
        <v>19.899999999999999</v>
      </c>
      <c r="C473" s="5">
        <f>'Raw Data'!I474</f>
        <v>24</v>
      </c>
      <c r="D473" s="5" t="str">
        <f t="shared" si="28"/>
        <v>Very High Access</v>
      </c>
      <c r="E473" s="5" t="str">
        <f t="shared" si="29"/>
        <v>$15-25k</v>
      </c>
      <c r="F473" s="5" t="str">
        <f t="shared" si="30"/>
        <v>Valid Number</v>
      </c>
      <c r="G473" s="5" t="str">
        <f t="shared" si="31"/>
        <v>Data Present</v>
      </c>
      <c r="H473" s="10">
        <f>IFERROR(B473/'Raw Data'!A474,"Error: Div by Zero")</f>
        <v>4.5759855040137598</v>
      </c>
    </row>
    <row r="474" spans="1:8" x14ac:dyDescent="0.25">
      <c r="A474" s="5">
        <v>472</v>
      </c>
      <c r="B474" s="5">
        <f>'Raw Data'!N475</f>
        <v>19.600000000000001</v>
      </c>
      <c r="C474" s="5">
        <f>'Raw Data'!I475</f>
        <v>24</v>
      </c>
      <c r="D474" s="5" t="str">
        <f t="shared" si="28"/>
        <v>Very High Access</v>
      </c>
      <c r="E474" s="5" t="str">
        <f t="shared" si="29"/>
        <v>$15-25k</v>
      </c>
      <c r="F474" s="5" t="str">
        <f t="shared" si="30"/>
        <v>Valid Number</v>
      </c>
      <c r="G474" s="5" t="str">
        <f t="shared" si="31"/>
        <v>Data Present</v>
      </c>
      <c r="H474" s="10">
        <f>IFERROR(B474/'Raw Data'!A475,"Error: Div by Zero")</f>
        <v>4.8533952719015661</v>
      </c>
    </row>
    <row r="475" spans="1:8" x14ac:dyDescent="0.25">
      <c r="A475" s="5">
        <v>473</v>
      </c>
      <c r="B475" s="5">
        <f>'Raw Data'!N476</f>
        <v>23.2</v>
      </c>
      <c r="C475" s="5">
        <f>'Raw Data'!I476</f>
        <v>24</v>
      </c>
      <c r="D475" s="5" t="str">
        <f t="shared" si="28"/>
        <v>Very High Access</v>
      </c>
      <c r="E475" s="5" t="str">
        <f t="shared" si="29"/>
        <v>$15-25k</v>
      </c>
      <c r="F475" s="5" t="str">
        <f t="shared" si="30"/>
        <v>Valid Number</v>
      </c>
      <c r="G475" s="5" t="str">
        <f t="shared" si="31"/>
        <v>Data Present</v>
      </c>
      <c r="H475" s="10">
        <f>IFERROR(B475/'Raw Data'!A476,"Error: Div by Zero")</f>
        <v>6.5010031720412025</v>
      </c>
    </row>
    <row r="476" spans="1:8" x14ac:dyDescent="0.25">
      <c r="A476" s="5">
        <v>474</v>
      </c>
      <c r="B476" s="5">
        <f>'Raw Data'!N477</f>
        <v>29.8</v>
      </c>
      <c r="C476" s="5">
        <f>'Raw Data'!I477</f>
        <v>24</v>
      </c>
      <c r="D476" s="5" t="str">
        <f t="shared" si="28"/>
        <v>Very High Access</v>
      </c>
      <c r="E476" s="5" t="str">
        <f t="shared" si="29"/>
        <v>$25-35k</v>
      </c>
      <c r="F476" s="5" t="str">
        <f t="shared" si="30"/>
        <v>Valid Number</v>
      </c>
      <c r="G476" s="5" t="str">
        <f t="shared" si="31"/>
        <v>Data Present</v>
      </c>
      <c r="H476" s="10">
        <f>IFERROR(B476/'Raw Data'!A477,"Error: Div by Zero")</f>
        <v>6.4128912025031797</v>
      </c>
    </row>
    <row r="477" spans="1:8" x14ac:dyDescent="0.25">
      <c r="A477" s="5">
        <v>475</v>
      </c>
      <c r="B477" s="5">
        <f>'Raw Data'!N478</f>
        <v>13.8</v>
      </c>
      <c r="C477" s="5">
        <f>'Raw Data'!I478</f>
        <v>24</v>
      </c>
      <c r="D477" s="5" t="str">
        <f t="shared" si="28"/>
        <v>Very High Access</v>
      </c>
      <c r="E477" s="5" t="str">
        <f t="shared" si="29"/>
        <v>Under $15k</v>
      </c>
      <c r="F477" s="5" t="str">
        <f t="shared" si="30"/>
        <v>Valid Number</v>
      </c>
      <c r="G477" s="5" t="str">
        <f t="shared" si="31"/>
        <v>Data Present</v>
      </c>
      <c r="H477" s="10">
        <f>IFERROR(B477/'Raw Data'!A478,"Error: Div by Zero")</f>
        <v>1.7130535925092387</v>
      </c>
    </row>
    <row r="478" spans="1:8" x14ac:dyDescent="0.25">
      <c r="A478" s="5">
        <v>476</v>
      </c>
      <c r="B478" s="5">
        <f>'Raw Data'!N479</f>
        <v>13.3</v>
      </c>
      <c r="C478" s="5">
        <f>'Raw Data'!I479</f>
        <v>24</v>
      </c>
      <c r="D478" s="5" t="str">
        <f t="shared" si="28"/>
        <v>Very High Access</v>
      </c>
      <c r="E478" s="5" t="str">
        <f t="shared" si="29"/>
        <v>Under $15k</v>
      </c>
      <c r="F478" s="5" t="str">
        <f t="shared" si="30"/>
        <v>Valid Number</v>
      </c>
      <c r="G478" s="5" t="str">
        <f t="shared" si="31"/>
        <v>Data Present</v>
      </c>
      <c r="H478" s="10">
        <f>IFERROR(B478/'Raw Data'!A479,"Error: Div by Zero")</f>
        <v>2.08036138849263</v>
      </c>
    </row>
    <row r="479" spans="1:8" x14ac:dyDescent="0.25">
      <c r="A479" s="5">
        <v>477</v>
      </c>
      <c r="B479" s="5">
        <f>'Raw Data'!N480</f>
        <v>16.7</v>
      </c>
      <c r="C479" s="5">
        <f>'Raw Data'!I480</f>
        <v>24</v>
      </c>
      <c r="D479" s="5" t="str">
        <f t="shared" si="28"/>
        <v>Very High Access</v>
      </c>
      <c r="E479" s="5" t="str">
        <f t="shared" si="29"/>
        <v>$15-25k</v>
      </c>
      <c r="F479" s="5" t="str">
        <f t="shared" si="30"/>
        <v>Valid Number</v>
      </c>
      <c r="G479" s="5" t="str">
        <f t="shared" si="31"/>
        <v>Data Present</v>
      </c>
      <c r="H479" s="10">
        <f>IFERROR(B479/'Raw Data'!A480,"Error: Div by Zero")</f>
        <v>3.4281655619214968</v>
      </c>
    </row>
    <row r="480" spans="1:8" x14ac:dyDescent="0.25">
      <c r="A480" s="5">
        <v>478</v>
      </c>
      <c r="B480" s="5">
        <f>'Raw Data'!N481</f>
        <v>0</v>
      </c>
      <c r="C480" s="5">
        <f>'Raw Data'!I481</f>
        <v>666</v>
      </c>
      <c r="D480" s="5" t="str">
        <f t="shared" si="28"/>
        <v>Very High Access</v>
      </c>
      <c r="E480" s="5" t="str">
        <f t="shared" si="29"/>
        <v>Under $15k</v>
      </c>
      <c r="F480" s="5" t="str">
        <f t="shared" si="30"/>
        <v>Valid Number</v>
      </c>
      <c r="G480" s="5" t="str">
        <f t="shared" si="31"/>
        <v>Data Present</v>
      </c>
      <c r="H480" s="10" t="str">
        <f>IFERROR(B480/'Raw Data'!A481,"Error: Div by Zero")</f>
        <v>Error: Div by Zero</v>
      </c>
    </row>
    <row r="481" spans="1:8" x14ac:dyDescent="0.25">
      <c r="A481" s="5">
        <v>479</v>
      </c>
      <c r="B481" s="5">
        <f>'Raw Data'!N482</f>
        <v>0</v>
      </c>
      <c r="C481" s="5">
        <f>'Raw Data'!I482</f>
        <v>666</v>
      </c>
      <c r="D481" s="5" t="str">
        <f t="shared" si="28"/>
        <v>Very High Access</v>
      </c>
      <c r="E481" s="5" t="str">
        <f t="shared" si="29"/>
        <v>Under $15k</v>
      </c>
      <c r="F481" s="5" t="str">
        <f t="shared" si="30"/>
        <v>Valid Number</v>
      </c>
      <c r="G481" s="5" t="str">
        <f t="shared" si="31"/>
        <v>Data Present</v>
      </c>
      <c r="H481" s="10" t="str">
        <f>IFERROR(B481/'Raw Data'!A482,"Error: Div by Zero")</f>
        <v>Error: Div by Zero</v>
      </c>
    </row>
    <row r="482" spans="1:8" x14ac:dyDescent="0.25">
      <c r="A482" s="5">
        <v>480</v>
      </c>
      <c r="B482" s="5">
        <f>'Raw Data'!N483</f>
        <v>0</v>
      </c>
      <c r="C482" s="5">
        <f>'Raw Data'!I483</f>
        <v>666</v>
      </c>
      <c r="D482" s="5" t="str">
        <f t="shared" si="28"/>
        <v>Very High Access</v>
      </c>
      <c r="E482" s="5" t="str">
        <f t="shared" si="29"/>
        <v>Under $15k</v>
      </c>
      <c r="F482" s="5" t="str">
        <f t="shared" si="30"/>
        <v>Valid Number</v>
      </c>
      <c r="G482" s="5" t="str">
        <f t="shared" si="31"/>
        <v>Data Present</v>
      </c>
      <c r="H482" s="10" t="str">
        <f>IFERROR(B482/'Raw Data'!A483,"Error: Div by Zero")</f>
        <v>Error: Div by Zero</v>
      </c>
    </row>
    <row r="483" spans="1:8" x14ac:dyDescent="0.25">
      <c r="A483" s="5">
        <v>481</v>
      </c>
      <c r="B483" s="5">
        <f>'Raw Data'!N484</f>
        <v>23</v>
      </c>
      <c r="C483" s="5">
        <f>'Raw Data'!I484</f>
        <v>24</v>
      </c>
      <c r="D483" s="5" t="str">
        <f t="shared" si="28"/>
        <v>Very High Access</v>
      </c>
      <c r="E483" s="5" t="str">
        <f t="shared" si="29"/>
        <v>$15-25k</v>
      </c>
      <c r="F483" s="5" t="str">
        <f t="shared" si="30"/>
        <v>Valid Number</v>
      </c>
      <c r="G483" s="5" t="str">
        <f t="shared" si="31"/>
        <v>Data Present</v>
      </c>
      <c r="H483" s="10">
        <f>IFERROR(B483/'Raw Data'!A484,"Error: Div by Zero")</f>
        <v>3.9491690433223843</v>
      </c>
    </row>
    <row r="484" spans="1:8" x14ac:dyDescent="0.25">
      <c r="A484" s="5">
        <v>482</v>
      </c>
      <c r="B484" s="5">
        <f>'Raw Data'!N485</f>
        <v>23.7</v>
      </c>
      <c r="C484" s="5">
        <f>'Raw Data'!I485</f>
        <v>24</v>
      </c>
      <c r="D484" s="5" t="str">
        <f t="shared" si="28"/>
        <v>Very High Access</v>
      </c>
      <c r="E484" s="5" t="str">
        <f t="shared" si="29"/>
        <v>$15-25k</v>
      </c>
      <c r="F484" s="5" t="str">
        <f t="shared" si="30"/>
        <v>Valid Number</v>
      </c>
      <c r="G484" s="5" t="str">
        <f t="shared" si="31"/>
        <v>Data Present</v>
      </c>
      <c r="H484" s="10">
        <f>IFERROR(B484/'Raw Data'!A485,"Error: Div by Zero")</f>
        <v>4.1519363439835466</v>
      </c>
    </row>
    <row r="485" spans="1:8" x14ac:dyDescent="0.25">
      <c r="A485" s="5">
        <v>483</v>
      </c>
      <c r="B485" s="5">
        <f>'Raw Data'!N486</f>
        <v>25</v>
      </c>
      <c r="C485" s="5">
        <f>'Raw Data'!I486</f>
        <v>24</v>
      </c>
      <c r="D485" s="5" t="str">
        <f t="shared" si="28"/>
        <v>Very High Access</v>
      </c>
      <c r="E485" s="5" t="str">
        <f t="shared" si="29"/>
        <v>$25-35k</v>
      </c>
      <c r="F485" s="5" t="str">
        <f t="shared" si="30"/>
        <v>Valid Number</v>
      </c>
      <c r="G485" s="5" t="str">
        <f t="shared" si="31"/>
        <v>Data Present</v>
      </c>
      <c r="H485" s="10">
        <f>IFERROR(B485/'Raw Data'!A486,"Error: Div by Zero")</f>
        <v>4.3621186635864291</v>
      </c>
    </row>
    <row r="486" spans="1:8" x14ac:dyDescent="0.25">
      <c r="A486" s="5">
        <v>484</v>
      </c>
      <c r="B486" s="5">
        <f>'Raw Data'!N487</f>
        <v>21.8</v>
      </c>
      <c r="C486" s="5">
        <f>'Raw Data'!I487</f>
        <v>24</v>
      </c>
      <c r="D486" s="5" t="str">
        <f t="shared" si="28"/>
        <v>Very High Access</v>
      </c>
      <c r="E486" s="5" t="str">
        <f t="shared" si="29"/>
        <v>$15-25k</v>
      </c>
      <c r="F486" s="5" t="str">
        <f t="shared" si="30"/>
        <v>Valid Number</v>
      </c>
      <c r="G486" s="5" t="str">
        <f t="shared" si="31"/>
        <v>Data Present</v>
      </c>
      <c r="H486" s="10">
        <f>IFERROR(B486/'Raw Data'!A487,"Error: Div by Zero")</f>
        <v>7.7349399300307278</v>
      </c>
    </row>
    <row r="487" spans="1:8" x14ac:dyDescent="0.25">
      <c r="A487" s="5">
        <v>485</v>
      </c>
      <c r="B487" s="5">
        <f>'Raw Data'!N488</f>
        <v>20.6</v>
      </c>
      <c r="C487" s="5">
        <f>'Raw Data'!I488</f>
        <v>24</v>
      </c>
      <c r="D487" s="5" t="str">
        <f t="shared" si="28"/>
        <v>Very High Access</v>
      </c>
      <c r="E487" s="5" t="str">
        <f t="shared" si="29"/>
        <v>$15-25k</v>
      </c>
      <c r="F487" s="5" t="str">
        <f t="shared" si="30"/>
        <v>Valid Number</v>
      </c>
      <c r="G487" s="5" t="str">
        <f t="shared" si="31"/>
        <v>Data Present</v>
      </c>
      <c r="H487" s="10">
        <f>IFERROR(B487/'Raw Data'!A488,"Error: Div by Zero")</f>
        <v>8.66066586226178</v>
      </c>
    </row>
    <row r="488" spans="1:8" x14ac:dyDescent="0.25">
      <c r="A488" s="5">
        <v>486</v>
      </c>
      <c r="B488" s="5">
        <f>'Raw Data'!N489</f>
        <v>21.2</v>
      </c>
      <c r="C488" s="5">
        <f>'Raw Data'!I489</f>
        <v>24</v>
      </c>
      <c r="D488" s="5" t="str">
        <f t="shared" si="28"/>
        <v>Very High Access</v>
      </c>
      <c r="E488" s="5" t="str">
        <f t="shared" si="29"/>
        <v>$15-25k</v>
      </c>
      <c r="F488" s="5" t="str">
        <f t="shared" si="30"/>
        <v>Valid Number</v>
      </c>
      <c r="G488" s="5" t="str">
        <f t="shared" si="31"/>
        <v>Data Present</v>
      </c>
      <c r="H488" s="10">
        <f>IFERROR(B488/'Raw Data'!A489,"Error: Div by Zero")</f>
        <v>5.7707959615316557</v>
      </c>
    </row>
    <row r="489" spans="1:8" x14ac:dyDescent="0.25">
      <c r="A489" s="5">
        <v>487</v>
      </c>
      <c r="B489" s="5">
        <f>'Raw Data'!N490</f>
        <v>19.100000000000001</v>
      </c>
      <c r="C489" s="5">
        <f>'Raw Data'!I490</f>
        <v>24</v>
      </c>
      <c r="D489" s="5" t="str">
        <f t="shared" si="28"/>
        <v>Very High Access</v>
      </c>
      <c r="E489" s="5" t="str">
        <f t="shared" si="29"/>
        <v>$15-25k</v>
      </c>
      <c r="F489" s="5" t="str">
        <f t="shared" si="30"/>
        <v>Valid Number</v>
      </c>
      <c r="G489" s="5" t="str">
        <f t="shared" si="31"/>
        <v>Data Present</v>
      </c>
      <c r="H489" s="10">
        <f>IFERROR(B489/'Raw Data'!A490,"Error: Div by Zero")</f>
        <v>3.3557341766592002</v>
      </c>
    </row>
    <row r="490" spans="1:8" x14ac:dyDescent="0.25">
      <c r="A490" s="5">
        <v>488</v>
      </c>
      <c r="B490" s="5">
        <f>'Raw Data'!N491</f>
        <v>20.6</v>
      </c>
      <c r="C490" s="5">
        <f>'Raw Data'!I491</f>
        <v>24</v>
      </c>
      <c r="D490" s="5" t="str">
        <f t="shared" si="28"/>
        <v>Very High Access</v>
      </c>
      <c r="E490" s="5" t="str">
        <f t="shared" si="29"/>
        <v>$15-25k</v>
      </c>
      <c r="F490" s="5" t="str">
        <f t="shared" si="30"/>
        <v>Valid Number</v>
      </c>
      <c r="G490" s="5" t="str">
        <f t="shared" si="31"/>
        <v>Data Present</v>
      </c>
      <c r="H490" s="10">
        <f>IFERROR(B490/'Raw Data'!A491,"Error: Div by Zero")</f>
        <v>4.2600094712831931</v>
      </c>
    </row>
    <row r="491" spans="1:8" x14ac:dyDescent="0.25">
      <c r="A491" s="5">
        <v>489</v>
      </c>
      <c r="B491" s="5">
        <f>'Raw Data'!N492</f>
        <v>15.2</v>
      </c>
      <c r="C491" s="5">
        <f>'Raw Data'!I492</f>
        <v>4</v>
      </c>
      <c r="D491" s="5" t="str">
        <f t="shared" si="28"/>
        <v>Very Low Access</v>
      </c>
      <c r="E491" s="5" t="str">
        <f t="shared" si="29"/>
        <v>$15-25k</v>
      </c>
      <c r="F491" s="5" t="str">
        <f t="shared" si="30"/>
        <v>Valid Number</v>
      </c>
      <c r="G491" s="5" t="str">
        <f t="shared" si="31"/>
        <v>Data Present</v>
      </c>
      <c r="H491" s="10">
        <f>IFERROR(B491/'Raw Data'!A492,"Error: Div by Zero")</f>
        <v>100.75566750629723</v>
      </c>
    </row>
    <row r="492" spans="1:8" x14ac:dyDescent="0.25">
      <c r="A492" s="5">
        <v>490</v>
      </c>
      <c r="B492" s="5">
        <f>'Raw Data'!N493</f>
        <v>7</v>
      </c>
      <c r="C492" s="5">
        <f>'Raw Data'!I493</f>
        <v>4</v>
      </c>
      <c r="D492" s="5" t="str">
        <f t="shared" si="28"/>
        <v>Very Low Access</v>
      </c>
      <c r="E492" s="5" t="str">
        <f t="shared" si="29"/>
        <v>Under $15k</v>
      </c>
      <c r="F492" s="5" t="str">
        <f t="shared" si="30"/>
        <v>Valid Number</v>
      </c>
      <c r="G492" s="5" t="str">
        <f t="shared" si="31"/>
        <v>Data Present</v>
      </c>
      <c r="H492" s="10">
        <f>IFERROR(B492/'Raw Data'!A493,"Error: Div by Zero")</f>
        <v>38.174183345149153</v>
      </c>
    </row>
    <row r="493" spans="1:8" x14ac:dyDescent="0.25">
      <c r="A493" s="5">
        <v>491</v>
      </c>
      <c r="B493" s="5">
        <f>'Raw Data'!N494</f>
        <v>8.1</v>
      </c>
      <c r="C493" s="5">
        <f>'Raw Data'!I494</f>
        <v>4</v>
      </c>
      <c r="D493" s="5" t="str">
        <f t="shared" si="28"/>
        <v>Very Low Access</v>
      </c>
      <c r="E493" s="5" t="str">
        <f t="shared" si="29"/>
        <v>Under $15k</v>
      </c>
      <c r="F493" s="5" t="str">
        <f t="shared" si="30"/>
        <v>Valid Number</v>
      </c>
      <c r="G493" s="5" t="str">
        <f t="shared" si="31"/>
        <v>Data Present</v>
      </c>
      <c r="H493" s="10">
        <f>IFERROR(B493/'Raw Data'!A494,"Error: Div by Zero")</f>
        <v>39.043671069121757</v>
      </c>
    </row>
    <row r="494" spans="1:8" x14ac:dyDescent="0.25">
      <c r="A494" s="5">
        <v>492</v>
      </c>
      <c r="B494" s="5">
        <f>'Raw Data'!N495</f>
        <v>13.6</v>
      </c>
      <c r="C494" s="5">
        <f>'Raw Data'!I495</f>
        <v>4</v>
      </c>
      <c r="D494" s="5" t="str">
        <f t="shared" si="28"/>
        <v>Very Low Access</v>
      </c>
      <c r="E494" s="5" t="str">
        <f t="shared" si="29"/>
        <v>Under $15k</v>
      </c>
      <c r="F494" s="5" t="str">
        <f t="shared" si="30"/>
        <v>Valid Number</v>
      </c>
      <c r="G494" s="5" t="str">
        <f t="shared" si="31"/>
        <v>Data Present</v>
      </c>
      <c r="H494" s="10">
        <f>IFERROR(B494/'Raw Data'!A495,"Error: Div by Zero")</f>
        <v>128.61736334405145</v>
      </c>
    </row>
    <row r="495" spans="1:8" x14ac:dyDescent="0.25">
      <c r="A495" s="5">
        <v>493</v>
      </c>
      <c r="B495" s="5">
        <f>'Raw Data'!N496</f>
        <v>20.100000000000001</v>
      </c>
      <c r="C495" s="5">
        <f>'Raw Data'!I496</f>
        <v>4</v>
      </c>
      <c r="D495" s="5" t="str">
        <f t="shared" si="28"/>
        <v>Very Low Access</v>
      </c>
      <c r="E495" s="5" t="str">
        <f t="shared" si="29"/>
        <v>$15-25k</v>
      </c>
      <c r="F495" s="5" t="str">
        <f t="shared" si="30"/>
        <v>Valid Number</v>
      </c>
      <c r="G495" s="5" t="str">
        <f t="shared" si="31"/>
        <v>Data Present</v>
      </c>
      <c r="H495" s="10">
        <f>IFERROR(B495/'Raw Data'!A496,"Error: Div by Zero")</f>
        <v>180.56054617319441</v>
      </c>
    </row>
    <row r="496" spans="1:8" x14ac:dyDescent="0.25">
      <c r="A496" s="5">
        <v>494</v>
      </c>
      <c r="B496" s="5">
        <f>'Raw Data'!N497</f>
        <v>21.8</v>
      </c>
      <c r="C496" s="5">
        <f>'Raw Data'!I497</f>
        <v>6</v>
      </c>
      <c r="D496" s="5" t="str">
        <f t="shared" si="28"/>
        <v>Low Access</v>
      </c>
      <c r="E496" s="5" t="str">
        <f t="shared" si="29"/>
        <v>$15-25k</v>
      </c>
      <c r="F496" s="5" t="str">
        <f t="shared" si="30"/>
        <v>Valid Number</v>
      </c>
      <c r="G496" s="5" t="str">
        <f t="shared" si="31"/>
        <v>Data Present</v>
      </c>
      <c r="H496" s="10">
        <f>IFERROR(B496/'Raw Data'!A497,"Error: Div by Zero")</f>
        <v>125.78616352201259</v>
      </c>
    </row>
    <row r="497" spans="1:8" x14ac:dyDescent="0.25">
      <c r="A497" s="5">
        <v>495</v>
      </c>
      <c r="B497" s="5">
        <f>'Raw Data'!N498</f>
        <v>24.5</v>
      </c>
      <c r="C497" s="5">
        <f>'Raw Data'!I498</f>
        <v>6</v>
      </c>
      <c r="D497" s="5" t="str">
        <f t="shared" si="28"/>
        <v>Low Access</v>
      </c>
      <c r="E497" s="5" t="str">
        <f t="shared" si="29"/>
        <v>$15-25k</v>
      </c>
      <c r="F497" s="5" t="str">
        <f t="shared" si="30"/>
        <v>Valid Number</v>
      </c>
      <c r="G497" s="5" t="str">
        <f t="shared" si="31"/>
        <v>Data Present</v>
      </c>
      <c r="H497" s="10">
        <f>IFERROR(B497/'Raw Data'!A498,"Error: Div by Zero")</f>
        <v>87.634581679007056</v>
      </c>
    </row>
    <row r="498" spans="1:8" x14ac:dyDescent="0.25">
      <c r="A498" s="5">
        <v>496</v>
      </c>
      <c r="B498" s="5">
        <f>'Raw Data'!N499</f>
        <v>23.1</v>
      </c>
      <c r="C498" s="5">
        <f>'Raw Data'!I499</f>
        <v>6</v>
      </c>
      <c r="D498" s="5" t="str">
        <f t="shared" si="28"/>
        <v>Low Access</v>
      </c>
      <c r="E498" s="5" t="str">
        <f t="shared" si="29"/>
        <v>$15-25k</v>
      </c>
      <c r="F498" s="5" t="str">
        <f t="shared" si="30"/>
        <v>Valid Number</v>
      </c>
      <c r="G498" s="5" t="str">
        <f t="shared" si="31"/>
        <v>Data Present</v>
      </c>
      <c r="H498" s="10">
        <f>IFERROR(B498/'Raw Data'!A499,"Error: Div by Zero")</f>
        <v>129.05748924520924</v>
      </c>
    </row>
    <row r="499" spans="1:8" x14ac:dyDescent="0.25">
      <c r="A499" s="5">
        <v>497</v>
      </c>
      <c r="B499" s="5">
        <f>'Raw Data'!N500</f>
        <v>19.7</v>
      </c>
      <c r="C499" s="5">
        <f>'Raw Data'!I500</f>
        <v>6</v>
      </c>
      <c r="D499" s="5" t="str">
        <f t="shared" si="28"/>
        <v>Low Access</v>
      </c>
      <c r="E499" s="5" t="str">
        <f t="shared" si="29"/>
        <v>$15-25k</v>
      </c>
      <c r="F499" s="5" t="str">
        <f t="shared" si="30"/>
        <v>Valid Number</v>
      </c>
      <c r="G499" s="5" t="str">
        <f t="shared" si="31"/>
        <v>Data Present</v>
      </c>
      <c r="H499" s="10">
        <f>IFERROR(B499/'Raw Data'!A500,"Error: Div by Zero")</f>
        <v>68.024861878453024</v>
      </c>
    </row>
    <row r="500" spans="1:8" x14ac:dyDescent="0.25">
      <c r="A500" s="5">
        <v>498</v>
      </c>
      <c r="B500" s="5">
        <f>'Raw Data'!N501</f>
        <v>18.3</v>
      </c>
      <c r="C500" s="5">
        <f>'Raw Data'!I501</f>
        <v>6</v>
      </c>
      <c r="D500" s="5" t="str">
        <f t="shared" si="28"/>
        <v>Low Access</v>
      </c>
      <c r="E500" s="5" t="str">
        <f t="shared" si="29"/>
        <v>$15-25k</v>
      </c>
      <c r="F500" s="5" t="str">
        <f t="shared" si="30"/>
        <v>Valid Number</v>
      </c>
      <c r="G500" s="5" t="str">
        <f t="shared" si="31"/>
        <v>Data Present</v>
      </c>
      <c r="H500" s="10">
        <f>IFERROR(B500/'Raw Data'!A501,"Error: Div by Zero")</f>
        <v>68.186899172814663</v>
      </c>
    </row>
    <row r="501" spans="1:8" x14ac:dyDescent="0.25">
      <c r="A501" s="5">
        <v>499</v>
      </c>
      <c r="B501" s="5">
        <f>'Raw Data'!N502</f>
        <v>21.2</v>
      </c>
      <c r="C501" s="5">
        <f>'Raw Data'!I502</f>
        <v>6</v>
      </c>
      <c r="D501" s="5" t="str">
        <f t="shared" si="28"/>
        <v>Low Access</v>
      </c>
      <c r="E501" s="5" t="str">
        <f t="shared" si="29"/>
        <v>$15-25k</v>
      </c>
      <c r="F501" s="5" t="str">
        <f t="shared" si="30"/>
        <v>Valid Number</v>
      </c>
      <c r="G501" s="5" t="str">
        <f t="shared" si="31"/>
        <v>Data Present</v>
      </c>
      <c r="H501" s="10">
        <f>IFERROR(B501/'Raw Data'!A502,"Error: Div by Zero")</f>
        <v>88.658414185346274</v>
      </c>
    </row>
    <row r="502" spans="1:8" x14ac:dyDescent="0.25">
      <c r="A502" s="5">
        <v>500</v>
      </c>
      <c r="B502" s="5">
        <f>'Raw Data'!N503</f>
        <v>17.5</v>
      </c>
      <c r="C502" s="5">
        <f>'Raw Data'!I503</f>
        <v>6</v>
      </c>
      <c r="D502" s="5" t="str">
        <f t="shared" si="28"/>
        <v>Low Access</v>
      </c>
      <c r="E502" s="5" t="str">
        <f t="shared" si="29"/>
        <v>$15-25k</v>
      </c>
      <c r="F502" s="5" t="str">
        <f t="shared" si="30"/>
        <v>Valid Number</v>
      </c>
      <c r="G502" s="5" t="str">
        <f t="shared" si="31"/>
        <v>Data Present</v>
      </c>
      <c r="H502" s="10">
        <f>IFERROR(B502/'Raw Data'!A503,"Error: Div by Zero")</f>
        <v>98.408592475960191</v>
      </c>
    </row>
    <row r="503" spans="1:8" x14ac:dyDescent="0.25">
      <c r="A503" s="5">
        <v>501</v>
      </c>
      <c r="B503" s="5">
        <f>'Raw Data'!N504</f>
        <v>16.8</v>
      </c>
      <c r="C503" s="5">
        <f>'Raw Data'!I504</f>
        <v>6</v>
      </c>
      <c r="D503" s="5" t="str">
        <f t="shared" si="28"/>
        <v>Low Access</v>
      </c>
      <c r="E503" s="5" t="str">
        <f t="shared" si="29"/>
        <v>$15-25k</v>
      </c>
      <c r="F503" s="5" t="str">
        <f t="shared" si="30"/>
        <v>Valid Number</v>
      </c>
      <c r="G503" s="5" t="str">
        <f t="shared" si="31"/>
        <v>Data Present</v>
      </c>
      <c r="H503" s="10">
        <f>IFERROR(B503/'Raw Data'!A504,"Error: Div by Zero")</f>
        <v>74.872983331847763</v>
      </c>
    </row>
    <row r="504" spans="1:8" x14ac:dyDescent="0.25">
      <c r="A504" s="5">
        <v>502</v>
      </c>
      <c r="B504" s="5">
        <f>'Raw Data'!N505</f>
        <v>22.4</v>
      </c>
      <c r="C504" s="5">
        <f>'Raw Data'!I505</f>
        <v>1</v>
      </c>
      <c r="D504" s="5" t="str">
        <f t="shared" si="28"/>
        <v>Very Low Access</v>
      </c>
      <c r="E504" s="5" t="str">
        <f t="shared" si="29"/>
        <v>$15-25k</v>
      </c>
      <c r="F504" s="5" t="str">
        <f t="shared" si="30"/>
        <v>Valid Number</v>
      </c>
      <c r="G504" s="5" t="str">
        <f t="shared" si="31"/>
        <v>Data Present</v>
      </c>
      <c r="H504" s="10">
        <f>IFERROR(B504/'Raw Data'!A505,"Error: Div by Zero")</f>
        <v>357.65607536324438</v>
      </c>
    </row>
    <row r="505" spans="1:8" x14ac:dyDescent="0.25">
      <c r="A505" s="5">
        <v>503</v>
      </c>
      <c r="B505" s="5">
        <f>'Raw Data'!N506</f>
        <v>20.6</v>
      </c>
      <c r="C505" s="5">
        <f>'Raw Data'!I506</f>
        <v>1</v>
      </c>
      <c r="D505" s="5" t="str">
        <f t="shared" si="28"/>
        <v>Very Low Access</v>
      </c>
      <c r="E505" s="5" t="str">
        <f t="shared" si="29"/>
        <v>$15-25k</v>
      </c>
      <c r="F505" s="5" t="str">
        <f t="shared" si="30"/>
        <v>Valid Number</v>
      </c>
      <c r="G505" s="5" t="str">
        <f t="shared" si="31"/>
        <v>Data Present</v>
      </c>
      <c r="H505" s="10">
        <f>IFERROR(B505/'Raw Data'!A506,"Error: Div by Zero")</f>
        <v>455.04749282085271</v>
      </c>
    </row>
    <row r="506" spans="1:8" x14ac:dyDescent="0.25">
      <c r="A506" s="5">
        <v>504</v>
      </c>
      <c r="B506" s="5">
        <f>'Raw Data'!N507</f>
        <v>23.9</v>
      </c>
      <c r="C506" s="5">
        <f>'Raw Data'!I507</f>
        <v>1</v>
      </c>
      <c r="D506" s="5" t="str">
        <f t="shared" si="28"/>
        <v>Very Low Access</v>
      </c>
      <c r="E506" s="5" t="str">
        <f t="shared" si="29"/>
        <v>$15-25k</v>
      </c>
      <c r="F506" s="5" t="str">
        <f t="shared" si="30"/>
        <v>Valid Number</v>
      </c>
      <c r="G506" s="5" t="str">
        <f t="shared" si="31"/>
        <v>Data Present</v>
      </c>
      <c r="H506" s="10">
        <f>IFERROR(B506/'Raw Data'!A507,"Error: Div by Zero")</f>
        <v>393.35088874259378</v>
      </c>
    </row>
    <row r="507" spans="1:8" x14ac:dyDescent="0.25">
      <c r="A507" s="5">
        <v>505</v>
      </c>
      <c r="B507" s="5">
        <f>'Raw Data'!N508</f>
        <v>22</v>
      </c>
      <c r="C507" s="5">
        <f>'Raw Data'!I508</f>
        <v>1</v>
      </c>
      <c r="D507" s="5" t="str">
        <f t="shared" si="28"/>
        <v>Very Low Access</v>
      </c>
      <c r="E507" s="5" t="str">
        <f t="shared" si="29"/>
        <v>$15-25k</v>
      </c>
      <c r="F507" s="5" t="str">
        <f t="shared" si="30"/>
        <v>Valid Number</v>
      </c>
      <c r="G507" s="5" t="str">
        <f t="shared" si="31"/>
        <v>Data Present</v>
      </c>
      <c r="H507" s="10">
        <f>IFERROR(B507/'Raw Data'!A508,"Error: Div by Zero")</f>
        <v>200.74824345286979</v>
      </c>
    </row>
    <row r="508" spans="1:8" x14ac:dyDescent="0.25">
      <c r="A508" s="5">
        <v>506</v>
      </c>
      <c r="B508" s="5">
        <f>'Raw Data'!N509</f>
        <v>11.9</v>
      </c>
      <c r="C508" s="5">
        <f>'Raw Data'!I509</f>
        <v>1</v>
      </c>
      <c r="D508" s="5" t="str">
        <f t="shared" si="28"/>
        <v>Very Low Access</v>
      </c>
      <c r="E508" s="5" t="str">
        <f t="shared" si="29"/>
        <v>Under $15k</v>
      </c>
      <c r="F508" s="5" t="str">
        <f t="shared" si="30"/>
        <v>Valid Number</v>
      </c>
      <c r="G508" s="5" t="str">
        <f t="shared" si="31"/>
        <v>Data Present</v>
      </c>
      <c r="H508" s="10">
        <f>IFERROR(B508/'Raw Data'!A509,"Error: Div by Zero")</f>
        <v>251.00189833368489</v>
      </c>
    </row>
  </sheetData>
  <mergeCells count="1">
    <mergeCell ref="A1:H1"/>
  </mergeCells>
  <conditionalFormatting sqref="A3:H50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345F-4AAD-4825-BEC2-53ACD68D7F49}">
  <dimension ref="A1:G508"/>
  <sheetViews>
    <sheetView topLeftCell="B1" workbookViewId="0">
      <pane ySplit="2" topLeftCell="A15" activePane="bottomLeft" state="frozen"/>
      <selection pane="bottomLeft" activeCell="F33" sqref="F33"/>
    </sheetView>
  </sheetViews>
  <sheetFormatPr defaultRowHeight="15" x14ac:dyDescent="0.25"/>
  <cols>
    <col min="1" max="1" width="10.7109375" customWidth="1"/>
    <col min="2" max="3" width="18.7109375" customWidth="1"/>
    <col min="4" max="4" width="28.7109375" style="9" customWidth="1"/>
    <col min="5" max="5" width="28.7109375" customWidth="1"/>
    <col min="6" max="7" width="35.7109375" customWidth="1"/>
  </cols>
  <sheetData>
    <row r="1" spans="1:7" ht="30" customHeight="1" x14ac:dyDescent="0.25">
      <c r="A1" s="19" t="s">
        <v>83</v>
      </c>
      <c r="B1" s="19"/>
      <c r="C1" s="19"/>
      <c r="D1" s="19"/>
      <c r="E1" s="19"/>
      <c r="F1" s="19"/>
      <c r="G1" s="19"/>
    </row>
    <row r="2" spans="1:7" ht="36" customHeight="1" x14ac:dyDescent="0.25">
      <c r="A2" s="16" t="s">
        <v>30</v>
      </c>
      <c r="B2" s="17" t="s">
        <v>38</v>
      </c>
      <c r="C2" s="17" t="s">
        <v>15</v>
      </c>
      <c r="D2" s="17" t="s">
        <v>85</v>
      </c>
      <c r="E2" s="17" t="s">
        <v>84</v>
      </c>
      <c r="F2" s="17" t="s">
        <v>86</v>
      </c>
      <c r="G2" s="17" t="s">
        <v>87</v>
      </c>
    </row>
    <row r="3" spans="1:7" x14ac:dyDescent="0.25">
      <c r="A3">
        <v>1</v>
      </c>
      <c r="B3" s="18">
        <f>'Raw Data'!N4</f>
        <v>24</v>
      </c>
      <c r="C3" s="18">
        <f>'Raw Data'!A4</f>
        <v>6.3200000000000001E-3</v>
      </c>
      <c r="D3" s="5">
        <f>VLOOKUP(B3,'Raw Data'!$N$4:$N$508,1,FALSE)</f>
        <v>24</v>
      </c>
      <c r="E3" s="5">
        <f>_xlfn.XLOOKUP(B3,'Raw Data'!$N$4:$N$509,'Raw Data'!$A$4:$A$509,"Not Found")</f>
        <v>6.3200000000000001E-3</v>
      </c>
      <c r="F3" s="5">
        <f>INDEX('Raw Data'!$A$4:$A$508,MATCH(MAX('Raw Data'!$N$4:$N$508),'Raw Data'!$N$4:$N$508,0))</f>
        <v>1.46336</v>
      </c>
      <c r="G3" s="5">
        <f>INDEX('Raw Data'!$F$4:$F$508,MATCH(MIN('Raw Data'!$N$4:$N$508),'Raw Data'!$N$4:$N$508,0))</f>
        <v>5.8520000000000003</v>
      </c>
    </row>
    <row r="4" spans="1:7" x14ac:dyDescent="0.25">
      <c r="A4">
        <v>2</v>
      </c>
      <c r="B4" s="18">
        <f>'Raw Data'!N5</f>
        <v>21.6</v>
      </c>
      <c r="C4" s="18">
        <f>'Raw Data'!A5</f>
        <v>2.7310000000000001E-2</v>
      </c>
      <c r="D4" s="5">
        <f>VLOOKUP(B4,'Raw Data'!$N$4:$N$508,1,FALSE)</f>
        <v>21.6</v>
      </c>
      <c r="E4" s="5">
        <f>_xlfn.XLOOKUP(B4,'Raw Data'!$N$4:$N$509,'Raw Data'!$A$4:$A$509,"Not Found")</f>
        <v>2.7310000000000001E-2</v>
      </c>
      <c r="F4" s="5">
        <f>INDEX('Raw Data'!$A$4:$A$508,MATCH(MAX('Raw Data'!$N$4:$N$508),'Raw Data'!$N$4:$N$508,0))</f>
        <v>1.46336</v>
      </c>
      <c r="G4" s="5">
        <f>INDEX('Raw Data'!$F$4:$F$508,MATCH(MIN('Raw Data'!$N$4:$N$508),'Raw Data'!$N$4:$N$508,0))</f>
        <v>5.8520000000000003</v>
      </c>
    </row>
    <row r="5" spans="1:7" x14ac:dyDescent="0.25">
      <c r="A5">
        <v>3</v>
      </c>
      <c r="B5" s="18">
        <f>'Raw Data'!N6</f>
        <v>34.700000000000003</v>
      </c>
      <c r="C5" s="18">
        <f>'Raw Data'!A6</f>
        <v>2.7289999999999998E-2</v>
      </c>
      <c r="D5" s="5">
        <f>VLOOKUP(B5,'Raw Data'!$N$4:$N$508,1,FALSE)</f>
        <v>34.700000000000003</v>
      </c>
      <c r="E5" s="5">
        <f>_xlfn.XLOOKUP(B5,'Raw Data'!$N$4:$N$509,'Raw Data'!$A$4:$A$509,"Not Found")</f>
        <v>2.7289999999999998E-2</v>
      </c>
      <c r="F5" s="5">
        <f>INDEX('Raw Data'!$A$4:$A$508,MATCH(MAX('Raw Data'!$N$4:$N$508),'Raw Data'!$N$4:$N$508,0))</f>
        <v>1.46336</v>
      </c>
      <c r="G5" s="5">
        <f>INDEX('Raw Data'!$F$4:$F$508,MATCH(MIN('Raw Data'!$N$4:$N$508),'Raw Data'!$N$4:$N$508,0))</f>
        <v>5.8520000000000003</v>
      </c>
    </row>
    <row r="6" spans="1:7" x14ac:dyDescent="0.25">
      <c r="A6">
        <v>4</v>
      </c>
      <c r="B6" s="18">
        <f>'Raw Data'!N7</f>
        <v>33.4</v>
      </c>
      <c r="C6" s="18">
        <f>'Raw Data'!A7</f>
        <v>3.2370000000000003E-2</v>
      </c>
      <c r="D6" s="5">
        <f>VLOOKUP(B6,'Raw Data'!$N$4:$N$508,1,FALSE)</f>
        <v>33.4</v>
      </c>
      <c r="E6" s="5">
        <f>_xlfn.XLOOKUP(B6,'Raw Data'!$N$4:$N$509,'Raw Data'!$A$4:$A$509,"Not Found")</f>
        <v>3.2370000000000003E-2</v>
      </c>
      <c r="F6" s="5">
        <f>INDEX('Raw Data'!$A$4:$A$508,MATCH(MAX('Raw Data'!$N$4:$N$508),'Raw Data'!$N$4:$N$508,0))</f>
        <v>1.46336</v>
      </c>
      <c r="G6" s="5">
        <f>INDEX('Raw Data'!$F$4:$F$508,MATCH(MIN('Raw Data'!$N$4:$N$508),'Raw Data'!$N$4:$N$508,0))</f>
        <v>5.8520000000000003</v>
      </c>
    </row>
    <row r="7" spans="1:7" x14ac:dyDescent="0.25">
      <c r="A7">
        <v>5</v>
      </c>
      <c r="B7" s="18">
        <f>'Raw Data'!N8</f>
        <v>36.200000000000003</v>
      </c>
      <c r="C7" s="18">
        <f>'Raw Data'!A8</f>
        <v>6.905E-2</v>
      </c>
      <c r="D7" s="5">
        <f>VLOOKUP(B7,'Raw Data'!$N$4:$N$508,1,FALSE)</f>
        <v>36.200000000000003</v>
      </c>
      <c r="E7" s="5">
        <f>_xlfn.XLOOKUP(B7,'Raw Data'!$N$4:$N$509,'Raw Data'!$A$4:$A$509,"Not Found")</f>
        <v>6.905E-2</v>
      </c>
      <c r="F7" s="5">
        <f>INDEX('Raw Data'!$A$4:$A$508,MATCH(MAX('Raw Data'!$N$4:$N$508),'Raw Data'!$N$4:$N$508,0))</f>
        <v>1.46336</v>
      </c>
      <c r="G7" s="5">
        <f>INDEX('Raw Data'!$F$4:$F$508,MATCH(MIN('Raw Data'!$N$4:$N$508),'Raw Data'!$N$4:$N$508,0))</f>
        <v>5.8520000000000003</v>
      </c>
    </row>
    <row r="8" spans="1:7" x14ac:dyDescent="0.25">
      <c r="A8">
        <v>6</v>
      </c>
      <c r="B8" s="18">
        <f>'Raw Data'!N9</f>
        <v>28.7</v>
      </c>
      <c r="C8" s="18">
        <f>'Raw Data'!A9</f>
        <v>2.9850000000000002E-2</v>
      </c>
      <c r="D8" s="5">
        <f>VLOOKUP(B8,'Raw Data'!$N$4:$N$508,1,FALSE)</f>
        <v>28.7</v>
      </c>
      <c r="E8" s="5">
        <f>_xlfn.XLOOKUP(B8,'Raw Data'!$N$4:$N$509,'Raw Data'!$A$4:$A$509,"Not Found")</f>
        <v>2.9850000000000002E-2</v>
      </c>
      <c r="F8" s="5">
        <f>INDEX('Raw Data'!$A$4:$A$508,MATCH(MAX('Raw Data'!$N$4:$N$508),'Raw Data'!$N$4:$N$508,0))</f>
        <v>1.46336</v>
      </c>
      <c r="G8" s="5">
        <f>INDEX('Raw Data'!$F$4:$F$508,MATCH(MIN('Raw Data'!$N$4:$N$508),'Raw Data'!$N$4:$N$508,0))</f>
        <v>5.8520000000000003</v>
      </c>
    </row>
    <row r="9" spans="1:7" x14ac:dyDescent="0.25">
      <c r="A9">
        <v>7</v>
      </c>
      <c r="B9" s="18">
        <f>'Raw Data'!N10</f>
        <v>22.9</v>
      </c>
      <c r="C9" s="18">
        <f>'Raw Data'!A10</f>
        <v>8.8289999999999993E-2</v>
      </c>
      <c r="D9" s="5">
        <f>VLOOKUP(B9,'Raw Data'!$N$4:$N$508,1,FALSE)</f>
        <v>22.9</v>
      </c>
      <c r="E9" s="5">
        <f>_xlfn.XLOOKUP(B9,'Raw Data'!$N$4:$N$509,'Raw Data'!$A$4:$A$509,"Not Found")</f>
        <v>8.8289999999999993E-2</v>
      </c>
      <c r="F9" s="5">
        <f>INDEX('Raw Data'!$A$4:$A$508,MATCH(MAX('Raw Data'!$N$4:$N$508),'Raw Data'!$N$4:$N$508,0))</f>
        <v>1.46336</v>
      </c>
      <c r="G9" s="5">
        <f>INDEX('Raw Data'!$F$4:$F$508,MATCH(MIN('Raw Data'!$N$4:$N$508),'Raw Data'!$N$4:$N$508,0))</f>
        <v>5.8520000000000003</v>
      </c>
    </row>
    <row r="10" spans="1:7" x14ac:dyDescent="0.25">
      <c r="A10">
        <v>8</v>
      </c>
      <c r="B10" s="18">
        <f>'Raw Data'!N11</f>
        <v>27.1</v>
      </c>
      <c r="C10" s="18">
        <f>'Raw Data'!A11</f>
        <v>0.14455000000000001</v>
      </c>
      <c r="D10" s="5">
        <f>VLOOKUP(B10,'Raw Data'!$N$4:$N$508,1,FALSE)</f>
        <v>27.1</v>
      </c>
      <c r="E10" s="5">
        <f>_xlfn.XLOOKUP(B10,'Raw Data'!$N$4:$N$509,'Raw Data'!$A$4:$A$509,"Not Found")</f>
        <v>0.14455000000000001</v>
      </c>
      <c r="F10" s="5">
        <f>INDEX('Raw Data'!$A$4:$A$508,MATCH(MAX('Raw Data'!$N$4:$N$508),'Raw Data'!$N$4:$N$508,0))</f>
        <v>1.46336</v>
      </c>
      <c r="G10" s="5">
        <f>INDEX('Raw Data'!$F$4:$F$508,MATCH(MIN('Raw Data'!$N$4:$N$508),'Raw Data'!$N$4:$N$508,0))</f>
        <v>5.8520000000000003</v>
      </c>
    </row>
    <row r="11" spans="1:7" x14ac:dyDescent="0.25">
      <c r="A11">
        <v>9</v>
      </c>
      <c r="B11" s="18">
        <f>'Raw Data'!N12</f>
        <v>16.5</v>
      </c>
      <c r="C11" s="18">
        <f>'Raw Data'!A12</f>
        <v>0.21124000000000001</v>
      </c>
      <c r="D11" s="5">
        <f>VLOOKUP(B11,'Raw Data'!$N$4:$N$508,1,FALSE)</f>
        <v>16.5</v>
      </c>
      <c r="E11" s="5">
        <f>_xlfn.XLOOKUP(B11,'Raw Data'!$N$4:$N$509,'Raw Data'!$A$4:$A$509,"Not Found")</f>
        <v>0.21124000000000001</v>
      </c>
      <c r="F11" s="5">
        <f>INDEX('Raw Data'!$A$4:$A$508,MATCH(MAX('Raw Data'!$N$4:$N$508),'Raw Data'!$N$4:$N$508,0))</f>
        <v>1.46336</v>
      </c>
      <c r="G11" s="5">
        <f>INDEX('Raw Data'!$F$4:$F$508,MATCH(MIN('Raw Data'!$N$4:$N$508),'Raw Data'!$N$4:$N$508,0))</f>
        <v>5.8520000000000003</v>
      </c>
    </row>
    <row r="12" spans="1:7" x14ac:dyDescent="0.25">
      <c r="A12">
        <v>10</v>
      </c>
      <c r="B12" s="18">
        <f>'Raw Data'!N13</f>
        <v>18.899999999999999</v>
      </c>
      <c r="C12" s="18">
        <f>'Raw Data'!A13</f>
        <v>0.17004</v>
      </c>
      <c r="D12" s="5">
        <f>VLOOKUP(B12,'Raw Data'!$N$4:$N$508,1,FALSE)</f>
        <v>18.899999999999999</v>
      </c>
      <c r="E12" s="5">
        <f>_xlfn.XLOOKUP(B12,'Raw Data'!$N$4:$N$509,'Raw Data'!$A$4:$A$509,"Not Found")</f>
        <v>0.17004</v>
      </c>
      <c r="F12" s="5">
        <f>INDEX('Raw Data'!$A$4:$A$508,MATCH(MAX('Raw Data'!$N$4:$N$508),'Raw Data'!$N$4:$N$508,0))</f>
        <v>1.46336</v>
      </c>
      <c r="G12" s="5">
        <f>INDEX('Raw Data'!$F$4:$F$508,MATCH(MIN('Raw Data'!$N$4:$N$508),'Raw Data'!$N$4:$N$508,0))</f>
        <v>5.8520000000000003</v>
      </c>
    </row>
    <row r="13" spans="1:7" x14ac:dyDescent="0.25">
      <c r="A13">
        <v>11</v>
      </c>
      <c r="B13" s="18">
        <f>'Raw Data'!N14</f>
        <v>15</v>
      </c>
      <c r="C13" s="18">
        <f>'Raw Data'!A14</f>
        <v>0.22489000000000001</v>
      </c>
      <c r="D13" s="5">
        <f>VLOOKUP(B13,'Raw Data'!$N$4:$N$508,1,FALSE)</f>
        <v>15</v>
      </c>
      <c r="E13" s="5">
        <f>_xlfn.XLOOKUP(B13,'Raw Data'!$N$4:$N$509,'Raw Data'!$A$4:$A$509,"Not Found")</f>
        <v>0.22489000000000001</v>
      </c>
      <c r="F13" s="5">
        <f>INDEX('Raw Data'!$A$4:$A$508,MATCH(MAX('Raw Data'!$N$4:$N$508),'Raw Data'!$N$4:$N$508,0))</f>
        <v>1.46336</v>
      </c>
      <c r="G13" s="5">
        <f>INDEX('Raw Data'!$F$4:$F$508,MATCH(MIN('Raw Data'!$N$4:$N$508),'Raw Data'!$N$4:$N$508,0))</f>
        <v>5.8520000000000003</v>
      </c>
    </row>
    <row r="14" spans="1:7" x14ac:dyDescent="0.25">
      <c r="A14">
        <v>12</v>
      </c>
      <c r="B14" s="18">
        <f>'Raw Data'!N15</f>
        <v>18.899999999999999</v>
      </c>
      <c r="C14" s="18">
        <f>'Raw Data'!A15</f>
        <v>0.11747</v>
      </c>
      <c r="D14" s="5">
        <f>VLOOKUP(B14,'Raw Data'!$N$4:$N$508,1,FALSE)</f>
        <v>18.899999999999999</v>
      </c>
      <c r="E14" s="5">
        <f>_xlfn.XLOOKUP(B14,'Raw Data'!$N$4:$N$509,'Raw Data'!$A$4:$A$509,"Not Found")</f>
        <v>0.17004</v>
      </c>
      <c r="F14" s="5">
        <f>INDEX('Raw Data'!$A$4:$A$508,MATCH(MAX('Raw Data'!$N$4:$N$508),'Raw Data'!$N$4:$N$508,0))</f>
        <v>1.46336</v>
      </c>
      <c r="G14" s="5">
        <f>INDEX('Raw Data'!$F$4:$F$508,MATCH(MIN('Raw Data'!$N$4:$N$508),'Raw Data'!$N$4:$N$508,0))</f>
        <v>5.8520000000000003</v>
      </c>
    </row>
    <row r="15" spans="1:7" x14ac:dyDescent="0.25">
      <c r="A15">
        <v>13</v>
      </c>
      <c r="B15" s="18">
        <f>'Raw Data'!N16</f>
        <v>21.7</v>
      </c>
      <c r="C15" s="18">
        <f>'Raw Data'!A16</f>
        <v>9.3780000000000002E-2</v>
      </c>
      <c r="D15" s="5">
        <f>VLOOKUP(B15,'Raw Data'!$N$4:$N$508,1,FALSE)</f>
        <v>21.7</v>
      </c>
      <c r="E15" s="5">
        <f>_xlfn.XLOOKUP(B15,'Raw Data'!$N$4:$N$509,'Raw Data'!$A$4:$A$509,"Not Found")</f>
        <v>9.3780000000000002E-2</v>
      </c>
      <c r="F15" s="5">
        <f>INDEX('Raw Data'!$A$4:$A$508,MATCH(MAX('Raw Data'!$N$4:$N$508),'Raw Data'!$N$4:$N$508,0))</f>
        <v>1.46336</v>
      </c>
      <c r="G15" s="5">
        <f>INDEX('Raw Data'!$F$4:$F$508,MATCH(MIN('Raw Data'!$N$4:$N$508),'Raw Data'!$N$4:$N$508,0))</f>
        <v>5.8520000000000003</v>
      </c>
    </row>
    <row r="16" spans="1:7" x14ac:dyDescent="0.25">
      <c r="A16">
        <v>14</v>
      </c>
      <c r="B16" s="18">
        <f>'Raw Data'!N17</f>
        <v>20.399999999999999</v>
      </c>
      <c r="C16" s="18">
        <f>'Raw Data'!A17</f>
        <v>0.62975999999999999</v>
      </c>
      <c r="D16" s="5">
        <f>VLOOKUP(B16,'Raw Data'!$N$4:$N$508,1,FALSE)</f>
        <v>20.399999999999999</v>
      </c>
      <c r="E16" s="5">
        <f>_xlfn.XLOOKUP(B16,'Raw Data'!$N$4:$N$509,'Raw Data'!$A$4:$A$509,"Not Found")</f>
        <v>0.62975999999999999</v>
      </c>
      <c r="F16" s="5">
        <f>INDEX('Raw Data'!$A$4:$A$508,MATCH(MAX('Raw Data'!$N$4:$N$508),'Raw Data'!$N$4:$N$508,0))</f>
        <v>1.46336</v>
      </c>
      <c r="G16" s="5">
        <f>INDEX('Raw Data'!$F$4:$F$508,MATCH(MIN('Raw Data'!$N$4:$N$508),'Raw Data'!$N$4:$N$508,0))</f>
        <v>5.8520000000000003</v>
      </c>
    </row>
    <row r="17" spans="1:7" x14ac:dyDescent="0.25">
      <c r="A17">
        <v>15</v>
      </c>
      <c r="B17" s="18">
        <f>'Raw Data'!N18</f>
        <v>18.2</v>
      </c>
      <c r="C17" s="18">
        <f>'Raw Data'!A18</f>
        <v>0.63795999999999997</v>
      </c>
      <c r="D17" s="5">
        <f>VLOOKUP(B17,'Raw Data'!$N$4:$N$508,1,FALSE)</f>
        <v>18.2</v>
      </c>
      <c r="E17" s="5">
        <f>_xlfn.XLOOKUP(B17,'Raw Data'!$N$4:$N$509,'Raw Data'!$A$4:$A$509,"Not Found")</f>
        <v>0.63795999999999997</v>
      </c>
      <c r="F17" s="5">
        <f>INDEX('Raw Data'!$A$4:$A$508,MATCH(MAX('Raw Data'!$N$4:$N$508),'Raw Data'!$N$4:$N$508,0))</f>
        <v>1.46336</v>
      </c>
      <c r="G17" s="5">
        <f>INDEX('Raw Data'!$F$4:$F$508,MATCH(MIN('Raw Data'!$N$4:$N$508),'Raw Data'!$N$4:$N$508,0))</f>
        <v>5.8520000000000003</v>
      </c>
    </row>
    <row r="18" spans="1:7" x14ac:dyDescent="0.25">
      <c r="A18">
        <v>16</v>
      </c>
      <c r="B18" s="18">
        <f>'Raw Data'!N19</f>
        <v>19.899999999999999</v>
      </c>
      <c r="C18" s="18">
        <f>'Raw Data'!A19</f>
        <v>0.62739</v>
      </c>
      <c r="D18" s="5">
        <f>VLOOKUP(B18,'Raw Data'!$N$4:$N$508,1,FALSE)</f>
        <v>19.899999999999999</v>
      </c>
      <c r="E18" s="5">
        <f>_xlfn.XLOOKUP(B18,'Raw Data'!$N$4:$N$509,'Raw Data'!$A$4:$A$509,"Not Found")</f>
        <v>0.62739</v>
      </c>
      <c r="F18" s="5">
        <f>INDEX('Raw Data'!$A$4:$A$508,MATCH(MAX('Raw Data'!$N$4:$N$508),'Raw Data'!$N$4:$N$508,0))</f>
        <v>1.46336</v>
      </c>
      <c r="G18" s="5">
        <f>INDEX('Raw Data'!$F$4:$F$508,MATCH(MIN('Raw Data'!$N$4:$N$508),'Raw Data'!$N$4:$N$508,0))</f>
        <v>5.8520000000000003</v>
      </c>
    </row>
    <row r="19" spans="1:7" x14ac:dyDescent="0.25">
      <c r="A19">
        <v>17</v>
      </c>
      <c r="B19" s="18">
        <f>'Raw Data'!N20</f>
        <v>23.1</v>
      </c>
      <c r="C19" s="18">
        <f>'Raw Data'!A20</f>
        <v>1.05393</v>
      </c>
      <c r="D19" s="5">
        <f>VLOOKUP(B19,'Raw Data'!$N$4:$N$508,1,FALSE)</f>
        <v>23.1</v>
      </c>
      <c r="E19" s="5">
        <f>_xlfn.XLOOKUP(B19,'Raw Data'!$N$4:$N$509,'Raw Data'!$A$4:$A$509,"Not Found")</f>
        <v>1.05393</v>
      </c>
      <c r="F19" s="5">
        <f>INDEX('Raw Data'!$A$4:$A$508,MATCH(MAX('Raw Data'!$N$4:$N$508),'Raw Data'!$N$4:$N$508,0))</f>
        <v>1.46336</v>
      </c>
      <c r="G19" s="5">
        <f>INDEX('Raw Data'!$F$4:$F$508,MATCH(MIN('Raw Data'!$N$4:$N$508),'Raw Data'!$N$4:$N$508,0))</f>
        <v>5.8520000000000003</v>
      </c>
    </row>
    <row r="20" spans="1:7" x14ac:dyDescent="0.25">
      <c r="A20">
        <v>18</v>
      </c>
      <c r="B20" s="18">
        <f>'Raw Data'!N21</f>
        <v>17.5</v>
      </c>
      <c r="C20" s="18">
        <f>'Raw Data'!A21</f>
        <v>0.78420000000000001</v>
      </c>
      <c r="D20" s="5">
        <f>VLOOKUP(B20,'Raw Data'!$N$4:$N$508,1,FALSE)</f>
        <v>17.5</v>
      </c>
      <c r="E20" s="5">
        <f>_xlfn.XLOOKUP(B20,'Raw Data'!$N$4:$N$509,'Raw Data'!$A$4:$A$509,"Not Found")</f>
        <v>0.78420000000000001</v>
      </c>
      <c r="F20" s="5">
        <f>INDEX('Raw Data'!$A$4:$A$508,MATCH(MAX('Raw Data'!$N$4:$N$508),'Raw Data'!$N$4:$N$508,0))</f>
        <v>1.46336</v>
      </c>
      <c r="G20" s="5">
        <f>INDEX('Raw Data'!$F$4:$F$508,MATCH(MIN('Raw Data'!$N$4:$N$508),'Raw Data'!$N$4:$N$508,0))</f>
        <v>5.8520000000000003</v>
      </c>
    </row>
    <row r="21" spans="1:7" x14ac:dyDescent="0.25">
      <c r="A21">
        <v>19</v>
      </c>
      <c r="B21" s="18">
        <f>'Raw Data'!N22</f>
        <v>20.2</v>
      </c>
      <c r="C21" s="18">
        <f>'Raw Data'!A22</f>
        <v>0.80271000000000003</v>
      </c>
      <c r="D21" s="5">
        <f>VLOOKUP(B21,'Raw Data'!$N$4:$N$508,1,FALSE)</f>
        <v>20.2</v>
      </c>
      <c r="E21" s="5">
        <f>_xlfn.XLOOKUP(B21,'Raw Data'!$N$4:$N$509,'Raw Data'!$A$4:$A$509,"Not Found")</f>
        <v>0.80271000000000003</v>
      </c>
      <c r="F21" s="5">
        <f>INDEX('Raw Data'!$A$4:$A$508,MATCH(MAX('Raw Data'!$N$4:$N$508),'Raw Data'!$N$4:$N$508,0))</f>
        <v>1.46336</v>
      </c>
      <c r="G21" s="5">
        <f>INDEX('Raw Data'!$F$4:$F$508,MATCH(MIN('Raw Data'!$N$4:$N$508),'Raw Data'!$N$4:$N$508,0))</f>
        <v>5.8520000000000003</v>
      </c>
    </row>
    <row r="22" spans="1:7" x14ac:dyDescent="0.25">
      <c r="A22">
        <v>20</v>
      </c>
      <c r="B22" s="18">
        <f>'Raw Data'!N23</f>
        <v>18.2</v>
      </c>
      <c r="C22" s="18">
        <f>'Raw Data'!A23</f>
        <v>0.7258</v>
      </c>
      <c r="D22" s="5">
        <f>VLOOKUP(B22,'Raw Data'!$N$4:$N$508,1,FALSE)</f>
        <v>18.2</v>
      </c>
      <c r="E22" s="5">
        <f>_xlfn.XLOOKUP(B22,'Raw Data'!$N$4:$N$509,'Raw Data'!$A$4:$A$509,"Not Found")</f>
        <v>0.63795999999999997</v>
      </c>
      <c r="F22" s="5">
        <f>INDEX('Raw Data'!$A$4:$A$508,MATCH(MAX('Raw Data'!$N$4:$N$508),'Raw Data'!$N$4:$N$508,0))</f>
        <v>1.46336</v>
      </c>
      <c r="G22" s="5">
        <f>INDEX('Raw Data'!$F$4:$F$508,MATCH(MIN('Raw Data'!$N$4:$N$508),'Raw Data'!$N$4:$N$508,0))</f>
        <v>5.8520000000000003</v>
      </c>
    </row>
    <row r="23" spans="1:7" x14ac:dyDescent="0.25">
      <c r="A23">
        <v>21</v>
      </c>
      <c r="B23" s="18">
        <f>'Raw Data'!N24</f>
        <v>13.6</v>
      </c>
      <c r="C23" s="18">
        <f>'Raw Data'!A24</f>
        <v>1.25179</v>
      </c>
      <c r="D23" s="5">
        <f>VLOOKUP(B23,'Raw Data'!$N$4:$N$508,1,FALSE)</f>
        <v>13.6</v>
      </c>
      <c r="E23" s="5">
        <f>_xlfn.XLOOKUP(B23,'Raw Data'!$N$4:$N$509,'Raw Data'!$A$4:$A$509,"Not Found")</f>
        <v>1.25179</v>
      </c>
      <c r="F23" s="5">
        <f>INDEX('Raw Data'!$A$4:$A$508,MATCH(MAX('Raw Data'!$N$4:$N$508),'Raw Data'!$N$4:$N$508,0))</f>
        <v>1.46336</v>
      </c>
      <c r="G23" s="5">
        <f>INDEX('Raw Data'!$F$4:$F$508,MATCH(MIN('Raw Data'!$N$4:$N$508),'Raw Data'!$N$4:$N$508,0))</f>
        <v>5.8520000000000003</v>
      </c>
    </row>
    <row r="24" spans="1:7" x14ac:dyDescent="0.25">
      <c r="A24">
        <v>22</v>
      </c>
      <c r="B24" s="18">
        <f>'Raw Data'!N25</f>
        <v>19.600000000000001</v>
      </c>
      <c r="C24" s="18">
        <f>'Raw Data'!A25</f>
        <v>0.85204000000000002</v>
      </c>
      <c r="D24" s="5">
        <f>VLOOKUP(B24,'Raw Data'!$N$4:$N$508,1,FALSE)</f>
        <v>19.600000000000001</v>
      </c>
      <c r="E24" s="5">
        <f>_xlfn.XLOOKUP(B24,'Raw Data'!$N$4:$N$509,'Raw Data'!$A$4:$A$509,"Not Found")</f>
        <v>0.85204000000000002</v>
      </c>
      <c r="F24" s="5">
        <f>INDEX('Raw Data'!$A$4:$A$508,MATCH(MAX('Raw Data'!$N$4:$N$508),'Raw Data'!$N$4:$N$508,0))</f>
        <v>1.46336</v>
      </c>
      <c r="G24" s="5">
        <f>INDEX('Raw Data'!$F$4:$F$508,MATCH(MIN('Raw Data'!$N$4:$N$508),'Raw Data'!$N$4:$N$508,0))</f>
        <v>5.8520000000000003</v>
      </c>
    </row>
    <row r="25" spans="1:7" x14ac:dyDescent="0.25">
      <c r="A25">
        <v>23</v>
      </c>
      <c r="B25" s="18">
        <f>'Raw Data'!N26</f>
        <v>15.2</v>
      </c>
      <c r="C25" s="18">
        <f>'Raw Data'!A26</f>
        <v>1.23247</v>
      </c>
      <c r="D25" s="5">
        <f>VLOOKUP(B25,'Raw Data'!$N$4:$N$508,1,FALSE)</f>
        <v>15.2</v>
      </c>
      <c r="E25" s="5">
        <f>_xlfn.XLOOKUP(B25,'Raw Data'!$N$4:$N$509,'Raw Data'!$A$4:$A$509,"Not Found")</f>
        <v>1.23247</v>
      </c>
      <c r="F25" s="5">
        <f>INDEX('Raw Data'!$A$4:$A$508,MATCH(MAX('Raw Data'!$N$4:$N$508),'Raw Data'!$N$4:$N$508,0))</f>
        <v>1.46336</v>
      </c>
      <c r="G25" s="5">
        <f>INDEX('Raw Data'!$F$4:$F$508,MATCH(MIN('Raw Data'!$N$4:$N$508),'Raw Data'!$N$4:$N$508,0))</f>
        <v>5.8520000000000003</v>
      </c>
    </row>
    <row r="26" spans="1:7" x14ac:dyDescent="0.25">
      <c r="A26">
        <v>24</v>
      </c>
      <c r="B26" s="18">
        <f>'Raw Data'!N27</f>
        <v>14.5</v>
      </c>
      <c r="C26" s="18">
        <f>'Raw Data'!A27</f>
        <v>0.98843000000000003</v>
      </c>
      <c r="D26" s="5">
        <f>VLOOKUP(B26,'Raw Data'!$N$4:$N$508,1,FALSE)</f>
        <v>14.5</v>
      </c>
      <c r="E26" s="5">
        <f>_xlfn.XLOOKUP(B26,'Raw Data'!$N$4:$N$509,'Raw Data'!$A$4:$A$509,"Not Found")</f>
        <v>0.98843000000000003</v>
      </c>
      <c r="F26" s="5">
        <f>INDEX('Raw Data'!$A$4:$A$508,MATCH(MAX('Raw Data'!$N$4:$N$508),'Raw Data'!$N$4:$N$508,0))</f>
        <v>1.46336</v>
      </c>
      <c r="G26" s="5">
        <f>INDEX('Raw Data'!$F$4:$F$508,MATCH(MIN('Raw Data'!$N$4:$N$508),'Raw Data'!$N$4:$N$508,0))</f>
        <v>5.8520000000000003</v>
      </c>
    </row>
    <row r="27" spans="1:7" x14ac:dyDescent="0.25">
      <c r="A27">
        <v>25</v>
      </c>
      <c r="B27" s="18">
        <f>'Raw Data'!N28</f>
        <v>15.6</v>
      </c>
      <c r="C27" s="18">
        <f>'Raw Data'!A28</f>
        <v>0.75026000000000004</v>
      </c>
      <c r="D27" s="5">
        <f>VLOOKUP(B27,'Raw Data'!$N$4:$N$508,1,FALSE)</f>
        <v>15.6</v>
      </c>
      <c r="E27" s="5">
        <f>_xlfn.XLOOKUP(B27,'Raw Data'!$N$4:$N$509,'Raw Data'!$A$4:$A$509,"Not Found")</f>
        <v>0.75026000000000004</v>
      </c>
      <c r="F27" s="5">
        <f>INDEX('Raw Data'!$A$4:$A$508,MATCH(MAX('Raw Data'!$N$4:$N$508),'Raw Data'!$N$4:$N$508,0))</f>
        <v>1.46336</v>
      </c>
      <c r="G27" s="5">
        <f>INDEX('Raw Data'!$F$4:$F$508,MATCH(MIN('Raw Data'!$N$4:$N$508),'Raw Data'!$N$4:$N$508,0))</f>
        <v>5.8520000000000003</v>
      </c>
    </row>
    <row r="28" spans="1:7" x14ac:dyDescent="0.25">
      <c r="A28">
        <v>26</v>
      </c>
      <c r="B28" s="18">
        <f>'Raw Data'!N29</f>
        <v>13.9</v>
      </c>
      <c r="C28" s="18">
        <f>'Raw Data'!A29</f>
        <v>0.84053999999999995</v>
      </c>
      <c r="D28" s="5">
        <f>VLOOKUP(B28,'Raw Data'!$N$4:$N$508,1,FALSE)</f>
        <v>13.9</v>
      </c>
      <c r="E28" s="5">
        <f>_xlfn.XLOOKUP(B28,'Raw Data'!$N$4:$N$509,'Raw Data'!$A$4:$A$509,"Not Found")</f>
        <v>0.84053999999999995</v>
      </c>
      <c r="F28" s="5">
        <f>INDEX('Raw Data'!$A$4:$A$508,MATCH(MAX('Raw Data'!$N$4:$N$508),'Raw Data'!$N$4:$N$508,0))</f>
        <v>1.46336</v>
      </c>
      <c r="G28" s="5">
        <f>INDEX('Raw Data'!$F$4:$F$508,MATCH(MIN('Raw Data'!$N$4:$N$508),'Raw Data'!$N$4:$N$508,0))</f>
        <v>5.8520000000000003</v>
      </c>
    </row>
    <row r="29" spans="1:7" x14ac:dyDescent="0.25">
      <c r="A29">
        <v>27</v>
      </c>
      <c r="B29" s="18">
        <f>'Raw Data'!N30</f>
        <v>16.600000000000001</v>
      </c>
      <c r="C29" s="18">
        <f>'Raw Data'!A30</f>
        <v>0.67191000000000001</v>
      </c>
      <c r="D29" s="5">
        <f>VLOOKUP(B29,'Raw Data'!$N$4:$N$508,1,FALSE)</f>
        <v>16.600000000000001</v>
      </c>
      <c r="E29" s="5">
        <f>_xlfn.XLOOKUP(B29,'Raw Data'!$N$4:$N$509,'Raw Data'!$A$4:$A$509,"Not Found")</f>
        <v>0.67191000000000001</v>
      </c>
      <c r="F29" s="5">
        <f>INDEX('Raw Data'!$A$4:$A$508,MATCH(MAX('Raw Data'!$N$4:$N$508),'Raw Data'!$N$4:$N$508,0))</f>
        <v>1.46336</v>
      </c>
      <c r="G29" s="5">
        <f>INDEX('Raw Data'!$F$4:$F$508,MATCH(MIN('Raw Data'!$N$4:$N$508),'Raw Data'!$N$4:$N$508,0))</f>
        <v>5.8520000000000003</v>
      </c>
    </row>
    <row r="30" spans="1:7" x14ac:dyDescent="0.25">
      <c r="A30">
        <v>28</v>
      </c>
      <c r="B30" s="18">
        <f>'Raw Data'!N31</f>
        <v>14.8</v>
      </c>
      <c r="C30" s="18">
        <f>'Raw Data'!A31</f>
        <v>0.95577000000000001</v>
      </c>
      <c r="D30" s="5">
        <f>VLOOKUP(B30,'Raw Data'!$N$4:$N$508,1,FALSE)</f>
        <v>14.8</v>
      </c>
      <c r="E30" s="5">
        <f>_xlfn.XLOOKUP(B30,'Raw Data'!$N$4:$N$509,'Raw Data'!$A$4:$A$509,"Not Found")</f>
        <v>0.95577000000000001</v>
      </c>
      <c r="F30" s="5">
        <f>INDEX('Raw Data'!$A$4:$A$508,MATCH(MAX('Raw Data'!$N$4:$N$508),'Raw Data'!$N$4:$N$508,0))</f>
        <v>1.46336</v>
      </c>
      <c r="G30" s="5">
        <f>INDEX('Raw Data'!$F$4:$F$508,MATCH(MIN('Raw Data'!$N$4:$N$508),'Raw Data'!$N$4:$N$508,0))</f>
        <v>5.8520000000000003</v>
      </c>
    </row>
    <row r="31" spans="1:7" x14ac:dyDescent="0.25">
      <c r="A31">
        <v>29</v>
      </c>
      <c r="B31" s="18">
        <f>'Raw Data'!N32</f>
        <v>18.399999999999999</v>
      </c>
      <c r="C31" s="18">
        <f>'Raw Data'!A32</f>
        <v>0.77298999999999995</v>
      </c>
      <c r="D31" s="5">
        <f>VLOOKUP(B31,'Raw Data'!$N$4:$N$508,1,FALSE)</f>
        <v>18.399999999999999</v>
      </c>
      <c r="E31" s="5">
        <f>_xlfn.XLOOKUP(B31,'Raw Data'!$N$4:$N$509,'Raw Data'!$A$4:$A$509,"Not Found")</f>
        <v>0.77298999999999995</v>
      </c>
      <c r="F31" s="5">
        <f>INDEX('Raw Data'!$A$4:$A$508,MATCH(MAX('Raw Data'!$N$4:$N$508),'Raw Data'!$N$4:$N$508,0))</f>
        <v>1.46336</v>
      </c>
      <c r="G31" s="5">
        <f>INDEX('Raw Data'!$F$4:$F$508,MATCH(MIN('Raw Data'!$N$4:$N$508),'Raw Data'!$N$4:$N$508,0))</f>
        <v>5.8520000000000003</v>
      </c>
    </row>
    <row r="32" spans="1:7" x14ac:dyDescent="0.25">
      <c r="A32">
        <v>30</v>
      </c>
      <c r="B32" s="18">
        <f>'Raw Data'!N33</f>
        <v>21</v>
      </c>
      <c r="C32" s="18">
        <f>'Raw Data'!A33</f>
        <v>1.0024500000000001</v>
      </c>
      <c r="D32" s="5">
        <f>VLOOKUP(B32,'Raw Data'!$N$4:$N$508,1,FALSE)</f>
        <v>21</v>
      </c>
      <c r="E32" s="5">
        <f>_xlfn.XLOOKUP(B32,'Raw Data'!$N$4:$N$509,'Raw Data'!$A$4:$A$509,"Not Found")</f>
        <v>1.0024500000000001</v>
      </c>
      <c r="F32" s="5">
        <f>INDEX('Raw Data'!$A$4:$A$508,MATCH(MAX('Raw Data'!$N$4:$N$508),'Raw Data'!$N$4:$N$508,0))</f>
        <v>1.46336</v>
      </c>
      <c r="G32" s="5">
        <f>INDEX('Raw Data'!$F$4:$F$508,MATCH(MIN('Raw Data'!$N$4:$N$508),'Raw Data'!$N$4:$N$508,0))</f>
        <v>5.8520000000000003</v>
      </c>
    </row>
    <row r="33" spans="1:7" x14ac:dyDescent="0.25">
      <c r="A33">
        <v>31</v>
      </c>
      <c r="B33" s="18">
        <f>'Raw Data'!N34</f>
        <v>12.7</v>
      </c>
      <c r="C33" s="18">
        <f>'Raw Data'!A34</f>
        <v>1.1308100000000001</v>
      </c>
      <c r="D33" s="5">
        <f>VLOOKUP(B33,'Raw Data'!$N$4:$N$508,1,FALSE)</f>
        <v>12.7</v>
      </c>
      <c r="E33" s="5">
        <f>_xlfn.XLOOKUP(B33,'Raw Data'!$N$4:$N$509,'Raw Data'!$A$4:$A$509,"Not Found")</f>
        <v>1.1308100000000001</v>
      </c>
      <c r="F33" s="5">
        <f>INDEX('Raw Data'!$A$4:$A$508,MATCH(MAX('Raw Data'!$N$4:$N$508),'Raw Data'!$N$4:$N$508,0))</f>
        <v>1.46336</v>
      </c>
      <c r="G33" s="5">
        <f>INDEX('Raw Data'!$F$4:$F$508,MATCH(MIN('Raw Data'!$N$4:$N$508),'Raw Data'!$N$4:$N$508,0))</f>
        <v>5.8520000000000003</v>
      </c>
    </row>
    <row r="34" spans="1:7" x14ac:dyDescent="0.25">
      <c r="A34">
        <v>32</v>
      </c>
      <c r="B34" s="18">
        <f>'Raw Data'!N35</f>
        <v>14.5</v>
      </c>
      <c r="C34" s="18">
        <f>'Raw Data'!A35</f>
        <v>1.3547199999999999</v>
      </c>
      <c r="D34" s="5">
        <f>VLOOKUP(B34,'Raw Data'!$N$4:$N$508,1,FALSE)</f>
        <v>14.5</v>
      </c>
      <c r="E34" s="5">
        <f>_xlfn.XLOOKUP(B34,'Raw Data'!$N$4:$N$509,'Raw Data'!$A$4:$A$509,"Not Found")</f>
        <v>0.98843000000000003</v>
      </c>
      <c r="F34" s="5">
        <f>INDEX('Raw Data'!$A$4:$A$508,MATCH(MAX('Raw Data'!$N$4:$N$508),'Raw Data'!$N$4:$N$508,0))</f>
        <v>1.46336</v>
      </c>
      <c r="G34" s="5">
        <f>INDEX('Raw Data'!$F$4:$F$508,MATCH(MIN('Raw Data'!$N$4:$N$508),'Raw Data'!$N$4:$N$508,0))</f>
        <v>5.8520000000000003</v>
      </c>
    </row>
    <row r="35" spans="1:7" x14ac:dyDescent="0.25">
      <c r="A35">
        <v>33</v>
      </c>
      <c r="B35" s="18">
        <f>'Raw Data'!N36</f>
        <v>13.2</v>
      </c>
      <c r="C35" s="18">
        <f>'Raw Data'!A36</f>
        <v>1.3879900000000001</v>
      </c>
      <c r="D35" s="5">
        <f>VLOOKUP(B35,'Raw Data'!$N$4:$N$508,1,FALSE)</f>
        <v>13.2</v>
      </c>
      <c r="E35" s="5">
        <f>_xlfn.XLOOKUP(B35,'Raw Data'!$N$4:$N$509,'Raw Data'!$A$4:$A$509,"Not Found")</f>
        <v>1.3879900000000001</v>
      </c>
      <c r="F35" s="5">
        <f>INDEX('Raw Data'!$A$4:$A$508,MATCH(MAX('Raw Data'!$N$4:$N$508),'Raw Data'!$N$4:$N$508,0))</f>
        <v>1.46336</v>
      </c>
      <c r="G35" s="5">
        <f>INDEX('Raw Data'!$F$4:$F$508,MATCH(MIN('Raw Data'!$N$4:$N$508),'Raw Data'!$N$4:$N$508,0))</f>
        <v>5.8520000000000003</v>
      </c>
    </row>
    <row r="36" spans="1:7" x14ac:dyDescent="0.25">
      <c r="A36">
        <v>34</v>
      </c>
      <c r="B36" s="18">
        <f>'Raw Data'!N37</f>
        <v>13.1</v>
      </c>
      <c r="C36" s="18">
        <f>'Raw Data'!A37</f>
        <v>1.1517200000000001</v>
      </c>
      <c r="D36" s="5">
        <f>VLOOKUP(B36,'Raw Data'!$N$4:$N$508,1,FALSE)</f>
        <v>13.1</v>
      </c>
      <c r="E36" s="5">
        <f>_xlfn.XLOOKUP(B36,'Raw Data'!$N$4:$N$509,'Raw Data'!$A$4:$A$509,"Not Found")</f>
        <v>1.1517200000000001</v>
      </c>
      <c r="F36" s="5">
        <f>INDEX('Raw Data'!$A$4:$A$508,MATCH(MAX('Raw Data'!$N$4:$N$508),'Raw Data'!$N$4:$N$508,0))</f>
        <v>1.46336</v>
      </c>
      <c r="G36" s="5">
        <f>INDEX('Raw Data'!$F$4:$F$508,MATCH(MIN('Raw Data'!$N$4:$N$508),'Raw Data'!$N$4:$N$508,0))</f>
        <v>5.8520000000000003</v>
      </c>
    </row>
    <row r="37" spans="1:7" x14ac:dyDescent="0.25">
      <c r="A37">
        <v>35</v>
      </c>
      <c r="B37" s="18">
        <f>'Raw Data'!N38</f>
        <v>13.5</v>
      </c>
      <c r="C37" s="18">
        <f>'Raw Data'!A38</f>
        <v>1.6128199999999999</v>
      </c>
      <c r="D37" s="5">
        <f>VLOOKUP(B37,'Raw Data'!$N$4:$N$508,1,FALSE)</f>
        <v>13.5</v>
      </c>
      <c r="E37" s="5">
        <f>_xlfn.XLOOKUP(B37,'Raw Data'!$N$4:$N$509,'Raw Data'!$A$4:$A$509,"Not Found")</f>
        <v>1.6128199999999999</v>
      </c>
      <c r="F37" s="5">
        <f>INDEX('Raw Data'!$A$4:$A$508,MATCH(MAX('Raw Data'!$N$4:$N$508),'Raw Data'!$N$4:$N$508,0))</f>
        <v>1.46336</v>
      </c>
      <c r="G37" s="5">
        <f>INDEX('Raw Data'!$F$4:$F$508,MATCH(MIN('Raw Data'!$N$4:$N$508),'Raw Data'!$N$4:$N$508,0))</f>
        <v>5.8520000000000003</v>
      </c>
    </row>
    <row r="38" spans="1:7" x14ac:dyDescent="0.25">
      <c r="A38">
        <v>36</v>
      </c>
      <c r="B38" s="18">
        <f>'Raw Data'!N39</f>
        <v>18.899999999999999</v>
      </c>
      <c r="C38" s="18">
        <f>'Raw Data'!A39</f>
        <v>6.4170000000000005E-2</v>
      </c>
      <c r="D38" s="5">
        <f>VLOOKUP(B38,'Raw Data'!$N$4:$N$508,1,FALSE)</f>
        <v>18.899999999999999</v>
      </c>
      <c r="E38" s="5">
        <f>_xlfn.XLOOKUP(B38,'Raw Data'!$N$4:$N$509,'Raw Data'!$A$4:$A$509,"Not Found")</f>
        <v>0.17004</v>
      </c>
      <c r="F38" s="5">
        <f>INDEX('Raw Data'!$A$4:$A$508,MATCH(MAX('Raw Data'!$N$4:$N$508),'Raw Data'!$N$4:$N$508,0))</f>
        <v>1.46336</v>
      </c>
      <c r="G38" s="5">
        <f>INDEX('Raw Data'!$F$4:$F$508,MATCH(MIN('Raw Data'!$N$4:$N$508),'Raw Data'!$N$4:$N$508,0))</f>
        <v>5.8520000000000003</v>
      </c>
    </row>
    <row r="39" spans="1:7" x14ac:dyDescent="0.25">
      <c r="A39">
        <v>37</v>
      </c>
      <c r="B39" s="18">
        <f>'Raw Data'!N40</f>
        <v>20</v>
      </c>
      <c r="C39" s="18">
        <f>'Raw Data'!A40</f>
        <v>9.7439999999999999E-2</v>
      </c>
      <c r="D39" s="5">
        <f>VLOOKUP(B39,'Raw Data'!$N$4:$N$508,1,FALSE)</f>
        <v>20</v>
      </c>
      <c r="E39" s="5">
        <f>_xlfn.XLOOKUP(B39,'Raw Data'!$N$4:$N$509,'Raw Data'!$A$4:$A$509,"Not Found")</f>
        <v>9.7439999999999999E-2</v>
      </c>
      <c r="F39" s="5">
        <f>INDEX('Raw Data'!$A$4:$A$508,MATCH(MAX('Raw Data'!$N$4:$N$508),'Raw Data'!$N$4:$N$508,0))</f>
        <v>1.46336</v>
      </c>
      <c r="G39" s="5">
        <f>INDEX('Raw Data'!$F$4:$F$508,MATCH(MIN('Raw Data'!$N$4:$N$508),'Raw Data'!$N$4:$N$508,0))</f>
        <v>5.8520000000000003</v>
      </c>
    </row>
    <row r="40" spans="1:7" x14ac:dyDescent="0.25">
      <c r="A40">
        <v>38</v>
      </c>
      <c r="B40" s="18">
        <f>'Raw Data'!N41</f>
        <v>21</v>
      </c>
      <c r="C40" s="18">
        <f>'Raw Data'!A41</f>
        <v>8.0140000000000003E-2</v>
      </c>
      <c r="D40" s="5">
        <f>VLOOKUP(B40,'Raw Data'!$N$4:$N$508,1,FALSE)</f>
        <v>21</v>
      </c>
      <c r="E40" s="5">
        <f>_xlfn.XLOOKUP(B40,'Raw Data'!$N$4:$N$509,'Raw Data'!$A$4:$A$509,"Not Found")</f>
        <v>1.0024500000000001</v>
      </c>
      <c r="F40" s="5">
        <f>INDEX('Raw Data'!$A$4:$A$508,MATCH(MAX('Raw Data'!$N$4:$N$508),'Raw Data'!$N$4:$N$508,0))</f>
        <v>1.46336</v>
      </c>
      <c r="G40" s="5">
        <f>INDEX('Raw Data'!$F$4:$F$508,MATCH(MIN('Raw Data'!$N$4:$N$508),'Raw Data'!$N$4:$N$508,0))</f>
        <v>5.8520000000000003</v>
      </c>
    </row>
    <row r="41" spans="1:7" x14ac:dyDescent="0.25">
      <c r="A41">
        <v>39</v>
      </c>
      <c r="B41" s="18">
        <f>'Raw Data'!N42</f>
        <v>24.7</v>
      </c>
      <c r="C41" s="18">
        <f>'Raw Data'!A42</f>
        <v>0.17505000000000001</v>
      </c>
      <c r="D41" s="5">
        <f>VLOOKUP(B41,'Raw Data'!$N$4:$N$508,1,FALSE)</f>
        <v>24.7</v>
      </c>
      <c r="E41" s="5">
        <f>_xlfn.XLOOKUP(B41,'Raw Data'!$N$4:$N$509,'Raw Data'!$A$4:$A$509,"Not Found")</f>
        <v>0.17505000000000001</v>
      </c>
      <c r="F41" s="5">
        <f>INDEX('Raw Data'!$A$4:$A$508,MATCH(MAX('Raw Data'!$N$4:$N$508),'Raw Data'!$N$4:$N$508,0))</f>
        <v>1.46336</v>
      </c>
      <c r="G41" s="5">
        <f>INDEX('Raw Data'!$F$4:$F$508,MATCH(MIN('Raw Data'!$N$4:$N$508),'Raw Data'!$N$4:$N$508,0))</f>
        <v>5.8520000000000003</v>
      </c>
    </row>
    <row r="42" spans="1:7" x14ac:dyDescent="0.25">
      <c r="A42">
        <v>40</v>
      </c>
      <c r="B42" s="18">
        <f>'Raw Data'!N43</f>
        <v>30.8</v>
      </c>
      <c r="C42" s="18">
        <f>'Raw Data'!A43</f>
        <v>2.7629999999999998E-2</v>
      </c>
      <c r="D42" s="5">
        <f>VLOOKUP(B42,'Raw Data'!$N$4:$N$508,1,FALSE)</f>
        <v>30.8</v>
      </c>
      <c r="E42" s="5">
        <f>_xlfn.XLOOKUP(B42,'Raw Data'!$N$4:$N$509,'Raw Data'!$A$4:$A$509,"Not Found")</f>
        <v>2.7629999999999998E-2</v>
      </c>
      <c r="F42" s="5">
        <f>INDEX('Raw Data'!$A$4:$A$508,MATCH(MAX('Raw Data'!$N$4:$N$508),'Raw Data'!$N$4:$N$508,0))</f>
        <v>1.46336</v>
      </c>
      <c r="G42" s="5">
        <f>INDEX('Raw Data'!$F$4:$F$508,MATCH(MIN('Raw Data'!$N$4:$N$508),'Raw Data'!$N$4:$N$508,0))</f>
        <v>5.8520000000000003</v>
      </c>
    </row>
    <row r="43" spans="1:7" x14ac:dyDescent="0.25">
      <c r="A43">
        <v>41</v>
      </c>
      <c r="B43" s="18">
        <f>'Raw Data'!N44</f>
        <v>34.9</v>
      </c>
      <c r="C43" s="18">
        <f>'Raw Data'!A44</f>
        <v>3.3590000000000002E-2</v>
      </c>
      <c r="D43" s="5">
        <f>VLOOKUP(B43,'Raw Data'!$N$4:$N$508,1,FALSE)</f>
        <v>34.9</v>
      </c>
      <c r="E43" s="5">
        <f>_xlfn.XLOOKUP(B43,'Raw Data'!$N$4:$N$509,'Raw Data'!$A$4:$A$509,"Not Found")</f>
        <v>3.3590000000000002E-2</v>
      </c>
      <c r="F43" s="5">
        <f>INDEX('Raw Data'!$A$4:$A$508,MATCH(MAX('Raw Data'!$N$4:$N$508),'Raw Data'!$N$4:$N$508,0))</f>
        <v>1.46336</v>
      </c>
      <c r="G43" s="5">
        <f>INDEX('Raw Data'!$F$4:$F$508,MATCH(MIN('Raw Data'!$N$4:$N$508),'Raw Data'!$N$4:$N$508,0))</f>
        <v>5.8520000000000003</v>
      </c>
    </row>
    <row r="44" spans="1:7" x14ac:dyDescent="0.25">
      <c r="A44">
        <v>42</v>
      </c>
      <c r="B44" s="18">
        <f>'Raw Data'!N45</f>
        <v>26.6</v>
      </c>
      <c r="C44" s="18">
        <f>'Raw Data'!A45</f>
        <v>0.12744</v>
      </c>
      <c r="D44" s="5">
        <f>VLOOKUP(B44,'Raw Data'!$N$4:$N$508,1,FALSE)</f>
        <v>26.6</v>
      </c>
      <c r="E44" s="5">
        <f>_xlfn.XLOOKUP(B44,'Raw Data'!$N$4:$N$509,'Raw Data'!$A$4:$A$509,"Not Found")</f>
        <v>0.12744</v>
      </c>
      <c r="F44" s="5">
        <f>INDEX('Raw Data'!$A$4:$A$508,MATCH(MAX('Raw Data'!$N$4:$N$508),'Raw Data'!$N$4:$N$508,0))</f>
        <v>1.46336</v>
      </c>
      <c r="G44" s="5">
        <f>INDEX('Raw Data'!$F$4:$F$508,MATCH(MIN('Raw Data'!$N$4:$N$508),'Raw Data'!$N$4:$N$508,0))</f>
        <v>5.8520000000000003</v>
      </c>
    </row>
    <row r="45" spans="1:7" x14ac:dyDescent="0.25">
      <c r="A45">
        <v>43</v>
      </c>
      <c r="B45" s="18">
        <f>'Raw Data'!N46</f>
        <v>25.3</v>
      </c>
      <c r="C45" s="18">
        <f>'Raw Data'!A46</f>
        <v>0.14149999999999999</v>
      </c>
      <c r="D45" s="5">
        <f>VLOOKUP(B45,'Raw Data'!$N$4:$N$508,1,FALSE)</f>
        <v>25.3</v>
      </c>
      <c r="E45" s="5">
        <f>_xlfn.XLOOKUP(B45,'Raw Data'!$N$4:$N$509,'Raw Data'!$A$4:$A$509,"Not Found")</f>
        <v>0.14149999999999999</v>
      </c>
      <c r="F45" s="5">
        <f>INDEX('Raw Data'!$A$4:$A$508,MATCH(MAX('Raw Data'!$N$4:$N$508),'Raw Data'!$N$4:$N$508,0))</f>
        <v>1.46336</v>
      </c>
      <c r="G45" s="5">
        <f>INDEX('Raw Data'!$F$4:$F$508,MATCH(MIN('Raw Data'!$N$4:$N$508),'Raw Data'!$N$4:$N$508,0))</f>
        <v>5.8520000000000003</v>
      </c>
    </row>
    <row r="46" spans="1:7" x14ac:dyDescent="0.25">
      <c r="A46">
        <v>44</v>
      </c>
      <c r="B46" s="18">
        <f>'Raw Data'!N47</f>
        <v>24.7</v>
      </c>
      <c r="C46" s="18">
        <f>'Raw Data'!A47</f>
        <v>0.15936</v>
      </c>
      <c r="D46" s="5">
        <f>VLOOKUP(B46,'Raw Data'!$N$4:$N$508,1,FALSE)</f>
        <v>24.7</v>
      </c>
      <c r="E46" s="5">
        <f>_xlfn.XLOOKUP(B46,'Raw Data'!$N$4:$N$509,'Raw Data'!$A$4:$A$509,"Not Found")</f>
        <v>0.17505000000000001</v>
      </c>
      <c r="F46" s="5">
        <f>INDEX('Raw Data'!$A$4:$A$508,MATCH(MAX('Raw Data'!$N$4:$N$508),'Raw Data'!$N$4:$N$508,0))</f>
        <v>1.46336</v>
      </c>
      <c r="G46" s="5">
        <f>INDEX('Raw Data'!$F$4:$F$508,MATCH(MIN('Raw Data'!$N$4:$N$508),'Raw Data'!$N$4:$N$508,0))</f>
        <v>5.8520000000000003</v>
      </c>
    </row>
    <row r="47" spans="1:7" x14ac:dyDescent="0.25">
      <c r="A47">
        <v>45</v>
      </c>
      <c r="B47" s="18">
        <f>'Raw Data'!N48</f>
        <v>21.2</v>
      </c>
      <c r="C47" s="18">
        <f>'Raw Data'!A48</f>
        <v>0.12268999999999999</v>
      </c>
      <c r="D47" s="5">
        <f>VLOOKUP(B47,'Raw Data'!$N$4:$N$508,1,FALSE)</f>
        <v>21.2</v>
      </c>
      <c r="E47" s="5">
        <f>_xlfn.XLOOKUP(B47,'Raw Data'!$N$4:$N$509,'Raw Data'!$A$4:$A$509,"Not Found")</f>
        <v>0.12268999999999999</v>
      </c>
      <c r="F47" s="5">
        <f>INDEX('Raw Data'!$A$4:$A$508,MATCH(MAX('Raw Data'!$N$4:$N$508),'Raw Data'!$N$4:$N$508,0))</f>
        <v>1.46336</v>
      </c>
      <c r="G47" s="5">
        <f>INDEX('Raw Data'!$F$4:$F$508,MATCH(MIN('Raw Data'!$N$4:$N$508),'Raw Data'!$N$4:$N$508,0))</f>
        <v>5.8520000000000003</v>
      </c>
    </row>
    <row r="48" spans="1:7" x14ac:dyDescent="0.25">
      <c r="A48">
        <v>46</v>
      </c>
      <c r="B48" s="18">
        <f>'Raw Data'!N49</f>
        <v>19.3</v>
      </c>
      <c r="C48" s="18">
        <f>'Raw Data'!A49</f>
        <v>0.17141999999999999</v>
      </c>
      <c r="D48" s="5">
        <f>VLOOKUP(B48,'Raw Data'!$N$4:$N$508,1,FALSE)</f>
        <v>19.3</v>
      </c>
      <c r="E48" s="5">
        <f>_xlfn.XLOOKUP(B48,'Raw Data'!$N$4:$N$509,'Raw Data'!$A$4:$A$509,"Not Found")</f>
        <v>0.17141999999999999</v>
      </c>
      <c r="F48" s="5">
        <f>INDEX('Raw Data'!$A$4:$A$508,MATCH(MAX('Raw Data'!$N$4:$N$508),'Raw Data'!$N$4:$N$508,0))</f>
        <v>1.46336</v>
      </c>
      <c r="G48" s="5">
        <f>INDEX('Raw Data'!$F$4:$F$508,MATCH(MIN('Raw Data'!$N$4:$N$508),'Raw Data'!$N$4:$N$508,0))</f>
        <v>5.8520000000000003</v>
      </c>
    </row>
    <row r="49" spans="1:7" x14ac:dyDescent="0.25">
      <c r="A49">
        <v>47</v>
      </c>
      <c r="B49" s="18">
        <f>'Raw Data'!N50</f>
        <v>20</v>
      </c>
      <c r="C49" s="18">
        <f>'Raw Data'!A50</f>
        <v>0.18836</v>
      </c>
      <c r="D49" s="5">
        <f>VLOOKUP(B49,'Raw Data'!$N$4:$N$508,1,FALSE)</f>
        <v>20</v>
      </c>
      <c r="E49" s="5">
        <f>_xlfn.XLOOKUP(B49,'Raw Data'!$N$4:$N$509,'Raw Data'!$A$4:$A$509,"Not Found")</f>
        <v>9.7439999999999999E-2</v>
      </c>
      <c r="F49" s="5">
        <f>INDEX('Raw Data'!$A$4:$A$508,MATCH(MAX('Raw Data'!$N$4:$N$508),'Raw Data'!$N$4:$N$508,0))</f>
        <v>1.46336</v>
      </c>
      <c r="G49" s="5">
        <f>INDEX('Raw Data'!$F$4:$F$508,MATCH(MIN('Raw Data'!$N$4:$N$508),'Raw Data'!$N$4:$N$508,0))</f>
        <v>5.8520000000000003</v>
      </c>
    </row>
    <row r="50" spans="1:7" x14ac:dyDescent="0.25">
      <c r="A50">
        <v>48</v>
      </c>
      <c r="B50" s="18">
        <f>'Raw Data'!N51</f>
        <v>16.600000000000001</v>
      </c>
      <c r="C50" s="18">
        <f>'Raw Data'!A51</f>
        <v>0.22927</v>
      </c>
      <c r="D50" s="5">
        <f>VLOOKUP(B50,'Raw Data'!$N$4:$N$508,1,FALSE)</f>
        <v>16.600000000000001</v>
      </c>
      <c r="E50" s="5">
        <f>_xlfn.XLOOKUP(B50,'Raw Data'!$N$4:$N$509,'Raw Data'!$A$4:$A$509,"Not Found")</f>
        <v>0.67191000000000001</v>
      </c>
      <c r="F50" s="5">
        <f>INDEX('Raw Data'!$A$4:$A$508,MATCH(MAX('Raw Data'!$N$4:$N$508),'Raw Data'!$N$4:$N$508,0))</f>
        <v>1.46336</v>
      </c>
      <c r="G50" s="5">
        <f>INDEX('Raw Data'!$F$4:$F$508,MATCH(MIN('Raw Data'!$N$4:$N$508),'Raw Data'!$N$4:$N$508,0))</f>
        <v>5.8520000000000003</v>
      </c>
    </row>
    <row r="51" spans="1:7" x14ac:dyDescent="0.25">
      <c r="A51">
        <v>49</v>
      </c>
      <c r="B51" s="18">
        <f>'Raw Data'!N52</f>
        <v>14.4</v>
      </c>
      <c r="C51" s="18">
        <f>'Raw Data'!A52</f>
        <v>0.25386999999999998</v>
      </c>
      <c r="D51" s="5">
        <f>VLOOKUP(B51,'Raw Data'!$N$4:$N$508,1,FALSE)</f>
        <v>14.4</v>
      </c>
      <c r="E51" s="5">
        <f>_xlfn.XLOOKUP(B51,'Raw Data'!$N$4:$N$509,'Raw Data'!$A$4:$A$509,"Not Found")</f>
        <v>0.25386999999999998</v>
      </c>
      <c r="F51" s="5">
        <f>INDEX('Raw Data'!$A$4:$A$508,MATCH(MAX('Raw Data'!$N$4:$N$508),'Raw Data'!$N$4:$N$508,0))</f>
        <v>1.46336</v>
      </c>
      <c r="G51" s="5">
        <f>INDEX('Raw Data'!$F$4:$F$508,MATCH(MIN('Raw Data'!$N$4:$N$508),'Raw Data'!$N$4:$N$508,0))</f>
        <v>5.8520000000000003</v>
      </c>
    </row>
    <row r="52" spans="1:7" x14ac:dyDescent="0.25">
      <c r="A52">
        <v>50</v>
      </c>
      <c r="B52" s="18">
        <f>'Raw Data'!N53</f>
        <v>19.399999999999999</v>
      </c>
      <c r="C52" s="18">
        <f>'Raw Data'!A53</f>
        <v>0.21976999999999999</v>
      </c>
      <c r="D52" s="5">
        <f>VLOOKUP(B52,'Raw Data'!$N$4:$N$508,1,FALSE)</f>
        <v>19.399999999999999</v>
      </c>
      <c r="E52" s="5">
        <f>_xlfn.XLOOKUP(B52,'Raw Data'!$N$4:$N$509,'Raw Data'!$A$4:$A$509,"Not Found")</f>
        <v>0.21976999999999999</v>
      </c>
      <c r="F52" s="5">
        <f>INDEX('Raw Data'!$A$4:$A$508,MATCH(MAX('Raw Data'!$N$4:$N$508),'Raw Data'!$N$4:$N$508,0))</f>
        <v>1.46336</v>
      </c>
      <c r="G52" s="5">
        <f>INDEX('Raw Data'!$F$4:$F$508,MATCH(MIN('Raw Data'!$N$4:$N$508),'Raw Data'!$N$4:$N$508,0))</f>
        <v>5.8520000000000003</v>
      </c>
    </row>
    <row r="53" spans="1:7" x14ac:dyDescent="0.25">
      <c r="A53">
        <v>51</v>
      </c>
      <c r="B53" s="18">
        <f>'Raw Data'!N54</f>
        <v>19.7</v>
      </c>
      <c r="C53" s="18">
        <f>'Raw Data'!A54</f>
        <v>8.8730000000000003E-2</v>
      </c>
      <c r="D53" s="5">
        <f>VLOOKUP(B53,'Raw Data'!$N$4:$N$508,1,FALSE)</f>
        <v>19.7</v>
      </c>
      <c r="E53" s="5">
        <f>_xlfn.XLOOKUP(B53,'Raw Data'!$N$4:$N$509,'Raw Data'!$A$4:$A$509,"Not Found")</f>
        <v>8.8730000000000003E-2</v>
      </c>
      <c r="F53" s="5">
        <f>INDEX('Raw Data'!$A$4:$A$508,MATCH(MAX('Raw Data'!$N$4:$N$508),'Raw Data'!$N$4:$N$508,0))</f>
        <v>1.46336</v>
      </c>
      <c r="G53" s="5">
        <f>INDEX('Raw Data'!$F$4:$F$508,MATCH(MIN('Raw Data'!$N$4:$N$508),'Raw Data'!$N$4:$N$508,0))</f>
        <v>5.8520000000000003</v>
      </c>
    </row>
    <row r="54" spans="1:7" x14ac:dyDescent="0.25">
      <c r="A54">
        <v>52</v>
      </c>
      <c r="B54" s="18">
        <f>'Raw Data'!N55</f>
        <v>20.5</v>
      </c>
      <c r="C54" s="18">
        <f>'Raw Data'!A55</f>
        <v>4.3369999999999999E-2</v>
      </c>
      <c r="D54" s="5">
        <f>VLOOKUP(B54,'Raw Data'!$N$4:$N$508,1,FALSE)</f>
        <v>20.5</v>
      </c>
      <c r="E54" s="5">
        <f>_xlfn.XLOOKUP(B54,'Raw Data'!$N$4:$N$509,'Raw Data'!$A$4:$A$509,"Not Found")</f>
        <v>4.3369999999999999E-2</v>
      </c>
      <c r="F54" s="5">
        <f>INDEX('Raw Data'!$A$4:$A$508,MATCH(MAX('Raw Data'!$N$4:$N$508),'Raw Data'!$N$4:$N$508,0))</f>
        <v>1.46336</v>
      </c>
      <c r="G54" s="5">
        <f>INDEX('Raw Data'!$F$4:$F$508,MATCH(MIN('Raw Data'!$N$4:$N$508),'Raw Data'!$N$4:$N$508,0))</f>
        <v>5.8520000000000003</v>
      </c>
    </row>
    <row r="55" spans="1:7" x14ac:dyDescent="0.25">
      <c r="A55">
        <v>53</v>
      </c>
      <c r="B55" s="18">
        <f>'Raw Data'!N56</f>
        <v>25</v>
      </c>
      <c r="C55" s="18">
        <f>'Raw Data'!A56</f>
        <v>5.3600000000000002E-2</v>
      </c>
      <c r="D55" s="5">
        <f>VLOOKUP(B55,'Raw Data'!$N$4:$N$508,1,FALSE)</f>
        <v>25</v>
      </c>
      <c r="E55" s="5">
        <f>_xlfn.XLOOKUP(B55,'Raw Data'!$N$4:$N$509,'Raw Data'!$A$4:$A$509,"Not Found")</f>
        <v>5.3600000000000002E-2</v>
      </c>
      <c r="F55" s="5">
        <f>INDEX('Raw Data'!$A$4:$A$508,MATCH(MAX('Raw Data'!$N$4:$N$508),'Raw Data'!$N$4:$N$508,0))</f>
        <v>1.46336</v>
      </c>
      <c r="G55" s="5">
        <f>INDEX('Raw Data'!$F$4:$F$508,MATCH(MIN('Raw Data'!$N$4:$N$508),'Raw Data'!$N$4:$N$508,0))</f>
        <v>5.8520000000000003</v>
      </c>
    </row>
    <row r="56" spans="1:7" x14ac:dyDescent="0.25">
      <c r="A56">
        <v>54</v>
      </c>
      <c r="B56" s="18">
        <f>'Raw Data'!N57</f>
        <v>23.4</v>
      </c>
      <c r="C56" s="18">
        <f>'Raw Data'!A57</f>
        <v>4.981E-2</v>
      </c>
      <c r="D56" s="5">
        <f>VLOOKUP(B56,'Raw Data'!$N$4:$N$508,1,FALSE)</f>
        <v>23.4</v>
      </c>
      <c r="E56" s="5">
        <f>_xlfn.XLOOKUP(B56,'Raw Data'!$N$4:$N$509,'Raw Data'!$A$4:$A$509,"Not Found")</f>
        <v>4.981E-2</v>
      </c>
      <c r="F56" s="5">
        <f>INDEX('Raw Data'!$A$4:$A$508,MATCH(MAX('Raw Data'!$N$4:$N$508),'Raw Data'!$N$4:$N$508,0))</f>
        <v>1.46336</v>
      </c>
      <c r="G56" s="5">
        <f>INDEX('Raw Data'!$F$4:$F$508,MATCH(MIN('Raw Data'!$N$4:$N$508),'Raw Data'!$N$4:$N$508,0))</f>
        <v>5.8520000000000003</v>
      </c>
    </row>
    <row r="57" spans="1:7" x14ac:dyDescent="0.25">
      <c r="A57">
        <v>55</v>
      </c>
      <c r="B57" s="18">
        <f>'Raw Data'!N58</f>
        <v>18.899999999999999</v>
      </c>
      <c r="C57" s="18">
        <f>'Raw Data'!A58</f>
        <v>1.3599999999999999E-2</v>
      </c>
      <c r="D57" s="5">
        <f>VLOOKUP(B57,'Raw Data'!$N$4:$N$508,1,FALSE)</f>
        <v>18.899999999999999</v>
      </c>
      <c r="E57" s="5">
        <f>_xlfn.XLOOKUP(B57,'Raw Data'!$N$4:$N$509,'Raw Data'!$A$4:$A$509,"Not Found")</f>
        <v>0.17004</v>
      </c>
      <c r="F57" s="5">
        <f>INDEX('Raw Data'!$A$4:$A$508,MATCH(MAX('Raw Data'!$N$4:$N$508),'Raw Data'!$N$4:$N$508,0))</f>
        <v>1.46336</v>
      </c>
      <c r="G57" s="5">
        <f>INDEX('Raw Data'!$F$4:$F$508,MATCH(MIN('Raw Data'!$N$4:$N$508),'Raw Data'!$N$4:$N$508,0))</f>
        <v>5.8520000000000003</v>
      </c>
    </row>
    <row r="58" spans="1:7" x14ac:dyDescent="0.25">
      <c r="A58">
        <v>56</v>
      </c>
      <c r="B58" s="18">
        <f>'Raw Data'!N59</f>
        <v>35.4</v>
      </c>
      <c r="C58" s="18">
        <f>'Raw Data'!A59</f>
        <v>1.311E-2</v>
      </c>
      <c r="D58" s="5">
        <f>VLOOKUP(B58,'Raw Data'!$N$4:$N$508,1,FALSE)</f>
        <v>35.4</v>
      </c>
      <c r="E58" s="5">
        <f>_xlfn.XLOOKUP(B58,'Raw Data'!$N$4:$N$509,'Raw Data'!$A$4:$A$509,"Not Found")</f>
        <v>1.311E-2</v>
      </c>
      <c r="F58" s="5">
        <f>INDEX('Raw Data'!$A$4:$A$508,MATCH(MAX('Raw Data'!$N$4:$N$508),'Raw Data'!$N$4:$N$508,0))</f>
        <v>1.46336</v>
      </c>
      <c r="G58" s="5">
        <f>INDEX('Raw Data'!$F$4:$F$508,MATCH(MIN('Raw Data'!$N$4:$N$508),'Raw Data'!$N$4:$N$508,0))</f>
        <v>5.8520000000000003</v>
      </c>
    </row>
    <row r="59" spans="1:7" x14ac:dyDescent="0.25">
      <c r="A59">
        <v>57</v>
      </c>
      <c r="B59" s="18">
        <f>'Raw Data'!N60</f>
        <v>24.7</v>
      </c>
      <c r="C59" s="18">
        <f>'Raw Data'!A60</f>
        <v>2.0549999999999999E-2</v>
      </c>
      <c r="D59" s="5">
        <f>VLOOKUP(B59,'Raw Data'!$N$4:$N$508,1,FALSE)</f>
        <v>24.7</v>
      </c>
      <c r="E59" s="5">
        <f>_xlfn.XLOOKUP(B59,'Raw Data'!$N$4:$N$509,'Raw Data'!$A$4:$A$509,"Not Found")</f>
        <v>0.17505000000000001</v>
      </c>
      <c r="F59" s="5">
        <f>INDEX('Raw Data'!$A$4:$A$508,MATCH(MAX('Raw Data'!$N$4:$N$508),'Raw Data'!$N$4:$N$508,0))</f>
        <v>1.46336</v>
      </c>
      <c r="G59" s="5">
        <f>INDEX('Raw Data'!$F$4:$F$508,MATCH(MIN('Raw Data'!$N$4:$N$508),'Raw Data'!$N$4:$N$508,0))</f>
        <v>5.8520000000000003</v>
      </c>
    </row>
    <row r="60" spans="1:7" x14ac:dyDescent="0.25">
      <c r="A60">
        <v>58</v>
      </c>
      <c r="B60" s="18">
        <f>'Raw Data'!N61</f>
        <v>31.6</v>
      </c>
      <c r="C60" s="18">
        <f>'Raw Data'!A61</f>
        <v>1.4319999999999999E-2</v>
      </c>
      <c r="D60" s="5">
        <f>VLOOKUP(B60,'Raw Data'!$N$4:$N$508,1,FALSE)</f>
        <v>31.6</v>
      </c>
      <c r="E60" s="5">
        <f>_xlfn.XLOOKUP(B60,'Raw Data'!$N$4:$N$509,'Raw Data'!$A$4:$A$509,"Not Found")</f>
        <v>1.4319999999999999E-2</v>
      </c>
      <c r="F60" s="5">
        <f>INDEX('Raw Data'!$A$4:$A$508,MATCH(MAX('Raw Data'!$N$4:$N$508),'Raw Data'!$N$4:$N$508,0))</f>
        <v>1.46336</v>
      </c>
      <c r="G60" s="5">
        <f>INDEX('Raw Data'!$F$4:$F$508,MATCH(MIN('Raw Data'!$N$4:$N$508),'Raw Data'!$N$4:$N$508,0))</f>
        <v>5.8520000000000003</v>
      </c>
    </row>
    <row r="61" spans="1:7" x14ac:dyDescent="0.25">
      <c r="A61">
        <v>59</v>
      </c>
      <c r="B61" s="18">
        <f>'Raw Data'!N62</f>
        <v>23.3</v>
      </c>
      <c r="C61" s="18">
        <f>'Raw Data'!A62</f>
        <v>0.15445</v>
      </c>
      <c r="D61" s="5">
        <f>VLOOKUP(B61,'Raw Data'!$N$4:$N$508,1,FALSE)</f>
        <v>23.3</v>
      </c>
      <c r="E61" s="5">
        <f>_xlfn.XLOOKUP(B61,'Raw Data'!$N$4:$N$509,'Raw Data'!$A$4:$A$509,"Not Found")</f>
        <v>0.15445</v>
      </c>
      <c r="F61" s="5">
        <f>INDEX('Raw Data'!$A$4:$A$508,MATCH(MAX('Raw Data'!$N$4:$N$508),'Raw Data'!$N$4:$N$508,0))</f>
        <v>1.46336</v>
      </c>
      <c r="G61" s="5">
        <f>INDEX('Raw Data'!$F$4:$F$508,MATCH(MIN('Raw Data'!$N$4:$N$508),'Raw Data'!$N$4:$N$508,0))</f>
        <v>5.8520000000000003</v>
      </c>
    </row>
    <row r="62" spans="1:7" x14ac:dyDescent="0.25">
      <c r="A62">
        <v>60</v>
      </c>
      <c r="B62" s="18">
        <f>'Raw Data'!N63</f>
        <v>19.600000000000001</v>
      </c>
      <c r="C62" s="18">
        <f>'Raw Data'!A63</f>
        <v>0.10328</v>
      </c>
      <c r="D62" s="5">
        <f>VLOOKUP(B62,'Raw Data'!$N$4:$N$508,1,FALSE)</f>
        <v>19.600000000000001</v>
      </c>
      <c r="E62" s="5">
        <f>_xlfn.XLOOKUP(B62,'Raw Data'!$N$4:$N$509,'Raw Data'!$A$4:$A$509,"Not Found")</f>
        <v>0.85204000000000002</v>
      </c>
      <c r="F62" s="5">
        <f>INDEX('Raw Data'!$A$4:$A$508,MATCH(MAX('Raw Data'!$N$4:$N$508),'Raw Data'!$N$4:$N$508,0))</f>
        <v>1.46336</v>
      </c>
      <c r="G62" s="5">
        <f>INDEX('Raw Data'!$F$4:$F$508,MATCH(MIN('Raw Data'!$N$4:$N$508),'Raw Data'!$N$4:$N$508,0))</f>
        <v>5.8520000000000003</v>
      </c>
    </row>
    <row r="63" spans="1:7" x14ac:dyDescent="0.25">
      <c r="A63">
        <v>61</v>
      </c>
      <c r="B63" s="18">
        <f>'Raw Data'!N64</f>
        <v>18.7</v>
      </c>
      <c r="C63" s="18">
        <f>'Raw Data'!A64</f>
        <v>0.14932000000000001</v>
      </c>
      <c r="D63" s="5">
        <f>VLOOKUP(B63,'Raw Data'!$N$4:$N$508,1,FALSE)</f>
        <v>18.7</v>
      </c>
      <c r="E63" s="5">
        <f>_xlfn.XLOOKUP(B63,'Raw Data'!$N$4:$N$509,'Raw Data'!$A$4:$A$509,"Not Found")</f>
        <v>0.14932000000000001</v>
      </c>
      <c r="F63" s="5">
        <f>INDEX('Raw Data'!$A$4:$A$508,MATCH(MAX('Raw Data'!$N$4:$N$508),'Raw Data'!$N$4:$N$508,0))</f>
        <v>1.46336</v>
      </c>
      <c r="G63" s="5">
        <f>INDEX('Raw Data'!$F$4:$F$508,MATCH(MIN('Raw Data'!$N$4:$N$508),'Raw Data'!$N$4:$N$508,0))</f>
        <v>5.8520000000000003</v>
      </c>
    </row>
    <row r="64" spans="1:7" x14ac:dyDescent="0.25">
      <c r="A64">
        <v>62</v>
      </c>
      <c r="B64" s="18">
        <f>'Raw Data'!N65</f>
        <v>16</v>
      </c>
      <c r="C64" s="18">
        <f>'Raw Data'!A65</f>
        <v>0.17171</v>
      </c>
      <c r="D64" s="5">
        <f>VLOOKUP(B64,'Raw Data'!$N$4:$N$508,1,FALSE)</f>
        <v>16</v>
      </c>
      <c r="E64" s="5">
        <f>_xlfn.XLOOKUP(B64,'Raw Data'!$N$4:$N$509,'Raw Data'!$A$4:$A$509,"Not Found")</f>
        <v>0.17171</v>
      </c>
      <c r="F64" s="5">
        <f>INDEX('Raw Data'!$A$4:$A$508,MATCH(MAX('Raw Data'!$N$4:$N$508),'Raw Data'!$N$4:$N$508,0))</f>
        <v>1.46336</v>
      </c>
      <c r="G64" s="5">
        <f>INDEX('Raw Data'!$F$4:$F$508,MATCH(MIN('Raw Data'!$N$4:$N$508),'Raw Data'!$N$4:$N$508,0))</f>
        <v>5.8520000000000003</v>
      </c>
    </row>
    <row r="65" spans="1:7" x14ac:dyDescent="0.25">
      <c r="A65">
        <v>63</v>
      </c>
      <c r="B65" s="18">
        <f>'Raw Data'!N66</f>
        <v>22.2</v>
      </c>
      <c r="C65" s="18">
        <f>'Raw Data'!A66</f>
        <v>0.11027000000000001</v>
      </c>
      <c r="D65" s="5">
        <f>VLOOKUP(B65,'Raw Data'!$N$4:$N$508,1,FALSE)</f>
        <v>22.2</v>
      </c>
      <c r="E65" s="5">
        <f>_xlfn.XLOOKUP(B65,'Raw Data'!$N$4:$N$509,'Raw Data'!$A$4:$A$509,"Not Found")</f>
        <v>0.11027000000000001</v>
      </c>
      <c r="F65" s="5">
        <f>INDEX('Raw Data'!$A$4:$A$508,MATCH(MAX('Raw Data'!$N$4:$N$508),'Raw Data'!$N$4:$N$508,0))</f>
        <v>1.46336</v>
      </c>
      <c r="G65" s="5">
        <f>INDEX('Raw Data'!$F$4:$F$508,MATCH(MIN('Raw Data'!$N$4:$N$508),'Raw Data'!$N$4:$N$508,0))</f>
        <v>5.8520000000000003</v>
      </c>
    </row>
    <row r="66" spans="1:7" x14ac:dyDescent="0.25">
      <c r="A66">
        <v>64</v>
      </c>
      <c r="B66" s="18">
        <f>'Raw Data'!N67</f>
        <v>25</v>
      </c>
      <c r="C66" s="18">
        <f>'Raw Data'!A67</f>
        <v>0.1265</v>
      </c>
      <c r="D66" s="5">
        <f>VLOOKUP(B66,'Raw Data'!$N$4:$N$508,1,FALSE)</f>
        <v>25</v>
      </c>
      <c r="E66" s="5">
        <f>_xlfn.XLOOKUP(B66,'Raw Data'!$N$4:$N$509,'Raw Data'!$A$4:$A$509,"Not Found")</f>
        <v>5.3600000000000002E-2</v>
      </c>
      <c r="F66" s="5">
        <f>INDEX('Raw Data'!$A$4:$A$508,MATCH(MAX('Raw Data'!$N$4:$N$508),'Raw Data'!$N$4:$N$508,0))</f>
        <v>1.46336</v>
      </c>
      <c r="G66" s="5">
        <f>INDEX('Raw Data'!$F$4:$F$508,MATCH(MIN('Raw Data'!$N$4:$N$508),'Raw Data'!$N$4:$N$508,0))</f>
        <v>5.8520000000000003</v>
      </c>
    </row>
    <row r="67" spans="1:7" x14ac:dyDescent="0.25">
      <c r="A67">
        <v>65</v>
      </c>
      <c r="B67" s="18">
        <f>'Raw Data'!N68</f>
        <v>33</v>
      </c>
      <c r="C67" s="18">
        <f>'Raw Data'!A68</f>
        <v>1.951E-2</v>
      </c>
      <c r="D67" s="5">
        <f>VLOOKUP(B67,'Raw Data'!$N$4:$N$508,1,FALSE)</f>
        <v>33</v>
      </c>
      <c r="E67" s="5">
        <f>_xlfn.XLOOKUP(B67,'Raw Data'!$N$4:$N$509,'Raw Data'!$A$4:$A$509,"Not Found")</f>
        <v>1.951E-2</v>
      </c>
      <c r="F67" s="5">
        <f>INDEX('Raw Data'!$A$4:$A$508,MATCH(MAX('Raw Data'!$N$4:$N$508),'Raw Data'!$N$4:$N$508,0))</f>
        <v>1.46336</v>
      </c>
      <c r="G67" s="5">
        <f>INDEX('Raw Data'!$F$4:$F$508,MATCH(MIN('Raw Data'!$N$4:$N$508),'Raw Data'!$N$4:$N$508,0))</f>
        <v>5.8520000000000003</v>
      </c>
    </row>
    <row r="68" spans="1:7" x14ac:dyDescent="0.25">
      <c r="A68">
        <v>66</v>
      </c>
      <c r="B68" s="18">
        <f>'Raw Data'!N69</f>
        <v>23.5</v>
      </c>
      <c r="C68" s="18">
        <f>'Raw Data'!A69</f>
        <v>3.5839999999999997E-2</v>
      </c>
      <c r="D68" s="5">
        <f>VLOOKUP(B68,'Raw Data'!$N$4:$N$508,1,FALSE)</f>
        <v>23.5</v>
      </c>
      <c r="E68" s="5">
        <f>_xlfn.XLOOKUP(B68,'Raw Data'!$N$4:$N$509,'Raw Data'!$A$4:$A$509,"Not Found")</f>
        <v>3.5839999999999997E-2</v>
      </c>
      <c r="F68" s="5">
        <f>INDEX('Raw Data'!$A$4:$A$508,MATCH(MAX('Raw Data'!$N$4:$N$508),'Raw Data'!$N$4:$N$508,0))</f>
        <v>1.46336</v>
      </c>
      <c r="G68" s="5">
        <f>INDEX('Raw Data'!$F$4:$F$508,MATCH(MIN('Raw Data'!$N$4:$N$508),'Raw Data'!$N$4:$N$508,0))</f>
        <v>5.8520000000000003</v>
      </c>
    </row>
    <row r="69" spans="1:7" x14ac:dyDescent="0.25">
      <c r="A69">
        <v>67</v>
      </c>
      <c r="B69" s="18">
        <f>'Raw Data'!N70</f>
        <v>19.399999999999999</v>
      </c>
      <c r="C69" s="18">
        <f>'Raw Data'!A70</f>
        <v>4.3790000000000003E-2</v>
      </c>
      <c r="D69" s="5">
        <f>VLOOKUP(B69,'Raw Data'!$N$4:$N$508,1,FALSE)</f>
        <v>19.399999999999999</v>
      </c>
      <c r="E69" s="5">
        <f>_xlfn.XLOOKUP(B69,'Raw Data'!$N$4:$N$509,'Raw Data'!$A$4:$A$509,"Not Found")</f>
        <v>0.21976999999999999</v>
      </c>
      <c r="F69" s="5">
        <f>INDEX('Raw Data'!$A$4:$A$508,MATCH(MAX('Raw Data'!$N$4:$N$508),'Raw Data'!$N$4:$N$508,0))</f>
        <v>1.46336</v>
      </c>
      <c r="G69" s="5">
        <f>INDEX('Raw Data'!$F$4:$F$508,MATCH(MIN('Raw Data'!$N$4:$N$508),'Raw Data'!$N$4:$N$508,0))</f>
        <v>5.8520000000000003</v>
      </c>
    </row>
    <row r="70" spans="1:7" x14ac:dyDescent="0.25">
      <c r="A70">
        <v>68</v>
      </c>
      <c r="B70" s="18">
        <f>'Raw Data'!N71</f>
        <v>22</v>
      </c>
      <c r="C70" s="18">
        <f>'Raw Data'!A71</f>
        <v>5.7889999999999997E-2</v>
      </c>
      <c r="D70" s="5">
        <f>VLOOKUP(B70,'Raw Data'!$N$4:$N$508,1,FALSE)</f>
        <v>22</v>
      </c>
      <c r="E70" s="5">
        <f>_xlfn.XLOOKUP(B70,'Raw Data'!$N$4:$N$509,'Raw Data'!$A$4:$A$509,"Not Found")</f>
        <v>5.7889999999999997E-2</v>
      </c>
      <c r="F70" s="5">
        <f>INDEX('Raw Data'!$A$4:$A$508,MATCH(MAX('Raw Data'!$N$4:$N$508),'Raw Data'!$N$4:$N$508,0))</f>
        <v>1.46336</v>
      </c>
      <c r="G70" s="5">
        <f>INDEX('Raw Data'!$F$4:$F$508,MATCH(MIN('Raw Data'!$N$4:$N$508),'Raw Data'!$N$4:$N$508,0))</f>
        <v>5.8520000000000003</v>
      </c>
    </row>
    <row r="71" spans="1:7" x14ac:dyDescent="0.25">
      <c r="A71">
        <v>69</v>
      </c>
      <c r="B71" s="18">
        <f>'Raw Data'!N72</f>
        <v>17.399999999999999</v>
      </c>
      <c r="C71" s="18">
        <f>'Raw Data'!A72</f>
        <v>0.13553999999999999</v>
      </c>
      <c r="D71" s="5">
        <f>VLOOKUP(B71,'Raw Data'!$N$4:$N$508,1,FALSE)</f>
        <v>17.399999999999999</v>
      </c>
      <c r="E71" s="5">
        <f>_xlfn.XLOOKUP(B71,'Raw Data'!$N$4:$N$509,'Raw Data'!$A$4:$A$509,"Not Found")</f>
        <v>0.13553999999999999</v>
      </c>
      <c r="F71" s="5">
        <f>INDEX('Raw Data'!$A$4:$A$508,MATCH(MAX('Raw Data'!$N$4:$N$508),'Raw Data'!$N$4:$N$508,0))</f>
        <v>1.46336</v>
      </c>
      <c r="G71" s="5">
        <f>INDEX('Raw Data'!$F$4:$F$508,MATCH(MIN('Raw Data'!$N$4:$N$508),'Raw Data'!$N$4:$N$508,0))</f>
        <v>5.8520000000000003</v>
      </c>
    </row>
    <row r="72" spans="1:7" x14ac:dyDescent="0.25">
      <c r="A72">
        <v>70</v>
      </c>
      <c r="B72" s="18">
        <f>'Raw Data'!N73</f>
        <v>20.9</v>
      </c>
      <c r="C72" s="18">
        <f>'Raw Data'!A73</f>
        <v>0.12816</v>
      </c>
      <c r="D72" s="5">
        <f>VLOOKUP(B72,'Raw Data'!$N$4:$N$508,1,FALSE)</f>
        <v>20.9</v>
      </c>
      <c r="E72" s="5">
        <f>_xlfn.XLOOKUP(B72,'Raw Data'!$N$4:$N$509,'Raw Data'!$A$4:$A$509,"Not Found")</f>
        <v>0.12816</v>
      </c>
      <c r="F72" s="5">
        <f>INDEX('Raw Data'!$A$4:$A$508,MATCH(MAX('Raw Data'!$N$4:$N$508),'Raw Data'!$N$4:$N$508,0))</f>
        <v>1.46336</v>
      </c>
      <c r="G72" s="5">
        <f>INDEX('Raw Data'!$F$4:$F$508,MATCH(MIN('Raw Data'!$N$4:$N$508),'Raw Data'!$N$4:$N$508,0))</f>
        <v>5.8520000000000003</v>
      </c>
    </row>
    <row r="73" spans="1:7" x14ac:dyDescent="0.25">
      <c r="A73">
        <v>71</v>
      </c>
      <c r="B73" s="18">
        <f>'Raw Data'!N74</f>
        <v>24.2</v>
      </c>
      <c r="C73" s="18">
        <f>'Raw Data'!A74</f>
        <v>8.8260000000000005E-2</v>
      </c>
      <c r="D73" s="5">
        <f>VLOOKUP(B73,'Raw Data'!$N$4:$N$508,1,FALSE)</f>
        <v>24.2</v>
      </c>
      <c r="E73" s="5">
        <f>_xlfn.XLOOKUP(B73,'Raw Data'!$N$4:$N$509,'Raw Data'!$A$4:$A$509,"Not Found")</f>
        <v>8.8260000000000005E-2</v>
      </c>
      <c r="F73" s="5">
        <f>INDEX('Raw Data'!$A$4:$A$508,MATCH(MAX('Raw Data'!$N$4:$N$508),'Raw Data'!$N$4:$N$508,0))</f>
        <v>1.46336</v>
      </c>
      <c r="G73" s="5">
        <f>INDEX('Raw Data'!$F$4:$F$508,MATCH(MIN('Raw Data'!$N$4:$N$508),'Raw Data'!$N$4:$N$508,0))</f>
        <v>5.8520000000000003</v>
      </c>
    </row>
    <row r="74" spans="1:7" x14ac:dyDescent="0.25">
      <c r="A74">
        <v>72</v>
      </c>
      <c r="B74" s="18">
        <f>'Raw Data'!N75</f>
        <v>21.7</v>
      </c>
      <c r="C74" s="18">
        <f>'Raw Data'!A75</f>
        <v>0.15876000000000001</v>
      </c>
      <c r="D74" s="5">
        <f>VLOOKUP(B74,'Raw Data'!$N$4:$N$508,1,FALSE)</f>
        <v>21.7</v>
      </c>
      <c r="E74" s="5">
        <f>_xlfn.XLOOKUP(B74,'Raw Data'!$N$4:$N$509,'Raw Data'!$A$4:$A$509,"Not Found")</f>
        <v>9.3780000000000002E-2</v>
      </c>
      <c r="F74" s="5">
        <f>INDEX('Raw Data'!$A$4:$A$508,MATCH(MAX('Raw Data'!$N$4:$N$508),'Raw Data'!$N$4:$N$508,0))</f>
        <v>1.46336</v>
      </c>
      <c r="G74" s="5">
        <f>INDEX('Raw Data'!$F$4:$F$508,MATCH(MIN('Raw Data'!$N$4:$N$508),'Raw Data'!$N$4:$N$508,0))</f>
        <v>5.8520000000000003</v>
      </c>
    </row>
    <row r="75" spans="1:7" x14ac:dyDescent="0.25">
      <c r="A75">
        <v>73</v>
      </c>
      <c r="B75" s="18">
        <f>'Raw Data'!N76</f>
        <v>22.8</v>
      </c>
      <c r="C75" s="18">
        <f>'Raw Data'!A76</f>
        <v>9.1639999999999999E-2</v>
      </c>
      <c r="D75" s="5">
        <f>VLOOKUP(B75,'Raw Data'!$N$4:$N$508,1,FALSE)</f>
        <v>22.8</v>
      </c>
      <c r="E75" s="5">
        <f>_xlfn.XLOOKUP(B75,'Raw Data'!$N$4:$N$509,'Raw Data'!$A$4:$A$509,"Not Found")</f>
        <v>9.1639999999999999E-2</v>
      </c>
      <c r="F75" s="5">
        <f>INDEX('Raw Data'!$A$4:$A$508,MATCH(MAX('Raw Data'!$N$4:$N$508),'Raw Data'!$N$4:$N$508,0))</f>
        <v>1.46336</v>
      </c>
      <c r="G75" s="5">
        <f>INDEX('Raw Data'!$F$4:$F$508,MATCH(MIN('Raw Data'!$N$4:$N$508),'Raw Data'!$N$4:$N$508,0))</f>
        <v>5.8520000000000003</v>
      </c>
    </row>
    <row r="76" spans="1:7" x14ac:dyDescent="0.25">
      <c r="A76">
        <v>74</v>
      </c>
      <c r="B76" s="18">
        <f>'Raw Data'!N77</f>
        <v>23.4</v>
      </c>
      <c r="C76" s="18">
        <f>'Raw Data'!A77</f>
        <v>0.19539000000000001</v>
      </c>
      <c r="D76" s="5">
        <f>VLOOKUP(B76,'Raw Data'!$N$4:$N$508,1,FALSE)</f>
        <v>23.4</v>
      </c>
      <c r="E76" s="5">
        <f>_xlfn.XLOOKUP(B76,'Raw Data'!$N$4:$N$509,'Raw Data'!$A$4:$A$509,"Not Found")</f>
        <v>4.981E-2</v>
      </c>
      <c r="F76" s="5">
        <f>INDEX('Raw Data'!$A$4:$A$508,MATCH(MAX('Raw Data'!$N$4:$N$508),'Raw Data'!$N$4:$N$508,0))</f>
        <v>1.46336</v>
      </c>
      <c r="G76" s="5">
        <f>INDEX('Raw Data'!$F$4:$F$508,MATCH(MIN('Raw Data'!$N$4:$N$508),'Raw Data'!$N$4:$N$508,0))</f>
        <v>5.8520000000000003</v>
      </c>
    </row>
    <row r="77" spans="1:7" x14ac:dyDescent="0.25">
      <c r="A77">
        <v>75</v>
      </c>
      <c r="B77" s="18">
        <f>'Raw Data'!N78</f>
        <v>24.1</v>
      </c>
      <c r="C77" s="18">
        <f>'Raw Data'!A78</f>
        <v>7.8960000000000002E-2</v>
      </c>
      <c r="D77" s="5">
        <f>VLOOKUP(B77,'Raw Data'!$N$4:$N$508,1,FALSE)</f>
        <v>24.1</v>
      </c>
      <c r="E77" s="5">
        <f>_xlfn.XLOOKUP(B77,'Raw Data'!$N$4:$N$509,'Raw Data'!$A$4:$A$509,"Not Found")</f>
        <v>7.8960000000000002E-2</v>
      </c>
      <c r="F77" s="5">
        <f>INDEX('Raw Data'!$A$4:$A$508,MATCH(MAX('Raw Data'!$N$4:$N$508),'Raw Data'!$N$4:$N$508,0))</f>
        <v>1.46336</v>
      </c>
      <c r="G77" s="5">
        <f>INDEX('Raw Data'!$F$4:$F$508,MATCH(MIN('Raw Data'!$N$4:$N$508),'Raw Data'!$N$4:$N$508,0))</f>
        <v>5.8520000000000003</v>
      </c>
    </row>
    <row r="78" spans="1:7" x14ac:dyDescent="0.25">
      <c r="A78">
        <v>76</v>
      </c>
      <c r="B78" s="18">
        <f>'Raw Data'!N79</f>
        <v>21.4</v>
      </c>
      <c r="C78" s="18">
        <f>'Raw Data'!A79</f>
        <v>9.5119999999999996E-2</v>
      </c>
      <c r="D78" s="5">
        <f>VLOOKUP(B78,'Raw Data'!$N$4:$N$508,1,FALSE)</f>
        <v>21.4</v>
      </c>
      <c r="E78" s="5">
        <f>_xlfn.XLOOKUP(B78,'Raw Data'!$N$4:$N$509,'Raw Data'!$A$4:$A$509,"Not Found")</f>
        <v>9.5119999999999996E-2</v>
      </c>
      <c r="F78" s="5">
        <f>INDEX('Raw Data'!$A$4:$A$508,MATCH(MAX('Raw Data'!$N$4:$N$508),'Raw Data'!$N$4:$N$508,0))</f>
        <v>1.46336</v>
      </c>
      <c r="G78" s="5">
        <f>INDEX('Raw Data'!$F$4:$F$508,MATCH(MIN('Raw Data'!$N$4:$N$508),'Raw Data'!$N$4:$N$508,0))</f>
        <v>5.8520000000000003</v>
      </c>
    </row>
    <row r="79" spans="1:7" x14ac:dyDescent="0.25">
      <c r="A79">
        <v>77</v>
      </c>
      <c r="B79" s="18">
        <f>'Raw Data'!N80</f>
        <v>20</v>
      </c>
      <c r="C79" s="18">
        <f>'Raw Data'!A80</f>
        <v>0.10153</v>
      </c>
      <c r="D79" s="5">
        <f>VLOOKUP(B79,'Raw Data'!$N$4:$N$508,1,FALSE)</f>
        <v>20</v>
      </c>
      <c r="E79" s="5">
        <f>_xlfn.XLOOKUP(B79,'Raw Data'!$N$4:$N$509,'Raw Data'!$A$4:$A$509,"Not Found")</f>
        <v>9.7439999999999999E-2</v>
      </c>
      <c r="F79" s="5">
        <f>INDEX('Raw Data'!$A$4:$A$508,MATCH(MAX('Raw Data'!$N$4:$N$508),'Raw Data'!$N$4:$N$508,0))</f>
        <v>1.46336</v>
      </c>
      <c r="G79" s="5">
        <f>INDEX('Raw Data'!$F$4:$F$508,MATCH(MIN('Raw Data'!$N$4:$N$508),'Raw Data'!$N$4:$N$508,0))</f>
        <v>5.8520000000000003</v>
      </c>
    </row>
    <row r="80" spans="1:7" x14ac:dyDescent="0.25">
      <c r="A80">
        <v>78</v>
      </c>
      <c r="B80" s="18">
        <f>'Raw Data'!N81</f>
        <v>20.8</v>
      </c>
      <c r="C80" s="18">
        <f>'Raw Data'!A81</f>
        <v>8.7069999999999995E-2</v>
      </c>
      <c r="D80" s="5">
        <f>VLOOKUP(B80,'Raw Data'!$N$4:$N$508,1,FALSE)</f>
        <v>20.8</v>
      </c>
      <c r="E80" s="5">
        <f>_xlfn.XLOOKUP(B80,'Raw Data'!$N$4:$N$509,'Raw Data'!$A$4:$A$509,"Not Found")</f>
        <v>8.7069999999999995E-2</v>
      </c>
      <c r="F80" s="5">
        <f>INDEX('Raw Data'!$A$4:$A$508,MATCH(MAX('Raw Data'!$N$4:$N$508),'Raw Data'!$N$4:$N$508,0))</f>
        <v>1.46336</v>
      </c>
      <c r="G80" s="5">
        <f>INDEX('Raw Data'!$F$4:$F$508,MATCH(MIN('Raw Data'!$N$4:$N$508),'Raw Data'!$N$4:$N$508,0))</f>
        <v>5.8520000000000003</v>
      </c>
    </row>
    <row r="81" spans="1:7" x14ac:dyDescent="0.25">
      <c r="A81">
        <v>79</v>
      </c>
      <c r="B81" s="18">
        <f>'Raw Data'!N82</f>
        <v>21.2</v>
      </c>
      <c r="C81" s="18">
        <f>'Raw Data'!A82</f>
        <v>5.6460000000000003E-2</v>
      </c>
      <c r="D81" s="5">
        <f>VLOOKUP(B81,'Raw Data'!$N$4:$N$508,1,FALSE)</f>
        <v>21.2</v>
      </c>
      <c r="E81" s="5">
        <f>_xlfn.XLOOKUP(B81,'Raw Data'!$N$4:$N$509,'Raw Data'!$A$4:$A$509,"Not Found")</f>
        <v>0.12268999999999999</v>
      </c>
      <c r="F81" s="5">
        <f>INDEX('Raw Data'!$A$4:$A$508,MATCH(MAX('Raw Data'!$N$4:$N$508),'Raw Data'!$N$4:$N$508,0))</f>
        <v>1.46336</v>
      </c>
      <c r="G81" s="5">
        <f>INDEX('Raw Data'!$F$4:$F$508,MATCH(MIN('Raw Data'!$N$4:$N$508),'Raw Data'!$N$4:$N$508,0))</f>
        <v>5.8520000000000003</v>
      </c>
    </row>
    <row r="82" spans="1:7" x14ac:dyDescent="0.25">
      <c r="A82">
        <v>80</v>
      </c>
      <c r="B82" s="18">
        <f>'Raw Data'!N83</f>
        <v>20.3</v>
      </c>
      <c r="C82" s="18">
        <f>'Raw Data'!A83</f>
        <v>8.387E-2</v>
      </c>
      <c r="D82" s="5">
        <f>VLOOKUP(B82,'Raw Data'!$N$4:$N$508,1,FALSE)</f>
        <v>20.3</v>
      </c>
      <c r="E82" s="5">
        <f>_xlfn.XLOOKUP(B82,'Raw Data'!$N$4:$N$509,'Raw Data'!$A$4:$A$509,"Not Found")</f>
        <v>8.387E-2</v>
      </c>
      <c r="F82" s="5">
        <f>INDEX('Raw Data'!$A$4:$A$508,MATCH(MAX('Raw Data'!$N$4:$N$508),'Raw Data'!$N$4:$N$508,0))</f>
        <v>1.46336</v>
      </c>
      <c r="G82" s="5">
        <f>INDEX('Raw Data'!$F$4:$F$508,MATCH(MIN('Raw Data'!$N$4:$N$508),'Raw Data'!$N$4:$N$508,0))</f>
        <v>5.8520000000000003</v>
      </c>
    </row>
    <row r="83" spans="1:7" x14ac:dyDescent="0.25">
      <c r="A83">
        <v>81</v>
      </c>
      <c r="B83" s="18">
        <f>'Raw Data'!N84</f>
        <v>28</v>
      </c>
      <c r="C83" s="18">
        <f>'Raw Data'!A84</f>
        <v>4.113E-2</v>
      </c>
      <c r="D83" s="5">
        <f>VLOOKUP(B83,'Raw Data'!$N$4:$N$508,1,FALSE)</f>
        <v>28</v>
      </c>
      <c r="E83" s="5">
        <f>_xlfn.XLOOKUP(B83,'Raw Data'!$N$4:$N$509,'Raw Data'!$A$4:$A$509,"Not Found")</f>
        <v>4.113E-2</v>
      </c>
      <c r="F83" s="5">
        <f>INDEX('Raw Data'!$A$4:$A$508,MATCH(MAX('Raw Data'!$N$4:$N$508),'Raw Data'!$N$4:$N$508,0))</f>
        <v>1.46336</v>
      </c>
      <c r="G83" s="5">
        <f>INDEX('Raw Data'!$F$4:$F$508,MATCH(MIN('Raw Data'!$N$4:$N$508),'Raw Data'!$N$4:$N$508,0))</f>
        <v>5.8520000000000003</v>
      </c>
    </row>
    <row r="84" spans="1:7" x14ac:dyDescent="0.25">
      <c r="A84">
        <v>82</v>
      </c>
      <c r="B84" s="18">
        <f>'Raw Data'!N85</f>
        <v>23.9</v>
      </c>
      <c r="C84" s="18">
        <f>'Raw Data'!A85</f>
        <v>4.462E-2</v>
      </c>
      <c r="D84" s="5">
        <f>VLOOKUP(B84,'Raw Data'!$N$4:$N$508,1,FALSE)</f>
        <v>23.9</v>
      </c>
      <c r="E84" s="5">
        <f>_xlfn.XLOOKUP(B84,'Raw Data'!$N$4:$N$509,'Raw Data'!$A$4:$A$509,"Not Found")</f>
        <v>4.462E-2</v>
      </c>
      <c r="F84" s="5">
        <f>INDEX('Raw Data'!$A$4:$A$508,MATCH(MAX('Raw Data'!$N$4:$N$508),'Raw Data'!$N$4:$N$508,0))</f>
        <v>1.46336</v>
      </c>
      <c r="G84" s="5">
        <f>INDEX('Raw Data'!$F$4:$F$508,MATCH(MIN('Raw Data'!$N$4:$N$508),'Raw Data'!$N$4:$N$508,0))</f>
        <v>5.8520000000000003</v>
      </c>
    </row>
    <row r="85" spans="1:7" x14ac:dyDescent="0.25">
      <c r="A85">
        <v>83</v>
      </c>
      <c r="B85" s="18">
        <f>'Raw Data'!N86</f>
        <v>24.8</v>
      </c>
      <c r="C85" s="18">
        <f>'Raw Data'!A86</f>
        <v>3.6589999999999998E-2</v>
      </c>
      <c r="D85" s="5">
        <f>VLOOKUP(B85,'Raw Data'!$N$4:$N$508,1,FALSE)</f>
        <v>24.8</v>
      </c>
      <c r="E85" s="5">
        <f>_xlfn.XLOOKUP(B85,'Raw Data'!$N$4:$N$509,'Raw Data'!$A$4:$A$509,"Not Found")</f>
        <v>3.6589999999999998E-2</v>
      </c>
      <c r="F85" s="5">
        <f>INDEX('Raw Data'!$A$4:$A$508,MATCH(MAX('Raw Data'!$N$4:$N$508),'Raw Data'!$N$4:$N$508,0))</f>
        <v>1.46336</v>
      </c>
      <c r="G85" s="5">
        <f>INDEX('Raw Data'!$F$4:$F$508,MATCH(MIN('Raw Data'!$N$4:$N$508),'Raw Data'!$N$4:$N$508,0))</f>
        <v>5.8520000000000003</v>
      </c>
    </row>
    <row r="86" spans="1:7" x14ac:dyDescent="0.25">
      <c r="A86">
        <v>84</v>
      </c>
      <c r="B86" s="18">
        <f>'Raw Data'!N87</f>
        <v>22.9</v>
      </c>
      <c r="C86" s="18">
        <f>'Raw Data'!A87</f>
        <v>3.551E-2</v>
      </c>
      <c r="D86" s="5">
        <f>VLOOKUP(B86,'Raw Data'!$N$4:$N$508,1,FALSE)</f>
        <v>22.9</v>
      </c>
      <c r="E86" s="5">
        <f>_xlfn.XLOOKUP(B86,'Raw Data'!$N$4:$N$509,'Raw Data'!$A$4:$A$509,"Not Found")</f>
        <v>8.8289999999999993E-2</v>
      </c>
      <c r="F86" s="5">
        <f>INDEX('Raw Data'!$A$4:$A$508,MATCH(MAX('Raw Data'!$N$4:$N$508),'Raw Data'!$N$4:$N$508,0))</f>
        <v>1.46336</v>
      </c>
      <c r="G86" s="5">
        <f>INDEX('Raw Data'!$F$4:$F$508,MATCH(MIN('Raw Data'!$N$4:$N$508),'Raw Data'!$N$4:$N$508,0))</f>
        <v>5.8520000000000003</v>
      </c>
    </row>
    <row r="87" spans="1:7" x14ac:dyDescent="0.25">
      <c r="A87">
        <v>85</v>
      </c>
      <c r="B87" s="18">
        <f>'Raw Data'!N88</f>
        <v>23.9</v>
      </c>
      <c r="C87" s="18">
        <f>'Raw Data'!A88</f>
        <v>5.0590000000000003E-2</v>
      </c>
      <c r="D87" s="5">
        <f>VLOOKUP(B87,'Raw Data'!$N$4:$N$508,1,FALSE)</f>
        <v>23.9</v>
      </c>
      <c r="E87" s="5">
        <f>_xlfn.XLOOKUP(B87,'Raw Data'!$N$4:$N$509,'Raw Data'!$A$4:$A$509,"Not Found")</f>
        <v>4.462E-2</v>
      </c>
      <c r="F87" s="5">
        <f>INDEX('Raw Data'!$A$4:$A$508,MATCH(MAX('Raw Data'!$N$4:$N$508),'Raw Data'!$N$4:$N$508,0))</f>
        <v>1.46336</v>
      </c>
      <c r="G87" s="5">
        <f>INDEX('Raw Data'!$F$4:$F$508,MATCH(MIN('Raw Data'!$N$4:$N$508),'Raw Data'!$N$4:$N$508,0))</f>
        <v>5.8520000000000003</v>
      </c>
    </row>
    <row r="88" spans="1:7" x14ac:dyDescent="0.25">
      <c r="A88">
        <v>86</v>
      </c>
      <c r="B88" s="18">
        <f>'Raw Data'!N89</f>
        <v>26.6</v>
      </c>
      <c r="C88" s="18">
        <f>'Raw Data'!A89</f>
        <v>5.7349999999999998E-2</v>
      </c>
      <c r="D88" s="5">
        <f>VLOOKUP(B88,'Raw Data'!$N$4:$N$508,1,FALSE)</f>
        <v>26.6</v>
      </c>
      <c r="E88" s="5">
        <f>_xlfn.XLOOKUP(B88,'Raw Data'!$N$4:$N$509,'Raw Data'!$A$4:$A$509,"Not Found")</f>
        <v>0.12744</v>
      </c>
      <c r="F88" s="5">
        <f>INDEX('Raw Data'!$A$4:$A$508,MATCH(MAX('Raw Data'!$N$4:$N$508),'Raw Data'!$N$4:$N$508,0))</f>
        <v>1.46336</v>
      </c>
      <c r="G88" s="5">
        <f>INDEX('Raw Data'!$F$4:$F$508,MATCH(MIN('Raw Data'!$N$4:$N$508),'Raw Data'!$N$4:$N$508,0))</f>
        <v>5.8520000000000003</v>
      </c>
    </row>
    <row r="89" spans="1:7" x14ac:dyDescent="0.25">
      <c r="A89">
        <v>87</v>
      </c>
      <c r="B89" s="18">
        <f>'Raw Data'!N90</f>
        <v>22.5</v>
      </c>
      <c r="C89" s="18">
        <f>'Raw Data'!A90</f>
        <v>5.1880000000000003E-2</v>
      </c>
      <c r="D89" s="5">
        <f>VLOOKUP(B89,'Raw Data'!$N$4:$N$508,1,FALSE)</f>
        <v>22.5</v>
      </c>
      <c r="E89" s="5">
        <f>_xlfn.XLOOKUP(B89,'Raw Data'!$N$4:$N$509,'Raw Data'!$A$4:$A$509,"Not Found")</f>
        <v>5.1880000000000003E-2</v>
      </c>
      <c r="F89" s="5">
        <f>INDEX('Raw Data'!$A$4:$A$508,MATCH(MAX('Raw Data'!$N$4:$N$508),'Raw Data'!$N$4:$N$508,0))</f>
        <v>1.46336</v>
      </c>
      <c r="G89" s="5">
        <f>INDEX('Raw Data'!$F$4:$F$508,MATCH(MIN('Raw Data'!$N$4:$N$508),'Raw Data'!$N$4:$N$508,0))</f>
        <v>5.8520000000000003</v>
      </c>
    </row>
    <row r="90" spans="1:7" x14ac:dyDescent="0.25">
      <c r="A90">
        <v>88</v>
      </c>
      <c r="B90" s="18">
        <f>'Raw Data'!N91</f>
        <v>22.2</v>
      </c>
      <c r="C90" s="18">
        <f>'Raw Data'!A91</f>
        <v>7.1510000000000004E-2</v>
      </c>
      <c r="D90" s="5">
        <f>VLOOKUP(B90,'Raw Data'!$N$4:$N$508,1,FALSE)</f>
        <v>22.2</v>
      </c>
      <c r="E90" s="5">
        <f>_xlfn.XLOOKUP(B90,'Raw Data'!$N$4:$N$509,'Raw Data'!$A$4:$A$509,"Not Found")</f>
        <v>0.11027000000000001</v>
      </c>
      <c r="F90" s="5">
        <f>INDEX('Raw Data'!$A$4:$A$508,MATCH(MAX('Raw Data'!$N$4:$N$508),'Raw Data'!$N$4:$N$508,0))</f>
        <v>1.46336</v>
      </c>
      <c r="G90" s="5">
        <f>INDEX('Raw Data'!$F$4:$F$508,MATCH(MIN('Raw Data'!$N$4:$N$508),'Raw Data'!$N$4:$N$508,0))</f>
        <v>5.8520000000000003</v>
      </c>
    </row>
    <row r="91" spans="1:7" x14ac:dyDescent="0.25">
      <c r="A91">
        <v>89</v>
      </c>
      <c r="B91" s="18">
        <f>'Raw Data'!N92</f>
        <v>23.6</v>
      </c>
      <c r="C91" s="18">
        <f>'Raw Data'!A92</f>
        <v>5.6599999999999998E-2</v>
      </c>
      <c r="D91" s="5">
        <f>VLOOKUP(B91,'Raw Data'!$N$4:$N$508,1,FALSE)</f>
        <v>23.6</v>
      </c>
      <c r="E91" s="5">
        <f>_xlfn.XLOOKUP(B91,'Raw Data'!$N$4:$N$509,'Raw Data'!$A$4:$A$509,"Not Found")</f>
        <v>5.6599999999999998E-2</v>
      </c>
      <c r="F91" s="5">
        <f>INDEX('Raw Data'!$A$4:$A$508,MATCH(MAX('Raw Data'!$N$4:$N$508),'Raw Data'!$N$4:$N$508,0))</f>
        <v>1.46336</v>
      </c>
      <c r="G91" s="5">
        <f>INDEX('Raw Data'!$F$4:$F$508,MATCH(MIN('Raw Data'!$N$4:$N$508),'Raw Data'!$N$4:$N$508,0))</f>
        <v>5.8520000000000003</v>
      </c>
    </row>
    <row r="92" spans="1:7" x14ac:dyDescent="0.25">
      <c r="A92">
        <v>90</v>
      </c>
      <c r="B92" s="18">
        <f>'Raw Data'!N93</f>
        <v>28.7</v>
      </c>
      <c r="C92" s="18">
        <f>'Raw Data'!A93</f>
        <v>5.3019999999999998E-2</v>
      </c>
      <c r="D92" s="5">
        <f>VLOOKUP(B92,'Raw Data'!$N$4:$N$508,1,FALSE)</f>
        <v>28.7</v>
      </c>
      <c r="E92" s="5">
        <f>_xlfn.XLOOKUP(B92,'Raw Data'!$N$4:$N$509,'Raw Data'!$A$4:$A$509,"Not Found")</f>
        <v>2.9850000000000002E-2</v>
      </c>
      <c r="F92" s="5">
        <f>INDEX('Raw Data'!$A$4:$A$508,MATCH(MAX('Raw Data'!$N$4:$N$508),'Raw Data'!$N$4:$N$508,0))</f>
        <v>1.46336</v>
      </c>
      <c r="G92" s="5">
        <f>INDEX('Raw Data'!$F$4:$F$508,MATCH(MIN('Raw Data'!$N$4:$N$508),'Raw Data'!$N$4:$N$508,0))</f>
        <v>5.8520000000000003</v>
      </c>
    </row>
    <row r="93" spans="1:7" x14ac:dyDescent="0.25">
      <c r="A93">
        <v>91</v>
      </c>
      <c r="B93" s="18">
        <f>'Raw Data'!N94</f>
        <v>22.6</v>
      </c>
      <c r="C93" s="18">
        <f>'Raw Data'!A94</f>
        <v>4.684E-2</v>
      </c>
      <c r="D93" s="5">
        <f>VLOOKUP(B93,'Raw Data'!$N$4:$N$508,1,FALSE)</f>
        <v>22.6</v>
      </c>
      <c r="E93" s="5">
        <f>_xlfn.XLOOKUP(B93,'Raw Data'!$N$4:$N$509,'Raw Data'!$A$4:$A$509,"Not Found")</f>
        <v>4.684E-2</v>
      </c>
      <c r="F93" s="5">
        <f>INDEX('Raw Data'!$A$4:$A$508,MATCH(MAX('Raw Data'!$N$4:$N$508),'Raw Data'!$N$4:$N$508,0))</f>
        <v>1.46336</v>
      </c>
      <c r="G93" s="5">
        <f>INDEX('Raw Data'!$F$4:$F$508,MATCH(MIN('Raw Data'!$N$4:$N$508),'Raw Data'!$N$4:$N$508,0))</f>
        <v>5.8520000000000003</v>
      </c>
    </row>
    <row r="94" spans="1:7" x14ac:dyDescent="0.25">
      <c r="A94">
        <v>92</v>
      </c>
      <c r="B94" s="18">
        <f>'Raw Data'!N95</f>
        <v>22</v>
      </c>
      <c r="C94" s="18">
        <f>'Raw Data'!A95</f>
        <v>3.9320000000000001E-2</v>
      </c>
      <c r="D94" s="5">
        <f>VLOOKUP(B94,'Raw Data'!$N$4:$N$508,1,FALSE)</f>
        <v>22</v>
      </c>
      <c r="E94" s="5">
        <f>_xlfn.XLOOKUP(B94,'Raw Data'!$N$4:$N$509,'Raw Data'!$A$4:$A$509,"Not Found")</f>
        <v>5.7889999999999997E-2</v>
      </c>
      <c r="F94" s="5">
        <f>INDEX('Raw Data'!$A$4:$A$508,MATCH(MAX('Raw Data'!$N$4:$N$508),'Raw Data'!$N$4:$N$508,0))</f>
        <v>1.46336</v>
      </c>
      <c r="G94" s="5">
        <f>INDEX('Raw Data'!$F$4:$F$508,MATCH(MIN('Raw Data'!$N$4:$N$508),'Raw Data'!$N$4:$N$508,0))</f>
        <v>5.8520000000000003</v>
      </c>
    </row>
    <row r="95" spans="1:7" x14ac:dyDescent="0.25">
      <c r="A95">
        <v>93</v>
      </c>
      <c r="B95" s="18">
        <f>'Raw Data'!N96</f>
        <v>22.9</v>
      </c>
      <c r="C95" s="18">
        <f>'Raw Data'!A96</f>
        <v>4.2029999999999998E-2</v>
      </c>
      <c r="D95" s="5">
        <f>VLOOKUP(B95,'Raw Data'!$N$4:$N$508,1,FALSE)</f>
        <v>22.9</v>
      </c>
      <c r="E95" s="5">
        <f>_xlfn.XLOOKUP(B95,'Raw Data'!$N$4:$N$509,'Raw Data'!$A$4:$A$509,"Not Found")</f>
        <v>8.8289999999999993E-2</v>
      </c>
      <c r="F95" s="5">
        <f>INDEX('Raw Data'!$A$4:$A$508,MATCH(MAX('Raw Data'!$N$4:$N$508),'Raw Data'!$N$4:$N$508,0))</f>
        <v>1.46336</v>
      </c>
      <c r="G95" s="5">
        <f>INDEX('Raw Data'!$F$4:$F$508,MATCH(MIN('Raw Data'!$N$4:$N$508),'Raw Data'!$N$4:$N$508,0))</f>
        <v>5.8520000000000003</v>
      </c>
    </row>
    <row r="96" spans="1:7" x14ac:dyDescent="0.25">
      <c r="A96">
        <v>94</v>
      </c>
      <c r="B96" s="18">
        <f>'Raw Data'!N97</f>
        <v>25</v>
      </c>
      <c r="C96" s="18">
        <f>'Raw Data'!A97</f>
        <v>2.8750000000000001E-2</v>
      </c>
      <c r="D96" s="5">
        <f>VLOOKUP(B96,'Raw Data'!$N$4:$N$508,1,FALSE)</f>
        <v>25</v>
      </c>
      <c r="E96" s="5">
        <f>_xlfn.XLOOKUP(B96,'Raw Data'!$N$4:$N$509,'Raw Data'!$A$4:$A$509,"Not Found")</f>
        <v>5.3600000000000002E-2</v>
      </c>
      <c r="F96" s="5">
        <f>INDEX('Raw Data'!$A$4:$A$508,MATCH(MAX('Raw Data'!$N$4:$N$508),'Raw Data'!$N$4:$N$508,0))</f>
        <v>1.46336</v>
      </c>
      <c r="G96" s="5">
        <f>INDEX('Raw Data'!$F$4:$F$508,MATCH(MIN('Raw Data'!$N$4:$N$508),'Raw Data'!$N$4:$N$508,0))</f>
        <v>5.8520000000000003</v>
      </c>
    </row>
    <row r="97" spans="1:7" x14ac:dyDescent="0.25">
      <c r="A97">
        <v>95</v>
      </c>
      <c r="B97" s="18">
        <f>'Raw Data'!N98</f>
        <v>20.6</v>
      </c>
      <c r="C97" s="18">
        <f>'Raw Data'!A98</f>
        <v>4.2939999999999999E-2</v>
      </c>
      <c r="D97" s="5">
        <f>VLOOKUP(B97,'Raw Data'!$N$4:$N$508,1,FALSE)</f>
        <v>20.6</v>
      </c>
      <c r="E97" s="5">
        <f>_xlfn.XLOOKUP(B97,'Raw Data'!$N$4:$N$509,'Raw Data'!$A$4:$A$509,"Not Found")</f>
        <v>4.2939999999999999E-2</v>
      </c>
      <c r="F97" s="5">
        <f>INDEX('Raw Data'!$A$4:$A$508,MATCH(MAX('Raw Data'!$N$4:$N$508),'Raw Data'!$N$4:$N$508,0))</f>
        <v>1.46336</v>
      </c>
      <c r="G97" s="5">
        <f>INDEX('Raw Data'!$F$4:$F$508,MATCH(MIN('Raw Data'!$N$4:$N$508),'Raw Data'!$N$4:$N$508,0))</f>
        <v>5.8520000000000003</v>
      </c>
    </row>
    <row r="98" spans="1:7" x14ac:dyDescent="0.25">
      <c r="A98">
        <v>96</v>
      </c>
      <c r="B98" s="18">
        <f>'Raw Data'!N99</f>
        <v>28.4</v>
      </c>
      <c r="C98" s="18">
        <f>'Raw Data'!A99</f>
        <v>0.12204</v>
      </c>
      <c r="D98" s="5">
        <f>VLOOKUP(B98,'Raw Data'!$N$4:$N$508,1,FALSE)</f>
        <v>28.4</v>
      </c>
      <c r="E98" s="5">
        <f>_xlfn.XLOOKUP(B98,'Raw Data'!$N$4:$N$509,'Raw Data'!$A$4:$A$509,"Not Found")</f>
        <v>0.12204</v>
      </c>
      <c r="F98" s="5">
        <f>INDEX('Raw Data'!$A$4:$A$508,MATCH(MAX('Raw Data'!$N$4:$N$508),'Raw Data'!$N$4:$N$508,0))</f>
        <v>1.46336</v>
      </c>
      <c r="G98" s="5">
        <f>INDEX('Raw Data'!$F$4:$F$508,MATCH(MIN('Raw Data'!$N$4:$N$508),'Raw Data'!$N$4:$N$508,0))</f>
        <v>5.8520000000000003</v>
      </c>
    </row>
    <row r="99" spans="1:7" x14ac:dyDescent="0.25">
      <c r="A99">
        <v>97</v>
      </c>
      <c r="B99" s="18">
        <f>'Raw Data'!N100</f>
        <v>21.4</v>
      </c>
      <c r="C99" s="18">
        <f>'Raw Data'!A100</f>
        <v>0.11504</v>
      </c>
      <c r="D99" s="5">
        <f>VLOOKUP(B99,'Raw Data'!$N$4:$N$508,1,FALSE)</f>
        <v>21.4</v>
      </c>
      <c r="E99" s="5">
        <f>_xlfn.XLOOKUP(B99,'Raw Data'!$N$4:$N$509,'Raw Data'!$A$4:$A$509,"Not Found")</f>
        <v>9.5119999999999996E-2</v>
      </c>
      <c r="F99" s="5">
        <f>INDEX('Raw Data'!$A$4:$A$508,MATCH(MAX('Raw Data'!$N$4:$N$508),'Raw Data'!$N$4:$N$508,0))</f>
        <v>1.46336</v>
      </c>
      <c r="G99" s="5">
        <f>INDEX('Raw Data'!$F$4:$F$508,MATCH(MIN('Raw Data'!$N$4:$N$508),'Raw Data'!$N$4:$N$508,0))</f>
        <v>5.8520000000000003</v>
      </c>
    </row>
    <row r="100" spans="1:7" x14ac:dyDescent="0.25">
      <c r="A100">
        <v>98</v>
      </c>
      <c r="B100" s="18">
        <f>'Raw Data'!N101</f>
        <v>38.700000000000003</v>
      </c>
      <c r="C100" s="18">
        <f>'Raw Data'!A101</f>
        <v>0.12083000000000001</v>
      </c>
      <c r="D100" s="5">
        <f>VLOOKUP(B100,'Raw Data'!$N$4:$N$508,1,FALSE)</f>
        <v>38.700000000000003</v>
      </c>
      <c r="E100" s="5">
        <f>_xlfn.XLOOKUP(B100,'Raw Data'!$N$4:$N$509,'Raw Data'!$A$4:$A$509,"Not Found")</f>
        <v>0.12083000000000001</v>
      </c>
      <c r="F100" s="5">
        <f>INDEX('Raw Data'!$A$4:$A$508,MATCH(MAX('Raw Data'!$N$4:$N$508),'Raw Data'!$N$4:$N$508,0))</f>
        <v>1.46336</v>
      </c>
      <c r="G100" s="5">
        <f>INDEX('Raw Data'!$F$4:$F$508,MATCH(MIN('Raw Data'!$N$4:$N$508),'Raw Data'!$N$4:$N$508,0))</f>
        <v>5.8520000000000003</v>
      </c>
    </row>
    <row r="101" spans="1:7" x14ac:dyDescent="0.25">
      <c r="A101">
        <v>99</v>
      </c>
      <c r="B101" s="18">
        <f>'Raw Data'!N102</f>
        <v>43.8</v>
      </c>
      <c r="C101" s="18">
        <f>'Raw Data'!A102</f>
        <v>8.1869999999999998E-2</v>
      </c>
      <c r="D101" s="5">
        <f>VLOOKUP(B101,'Raw Data'!$N$4:$N$508,1,FALSE)</f>
        <v>43.8</v>
      </c>
      <c r="E101" s="5">
        <f>_xlfn.XLOOKUP(B101,'Raw Data'!$N$4:$N$509,'Raw Data'!$A$4:$A$509,"Not Found")</f>
        <v>8.1869999999999998E-2</v>
      </c>
      <c r="F101" s="5">
        <f>INDEX('Raw Data'!$A$4:$A$508,MATCH(MAX('Raw Data'!$N$4:$N$508),'Raw Data'!$N$4:$N$508,0))</f>
        <v>1.46336</v>
      </c>
      <c r="G101" s="5">
        <f>INDEX('Raw Data'!$F$4:$F$508,MATCH(MIN('Raw Data'!$N$4:$N$508),'Raw Data'!$N$4:$N$508,0))</f>
        <v>5.8520000000000003</v>
      </c>
    </row>
    <row r="102" spans="1:7" x14ac:dyDescent="0.25">
      <c r="A102">
        <v>100</v>
      </c>
      <c r="B102" s="18">
        <f>'Raw Data'!N103</f>
        <v>33.200000000000003</v>
      </c>
      <c r="C102" s="18">
        <f>'Raw Data'!A103</f>
        <v>6.8599999999999994E-2</v>
      </c>
      <c r="D102" s="5">
        <f>VLOOKUP(B102,'Raw Data'!$N$4:$N$508,1,FALSE)</f>
        <v>33.200000000000003</v>
      </c>
      <c r="E102" s="5">
        <f>_xlfn.XLOOKUP(B102,'Raw Data'!$N$4:$N$509,'Raw Data'!$A$4:$A$509,"Not Found")</f>
        <v>6.8599999999999994E-2</v>
      </c>
      <c r="F102" s="5">
        <f>INDEX('Raw Data'!$A$4:$A$508,MATCH(MAX('Raw Data'!$N$4:$N$508),'Raw Data'!$N$4:$N$508,0))</f>
        <v>1.46336</v>
      </c>
      <c r="G102" s="5">
        <f>INDEX('Raw Data'!$F$4:$F$508,MATCH(MIN('Raw Data'!$N$4:$N$508),'Raw Data'!$N$4:$N$508,0))</f>
        <v>5.8520000000000003</v>
      </c>
    </row>
    <row r="103" spans="1:7" x14ac:dyDescent="0.25">
      <c r="A103">
        <v>101</v>
      </c>
      <c r="B103" s="18">
        <f>'Raw Data'!N104</f>
        <v>27.5</v>
      </c>
      <c r="C103" s="18">
        <f>'Raw Data'!A104</f>
        <v>0.14865999999999999</v>
      </c>
      <c r="D103" s="5">
        <f>VLOOKUP(B103,'Raw Data'!$N$4:$N$508,1,FALSE)</f>
        <v>27.5</v>
      </c>
      <c r="E103" s="5">
        <f>_xlfn.XLOOKUP(B103,'Raw Data'!$N$4:$N$509,'Raw Data'!$A$4:$A$509,"Not Found")</f>
        <v>0.14865999999999999</v>
      </c>
      <c r="F103" s="5">
        <f>INDEX('Raw Data'!$A$4:$A$508,MATCH(MAX('Raw Data'!$N$4:$N$508),'Raw Data'!$N$4:$N$508,0))</f>
        <v>1.46336</v>
      </c>
      <c r="G103" s="5">
        <f>INDEX('Raw Data'!$F$4:$F$508,MATCH(MIN('Raw Data'!$N$4:$N$508),'Raw Data'!$N$4:$N$508,0))</f>
        <v>5.8520000000000003</v>
      </c>
    </row>
    <row r="104" spans="1:7" x14ac:dyDescent="0.25">
      <c r="A104">
        <v>102</v>
      </c>
      <c r="B104" s="18">
        <f>'Raw Data'!N105</f>
        <v>26.5</v>
      </c>
      <c r="C104" s="18">
        <f>'Raw Data'!A105</f>
        <v>0.11432</v>
      </c>
      <c r="D104" s="5">
        <f>VLOOKUP(B104,'Raw Data'!$N$4:$N$508,1,FALSE)</f>
        <v>26.5</v>
      </c>
      <c r="E104" s="5">
        <f>_xlfn.XLOOKUP(B104,'Raw Data'!$N$4:$N$509,'Raw Data'!$A$4:$A$509,"Not Found")</f>
        <v>0.11432</v>
      </c>
      <c r="F104" s="5">
        <f>INDEX('Raw Data'!$A$4:$A$508,MATCH(MAX('Raw Data'!$N$4:$N$508),'Raw Data'!$N$4:$N$508,0))</f>
        <v>1.46336</v>
      </c>
      <c r="G104" s="5">
        <f>INDEX('Raw Data'!$F$4:$F$508,MATCH(MIN('Raw Data'!$N$4:$N$508),'Raw Data'!$N$4:$N$508,0))</f>
        <v>5.8520000000000003</v>
      </c>
    </row>
    <row r="105" spans="1:7" x14ac:dyDescent="0.25">
      <c r="A105">
        <v>103</v>
      </c>
      <c r="B105" s="18">
        <f>'Raw Data'!N106</f>
        <v>18.600000000000001</v>
      </c>
      <c r="C105" s="18">
        <f>'Raw Data'!A106</f>
        <v>0.22875999999999999</v>
      </c>
      <c r="D105" s="5">
        <f>VLOOKUP(B105,'Raw Data'!$N$4:$N$508,1,FALSE)</f>
        <v>18.600000000000001</v>
      </c>
      <c r="E105" s="5">
        <f>_xlfn.XLOOKUP(B105,'Raw Data'!$N$4:$N$509,'Raw Data'!$A$4:$A$509,"Not Found")</f>
        <v>0.22875999999999999</v>
      </c>
      <c r="F105" s="5">
        <f>INDEX('Raw Data'!$A$4:$A$508,MATCH(MAX('Raw Data'!$N$4:$N$508),'Raw Data'!$N$4:$N$508,0))</f>
        <v>1.46336</v>
      </c>
      <c r="G105" s="5">
        <f>INDEX('Raw Data'!$F$4:$F$508,MATCH(MIN('Raw Data'!$N$4:$N$508),'Raw Data'!$N$4:$N$508,0))</f>
        <v>5.8520000000000003</v>
      </c>
    </row>
    <row r="106" spans="1:7" x14ac:dyDescent="0.25">
      <c r="A106">
        <v>104</v>
      </c>
      <c r="B106" s="18">
        <f>'Raw Data'!N107</f>
        <v>19.3</v>
      </c>
      <c r="C106" s="18">
        <f>'Raw Data'!A107</f>
        <v>0.21160999999999999</v>
      </c>
      <c r="D106" s="5">
        <f>VLOOKUP(B106,'Raw Data'!$N$4:$N$508,1,FALSE)</f>
        <v>19.3</v>
      </c>
      <c r="E106" s="5">
        <f>_xlfn.XLOOKUP(B106,'Raw Data'!$N$4:$N$509,'Raw Data'!$A$4:$A$509,"Not Found")</f>
        <v>0.17141999999999999</v>
      </c>
      <c r="F106" s="5">
        <f>INDEX('Raw Data'!$A$4:$A$508,MATCH(MAX('Raw Data'!$N$4:$N$508),'Raw Data'!$N$4:$N$508,0))</f>
        <v>1.46336</v>
      </c>
      <c r="G106" s="5">
        <f>INDEX('Raw Data'!$F$4:$F$508,MATCH(MIN('Raw Data'!$N$4:$N$508),'Raw Data'!$N$4:$N$508,0))</f>
        <v>5.8520000000000003</v>
      </c>
    </row>
    <row r="107" spans="1:7" x14ac:dyDescent="0.25">
      <c r="A107">
        <v>105</v>
      </c>
      <c r="B107" s="18">
        <f>'Raw Data'!N108</f>
        <v>20.100000000000001</v>
      </c>
      <c r="C107" s="18">
        <f>'Raw Data'!A108</f>
        <v>0.1396</v>
      </c>
      <c r="D107" s="5">
        <f>VLOOKUP(B107,'Raw Data'!$N$4:$N$508,1,FALSE)</f>
        <v>20.100000000000001</v>
      </c>
      <c r="E107" s="5">
        <f>_xlfn.XLOOKUP(B107,'Raw Data'!$N$4:$N$509,'Raw Data'!$A$4:$A$509,"Not Found")</f>
        <v>0.1396</v>
      </c>
      <c r="F107" s="5">
        <f>INDEX('Raw Data'!$A$4:$A$508,MATCH(MAX('Raw Data'!$N$4:$N$508),'Raw Data'!$N$4:$N$508,0))</f>
        <v>1.46336</v>
      </c>
      <c r="G107" s="5">
        <f>INDEX('Raw Data'!$F$4:$F$508,MATCH(MIN('Raw Data'!$N$4:$N$508),'Raw Data'!$N$4:$N$508,0))</f>
        <v>5.8520000000000003</v>
      </c>
    </row>
    <row r="108" spans="1:7" x14ac:dyDescent="0.25">
      <c r="A108">
        <v>106</v>
      </c>
      <c r="B108" s="18">
        <f>'Raw Data'!N109</f>
        <v>19.5</v>
      </c>
      <c r="C108" s="18">
        <f>'Raw Data'!A109</f>
        <v>0.13261999999999999</v>
      </c>
      <c r="D108" s="5">
        <f>VLOOKUP(B108,'Raw Data'!$N$4:$N$508,1,FALSE)</f>
        <v>19.5</v>
      </c>
      <c r="E108" s="5">
        <f>_xlfn.XLOOKUP(B108,'Raw Data'!$N$4:$N$509,'Raw Data'!$A$4:$A$509,"Not Found")</f>
        <v>0.13261999999999999</v>
      </c>
      <c r="F108" s="5">
        <f>INDEX('Raw Data'!$A$4:$A$508,MATCH(MAX('Raw Data'!$N$4:$N$508),'Raw Data'!$N$4:$N$508,0))</f>
        <v>1.46336</v>
      </c>
      <c r="G108" s="5">
        <f>INDEX('Raw Data'!$F$4:$F$508,MATCH(MIN('Raw Data'!$N$4:$N$508),'Raw Data'!$N$4:$N$508,0))</f>
        <v>5.8520000000000003</v>
      </c>
    </row>
    <row r="109" spans="1:7" x14ac:dyDescent="0.25">
      <c r="A109">
        <v>107</v>
      </c>
      <c r="B109" s="18">
        <f>'Raw Data'!N110</f>
        <v>19.5</v>
      </c>
      <c r="C109" s="18">
        <f>'Raw Data'!A110</f>
        <v>0.17119999999999999</v>
      </c>
      <c r="D109" s="5">
        <f>VLOOKUP(B109,'Raw Data'!$N$4:$N$508,1,FALSE)</f>
        <v>19.5</v>
      </c>
      <c r="E109" s="5">
        <f>_xlfn.XLOOKUP(B109,'Raw Data'!$N$4:$N$509,'Raw Data'!$A$4:$A$509,"Not Found")</f>
        <v>0.13261999999999999</v>
      </c>
      <c r="F109" s="5">
        <f>INDEX('Raw Data'!$A$4:$A$508,MATCH(MAX('Raw Data'!$N$4:$N$508),'Raw Data'!$N$4:$N$508,0))</f>
        <v>1.46336</v>
      </c>
      <c r="G109" s="5">
        <f>INDEX('Raw Data'!$F$4:$F$508,MATCH(MIN('Raw Data'!$N$4:$N$508),'Raw Data'!$N$4:$N$508,0))</f>
        <v>5.8520000000000003</v>
      </c>
    </row>
    <row r="110" spans="1:7" x14ac:dyDescent="0.25">
      <c r="A110">
        <v>108</v>
      </c>
      <c r="B110" s="18">
        <f>'Raw Data'!N111</f>
        <v>20.399999999999999</v>
      </c>
      <c r="C110" s="18">
        <f>'Raw Data'!A111</f>
        <v>0.13117000000000001</v>
      </c>
      <c r="D110" s="5">
        <f>VLOOKUP(B110,'Raw Data'!$N$4:$N$508,1,FALSE)</f>
        <v>20.399999999999999</v>
      </c>
      <c r="E110" s="5">
        <f>_xlfn.XLOOKUP(B110,'Raw Data'!$N$4:$N$509,'Raw Data'!$A$4:$A$509,"Not Found")</f>
        <v>0.62975999999999999</v>
      </c>
      <c r="F110" s="5">
        <f>INDEX('Raw Data'!$A$4:$A$508,MATCH(MAX('Raw Data'!$N$4:$N$508),'Raw Data'!$N$4:$N$508,0))</f>
        <v>1.46336</v>
      </c>
      <c r="G110" s="5">
        <f>INDEX('Raw Data'!$F$4:$F$508,MATCH(MIN('Raw Data'!$N$4:$N$508),'Raw Data'!$N$4:$N$508,0))</f>
        <v>5.8520000000000003</v>
      </c>
    </row>
    <row r="111" spans="1:7" x14ac:dyDescent="0.25">
      <c r="A111">
        <v>109</v>
      </c>
      <c r="B111" s="18">
        <f>'Raw Data'!N112</f>
        <v>19.8</v>
      </c>
      <c r="C111" s="18">
        <f>'Raw Data'!A112</f>
        <v>0.12801999999999999</v>
      </c>
      <c r="D111" s="5">
        <f>VLOOKUP(B111,'Raw Data'!$N$4:$N$508,1,FALSE)</f>
        <v>19.8</v>
      </c>
      <c r="E111" s="5">
        <f>_xlfn.XLOOKUP(B111,'Raw Data'!$N$4:$N$509,'Raw Data'!$A$4:$A$509,"Not Found")</f>
        <v>0.12801999999999999</v>
      </c>
      <c r="F111" s="5">
        <f>INDEX('Raw Data'!$A$4:$A$508,MATCH(MAX('Raw Data'!$N$4:$N$508),'Raw Data'!$N$4:$N$508,0))</f>
        <v>1.46336</v>
      </c>
      <c r="G111" s="5">
        <f>INDEX('Raw Data'!$F$4:$F$508,MATCH(MIN('Raw Data'!$N$4:$N$508),'Raw Data'!$N$4:$N$508,0))</f>
        <v>5.8520000000000003</v>
      </c>
    </row>
    <row r="112" spans="1:7" x14ac:dyDescent="0.25">
      <c r="A112">
        <v>110</v>
      </c>
      <c r="B112" s="18">
        <f>'Raw Data'!N113</f>
        <v>19.399999999999999</v>
      </c>
      <c r="C112" s="18">
        <f>'Raw Data'!A113</f>
        <v>0.26362999999999998</v>
      </c>
      <c r="D112" s="5">
        <f>VLOOKUP(B112,'Raw Data'!$N$4:$N$508,1,FALSE)</f>
        <v>19.399999999999999</v>
      </c>
      <c r="E112" s="5">
        <f>_xlfn.XLOOKUP(B112,'Raw Data'!$N$4:$N$509,'Raw Data'!$A$4:$A$509,"Not Found")</f>
        <v>0.21976999999999999</v>
      </c>
      <c r="F112" s="5">
        <f>INDEX('Raw Data'!$A$4:$A$508,MATCH(MAX('Raw Data'!$N$4:$N$508),'Raw Data'!$N$4:$N$508,0))</f>
        <v>1.46336</v>
      </c>
      <c r="G112" s="5">
        <f>INDEX('Raw Data'!$F$4:$F$508,MATCH(MIN('Raw Data'!$N$4:$N$508),'Raw Data'!$N$4:$N$508,0))</f>
        <v>5.8520000000000003</v>
      </c>
    </row>
    <row r="113" spans="1:7" x14ac:dyDescent="0.25">
      <c r="A113">
        <v>111</v>
      </c>
      <c r="B113" s="18">
        <f>'Raw Data'!N114</f>
        <v>21.7</v>
      </c>
      <c r="C113" s="18">
        <f>'Raw Data'!A114</f>
        <v>0.10793</v>
      </c>
      <c r="D113" s="5">
        <f>VLOOKUP(B113,'Raw Data'!$N$4:$N$508,1,FALSE)</f>
        <v>21.7</v>
      </c>
      <c r="E113" s="5">
        <f>_xlfn.XLOOKUP(B113,'Raw Data'!$N$4:$N$509,'Raw Data'!$A$4:$A$509,"Not Found")</f>
        <v>9.3780000000000002E-2</v>
      </c>
      <c r="F113" s="5">
        <f>INDEX('Raw Data'!$A$4:$A$508,MATCH(MAX('Raw Data'!$N$4:$N$508),'Raw Data'!$N$4:$N$508,0))</f>
        <v>1.46336</v>
      </c>
      <c r="G113" s="5">
        <f>INDEX('Raw Data'!$F$4:$F$508,MATCH(MIN('Raw Data'!$N$4:$N$508),'Raw Data'!$N$4:$N$508,0))</f>
        <v>5.8520000000000003</v>
      </c>
    </row>
    <row r="114" spans="1:7" x14ac:dyDescent="0.25">
      <c r="A114">
        <v>112</v>
      </c>
      <c r="B114" s="18">
        <f>'Raw Data'!N115</f>
        <v>22.8</v>
      </c>
      <c r="C114" s="18">
        <f>'Raw Data'!A115</f>
        <v>0.10084</v>
      </c>
      <c r="D114" s="5">
        <f>VLOOKUP(B114,'Raw Data'!$N$4:$N$508,1,FALSE)</f>
        <v>22.8</v>
      </c>
      <c r="E114" s="5">
        <f>_xlfn.XLOOKUP(B114,'Raw Data'!$N$4:$N$509,'Raw Data'!$A$4:$A$509,"Not Found")</f>
        <v>9.1639999999999999E-2</v>
      </c>
      <c r="F114" s="5">
        <f>INDEX('Raw Data'!$A$4:$A$508,MATCH(MAX('Raw Data'!$N$4:$N$508),'Raw Data'!$N$4:$N$508,0))</f>
        <v>1.46336</v>
      </c>
      <c r="G114" s="5">
        <f>INDEX('Raw Data'!$F$4:$F$508,MATCH(MIN('Raw Data'!$N$4:$N$508),'Raw Data'!$N$4:$N$508,0))</f>
        <v>5.8520000000000003</v>
      </c>
    </row>
    <row r="115" spans="1:7" x14ac:dyDescent="0.25">
      <c r="A115">
        <v>113</v>
      </c>
      <c r="B115" s="18">
        <f>'Raw Data'!N116</f>
        <v>18.8</v>
      </c>
      <c r="C115" s="18">
        <f>'Raw Data'!A116</f>
        <v>0.12329</v>
      </c>
      <c r="D115" s="5">
        <f>VLOOKUP(B115,'Raw Data'!$N$4:$N$508,1,FALSE)</f>
        <v>18.8</v>
      </c>
      <c r="E115" s="5">
        <f>_xlfn.XLOOKUP(B115,'Raw Data'!$N$4:$N$509,'Raw Data'!$A$4:$A$509,"Not Found")</f>
        <v>0.12329</v>
      </c>
      <c r="F115" s="5">
        <f>INDEX('Raw Data'!$A$4:$A$508,MATCH(MAX('Raw Data'!$N$4:$N$508),'Raw Data'!$N$4:$N$508,0))</f>
        <v>1.46336</v>
      </c>
      <c r="G115" s="5">
        <f>INDEX('Raw Data'!$F$4:$F$508,MATCH(MIN('Raw Data'!$N$4:$N$508),'Raw Data'!$N$4:$N$508,0))</f>
        <v>5.8520000000000003</v>
      </c>
    </row>
    <row r="116" spans="1:7" x14ac:dyDescent="0.25">
      <c r="A116">
        <v>114</v>
      </c>
      <c r="B116" s="18">
        <f>'Raw Data'!N117</f>
        <v>18.7</v>
      </c>
      <c r="C116" s="18">
        <f>'Raw Data'!A117</f>
        <v>0.22212000000000001</v>
      </c>
      <c r="D116" s="5">
        <f>VLOOKUP(B116,'Raw Data'!$N$4:$N$508,1,FALSE)</f>
        <v>18.7</v>
      </c>
      <c r="E116" s="5">
        <f>_xlfn.XLOOKUP(B116,'Raw Data'!$N$4:$N$509,'Raw Data'!$A$4:$A$509,"Not Found")</f>
        <v>0.14932000000000001</v>
      </c>
      <c r="F116" s="5">
        <f>INDEX('Raw Data'!$A$4:$A$508,MATCH(MAX('Raw Data'!$N$4:$N$508),'Raw Data'!$N$4:$N$508,0))</f>
        <v>1.46336</v>
      </c>
      <c r="G116" s="5">
        <f>INDEX('Raw Data'!$F$4:$F$508,MATCH(MIN('Raw Data'!$N$4:$N$508),'Raw Data'!$N$4:$N$508,0))</f>
        <v>5.8520000000000003</v>
      </c>
    </row>
    <row r="117" spans="1:7" x14ac:dyDescent="0.25">
      <c r="A117">
        <v>115</v>
      </c>
      <c r="B117" s="18">
        <f>'Raw Data'!N118</f>
        <v>18.5</v>
      </c>
      <c r="C117" s="18">
        <f>'Raw Data'!A118</f>
        <v>0.14230999999999999</v>
      </c>
      <c r="D117" s="5">
        <f>VLOOKUP(B117,'Raw Data'!$N$4:$N$508,1,FALSE)</f>
        <v>18.5</v>
      </c>
      <c r="E117" s="5">
        <f>_xlfn.XLOOKUP(B117,'Raw Data'!$N$4:$N$509,'Raw Data'!$A$4:$A$509,"Not Found")</f>
        <v>0.14230999999999999</v>
      </c>
      <c r="F117" s="5">
        <f>INDEX('Raw Data'!$A$4:$A$508,MATCH(MAX('Raw Data'!$N$4:$N$508),'Raw Data'!$N$4:$N$508,0))</f>
        <v>1.46336</v>
      </c>
      <c r="G117" s="5">
        <f>INDEX('Raw Data'!$F$4:$F$508,MATCH(MIN('Raw Data'!$N$4:$N$508),'Raw Data'!$N$4:$N$508,0))</f>
        <v>5.8520000000000003</v>
      </c>
    </row>
    <row r="118" spans="1:7" x14ac:dyDescent="0.25">
      <c r="A118">
        <v>116</v>
      </c>
      <c r="B118" s="18">
        <f>'Raw Data'!N119</f>
        <v>18.3</v>
      </c>
      <c r="C118" s="18">
        <f>'Raw Data'!A119</f>
        <v>0.17133999999999999</v>
      </c>
      <c r="D118" s="5">
        <f>VLOOKUP(B118,'Raw Data'!$N$4:$N$508,1,FALSE)</f>
        <v>18.3</v>
      </c>
      <c r="E118" s="5">
        <f>_xlfn.XLOOKUP(B118,'Raw Data'!$N$4:$N$509,'Raw Data'!$A$4:$A$509,"Not Found")</f>
        <v>0.17133999999999999</v>
      </c>
      <c r="F118" s="5">
        <f>INDEX('Raw Data'!$A$4:$A$508,MATCH(MAX('Raw Data'!$N$4:$N$508),'Raw Data'!$N$4:$N$508,0))</f>
        <v>1.46336</v>
      </c>
      <c r="G118" s="5">
        <f>INDEX('Raw Data'!$F$4:$F$508,MATCH(MIN('Raw Data'!$N$4:$N$508),'Raw Data'!$N$4:$N$508,0))</f>
        <v>5.8520000000000003</v>
      </c>
    </row>
    <row r="119" spans="1:7" x14ac:dyDescent="0.25">
      <c r="A119">
        <v>117</v>
      </c>
      <c r="B119" s="18">
        <f>'Raw Data'!N120</f>
        <v>21.2</v>
      </c>
      <c r="C119" s="18">
        <f>'Raw Data'!A120</f>
        <v>0.13158</v>
      </c>
      <c r="D119" s="5">
        <f>VLOOKUP(B119,'Raw Data'!$N$4:$N$508,1,FALSE)</f>
        <v>21.2</v>
      </c>
      <c r="E119" s="5">
        <f>_xlfn.XLOOKUP(B119,'Raw Data'!$N$4:$N$509,'Raw Data'!$A$4:$A$509,"Not Found")</f>
        <v>0.12268999999999999</v>
      </c>
      <c r="F119" s="5">
        <f>INDEX('Raw Data'!$A$4:$A$508,MATCH(MAX('Raw Data'!$N$4:$N$508),'Raw Data'!$N$4:$N$508,0))</f>
        <v>1.46336</v>
      </c>
      <c r="G119" s="5">
        <f>INDEX('Raw Data'!$F$4:$F$508,MATCH(MIN('Raw Data'!$N$4:$N$508),'Raw Data'!$N$4:$N$508,0))</f>
        <v>5.8520000000000003</v>
      </c>
    </row>
    <row r="120" spans="1:7" x14ac:dyDescent="0.25">
      <c r="A120">
        <v>118</v>
      </c>
      <c r="B120" s="18">
        <f>'Raw Data'!N121</f>
        <v>19.2</v>
      </c>
      <c r="C120" s="18">
        <f>'Raw Data'!A121</f>
        <v>0.15098</v>
      </c>
      <c r="D120" s="5">
        <f>VLOOKUP(B120,'Raw Data'!$N$4:$N$508,1,FALSE)</f>
        <v>19.2</v>
      </c>
      <c r="E120" s="5">
        <f>_xlfn.XLOOKUP(B120,'Raw Data'!$N$4:$N$509,'Raw Data'!$A$4:$A$509,"Not Found")</f>
        <v>0.15098</v>
      </c>
      <c r="F120" s="5">
        <f>INDEX('Raw Data'!$A$4:$A$508,MATCH(MAX('Raw Data'!$N$4:$N$508),'Raw Data'!$N$4:$N$508,0))</f>
        <v>1.46336</v>
      </c>
      <c r="G120" s="5">
        <f>INDEX('Raw Data'!$F$4:$F$508,MATCH(MIN('Raw Data'!$N$4:$N$508),'Raw Data'!$N$4:$N$508,0))</f>
        <v>5.8520000000000003</v>
      </c>
    </row>
    <row r="121" spans="1:7" x14ac:dyDescent="0.25">
      <c r="A121">
        <v>119</v>
      </c>
      <c r="B121" s="18">
        <f>'Raw Data'!N122</f>
        <v>20.399999999999999</v>
      </c>
      <c r="C121" s="18">
        <f>'Raw Data'!A122</f>
        <v>0.13058</v>
      </c>
      <c r="D121" s="5">
        <f>VLOOKUP(B121,'Raw Data'!$N$4:$N$508,1,FALSE)</f>
        <v>20.399999999999999</v>
      </c>
      <c r="E121" s="5">
        <f>_xlfn.XLOOKUP(B121,'Raw Data'!$N$4:$N$509,'Raw Data'!$A$4:$A$509,"Not Found")</f>
        <v>0.62975999999999999</v>
      </c>
      <c r="F121" s="5">
        <f>INDEX('Raw Data'!$A$4:$A$508,MATCH(MAX('Raw Data'!$N$4:$N$508),'Raw Data'!$N$4:$N$508,0))</f>
        <v>1.46336</v>
      </c>
      <c r="G121" s="5">
        <f>INDEX('Raw Data'!$F$4:$F$508,MATCH(MIN('Raw Data'!$N$4:$N$508),'Raw Data'!$N$4:$N$508,0))</f>
        <v>5.8520000000000003</v>
      </c>
    </row>
    <row r="122" spans="1:7" x14ac:dyDescent="0.25">
      <c r="A122">
        <v>120</v>
      </c>
      <c r="B122" s="18">
        <f>'Raw Data'!N123</f>
        <v>19.3</v>
      </c>
      <c r="C122" s="18">
        <f>'Raw Data'!A123</f>
        <v>0.14476</v>
      </c>
      <c r="D122" s="5">
        <f>VLOOKUP(B122,'Raw Data'!$N$4:$N$508,1,FALSE)</f>
        <v>19.3</v>
      </c>
      <c r="E122" s="5">
        <f>_xlfn.XLOOKUP(B122,'Raw Data'!$N$4:$N$509,'Raw Data'!$A$4:$A$509,"Not Found")</f>
        <v>0.17141999999999999</v>
      </c>
      <c r="F122" s="5">
        <f>INDEX('Raw Data'!$A$4:$A$508,MATCH(MAX('Raw Data'!$N$4:$N$508),'Raw Data'!$N$4:$N$508,0))</f>
        <v>1.46336</v>
      </c>
      <c r="G122" s="5">
        <f>INDEX('Raw Data'!$F$4:$F$508,MATCH(MIN('Raw Data'!$N$4:$N$508),'Raw Data'!$N$4:$N$508,0))</f>
        <v>5.8520000000000003</v>
      </c>
    </row>
    <row r="123" spans="1:7" x14ac:dyDescent="0.25">
      <c r="A123">
        <v>121</v>
      </c>
      <c r="B123" s="18">
        <f>'Raw Data'!N124</f>
        <v>22</v>
      </c>
      <c r="C123" s="18">
        <f>'Raw Data'!A124</f>
        <v>6.8989999999999996E-2</v>
      </c>
      <c r="D123" s="5">
        <f>VLOOKUP(B123,'Raw Data'!$N$4:$N$508,1,FALSE)</f>
        <v>22</v>
      </c>
      <c r="E123" s="5">
        <f>_xlfn.XLOOKUP(B123,'Raw Data'!$N$4:$N$509,'Raw Data'!$A$4:$A$509,"Not Found")</f>
        <v>5.7889999999999997E-2</v>
      </c>
      <c r="F123" s="5">
        <f>INDEX('Raw Data'!$A$4:$A$508,MATCH(MAX('Raw Data'!$N$4:$N$508),'Raw Data'!$N$4:$N$508,0))</f>
        <v>1.46336</v>
      </c>
      <c r="G123" s="5">
        <f>INDEX('Raw Data'!$F$4:$F$508,MATCH(MIN('Raw Data'!$N$4:$N$508),'Raw Data'!$N$4:$N$508,0))</f>
        <v>5.8520000000000003</v>
      </c>
    </row>
    <row r="124" spans="1:7" x14ac:dyDescent="0.25">
      <c r="A124">
        <v>122</v>
      </c>
      <c r="B124" s="18">
        <f>'Raw Data'!N125</f>
        <v>20.3</v>
      </c>
      <c r="C124" s="18">
        <f>'Raw Data'!A125</f>
        <v>7.1650000000000005E-2</v>
      </c>
      <c r="D124" s="5">
        <f>VLOOKUP(B124,'Raw Data'!$N$4:$N$508,1,FALSE)</f>
        <v>20.3</v>
      </c>
      <c r="E124" s="5">
        <f>_xlfn.XLOOKUP(B124,'Raw Data'!$N$4:$N$509,'Raw Data'!$A$4:$A$509,"Not Found")</f>
        <v>8.387E-2</v>
      </c>
      <c r="F124" s="5">
        <f>INDEX('Raw Data'!$A$4:$A$508,MATCH(MAX('Raw Data'!$N$4:$N$508),'Raw Data'!$N$4:$N$508,0))</f>
        <v>1.46336</v>
      </c>
      <c r="G124" s="5">
        <f>INDEX('Raw Data'!$F$4:$F$508,MATCH(MIN('Raw Data'!$N$4:$N$508),'Raw Data'!$N$4:$N$508,0))</f>
        <v>5.8520000000000003</v>
      </c>
    </row>
    <row r="125" spans="1:7" x14ac:dyDescent="0.25">
      <c r="A125">
        <v>123</v>
      </c>
      <c r="B125" s="18">
        <f>'Raw Data'!N126</f>
        <v>20.5</v>
      </c>
      <c r="C125" s="18">
        <f>'Raw Data'!A126</f>
        <v>9.2990000000000003E-2</v>
      </c>
      <c r="D125" s="5">
        <f>VLOOKUP(B125,'Raw Data'!$N$4:$N$508,1,FALSE)</f>
        <v>20.5</v>
      </c>
      <c r="E125" s="5">
        <f>_xlfn.XLOOKUP(B125,'Raw Data'!$N$4:$N$509,'Raw Data'!$A$4:$A$509,"Not Found")</f>
        <v>4.3369999999999999E-2</v>
      </c>
      <c r="F125" s="5">
        <f>INDEX('Raw Data'!$A$4:$A$508,MATCH(MAX('Raw Data'!$N$4:$N$508),'Raw Data'!$N$4:$N$508,0))</f>
        <v>1.46336</v>
      </c>
      <c r="G125" s="5">
        <f>INDEX('Raw Data'!$F$4:$F$508,MATCH(MIN('Raw Data'!$N$4:$N$508),'Raw Data'!$N$4:$N$508,0))</f>
        <v>5.8520000000000003</v>
      </c>
    </row>
    <row r="126" spans="1:7" x14ac:dyDescent="0.25">
      <c r="A126">
        <v>124</v>
      </c>
      <c r="B126" s="18">
        <f>'Raw Data'!N127</f>
        <v>17.3</v>
      </c>
      <c r="C126" s="18">
        <f>'Raw Data'!A127</f>
        <v>0.15038000000000001</v>
      </c>
      <c r="D126" s="5">
        <f>VLOOKUP(B126,'Raw Data'!$N$4:$N$508,1,FALSE)</f>
        <v>17.3</v>
      </c>
      <c r="E126" s="5">
        <f>_xlfn.XLOOKUP(B126,'Raw Data'!$N$4:$N$509,'Raw Data'!$A$4:$A$509,"Not Found")</f>
        <v>0.15038000000000001</v>
      </c>
      <c r="F126" s="5">
        <f>INDEX('Raw Data'!$A$4:$A$508,MATCH(MAX('Raw Data'!$N$4:$N$508),'Raw Data'!$N$4:$N$508,0))</f>
        <v>1.46336</v>
      </c>
      <c r="G126" s="5">
        <f>INDEX('Raw Data'!$F$4:$F$508,MATCH(MIN('Raw Data'!$N$4:$N$508),'Raw Data'!$N$4:$N$508,0))</f>
        <v>5.8520000000000003</v>
      </c>
    </row>
    <row r="127" spans="1:7" x14ac:dyDescent="0.25">
      <c r="A127">
        <v>125</v>
      </c>
      <c r="B127" s="18">
        <f>'Raw Data'!N128</f>
        <v>18.8</v>
      </c>
      <c r="C127" s="18">
        <f>'Raw Data'!A128</f>
        <v>9.8489999999999994E-2</v>
      </c>
      <c r="D127" s="5">
        <f>VLOOKUP(B127,'Raw Data'!$N$4:$N$508,1,FALSE)</f>
        <v>18.8</v>
      </c>
      <c r="E127" s="5">
        <f>_xlfn.XLOOKUP(B127,'Raw Data'!$N$4:$N$509,'Raw Data'!$A$4:$A$509,"Not Found")</f>
        <v>0.12329</v>
      </c>
      <c r="F127" s="5">
        <f>INDEX('Raw Data'!$A$4:$A$508,MATCH(MAX('Raw Data'!$N$4:$N$508),'Raw Data'!$N$4:$N$508,0))</f>
        <v>1.46336</v>
      </c>
      <c r="G127" s="5">
        <f>INDEX('Raw Data'!$F$4:$F$508,MATCH(MIN('Raw Data'!$N$4:$N$508),'Raw Data'!$N$4:$N$508,0))</f>
        <v>5.8520000000000003</v>
      </c>
    </row>
    <row r="128" spans="1:7" x14ac:dyDescent="0.25">
      <c r="A128">
        <v>126</v>
      </c>
      <c r="B128" s="18">
        <f>'Raw Data'!N129</f>
        <v>21.4</v>
      </c>
      <c r="C128" s="18">
        <f>'Raw Data'!A129</f>
        <v>0.16902</v>
      </c>
      <c r="D128" s="5">
        <f>VLOOKUP(B128,'Raw Data'!$N$4:$N$508,1,FALSE)</f>
        <v>21.4</v>
      </c>
      <c r="E128" s="5">
        <f>_xlfn.XLOOKUP(B128,'Raw Data'!$N$4:$N$509,'Raw Data'!$A$4:$A$509,"Not Found")</f>
        <v>9.5119999999999996E-2</v>
      </c>
      <c r="F128" s="5">
        <f>INDEX('Raw Data'!$A$4:$A$508,MATCH(MAX('Raw Data'!$N$4:$N$508),'Raw Data'!$N$4:$N$508,0))</f>
        <v>1.46336</v>
      </c>
      <c r="G128" s="5">
        <f>INDEX('Raw Data'!$F$4:$F$508,MATCH(MIN('Raw Data'!$N$4:$N$508),'Raw Data'!$N$4:$N$508,0))</f>
        <v>5.8520000000000003</v>
      </c>
    </row>
    <row r="129" spans="1:7" x14ac:dyDescent="0.25">
      <c r="A129">
        <v>127</v>
      </c>
      <c r="B129" s="18">
        <f>'Raw Data'!N130</f>
        <v>15.7</v>
      </c>
      <c r="C129" s="18">
        <f>'Raw Data'!A130</f>
        <v>0.38735000000000003</v>
      </c>
      <c r="D129" s="5">
        <f>VLOOKUP(B129,'Raw Data'!$N$4:$N$508,1,FALSE)</f>
        <v>15.7</v>
      </c>
      <c r="E129" s="5">
        <f>_xlfn.XLOOKUP(B129,'Raw Data'!$N$4:$N$509,'Raw Data'!$A$4:$A$509,"Not Found")</f>
        <v>0.38735000000000003</v>
      </c>
      <c r="F129" s="5">
        <f>INDEX('Raw Data'!$A$4:$A$508,MATCH(MAX('Raw Data'!$N$4:$N$508),'Raw Data'!$N$4:$N$508,0))</f>
        <v>1.46336</v>
      </c>
      <c r="G129" s="5">
        <f>INDEX('Raw Data'!$F$4:$F$508,MATCH(MIN('Raw Data'!$N$4:$N$508),'Raw Data'!$N$4:$N$508,0))</f>
        <v>5.8520000000000003</v>
      </c>
    </row>
    <row r="130" spans="1:7" x14ac:dyDescent="0.25">
      <c r="A130">
        <v>128</v>
      </c>
      <c r="B130" s="18">
        <f>'Raw Data'!N131</f>
        <v>16.2</v>
      </c>
      <c r="C130" s="18">
        <f>'Raw Data'!A131</f>
        <v>0.25914999999999999</v>
      </c>
      <c r="D130" s="5">
        <f>VLOOKUP(B130,'Raw Data'!$N$4:$N$508,1,FALSE)</f>
        <v>16.2</v>
      </c>
      <c r="E130" s="5">
        <f>_xlfn.XLOOKUP(B130,'Raw Data'!$N$4:$N$509,'Raw Data'!$A$4:$A$509,"Not Found")</f>
        <v>0.25914999999999999</v>
      </c>
      <c r="F130" s="5">
        <f>INDEX('Raw Data'!$A$4:$A$508,MATCH(MAX('Raw Data'!$N$4:$N$508),'Raw Data'!$N$4:$N$508,0))</f>
        <v>1.46336</v>
      </c>
      <c r="G130" s="5">
        <f>INDEX('Raw Data'!$F$4:$F$508,MATCH(MIN('Raw Data'!$N$4:$N$508),'Raw Data'!$N$4:$N$508,0))</f>
        <v>5.8520000000000003</v>
      </c>
    </row>
    <row r="131" spans="1:7" x14ac:dyDescent="0.25">
      <c r="A131">
        <v>129</v>
      </c>
      <c r="B131" s="18">
        <f>'Raw Data'!N132</f>
        <v>18</v>
      </c>
      <c r="C131" s="18">
        <f>'Raw Data'!A132</f>
        <v>0.32543</v>
      </c>
      <c r="D131" s="5">
        <f>VLOOKUP(B131,'Raw Data'!$N$4:$N$508,1,FALSE)</f>
        <v>18</v>
      </c>
      <c r="E131" s="5">
        <f>_xlfn.XLOOKUP(B131,'Raw Data'!$N$4:$N$509,'Raw Data'!$A$4:$A$509,"Not Found")</f>
        <v>0.32543</v>
      </c>
      <c r="F131" s="5">
        <f>INDEX('Raw Data'!$A$4:$A$508,MATCH(MAX('Raw Data'!$N$4:$N$508),'Raw Data'!$N$4:$N$508,0))</f>
        <v>1.46336</v>
      </c>
      <c r="G131" s="5">
        <f>INDEX('Raw Data'!$F$4:$F$508,MATCH(MIN('Raw Data'!$N$4:$N$508),'Raw Data'!$N$4:$N$508,0))</f>
        <v>5.8520000000000003</v>
      </c>
    </row>
    <row r="132" spans="1:7" x14ac:dyDescent="0.25">
      <c r="A132">
        <v>130</v>
      </c>
      <c r="B132" s="18">
        <f>'Raw Data'!N133</f>
        <v>14.3</v>
      </c>
      <c r="C132" s="18">
        <f>'Raw Data'!A133</f>
        <v>0.88124999999999998</v>
      </c>
      <c r="D132" s="5">
        <f>VLOOKUP(B132,'Raw Data'!$N$4:$N$508,1,FALSE)</f>
        <v>14.3</v>
      </c>
      <c r="E132" s="5">
        <f>_xlfn.XLOOKUP(B132,'Raw Data'!$N$4:$N$509,'Raw Data'!$A$4:$A$509,"Not Found")</f>
        <v>0.88124999999999998</v>
      </c>
      <c r="F132" s="5">
        <f>INDEX('Raw Data'!$A$4:$A$508,MATCH(MAX('Raw Data'!$N$4:$N$508),'Raw Data'!$N$4:$N$508,0))</f>
        <v>1.46336</v>
      </c>
      <c r="G132" s="5">
        <f>INDEX('Raw Data'!$F$4:$F$508,MATCH(MIN('Raw Data'!$N$4:$N$508),'Raw Data'!$N$4:$N$508,0))</f>
        <v>5.8520000000000003</v>
      </c>
    </row>
    <row r="133" spans="1:7" x14ac:dyDescent="0.25">
      <c r="A133">
        <v>131</v>
      </c>
      <c r="B133" s="18">
        <f>'Raw Data'!N134</f>
        <v>19.2</v>
      </c>
      <c r="C133" s="18">
        <f>'Raw Data'!A134</f>
        <v>0.34005999999999997</v>
      </c>
      <c r="D133" s="5">
        <f>VLOOKUP(B133,'Raw Data'!$N$4:$N$508,1,FALSE)</f>
        <v>19.2</v>
      </c>
      <c r="E133" s="5">
        <f>_xlfn.XLOOKUP(B133,'Raw Data'!$N$4:$N$509,'Raw Data'!$A$4:$A$509,"Not Found")</f>
        <v>0.15098</v>
      </c>
      <c r="F133" s="5">
        <f>INDEX('Raw Data'!$A$4:$A$508,MATCH(MAX('Raw Data'!$N$4:$N$508),'Raw Data'!$N$4:$N$508,0))</f>
        <v>1.46336</v>
      </c>
      <c r="G133" s="5">
        <f>INDEX('Raw Data'!$F$4:$F$508,MATCH(MIN('Raw Data'!$N$4:$N$508),'Raw Data'!$N$4:$N$508,0))</f>
        <v>5.8520000000000003</v>
      </c>
    </row>
    <row r="134" spans="1:7" x14ac:dyDescent="0.25">
      <c r="A134">
        <v>132</v>
      </c>
      <c r="B134" s="18">
        <f>'Raw Data'!N135</f>
        <v>19.600000000000001</v>
      </c>
      <c r="C134" s="18">
        <f>'Raw Data'!A135</f>
        <v>1.1929399999999999</v>
      </c>
      <c r="D134" s="5">
        <f>VLOOKUP(B134,'Raw Data'!$N$4:$N$508,1,FALSE)</f>
        <v>19.600000000000001</v>
      </c>
      <c r="E134" s="5">
        <f>_xlfn.XLOOKUP(B134,'Raw Data'!$N$4:$N$509,'Raw Data'!$A$4:$A$509,"Not Found")</f>
        <v>0.85204000000000002</v>
      </c>
      <c r="F134" s="5">
        <f>INDEX('Raw Data'!$A$4:$A$508,MATCH(MAX('Raw Data'!$N$4:$N$508),'Raw Data'!$N$4:$N$508,0))</f>
        <v>1.46336</v>
      </c>
      <c r="G134" s="5">
        <f>INDEX('Raw Data'!$F$4:$F$508,MATCH(MIN('Raw Data'!$N$4:$N$508),'Raw Data'!$N$4:$N$508,0))</f>
        <v>5.8520000000000003</v>
      </c>
    </row>
    <row r="135" spans="1:7" x14ac:dyDescent="0.25">
      <c r="A135">
        <v>133</v>
      </c>
      <c r="B135" s="18">
        <f>'Raw Data'!N136</f>
        <v>23</v>
      </c>
      <c r="C135" s="18">
        <f>'Raw Data'!A136</f>
        <v>0.59004999999999996</v>
      </c>
      <c r="D135" s="5">
        <f>VLOOKUP(B135,'Raw Data'!$N$4:$N$508,1,FALSE)</f>
        <v>23</v>
      </c>
      <c r="E135" s="5">
        <f>_xlfn.XLOOKUP(B135,'Raw Data'!$N$4:$N$509,'Raw Data'!$A$4:$A$509,"Not Found")</f>
        <v>0.59004999999999996</v>
      </c>
      <c r="F135" s="5">
        <f>INDEX('Raw Data'!$A$4:$A$508,MATCH(MAX('Raw Data'!$N$4:$N$508),'Raw Data'!$N$4:$N$508,0))</f>
        <v>1.46336</v>
      </c>
      <c r="G135" s="5">
        <f>INDEX('Raw Data'!$F$4:$F$508,MATCH(MIN('Raw Data'!$N$4:$N$508),'Raw Data'!$N$4:$N$508,0))</f>
        <v>5.8520000000000003</v>
      </c>
    </row>
    <row r="136" spans="1:7" x14ac:dyDescent="0.25">
      <c r="A136">
        <v>134</v>
      </c>
      <c r="B136" s="18">
        <f>'Raw Data'!N137</f>
        <v>18.399999999999999</v>
      </c>
      <c r="C136" s="18">
        <f>'Raw Data'!A137</f>
        <v>0.32982</v>
      </c>
      <c r="D136" s="5">
        <f>VLOOKUP(B136,'Raw Data'!$N$4:$N$508,1,FALSE)</f>
        <v>18.399999999999999</v>
      </c>
      <c r="E136" s="5">
        <f>_xlfn.XLOOKUP(B136,'Raw Data'!$N$4:$N$509,'Raw Data'!$A$4:$A$509,"Not Found")</f>
        <v>0.77298999999999995</v>
      </c>
      <c r="F136" s="5">
        <f>INDEX('Raw Data'!$A$4:$A$508,MATCH(MAX('Raw Data'!$N$4:$N$508),'Raw Data'!$N$4:$N$508,0))</f>
        <v>1.46336</v>
      </c>
      <c r="G136" s="5">
        <f>INDEX('Raw Data'!$F$4:$F$508,MATCH(MIN('Raw Data'!$N$4:$N$508),'Raw Data'!$N$4:$N$508,0))</f>
        <v>5.8520000000000003</v>
      </c>
    </row>
    <row r="137" spans="1:7" x14ac:dyDescent="0.25">
      <c r="A137">
        <v>135</v>
      </c>
      <c r="B137" s="18">
        <f>'Raw Data'!N138</f>
        <v>15.6</v>
      </c>
      <c r="C137" s="18">
        <f>'Raw Data'!A138</f>
        <v>0.97616999999999998</v>
      </c>
      <c r="D137" s="5">
        <f>VLOOKUP(B137,'Raw Data'!$N$4:$N$508,1,FALSE)</f>
        <v>15.6</v>
      </c>
      <c r="E137" s="5">
        <f>_xlfn.XLOOKUP(B137,'Raw Data'!$N$4:$N$509,'Raw Data'!$A$4:$A$509,"Not Found")</f>
        <v>0.75026000000000004</v>
      </c>
      <c r="F137" s="5">
        <f>INDEX('Raw Data'!$A$4:$A$508,MATCH(MAX('Raw Data'!$N$4:$N$508),'Raw Data'!$N$4:$N$508,0))</f>
        <v>1.46336</v>
      </c>
      <c r="G137" s="5">
        <f>INDEX('Raw Data'!$F$4:$F$508,MATCH(MIN('Raw Data'!$N$4:$N$508),'Raw Data'!$N$4:$N$508,0))</f>
        <v>5.8520000000000003</v>
      </c>
    </row>
    <row r="138" spans="1:7" x14ac:dyDescent="0.25">
      <c r="A138">
        <v>136</v>
      </c>
      <c r="B138" s="18">
        <f>'Raw Data'!N139</f>
        <v>18.100000000000001</v>
      </c>
      <c r="C138" s="18">
        <f>'Raw Data'!A139</f>
        <v>0.55778000000000005</v>
      </c>
      <c r="D138" s="5">
        <f>VLOOKUP(B138,'Raw Data'!$N$4:$N$508,1,FALSE)</f>
        <v>18.100000000000001</v>
      </c>
      <c r="E138" s="5">
        <f>_xlfn.XLOOKUP(B138,'Raw Data'!$N$4:$N$509,'Raw Data'!$A$4:$A$509,"Not Found")</f>
        <v>0.55778000000000005</v>
      </c>
      <c r="F138" s="5">
        <f>INDEX('Raw Data'!$A$4:$A$508,MATCH(MAX('Raw Data'!$N$4:$N$508),'Raw Data'!$N$4:$N$508,0))</f>
        <v>1.46336</v>
      </c>
      <c r="G138" s="5">
        <f>INDEX('Raw Data'!$F$4:$F$508,MATCH(MIN('Raw Data'!$N$4:$N$508),'Raw Data'!$N$4:$N$508,0))</f>
        <v>5.8520000000000003</v>
      </c>
    </row>
    <row r="139" spans="1:7" x14ac:dyDescent="0.25">
      <c r="A139">
        <v>137</v>
      </c>
      <c r="B139" s="18">
        <f>'Raw Data'!N140</f>
        <v>17.399999999999999</v>
      </c>
      <c r="C139" s="18">
        <f>'Raw Data'!A140</f>
        <v>0.32263999999999998</v>
      </c>
      <c r="D139" s="5">
        <f>VLOOKUP(B139,'Raw Data'!$N$4:$N$508,1,FALSE)</f>
        <v>17.399999999999999</v>
      </c>
      <c r="E139" s="5">
        <f>_xlfn.XLOOKUP(B139,'Raw Data'!$N$4:$N$509,'Raw Data'!$A$4:$A$509,"Not Found")</f>
        <v>0.13553999999999999</v>
      </c>
      <c r="F139" s="5">
        <f>INDEX('Raw Data'!$A$4:$A$508,MATCH(MAX('Raw Data'!$N$4:$N$508),'Raw Data'!$N$4:$N$508,0))</f>
        <v>1.46336</v>
      </c>
      <c r="G139" s="5">
        <f>INDEX('Raw Data'!$F$4:$F$508,MATCH(MIN('Raw Data'!$N$4:$N$508),'Raw Data'!$N$4:$N$508,0))</f>
        <v>5.8520000000000003</v>
      </c>
    </row>
    <row r="140" spans="1:7" x14ac:dyDescent="0.25">
      <c r="A140">
        <v>138</v>
      </c>
      <c r="B140" s="18">
        <f>'Raw Data'!N141</f>
        <v>17.100000000000001</v>
      </c>
      <c r="C140" s="18">
        <f>'Raw Data'!A141</f>
        <v>0.35232999999999998</v>
      </c>
      <c r="D140" s="5">
        <f>VLOOKUP(B140,'Raw Data'!$N$4:$N$508,1,FALSE)</f>
        <v>17.100000000000001</v>
      </c>
      <c r="E140" s="5">
        <f>_xlfn.XLOOKUP(B140,'Raw Data'!$N$4:$N$509,'Raw Data'!$A$4:$A$509,"Not Found")</f>
        <v>0.35232999999999998</v>
      </c>
      <c r="F140" s="5">
        <f>INDEX('Raw Data'!$A$4:$A$508,MATCH(MAX('Raw Data'!$N$4:$N$508),'Raw Data'!$N$4:$N$508,0))</f>
        <v>1.46336</v>
      </c>
      <c r="G140" s="5">
        <f>INDEX('Raw Data'!$F$4:$F$508,MATCH(MIN('Raw Data'!$N$4:$N$508),'Raw Data'!$N$4:$N$508,0))</f>
        <v>5.8520000000000003</v>
      </c>
    </row>
    <row r="141" spans="1:7" x14ac:dyDescent="0.25">
      <c r="A141">
        <v>139</v>
      </c>
      <c r="B141" s="18">
        <f>'Raw Data'!N142</f>
        <v>13.3</v>
      </c>
      <c r="C141" s="18">
        <f>'Raw Data'!A142</f>
        <v>0.24979999999999999</v>
      </c>
      <c r="D141" s="5">
        <f>VLOOKUP(B141,'Raw Data'!$N$4:$N$508,1,FALSE)</f>
        <v>13.3</v>
      </c>
      <c r="E141" s="5">
        <f>_xlfn.XLOOKUP(B141,'Raw Data'!$N$4:$N$509,'Raw Data'!$A$4:$A$509,"Not Found")</f>
        <v>0.24979999999999999</v>
      </c>
      <c r="F141" s="5">
        <f>INDEX('Raw Data'!$A$4:$A$508,MATCH(MAX('Raw Data'!$N$4:$N$508),'Raw Data'!$N$4:$N$508,0))</f>
        <v>1.46336</v>
      </c>
      <c r="G141" s="5">
        <f>INDEX('Raw Data'!$F$4:$F$508,MATCH(MIN('Raw Data'!$N$4:$N$508),'Raw Data'!$N$4:$N$508,0))</f>
        <v>5.8520000000000003</v>
      </c>
    </row>
    <row r="142" spans="1:7" x14ac:dyDescent="0.25">
      <c r="A142">
        <v>140</v>
      </c>
      <c r="B142" s="18">
        <f>'Raw Data'!N143</f>
        <v>17.8</v>
      </c>
      <c r="C142" s="18">
        <f>'Raw Data'!A143</f>
        <v>0.54452</v>
      </c>
      <c r="D142" s="5">
        <f>VLOOKUP(B142,'Raw Data'!$N$4:$N$508,1,FALSE)</f>
        <v>17.8</v>
      </c>
      <c r="E142" s="5">
        <f>_xlfn.XLOOKUP(B142,'Raw Data'!$N$4:$N$509,'Raw Data'!$A$4:$A$509,"Not Found")</f>
        <v>0.54452</v>
      </c>
      <c r="F142" s="5">
        <f>INDEX('Raw Data'!$A$4:$A$508,MATCH(MAX('Raw Data'!$N$4:$N$508),'Raw Data'!$N$4:$N$508,0))</f>
        <v>1.46336</v>
      </c>
      <c r="G142" s="5">
        <f>INDEX('Raw Data'!$F$4:$F$508,MATCH(MIN('Raw Data'!$N$4:$N$508),'Raw Data'!$N$4:$N$508,0))</f>
        <v>5.8520000000000003</v>
      </c>
    </row>
    <row r="143" spans="1:7" x14ac:dyDescent="0.25">
      <c r="A143">
        <v>141</v>
      </c>
      <c r="B143" s="18">
        <f>'Raw Data'!N144</f>
        <v>14</v>
      </c>
      <c r="C143" s="18">
        <f>'Raw Data'!A144</f>
        <v>0.29089999999999999</v>
      </c>
      <c r="D143" s="5">
        <f>VLOOKUP(B143,'Raw Data'!$N$4:$N$508,1,FALSE)</f>
        <v>14</v>
      </c>
      <c r="E143" s="5">
        <f>_xlfn.XLOOKUP(B143,'Raw Data'!$N$4:$N$509,'Raw Data'!$A$4:$A$509,"Not Found")</f>
        <v>0.29089999999999999</v>
      </c>
      <c r="F143" s="5">
        <f>INDEX('Raw Data'!$A$4:$A$508,MATCH(MAX('Raw Data'!$N$4:$N$508),'Raw Data'!$N$4:$N$508,0))</f>
        <v>1.46336</v>
      </c>
      <c r="G143" s="5">
        <f>INDEX('Raw Data'!$F$4:$F$508,MATCH(MIN('Raw Data'!$N$4:$N$508),'Raw Data'!$N$4:$N$508,0))</f>
        <v>5.8520000000000003</v>
      </c>
    </row>
    <row r="144" spans="1:7" x14ac:dyDescent="0.25">
      <c r="A144">
        <v>142</v>
      </c>
      <c r="B144" s="18">
        <f>'Raw Data'!N145</f>
        <v>14.4</v>
      </c>
      <c r="C144" s="18">
        <f>'Raw Data'!A145</f>
        <v>1.6286400000000001</v>
      </c>
      <c r="D144" s="5">
        <f>VLOOKUP(B144,'Raw Data'!$N$4:$N$508,1,FALSE)</f>
        <v>14.4</v>
      </c>
      <c r="E144" s="5">
        <f>_xlfn.XLOOKUP(B144,'Raw Data'!$N$4:$N$509,'Raw Data'!$A$4:$A$509,"Not Found")</f>
        <v>0.25386999999999998</v>
      </c>
      <c r="F144" s="5">
        <f>INDEX('Raw Data'!$A$4:$A$508,MATCH(MAX('Raw Data'!$N$4:$N$508),'Raw Data'!$N$4:$N$508,0))</f>
        <v>1.46336</v>
      </c>
      <c r="G144" s="5">
        <f>INDEX('Raw Data'!$F$4:$F$508,MATCH(MIN('Raw Data'!$N$4:$N$508),'Raw Data'!$N$4:$N$508,0))</f>
        <v>5.8520000000000003</v>
      </c>
    </row>
    <row r="145" spans="1:7" x14ac:dyDescent="0.25">
      <c r="A145">
        <v>143</v>
      </c>
      <c r="B145" s="18">
        <f>'Raw Data'!N146</f>
        <v>13.4</v>
      </c>
      <c r="C145" s="18">
        <f>'Raw Data'!A146</f>
        <v>3.3210500000000001</v>
      </c>
      <c r="D145" s="5">
        <f>VLOOKUP(B145,'Raw Data'!$N$4:$N$508,1,FALSE)</f>
        <v>13.4</v>
      </c>
      <c r="E145" s="5">
        <f>_xlfn.XLOOKUP(B145,'Raw Data'!$N$4:$N$509,'Raw Data'!$A$4:$A$509,"Not Found")</f>
        <v>3.3210500000000001</v>
      </c>
      <c r="F145" s="5">
        <f>INDEX('Raw Data'!$A$4:$A$508,MATCH(MAX('Raw Data'!$N$4:$N$508),'Raw Data'!$N$4:$N$508,0))</f>
        <v>1.46336</v>
      </c>
      <c r="G145" s="5">
        <f>INDEX('Raw Data'!$F$4:$F$508,MATCH(MIN('Raw Data'!$N$4:$N$508),'Raw Data'!$N$4:$N$508,0))</f>
        <v>5.8520000000000003</v>
      </c>
    </row>
    <row r="146" spans="1:7" x14ac:dyDescent="0.25">
      <c r="A146">
        <v>144</v>
      </c>
      <c r="B146" s="18">
        <f>'Raw Data'!N147</f>
        <v>15.6</v>
      </c>
      <c r="C146" s="18">
        <f>'Raw Data'!A147</f>
        <v>4.0974000000000004</v>
      </c>
      <c r="D146" s="5">
        <f>VLOOKUP(B146,'Raw Data'!$N$4:$N$508,1,FALSE)</f>
        <v>15.6</v>
      </c>
      <c r="E146" s="5">
        <f>_xlfn.XLOOKUP(B146,'Raw Data'!$N$4:$N$509,'Raw Data'!$A$4:$A$509,"Not Found")</f>
        <v>0.75026000000000004</v>
      </c>
      <c r="F146" s="5">
        <f>INDEX('Raw Data'!$A$4:$A$508,MATCH(MAX('Raw Data'!$N$4:$N$508),'Raw Data'!$N$4:$N$508,0))</f>
        <v>1.46336</v>
      </c>
      <c r="G146" s="5">
        <f>INDEX('Raw Data'!$F$4:$F$508,MATCH(MIN('Raw Data'!$N$4:$N$508),'Raw Data'!$N$4:$N$508,0))</f>
        <v>5.8520000000000003</v>
      </c>
    </row>
    <row r="147" spans="1:7" x14ac:dyDescent="0.25">
      <c r="A147">
        <v>145</v>
      </c>
      <c r="B147" s="18">
        <f>'Raw Data'!N148</f>
        <v>11.8</v>
      </c>
      <c r="C147" s="18">
        <f>'Raw Data'!A148</f>
        <v>2.7797399999999999</v>
      </c>
      <c r="D147" s="5">
        <f>VLOOKUP(B147,'Raw Data'!$N$4:$N$508,1,FALSE)</f>
        <v>11.8</v>
      </c>
      <c r="E147" s="5">
        <f>_xlfn.XLOOKUP(B147,'Raw Data'!$N$4:$N$509,'Raw Data'!$A$4:$A$509,"Not Found")</f>
        <v>2.7797399999999999</v>
      </c>
      <c r="F147" s="5">
        <f>INDEX('Raw Data'!$A$4:$A$508,MATCH(MAX('Raw Data'!$N$4:$N$508),'Raw Data'!$N$4:$N$508,0))</f>
        <v>1.46336</v>
      </c>
      <c r="G147" s="5">
        <f>INDEX('Raw Data'!$F$4:$F$508,MATCH(MIN('Raw Data'!$N$4:$N$508),'Raw Data'!$N$4:$N$508,0))</f>
        <v>5.8520000000000003</v>
      </c>
    </row>
    <row r="148" spans="1:7" x14ac:dyDescent="0.25">
      <c r="A148">
        <v>146</v>
      </c>
      <c r="B148" s="18">
        <f>'Raw Data'!N149</f>
        <v>13.8</v>
      </c>
      <c r="C148" s="18">
        <f>'Raw Data'!A149</f>
        <v>2.37934</v>
      </c>
      <c r="D148" s="5">
        <f>VLOOKUP(B148,'Raw Data'!$N$4:$N$508,1,FALSE)</f>
        <v>13.8</v>
      </c>
      <c r="E148" s="5">
        <f>_xlfn.XLOOKUP(B148,'Raw Data'!$N$4:$N$509,'Raw Data'!$A$4:$A$509,"Not Found")</f>
        <v>2.37934</v>
      </c>
      <c r="F148" s="5">
        <f>INDEX('Raw Data'!$A$4:$A$508,MATCH(MAX('Raw Data'!$N$4:$N$508),'Raw Data'!$N$4:$N$508,0))</f>
        <v>1.46336</v>
      </c>
      <c r="G148" s="5">
        <f>INDEX('Raw Data'!$F$4:$F$508,MATCH(MIN('Raw Data'!$N$4:$N$508),'Raw Data'!$N$4:$N$508,0))</f>
        <v>5.8520000000000003</v>
      </c>
    </row>
    <row r="149" spans="1:7" x14ac:dyDescent="0.25">
      <c r="A149">
        <v>147</v>
      </c>
      <c r="B149" s="18">
        <f>'Raw Data'!N150</f>
        <v>15.6</v>
      </c>
      <c r="C149" s="18">
        <f>'Raw Data'!A150</f>
        <v>2.1550500000000001</v>
      </c>
      <c r="D149" s="5">
        <f>VLOOKUP(B149,'Raw Data'!$N$4:$N$508,1,FALSE)</f>
        <v>15.6</v>
      </c>
      <c r="E149" s="5">
        <f>_xlfn.XLOOKUP(B149,'Raw Data'!$N$4:$N$509,'Raw Data'!$A$4:$A$509,"Not Found")</f>
        <v>0.75026000000000004</v>
      </c>
      <c r="F149" s="5">
        <f>INDEX('Raw Data'!$A$4:$A$508,MATCH(MAX('Raw Data'!$N$4:$N$508),'Raw Data'!$N$4:$N$508,0))</f>
        <v>1.46336</v>
      </c>
      <c r="G149" s="5">
        <f>INDEX('Raw Data'!$F$4:$F$508,MATCH(MIN('Raw Data'!$N$4:$N$508),'Raw Data'!$N$4:$N$508,0))</f>
        <v>5.8520000000000003</v>
      </c>
    </row>
    <row r="150" spans="1:7" x14ac:dyDescent="0.25">
      <c r="A150">
        <v>148</v>
      </c>
      <c r="B150" s="18">
        <f>'Raw Data'!N151</f>
        <v>14.6</v>
      </c>
      <c r="C150" s="18">
        <f>'Raw Data'!A151</f>
        <v>2.3686199999999999</v>
      </c>
      <c r="D150" s="5">
        <f>VLOOKUP(B150,'Raw Data'!$N$4:$N$508,1,FALSE)</f>
        <v>14.6</v>
      </c>
      <c r="E150" s="5">
        <f>_xlfn.XLOOKUP(B150,'Raw Data'!$N$4:$N$509,'Raw Data'!$A$4:$A$509,"Not Found")</f>
        <v>2.3686199999999999</v>
      </c>
      <c r="F150" s="5">
        <f>INDEX('Raw Data'!$A$4:$A$508,MATCH(MAX('Raw Data'!$N$4:$N$508),'Raw Data'!$N$4:$N$508,0))</f>
        <v>1.46336</v>
      </c>
      <c r="G150" s="5">
        <f>INDEX('Raw Data'!$F$4:$F$508,MATCH(MIN('Raw Data'!$N$4:$N$508),'Raw Data'!$N$4:$N$508,0))</f>
        <v>5.8520000000000003</v>
      </c>
    </row>
    <row r="151" spans="1:7" x14ac:dyDescent="0.25">
      <c r="A151">
        <v>149</v>
      </c>
      <c r="B151" s="18">
        <f>'Raw Data'!N152</f>
        <v>17.8</v>
      </c>
      <c r="C151" s="18">
        <f>'Raw Data'!A152</f>
        <v>2.3309899999999999</v>
      </c>
      <c r="D151" s="5">
        <f>VLOOKUP(B151,'Raw Data'!$N$4:$N$508,1,FALSE)</f>
        <v>17.8</v>
      </c>
      <c r="E151" s="5">
        <f>_xlfn.XLOOKUP(B151,'Raw Data'!$N$4:$N$509,'Raw Data'!$A$4:$A$509,"Not Found")</f>
        <v>0.54452</v>
      </c>
      <c r="F151" s="5">
        <f>INDEX('Raw Data'!$A$4:$A$508,MATCH(MAX('Raw Data'!$N$4:$N$508),'Raw Data'!$N$4:$N$508,0))</f>
        <v>1.46336</v>
      </c>
      <c r="G151" s="5">
        <f>INDEX('Raw Data'!$F$4:$F$508,MATCH(MIN('Raw Data'!$N$4:$N$508),'Raw Data'!$N$4:$N$508,0))</f>
        <v>5.8520000000000003</v>
      </c>
    </row>
    <row r="152" spans="1:7" x14ac:dyDescent="0.25">
      <c r="A152">
        <v>150</v>
      </c>
      <c r="B152" s="18">
        <f>'Raw Data'!N153</f>
        <v>15.4</v>
      </c>
      <c r="C152" s="18">
        <f>'Raw Data'!A153</f>
        <v>2.7339699999999998</v>
      </c>
      <c r="D152" s="5">
        <f>VLOOKUP(B152,'Raw Data'!$N$4:$N$508,1,FALSE)</f>
        <v>15.4</v>
      </c>
      <c r="E152" s="5">
        <f>_xlfn.XLOOKUP(B152,'Raw Data'!$N$4:$N$509,'Raw Data'!$A$4:$A$509,"Not Found")</f>
        <v>2.7339699999999998</v>
      </c>
      <c r="F152" s="5">
        <f>INDEX('Raw Data'!$A$4:$A$508,MATCH(MAX('Raw Data'!$N$4:$N$508),'Raw Data'!$N$4:$N$508,0))</f>
        <v>1.46336</v>
      </c>
      <c r="G152" s="5">
        <f>INDEX('Raw Data'!$F$4:$F$508,MATCH(MIN('Raw Data'!$N$4:$N$508),'Raw Data'!$N$4:$N$508,0))</f>
        <v>5.8520000000000003</v>
      </c>
    </row>
    <row r="153" spans="1:7" x14ac:dyDescent="0.25">
      <c r="A153">
        <v>151</v>
      </c>
      <c r="B153" s="18">
        <f>'Raw Data'!N154</f>
        <v>21.5</v>
      </c>
      <c r="C153" s="18">
        <f>'Raw Data'!A154</f>
        <v>1.6566000000000001</v>
      </c>
      <c r="D153" s="5">
        <f>VLOOKUP(B153,'Raw Data'!$N$4:$N$508,1,FALSE)</f>
        <v>21.5</v>
      </c>
      <c r="E153" s="5">
        <f>_xlfn.XLOOKUP(B153,'Raw Data'!$N$4:$N$509,'Raw Data'!$A$4:$A$509,"Not Found")</f>
        <v>1.6566000000000001</v>
      </c>
      <c r="F153" s="5">
        <f>INDEX('Raw Data'!$A$4:$A$508,MATCH(MAX('Raw Data'!$N$4:$N$508),'Raw Data'!$N$4:$N$508,0))</f>
        <v>1.46336</v>
      </c>
      <c r="G153" s="5">
        <f>INDEX('Raw Data'!$F$4:$F$508,MATCH(MIN('Raw Data'!$N$4:$N$508),'Raw Data'!$N$4:$N$508,0))</f>
        <v>5.8520000000000003</v>
      </c>
    </row>
    <row r="154" spans="1:7" x14ac:dyDescent="0.25">
      <c r="A154">
        <v>152</v>
      </c>
      <c r="B154" s="18">
        <f>'Raw Data'!N155</f>
        <v>19.600000000000001</v>
      </c>
      <c r="C154" s="18">
        <f>'Raw Data'!A155</f>
        <v>1.4963200000000001</v>
      </c>
      <c r="D154" s="5">
        <f>VLOOKUP(B154,'Raw Data'!$N$4:$N$508,1,FALSE)</f>
        <v>19.600000000000001</v>
      </c>
      <c r="E154" s="5">
        <f>_xlfn.XLOOKUP(B154,'Raw Data'!$N$4:$N$509,'Raw Data'!$A$4:$A$509,"Not Found")</f>
        <v>0.85204000000000002</v>
      </c>
      <c r="F154" s="5">
        <f>INDEX('Raw Data'!$A$4:$A$508,MATCH(MAX('Raw Data'!$N$4:$N$508),'Raw Data'!$N$4:$N$508,0))</f>
        <v>1.46336</v>
      </c>
      <c r="G154" s="5">
        <f>INDEX('Raw Data'!$F$4:$F$508,MATCH(MIN('Raw Data'!$N$4:$N$508),'Raw Data'!$N$4:$N$508,0))</f>
        <v>5.8520000000000003</v>
      </c>
    </row>
    <row r="155" spans="1:7" x14ac:dyDescent="0.25">
      <c r="A155">
        <v>153</v>
      </c>
      <c r="B155" s="18">
        <f>'Raw Data'!N156</f>
        <v>15.3</v>
      </c>
      <c r="C155" s="18">
        <f>'Raw Data'!A156</f>
        <v>1.1265799999999999</v>
      </c>
      <c r="D155" s="5">
        <f>VLOOKUP(B155,'Raw Data'!$N$4:$N$508,1,FALSE)</f>
        <v>15.3</v>
      </c>
      <c r="E155" s="5">
        <f>_xlfn.XLOOKUP(B155,'Raw Data'!$N$4:$N$509,'Raw Data'!$A$4:$A$509,"Not Found")</f>
        <v>1.1265799999999999</v>
      </c>
      <c r="F155" s="5">
        <f>INDEX('Raw Data'!$A$4:$A$508,MATCH(MAX('Raw Data'!$N$4:$N$508),'Raw Data'!$N$4:$N$508,0))</f>
        <v>1.46336</v>
      </c>
      <c r="G155" s="5">
        <f>INDEX('Raw Data'!$F$4:$F$508,MATCH(MIN('Raw Data'!$N$4:$N$508),'Raw Data'!$N$4:$N$508,0))</f>
        <v>5.8520000000000003</v>
      </c>
    </row>
    <row r="156" spans="1:7" x14ac:dyDescent="0.25">
      <c r="A156">
        <v>154</v>
      </c>
      <c r="B156" s="18">
        <f>'Raw Data'!N157</f>
        <v>19.399999999999999</v>
      </c>
      <c r="C156" s="18">
        <f>'Raw Data'!A157</f>
        <v>2.1491799999999999</v>
      </c>
      <c r="D156" s="5">
        <f>VLOOKUP(B156,'Raw Data'!$N$4:$N$508,1,FALSE)</f>
        <v>19.399999999999999</v>
      </c>
      <c r="E156" s="5">
        <f>_xlfn.XLOOKUP(B156,'Raw Data'!$N$4:$N$509,'Raw Data'!$A$4:$A$509,"Not Found")</f>
        <v>0.21976999999999999</v>
      </c>
      <c r="F156" s="5">
        <f>INDEX('Raw Data'!$A$4:$A$508,MATCH(MAX('Raw Data'!$N$4:$N$508),'Raw Data'!$N$4:$N$508,0))</f>
        <v>1.46336</v>
      </c>
      <c r="G156" s="5">
        <f>INDEX('Raw Data'!$F$4:$F$508,MATCH(MIN('Raw Data'!$N$4:$N$508),'Raw Data'!$N$4:$N$508,0))</f>
        <v>5.8520000000000003</v>
      </c>
    </row>
    <row r="157" spans="1:7" x14ac:dyDescent="0.25">
      <c r="A157">
        <v>155</v>
      </c>
      <c r="B157" s="18">
        <f>'Raw Data'!N158</f>
        <v>17</v>
      </c>
      <c r="C157" s="18">
        <f>'Raw Data'!A158</f>
        <v>1.4138500000000001</v>
      </c>
      <c r="D157" s="5">
        <f>VLOOKUP(B157,'Raw Data'!$N$4:$N$508,1,FALSE)</f>
        <v>17</v>
      </c>
      <c r="E157" s="5">
        <f>_xlfn.XLOOKUP(B157,'Raw Data'!$N$4:$N$509,'Raw Data'!$A$4:$A$509,"Not Found")</f>
        <v>1.4138500000000001</v>
      </c>
      <c r="F157" s="5">
        <f>INDEX('Raw Data'!$A$4:$A$508,MATCH(MAX('Raw Data'!$N$4:$N$508),'Raw Data'!$N$4:$N$508,0))</f>
        <v>1.46336</v>
      </c>
      <c r="G157" s="5">
        <f>INDEX('Raw Data'!$F$4:$F$508,MATCH(MIN('Raw Data'!$N$4:$N$508),'Raw Data'!$N$4:$N$508,0))</f>
        <v>5.8520000000000003</v>
      </c>
    </row>
    <row r="158" spans="1:7" x14ac:dyDescent="0.25">
      <c r="A158">
        <v>156</v>
      </c>
      <c r="B158" s="18">
        <f>'Raw Data'!N159</f>
        <v>15.6</v>
      </c>
      <c r="C158" s="18">
        <f>'Raw Data'!A159</f>
        <v>3.5350100000000002</v>
      </c>
      <c r="D158" s="5">
        <f>VLOOKUP(B158,'Raw Data'!$N$4:$N$508,1,FALSE)</f>
        <v>15.6</v>
      </c>
      <c r="E158" s="5">
        <f>_xlfn.XLOOKUP(B158,'Raw Data'!$N$4:$N$509,'Raw Data'!$A$4:$A$509,"Not Found")</f>
        <v>0.75026000000000004</v>
      </c>
      <c r="F158" s="5">
        <f>INDEX('Raw Data'!$A$4:$A$508,MATCH(MAX('Raw Data'!$N$4:$N$508),'Raw Data'!$N$4:$N$508,0))</f>
        <v>1.46336</v>
      </c>
      <c r="G158" s="5">
        <f>INDEX('Raw Data'!$F$4:$F$508,MATCH(MIN('Raw Data'!$N$4:$N$508),'Raw Data'!$N$4:$N$508,0))</f>
        <v>5.8520000000000003</v>
      </c>
    </row>
    <row r="159" spans="1:7" x14ac:dyDescent="0.25">
      <c r="A159">
        <v>157</v>
      </c>
      <c r="B159" s="18">
        <f>'Raw Data'!N160</f>
        <v>13.1</v>
      </c>
      <c r="C159" s="18">
        <f>'Raw Data'!A160</f>
        <v>2.4466800000000002</v>
      </c>
      <c r="D159" s="5">
        <f>VLOOKUP(B159,'Raw Data'!$N$4:$N$508,1,FALSE)</f>
        <v>13.1</v>
      </c>
      <c r="E159" s="5">
        <f>_xlfn.XLOOKUP(B159,'Raw Data'!$N$4:$N$509,'Raw Data'!$A$4:$A$509,"Not Found")</f>
        <v>1.1517200000000001</v>
      </c>
      <c r="F159" s="5">
        <f>INDEX('Raw Data'!$A$4:$A$508,MATCH(MAX('Raw Data'!$N$4:$N$508),'Raw Data'!$N$4:$N$508,0))</f>
        <v>1.46336</v>
      </c>
      <c r="G159" s="5">
        <f>INDEX('Raw Data'!$F$4:$F$508,MATCH(MIN('Raw Data'!$N$4:$N$508),'Raw Data'!$N$4:$N$508,0))</f>
        <v>5.8520000000000003</v>
      </c>
    </row>
    <row r="160" spans="1:7" x14ac:dyDescent="0.25">
      <c r="A160">
        <v>158</v>
      </c>
      <c r="B160" s="18">
        <f>'Raw Data'!N161</f>
        <v>41.3</v>
      </c>
      <c r="C160" s="18">
        <f>'Raw Data'!A161</f>
        <v>1.2235799999999999</v>
      </c>
      <c r="D160" s="5">
        <f>VLOOKUP(B160,'Raw Data'!$N$4:$N$508,1,FALSE)</f>
        <v>41.3</v>
      </c>
      <c r="E160" s="5">
        <f>_xlfn.XLOOKUP(B160,'Raw Data'!$N$4:$N$509,'Raw Data'!$A$4:$A$509,"Not Found")</f>
        <v>1.2235799999999999</v>
      </c>
      <c r="F160" s="5">
        <f>INDEX('Raw Data'!$A$4:$A$508,MATCH(MAX('Raw Data'!$N$4:$N$508),'Raw Data'!$N$4:$N$508,0))</f>
        <v>1.46336</v>
      </c>
      <c r="G160" s="5">
        <f>INDEX('Raw Data'!$F$4:$F$508,MATCH(MIN('Raw Data'!$N$4:$N$508),'Raw Data'!$N$4:$N$508,0))</f>
        <v>5.8520000000000003</v>
      </c>
    </row>
    <row r="161" spans="1:7" x14ac:dyDescent="0.25">
      <c r="A161">
        <v>159</v>
      </c>
      <c r="B161" s="18">
        <f>'Raw Data'!N162</f>
        <v>24.3</v>
      </c>
      <c r="C161" s="18">
        <f>'Raw Data'!A162</f>
        <v>1.34284</v>
      </c>
      <c r="D161" s="5">
        <f>VLOOKUP(B161,'Raw Data'!$N$4:$N$508,1,FALSE)</f>
        <v>24.3</v>
      </c>
      <c r="E161" s="5">
        <f>_xlfn.XLOOKUP(B161,'Raw Data'!$N$4:$N$509,'Raw Data'!$A$4:$A$509,"Not Found")</f>
        <v>1.34284</v>
      </c>
      <c r="F161" s="5">
        <f>INDEX('Raw Data'!$A$4:$A$508,MATCH(MAX('Raw Data'!$N$4:$N$508),'Raw Data'!$N$4:$N$508,0))</f>
        <v>1.46336</v>
      </c>
      <c r="G161" s="5">
        <f>INDEX('Raw Data'!$F$4:$F$508,MATCH(MIN('Raw Data'!$N$4:$N$508),'Raw Data'!$N$4:$N$508,0))</f>
        <v>5.8520000000000003</v>
      </c>
    </row>
    <row r="162" spans="1:7" x14ac:dyDescent="0.25">
      <c r="A162">
        <v>160</v>
      </c>
      <c r="B162" s="18">
        <f>'Raw Data'!N163</f>
        <v>23.3</v>
      </c>
      <c r="C162" s="18">
        <f>'Raw Data'!A163</f>
        <v>1.42502</v>
      </c>
      <c r="D162" s="5">
        <f>VLOOKUP(B162,'Raw Data'!$N$4:$N$508,1,FALSE)</f>
        <v>23.3</v>
      </c>
      <c r="E162" s="5">
        <f>_xlfn.XLOOKUP(B162,'Raw Data'!$N$4:$N$509,'Raw Data'!$A$4:$A$509,"Not Found")</f>
        <v>0.15445</v>
      </c>
      <c r="F162" s="5">
        <f>INDEX('Raw Data'!$A$4:$A$508,MATCH(MAX('Raw Data'!$N$4:$N$508),'Raw Data'!$N$4:$N$508,0))</f>
        <v>1.46336</v>
      </c>
      <c r="G162" s="5">
        <f>INDEX('Raw Data'!$F$4:$F$508,MATCH(MIN('Raw Data'!$N$4:$N$508),'Raw Data'!$N$4:$N$508,0))</f>
        <v>5.8520000000000003</v>
      </c>
    </row>
    <row r="163" spans="1:7" x14ac:dyDescent="0.25">
      <c r="A163">
        <v>161</v>
      </c>
      <c r="B163" s="18">
        <f>'Raw Data'!N164</f>
        <v>27</v>
      </c>
      <c r="C163" s="18">
        <f>'Raw Data'!A164</f>
        <v>1.27346</v>
      </c>
      <c r="D163" s="5">
        <f>VLOOKUP(B163,'Raw Data'!$N$4:$N$508,1,FALSE)</f>
        <v>27</v>
      </c>
      <c r="E163" s="5">
        <f>_xlfn.XLOOKUP(B163,'Raw Data'!$N$4:$N$509,'Raw Data'!$A$4:$A$509,"Not Found")</f>
        <v>1.27346</v>
      </c>
      <c r="F163" s="5">
        <f>INDEX('Raw Data'!$A$4:$A$508,MATCH(MAX('Raw Data'!$N$4:$N$508),'Raw Data'!$N$4:$N$508,0))</f>
        <v>1.46336</v>
      </c>
      <c r="G163" s="5">
        <f>INDEX('Raw Data'!$F$4:$F$508,MATCH(MIN('Raw Data'!$N$4:$N$508),'Raw Data'!$N$4:$N$508,0))</f>
        <v>5.8520000000000003</v>
      </c>
    </row>
    <row r="164" spans="1:7" x14ac:dyDescent="0.25">
      <c r="A164">
        <v>162</v>
      </c>
      <c r="B164" s="18">
        <f>'Raw Data'!N165</f>
        <v>50</v>
      </c>
      <c r="C164" s="18">
        <f>'Raw Data'!A165</f>
        <v>1.46336</v>
      </c>
      <c r="D164" s="5">
        <f>VLOOKUP(B164,'Raw Data'!$N$4:$N$508,1,FALSE)</f>
        <v>50</v>
      </c>
      <c r="E164" s="5">
        <f>_xlfn.XLOOKUP(B164,'Raw Data'!$N$4:$N$509,'Raw Data'!$A$4:$A$509,"Not Found")</f>
        <v>1.46336</v>
      </c>
      <c r="F164" s="5">
        <f>INDEX('Raw Data'!$A$4:$A$508,MATCH(MAX('Raw Data'!$N$4:$N$508),'Raw Data'!$N$4:$N$508,0))</f>
        <v>1.46336</v>
      </c>
      <c r="G164" s="5">
        <f>INDEX('Raw Data'!$F$4:$F$508,MATCH(MIN('Raw Data'!$N$4:$N$508),'Raw Data'!$N$4:$N$508,0))</f>
        <v>5.8520000000000003</v>
      </c>
    </row>
    <row r="165" spans="1:7" x14ac:dyDescent="0.25">
      <c r="A165">
        <v>163</v>
      </c>
      <c r="B165" s="18">
        <f>'Raw Data'!N166</f>
        <v>50</v>
      </c>
      <c r="C165" s="18">
        <f>'Raw Data'!A166</f>
        <v>1.8337699999999999</v>
      </c>
      <c r="D165" s="5">
        <f>VLOOKUP(B165,'Raw Data'!$N$4:$N$508,1,FALSE)</f>
        <v>50</v>
      </c>
      <c r="E165" s="5">
        <f>_xlfn.XLOOKUP(B165,'Raw Data'!$N$4:$N$509,'Raw Data'!$A$4:$A$509,"Not Found")</f>
        <v>1.46336</v>
      </c>
      <c r="F165" s="5">
        <f>INDEX('Raw Data'!$A$4:$A$508,MATCH(MAX('Raw Data'!$N$4:$N$508),'Raw Data'!$N$4:$N$508,0))</f>
        <v>1.46336</v>
      </c>
      <c r="G165" s="5">
        <f>INDEX('Raw Data'!$F$4:$F$508,MATCH(MIN('Raw Data'!$N$4:$N$508),'Raw Data'!$N$4:$N$508,0))</f>
        <v>5.8520000000000003</v>
      </c>
    </row>
    <row r="166" spans="1:7" x14ac:dyDescent="0.25">
      <c r="A166">
        <v>164</v>
      </c>
      <c r="B166" s="18">
        <f>'Raw Data'!N167</f>
        <v>50</v>
      </c>
      <c r="C166" s="18">
        <f>'Raw Data'!A167</f>
        <v>1.51902</v>
      </c>
      <c r="D166" s="5">
        <f>VLOOKUP(B166,'Raw Data'!$N$4:$N$508,1,FALSE)</f>
        <v>50</v>
      </c>
      <c r="E166" s="5">
        <f>_xlfn.XLOOKUP(B166,'Raw Data'!$N$4:$N$509,'Raw Data'!$A$4:$A$509,"Not Found")</f>
        <v>1.46336</v>
      </c>
      <c r="F166" s="5">
        <f>INDEX('Raw Data'!$A$4:$A$508,MATCH(MAX('Raw Data'!$N$4:$N$508),'Raw Data'!$N$4:$N$508,0))</f>
        <v>1.46336</v>
      </c>
      <c r="G166" s="5">
        <f>INDEX('Raw Data'!$F$4:$F$508,MATCH(MIN('Raw Data'!$N$4:$N$508),'Raw Data'!$N$4:$N$508,0))</f>
        <v>5.8520000000000003</v>
      </c>
    </row>
    <row r="167" spans="1:7" x14ac:dyDescent="0.25">
      <c r="A167">
        <v>165</v>
      </c>
      <c r="B167" s="18">
        <f>'Raw Data'!N168</f>
        <v>22.7</v>
      </c>
      <c r="C167" s="18">
        <f>'Raw Data'!A168</f>
        <v>2.2423600000000001</v>
      </c>
      <c r="D167" s="5">
        <f>VLOOKUP(B167,'Raw Data'!$N$4:$N$508,1,FALSE)</f>
        <v>22.7</v>
      </c>
      <c r="E167" s="5">
        <f>_xlfn.XLOOKUP(B167,'Raw Data'!$N$4:$N$509,'Raw Data'!$A$4:$A$509,"Not Found")</f>
        <v>2.2423600000000001</v>
      </c>
      <c r="F167" s="5">
        <f>INDEX('Raw Data'!$A$4:$A$508,MATCH(MAX('Raw Data'!$N$4:$N$508),'Raw Data'!$N$4:$N$508,0))</f>
        <v>1.46336</v>
      </c>
      <c r="G167" s="5">
        <f>INDEX('Raw Data'!$F$4:$F$508,MATCH(MIN('Raw Data'!$N$4:$N$508),'Raw Data'!$N$4:$N$508,0))</f>
        <v>5.8520000000000003</v>
      </c>
    </row>
    <row r="168" spans="1:7" x14ac:dyDescent="0.25">
      <c r="A168">
        <v>166</v>
      </c>
      <c r="B168" s="18">
        <f>'Raw Data'!N169</f>
        <v>25</v>
      </c>
      <c r="C168" s="18">
        <f>'Raw Data'!A169</f>
        <v>2.9239999999999999</v>
      </c>
      <c r="D168" s="5">
        <f>VLOOKUP(B168,'Raw Data'!$N$4:$N$508,1,FALSE)</f>
        <v>25</v>
      </c>
      <c r="E168" s="5">
        <f>_xlfn.XLOOKUP(B168,'Raw Data'!$N$4:$N$509,'Raw Data'!$A$4:$A$509,"Not Found")</f>
        <v>5.3600000000000002E-2</v>
      </c>
      <c r="F168" s="5">
        <f>INDEX('Raw Data'!$A$4:$A$508,MATCH(MAX('Raw Data'!$N$4:$N$508),'Raw Data'!$N$4:$N$508,0))</f>
        <v>1.46336</v>
      </c>
      <c r="G168" s="5">
        <f>INDEX('Raw Data'!$F$4:$F$508,MATCH(MIN('Raw Data'!$N$4:$N$508),'Raw Data'!$N$4:$N$508,0))</f>
        <v>5.8520000000000003</v>
      </c>
    </row>
    <row r="169" spans="1:7" x14ac:dyDescent="0.25">
      <c r="A169">
        <v>167</v>
      </c>
      <c r="B169" s="18">
        <f>'Raw Data'!N170</f>
        <v>50</v>
      </c>
      <c r="C169" s="18">
        <f>'Raw Data'!A170</f>
        <v>2.0101900000000001</v>
      </c>
      <c r="D169" s="5">
        <f>VLOOKUP(B169,'Raw Data'!$N$4:$N$508,1,FALSE)</f>
        <v>50</v>
      </c>
      <c r="E169" s="5">
        <f>_xlfn.XLOOKUP(B169,'Raw Data'!$N$4:$N$509,'Raw Data'!$A$4:$A$509,"Not Found")</f>
        <v>1.46336</v>
      </c>
      <c r="F169" s="5">
        <f>INDEX('Raw Data'!$A$4:$A$508,MATCH(MAX('Raw Data'!$N$4:$N$508),'Raw Data'!$N$4:$N$508,0))</f>
        <v>1.46336</v>
      </c>
      <c r="G169" s="5">
        <f>INDEX('Raw Data'!$F$4:$F$508,MATCH(MIN('Raw Data'!$N$4:$N$508),'Raw Data'!$N$4:$N$508,0))</f>
        <v>5.8520000000000003</v>
      </c>
    </row>
    <row r="170" spans="1:7" x14ac:dyDescent="0.25">
      <c r="A170">
        <v>168</v>
      </c>
      <c r="B170" s="18">
        <f>'Raw Data'!N171</f>
        <v>23.8</v>
      </c>
      <c r="C170" s="18">
        <f>'Raw Data'!A171</f>
        <v>1.8002800000000001</v>
      </c>
      <c r="D170" s="5">
        <f>VLOOKUP(B170,'Raw Data'!$N$4:$N$508,1,FALSE)</f>
        <v>23.8</v>
      </c>
      <c r="E170" s="5">
        <f>_xlfn.XLOOKUP(B170,'Raw Data'!$N$4:$N$509,'Raw Data'!$A$4:$A$509,"Not Found")</f>
        <v>1.8002800000000001</v>
      </c>
      <c r="F170" s="5">
        <f>INDEX('Raw Data'!$A$4:$A$508,MATCH(MAX('Raw Data'!$N$4:$N$508),'Raw Data'!$N$4:$N$508,0))</f>
        <v>1.46336</v>
      </c>
      <c r="G170" s="5">
        <f>INDEX('Raw Data'!$F$4:$F$508,MATCH(MIN('Raw Data'!$N$4:$N$508),'Raw Data'!$N$4:$N$508,0))</f>
        <v>5.8520000000000003</v>
      </c>
    </row>
    <row r="171" spans="1:7" x14ac:dyDescent="0.25">
      <c r="A171">
        <v>169</v>
      </c>
      <c r="B171" s="18">
        <f>'Raw Data'!N172</f>
        <v>23.8</v>
      </c>
      <c r="C171" s="18">
        <f>'Raw Data'!A172</f>
        <v>2.3003999999999998</v>
      </c>
      <c r="D171" s="5">
        <f>VLOOKUP(B171,'Raw Data'!$N$4:$N$508,1,FALSE)</f>
        <v>23.8</v>
      </c>
      <c r="E171" s="5">
        <f>_xlfn.XLOOKUP(B171,'Raw Data'!$N$4:$N$509,'Raw Data'!$A$4:$A$509,"Not Found")</f>
        <v>1.8002800000000001</v>
      </c>
      <c r="F171" s="5">
        <f>INDEX('Raw Data'!$A$4:$A$508,MATCH(MAX('Raw Data'!$N$4:$N$508),'Raw Data'!$N$4:$N$508,0))</f>
        <v>1.46336</v>
      </c>
      <c r="G171" s="5">
        <f>INDEX('Raw Data'!$F$4:$F$508,MATCH(MIN('Raw Data'!$N$4:$N$508),'Raw Data'!$N$4:$N$508,0))</f>
        <v>5.8520000000000003</v>
      </c>
    </row>
    <row r="172" spans="1:7" x14ac:dyDescent="0.25">
      <c r="A172">
        <v>170</v>
      </c>
      <c r="B172" s="18">
        <f>'Raw Data'!N173</f>
        <v>22.3</v>
      </c>
      <c r="C172" s="18">
        <f>'Raw Data'!A173</f>
        <v>2.4495300000000002</v>
      </c>
      <c r="D172" s="5">
        <f>VLOOKUP(B172,'Raw Data'!$N$4:$N$508,1,FALSE)</f>
        <v>22.3</v>
      </c>
      <c r="E172" s="5">
        <f>_xlfn.XLOOKUP(B172,'Raw Data'!$N$4:$N$509,'Raw Data'!$A$4:$A$509,"Not Found")</f>
        <v>2.4495300000000002</v>
      </c>
      <c r="F172" s="5">
        <f>INDEX('Raw Data'!$A$4:$A$508,MATCH(MAX('Raw Data'!$N$4:$N$508),'Raw Data'!$N$4:$N$508,0))</f>
        <v>1.46336</v>
      </c>
      <c r="G172" s="5">
        <f>INDEX('Raw Data'!$F$4:$F$508,MATCH(MIN('Raw Data'!$N$4:$N$508),'Raw Data'!$N$4:$N$508,0))</f>
        <v>5.8520000000000003</v>
      </c>
    </row>
    <row r="173" spans="1:7" x14ac:dyDescent="0.25">
      <c r="A173">
        <v>171</v>
      </c>
      <c r="B173" s="18">
        <f>'Raw Data'!N174</f>
        <v>17.399999999999999</v>
      </c>
      <c r="C173" s="18">
        <f>'Raw Data'!A174</f>
        <v>1.2074199999999999</v>
      </c>
      <c r="D173" s="5">
        <f>VLOOKUP(B173,'Raw Data'!$N$4:$N$508,1,FALSE)</f>
        <v>17.399999999999999</v>
      </c>
      <c r="E173" s="5">
        <f>_xlfn.XLOOKUP(B173,'Raw Data'!$N$4:$N$509,'Raw Data'!$A$4:$A$509,"Not Found")</f>
        <v>0.13553999999999999</v>
      </c>
      <c r="F173" s="5">
        <f>INDEX('Raw Data'!$A$4:$A$508,MATCH(MAX('Raw Data'!$N$4:$N$508),'Raw Data'!$N$4:$N$508,0))</f>
        <v>1.46336</v>
      </c>
      <c r="G173" s="5">
        <f>INDEX('Raw Data'!$F$4:$F$508,MATCH(MIN('Raw Data'!$N$4:$N$508),'Raw Data'!$N$4:$N$508,0))</f>
        <v>5.8520000000000003</v>
      </c>
    </row>
    <row r="174" spans="1:7" x14ac:dyDescent="0.25">
      <c r="A174">
        <v>172</v>
      </c>
      <c r="B174" s="18">
        <f>'Raw Data'!N175</f>
        <v>19.100000000000001</v>
      </c>
      <c r="C174" s="18">
        <f>'Raw Data'!A175</f>
        <v>2.3138999999999998</v>
      </c>
      <c r="D174" s="5">
        <f>VLOOKUP(B174,'Raw Data'!$N$4:$N$508,1,FALSE)</f>
        <v>19.100000000000001</v>
      </c>
      <c r="E174" s="5">
        <f>_xlfn.XLOOKUP(B174,'Raw Data'!$N$4:$N$509,'Raw Data'!$A$4:$A$509,"Not Found")</f>
        <v>2.3138999999999998</v>
      </c>
      <c r="F174" s="5">
        <f>INDEX('Raw Data'!$A$4:$A$508,MATCH(MAX('Raw Data'!$N$4:$N$508),'Raw Data'!$N$4:$N$508,0))</f>
        <v>1.46336</v>
      </c>
      <c r="G174" s="5">
        <f>INDEX('Raw Data'!$F$4:$F$508,MATCH(MIN('Raw Data'!$N$4:$N$508),'Raw Data'!$N$4:$N$508,0))</f>
        <v>5.8520000000000003</v>
      </c>
    </row>
    <row r="175" spans="1:7" x14ac:dyDescent="0.25">
      <c r="A175">
        <v>173</v>
      </c>
      <c r="B175" s="18">
        <f>'Raw Data'!N176</f>
        <v>23.1</v>
      </c>
      <c r="C175" s="18">
        <f>'Raw Data'!A176</f>
        <v>0.13914000000000001</v>
      </c>
      <c r="D175" s="5">
        <f>VLOOKUP(B175,'Raw Data'!$N$4:$N$508,1,FALSE)</f>
        <v>23.1</v>
      </c>
      <c r="E175" s="5">
        <f>_xlfn.XLOOKUP(B175,'Raw Data'!$N$4:$N$509,'Raw Data'!$A$4:$A$509,"Not Found")</f>
        <v>1.05393</v>
      </c>
      <c r="F175" s="5">
        <f>INDEX('Raw Data'!$A$4:$A$508,MATCH(MAX('Raw Data'!$N$4:$N$508),'Raw Data'!$N$4:$N$508,0))</f>
        <v>1.46336</v>
      </c>
      <c r="G175" s="5">
        <f>INDEX('Raw Data'!$F$4:$F$508,MATCH(MIN('Raw Data'!$N$4:$N$508),'Raw Data'!$N$4:$N$508,0))</f>
        <v>5.8520000000000003</v>
      </c>
    </row>
    <row r="176" spans="1:7" x14ac:dyDescent="0.25">
      <c r="A176">
        <v>174</v>
      </c>
      <c r="B176" s="18">
        <f>'Raw Data'!N177</f>
        <v>23.6</v>
      </c>
      <c r="C176" s="18">
        <f>'Raw Data'!A177</f>
        <v>9.178E-2</v>
      </c>
      <c r="D176" s="5">
        <f>VLOOKUP(B176,'Raw Data'!$N$4:$N$508,1,FALSE)</f>
        <v>23.6</v>
      </c>
      <c r="E176" s="5">
        <f>_xlfn.XLOOKUP(B176,'Raw Data'!$N$4:$N$509,'Raw Data'!$A$4:$A$509,"Not Found")</f>
        <v>5.6599999999999998E-2</v>
      </c>
      <c r="F176" s="5">
        <f>INDEX('Raw Data'!$A$4:$A$508,MATCH(MAX('Raw Data'!$N$4:$N$508),'Raw Data'!$N$4:$N$508,0))</f>
        <v>1.46336</v>
      </c>
      <c r="G176" s="5">
        <f>INDEX('Raw Data'!$F$4:$F$508,MATCH(MIN('Raw Data'!$N$4:$N$508),'Raw Data'!$N$4:$N$508,0))</f>
        <v>5.8520000000000003</v>
      </c>
    </row>
    <row r="177" spans="1:7" x14ac:dyDescent="0.25">
      <c r="A177">
        <v>175</v>
      </c>
      <c r="B177" s="18">
        <f>'Raw Data'!N178</f>
        <v>22.6</v>
      </c>
      <c r="C177" s="18">
        <f>'Raw Data'!A178</f>
        <v>8.4470000000000003E-2</v>
      </c>
      <c r="D177" s="5">
        <f>VLOOKUP(B177,'Raw Data'!$N$4:$N$508,1,FALSE)</f>
        <v>22.6</v>
      </c>
      <c r="E177" s="5">
        <f>_xlfn.XLOOKUP(B177,'Raw Data'!$N$4:$N$509,'Raw Data'!$A$4:$A$509,"Not Found")</f>
        <v>4.684E-2</v>
      </c>
      <c r="F177" s="5">
        <f>INDEX('Raw Data'!$A$4:$A$508,MATCH(MAX('Raw Data'!$N$4:$N$508),'Raw Data'!$N$4:$N$508,0))</f>
        <v>1.46336</v>
      </c>
      <c r="G177" s="5">
        <f>INDEX('Raw Data'!$F$4:$F$508,MATCH(MIN('Raw Data'!$N$4:$N$508),'Raw Data'!$N$4:$N$508,0))</f>
        <v>5.8520000000000003</v>
      </c>
    </row>
    <row r="178" spans="1:7" x14ac:dyDescent="0.25">
      <c r="A178">
        <v>176</v>
      </c>
      <c r="B178" s="18">
        <f>'Raw Data'!N179</f>
        <v>29.4</v>
      </c>
      <c r="C178" s="18">
        <f>'Raw Data'!A179</f>
        <v>6.6640000000000005E-2</v>
      </c>
      <c r="D178" s="5">
        <f>VLOOKUP(B178,'Raw Data'!$N$4:$N$508,1,FALSE)</f>
        <v>29.4</v>
      </c>
      <c r="E178" s="5">
        <f>_xlfn.XLOOKUP(B178,'Raw Data'!$N$4:$N$509,'Raw Data'!$A$4:$A$509,"Not Found")</f>
        <v>6.6640000000000005E-2</v>
      </c>
      <c r="F178" s="5">
        <f>INDEX('Raw Data'!$A$4:$A$508,MATCH(MAX('Raw Data'!$N$4:$N$508),'Raw Data'!$N$4:$N$508,0))</f>
        <v>1.46336</v>
      </c>
      <c r="G178" s="5">
        <f>INDEX('Raw Data'!$F$4:$F$508,MATCH(MIN('Raw Data'!$N$4:$N$508),'Raw Data'!$N$4:$N$508,0))</f>
        <v>5.8520000000000003</v>
      </c>
    </row>
    <row r="179" spans="1:7" x14ac:dyDescent="0.25">
      <c r="A179">
        <v>177</v>
      </c>
      <c r="B179" s="18">
        <f>'Raw Data'!N180</f>
        <v>23.2</v>
      </c>
      <c r="C179" s="18">
        <f>'Raw Data'!A180</f>
        <v>7.0220000000000005E-2</v>
      </c>
      <c r="D179" s="5">
        <f>VLOOKUP(B179,'Raw Data'!$N$4:$N$508,1,FALSE)</f>
        <v>23.2</v>
      </c>
      <c r="E179" s="5">
        <f>_xlfn.XLOOKUP(B179,'Raw Data'!$N$4:$N$509,'Raw Data'!$A$4:$A$509,"Not Found")</f>
        <v>7.0220000000000005E-2</v>
      </c>
      <c r="F179" s="5">
        <f>INDEX('Raw Data'!$A$4:$A$508,MATCH(MAX('Raw Data'!$N$4:$N$508),'Raw Data'!$N$4:$N$508,0))</f>
        <v>1.46336</v>
      </c>
      <c r="G179" s="5">
        <f>INDEX('Raw Data'!$F$4:$F$508,MATCH(MIN('Raw Data'!$N$4:$N$508),'Raw Data'!$N$4:$N$508,0))</f>
        <v>5.8520000000000003</v>
      </c>
    </row>
    <row r="180" spans="1:7" x14ac:dyDescent="0.25">
      <c r="A180">
        <v>178</v>
      </c>
      <c r="B180" s="18">
        <f>'Raw Data'!N181</f>
        <v>24.6</v>
      </c>
      <c r="C180" s="18">
        <f>'Raw Data'!A181</f>
        <v>5.425E-2</v>
      </c>
      <c r="D180" s="5">
        <f>VLOOKUP(B180,'Raw Data'!$N$4:$N$508,1,FALSE)</f>
        <v>24.6</v>
      </c>
      <c r="E180" s="5">
        <f>_xlfn.XLOOKUP(B180,'Raw Data'!$N$4:$N$509,'Raw Data'!$A$4:$A$509,"Not Found")</f>
        <v>5.425E-2</v>
      </c>
      <c r="F180" s="5">
        <f>INDEX('Raw Data'!$A$4:$A$508,MATCH(MAX('Raw Data'!$N$4:$N$508),'Raw Data'!$N$4:$N$508,0))</f>
        <v>1.46336</v>
      </c>
      <c r="G180" s="5">
        <f>INDEX('Raw Data'!$F$4:$F$508,MATCH(MIN('Raw Data'!$N$4:$N$508),'Raw Data'!$N$4:$N$508,0))</f>
        <v>5.8520000000000003</v>
      </c>
    </row>
    <row r="181" spans="1:7" x14ac:dyDescent="0.25">
      <c r="A181">
        <v>179</v>
      </c>
      <c r="B181" s="18">
        <f>'Raw Data'!N182</f>
        <v>29.9</v>
      </c>
      <c r="C181" s="18">
        <f>'Raw Data'!A182</f>
        <v>6.6420000000000007E-2</v>
      </c>
      <c r="D181" s="5">
        <f>VLOOKUP(B181,'Raw Data'!$N$4:$N$508,1,FALSE)</f>
        <v>29.9</v>
      </c>
      <c r="E181" s="5">
        <f>_xlfn.XLOOKUP(B181,'Raw Data'!$N$4:$N$509,'Raw Data'!$A$4:$A$509,"Not Found")</f>
        <v>6.6420000000000007E-2</v>
      </c>
      <c r="F181" s="5">
        <f>INDEX('Raw Data'!$A$4:$A$508,MATCH(MAX('Raw Data'!$N$4:$N$508),'Raw Data'!$N$4:$N$508,0))</f>
        <v>1.46336</v>
      </c>
      <c r="G181" s="5">
        <f>INDEX('Raw Data'!$F$4:$F$508,MATCH(MIN('Raw Data'!$N$4:$N$508),'Raw Data'!$N$4:$N$508,0))</f>
        <v>5.8520000000000003</v>
      </c>
    </row>
    <row r="182" spans="1:7" x14ac:dyDescent="0.25">
      <c r="A182">
        <v>180</v>
      </c>
      <c r="B182" s="18">
        <f>'Raw Data'!N183</f>
        <v>37.200000000000003</v>
      </c>
      <c r="C182" s="18">
        <f>'Raw Data'!A183</f>
        <v>5.7799999999999997E-2</v>
      </c>
      <c r="D182" s="5">
        <f>VLOOKUP(B182,'Raw Data'!$N$4:$N$508,1,FALSE)</f>
        <v>37.200000000000003</v>
      </c>
      <c r="E182" s="5">
        <f>_xlfn.XLOOKUP(B182,'Raw Data'!$N$4:$N$509,'Raw Data'!$A$4:$A$509,"Not Found")</f>
        <v>5.7799999999999997E-2</v>
      </c>
      <c r="F182" s="5">
        <f>INDEX('Raw Data'!$A$4:$A$508,MATCH(MAX('Raw Data'!$N$4:$N$508),'Raw Data'!$N$4:$N$508,0))</f>
        <v>1.46336</v>
      </c>
      <c r="G182" s="5">
        <f>INDEX('Raw Data'!$F$4:$F$508,MATCH(MIN('Raw Data'!$N$4:$N$508),'Raw Data'!$N$4:$N$508,0))</f>
        <v>5.8520000000000003</v>
      </c>
    </row>
    <row r="183" spans="1:7" x14ac:dyDescent="0.25">
      <c r="A183">
        <v>181</v>
      </c>
      <c r="B183" s="18">
        <f>'Raw Data'!N184</f>
        <v>39.799999999999997</v>
      </c>
      <c r="C183" s="18">
        <f>'Raw Data'!A184</f>
        <v>6.5879999999999994E-2</v>
      </c>
      <c r="D183" s="5">
        <f>VLOOKUP(B183,'Raw Data'!$N$4:$N$508,1,FALSE)</f>
        <v>39.799999999999997</v>
      </c>
      <c r="E183" s="5">
        <f>_xlfn.XLOOKUP(B183,'Raw Data'!$N$4:$N$509,'Raw Data'!$A$4:$A$509,"Not Found")</f>
        <v>6.5879999999999994E-2</v>
      </c>
      <c r="F183" s="5">
        <f>INDEX('Raw Data'!$A$4:$A$508,MATCH(MAX('Raw Data'!$N$4:$N$508),'Raw Data'!$N$4:$N$508,0))</f>
        <v>1.46336</v>
      </c>
      <c r="G183" s="5">
        <f>INDEX('Raw Data'!$F$4:$F$508,MATCH(MIN('Raw Data'!$N$4:$N$508),'Raw Data'!$N$4:$N$508,0))</f>
        <v>5.8520000000000003</v>
      </c>
    </row>
    <row r="184" spans="1:7" x14ac:dyDescent="0.25">
      <c r="A184">
        <v>182</v>
      </c>
      <c r="B184" s="18">
        <f>'Raw Data'!N185</f>
        <v>36.200000000000003</v>
      </c>
      <c r="C184" s="18">
        <f>'Raw Data'!A185</f>
        <v>6.8879999999999997E-2</v>
      </c>
      <c r="D184" s="5">
        <f>VLOOKUP(B184,'Raw Data'!$N$4:$N$508,1,FALSE)</f>
        <v>36.200000000000003</v>
      </c>
      <c r="E184" s="5">
        <f>_xlfn.XLOOKUP(B184,'Raw Data'!$N$4:$N$509,'Raw Data'!$A$4:$A$509,"Not Found")</f>
        <v>6.905E-2</v>
      </c>
      <c r="F184" s="5">
        <f>INDEX('Raw Data'!$A$4:$A$508,MATCH(MAX('Raw Data'!$N$4:$N$508),'Raw Data'!$N$4:$N$508,0))</f>
        <v>1.46336</v>
      </c>
      <c r="G184" s="5">
        <f>INDEX('Raw Data'!$F$4:$F$508,MATCH(MIN('Raw Data'!$N$4:$N$508),'Raw Data'!$N$4:$N$508,0))</f>
        <v>5.8520000000000003</v>
      </c>
    </row>
    <row r="185" spans="1:7" x14ac:dyDescent="0.25">
      <c r="A185">
        <v>183</v>
      </c>
      <c r="B185" s="18">
        <f>'Raw Data'!N186</f>
        <v>37.9</v>
      </c>
      <c r="C185" s="18">
        <f>'Raw Data'!A186</f>
        <v>9.103E-2</v>
      </c>
      <c r="D185" s="5">
        <f>VLOOKUP(B185,'Raw Data'!$N$4:$N$508,1,FALSE)</f>
        <v>37.9</v>
      </c>
      <c r="E185" s="5">
        <f>_xlfn.XLOOKUP(B185,'Raw Data'!$N$4:$N$509,'Raw Data'!$A$4:$A$509,"Not Found")</f>
        <v>9.103E-2</v>
      </c>
      <c r="F185" s="5">
        <f>INDEX('Raw Data'!$A$4:$A$508,MATCH(MAX('Raw Data'!$N$4:$N$508),'Raw Data'!$N$4:$N$508,0))</f>
        <v>1.46336</v>
      </c>
      <c r="G185" s="5">
        <f>INDEX('Raw Data'!$F$4:$F$508,MATCH(MIN('Raw Data'!$N$4:$N$508),'Raw Data'!$N$4:$N$508,0))</f>
        <v>5.8520000000000003</v>
      </c>
    </row>
    <row r="186" spans="1:7" x14ac:dyDescent="0.25">
      <c r="A186">
        <v>184</v>
      </c>
      <c r="B186" s="18">
        <f>'Raw Data'!N187</f>
        <v>32.5</v>
      </c>
      <c r="C186" s="18">
        <f>'Raw Data'!A187</f>
        <v>0.10008</v>
      </c>
      <c r="D186" s="5">
        <f>VLOOKUP(B186,'Raw Data'!$N$4:$N$508,1,FALSE)</f>
        <v>32.5</v>
      </c>
      <c r="E186" s="5">
        <f>_xlfn.XLOOKUP(B186,'Raw Data'!$N$4:$N$509,'Raw Data'!$A$4:$A$509,"Not Found")</f>
        <v>0.10008</v>
      </c>
      <c r="F186" s="5">
        <f>INDEX('Raw Data'!$A$4:$A$508,MATCH(MAX('Raw Data'!$N$4:$N$508),'Raw Data'!$N$4:$N$508,0))</f>
        <v>1.46336</v>
      </c>
      <c r="G186" s="5">
        <f>INDEX('Raw Data'!$F$4:$F$508,MATCH(MIN('Raw Data'!$N$4:$N$508),'Raw Data'!$N$4:$N$508,0))</f>
        <v>5.8520000000000003</v>
      </c>
    </row>
    <row r="187" spans="1:7" x14ac:dyDescent="0.25">
      <c r="A187">
        <v>185</v>
      </c>
      <c r="B187" s="18">
        <f>'Raw Data'!N188</f>
        <v>26.4</v>
      </c>
      <c r="C187" s="18">
        <f>'Raw Data'!A188</f>
        <v>8.3080000000000001E-2</v>
      </c>
      <c r="D187" s="5">
        <f>VLOOKUP(B187,'Raw Data'!$N$4:$N$508,1,FALSE)</f>
        <v>26.4</v>
      </c>
      <c r="E187" s="5">
        <f>_xlfn.XLOOKUP(B187,'Raw Data'!$N$4:$N$509,'Raw Data'!$A$4:$A$509,"Not Found")</f>
        <v>8.3080000000000001E-2</v>
      </c>
      <c r="F187" s="5">
        <f>INDEX('Raw Data'!$A$4:$A$508,MATCH(MAX('Raw Data'!$N$4:$N$508),'Raw Data'!$N$4:$N$508,0))</f>
        <v>1.46336</v>
      </c>
      <c r="G187" s="5">
        <f>INDEX('Raw Data'!$F$4:$F$508,MATCH(MIN('Raw Data'!$N$4:$N$508),'Raw Data'!$N$4:$N$508,0))</f>
        <v>5.8520000000000003</v>
      </c>
    </row>
    <row r="188" spans="1:7" x14ac:dyDescent="0.25">
      <c r="A188">
        <v>186</v>
      </c>
      <c r="B188" s="18">
        <f>'Raw Data'!N189</f>
        <v>29.6</v>
      </c>
      <c r="C188" s="18">
        <f>'Raw Data'!A189</f>
        <v>6.0470000000000003E-2</v>
      </c>
      <c r="D188" s="5">
        <f>VLOOKUP(B188,'Raw Data'!$N$4:$N$508,1,FALSE)</f>
        <v>29.6</v>
      </c>
      <c r="E188" s="5">
        <f>_xlfn.XLOOKUP(B188,'Raw Data'!$N$4:$N$509,'Raw Data'!$A$4:$A$509,"Not Found")</f>
        <v>6.0470000000000003E-2</v>
      </c>
      <c r="F188" s="5">
        <f>INDEX('Raw Data'!$A$4:$A$508,MATCH(MAX('Raw Data'!$N$4:$N$508),'Raw Data'!$N$4:$N$508,0))</f>
        <v>1.46336</v>
      </c>
      <c r="G188" s="5">
        <f>INDEX('Raw Data'!$F$4:$F$508,MATCH(MIN('Raw Data'!$N$4:$N$508),'Raw Data'!$N$4:$N$508,0))</f>
        <v>5.8520000000000003</v>
      </c>
    </row>
    <row r="189" spans="1:7" x14ac:dyDescent="0.25">
      <c r="A189">
        <v>187</v>
      </c>
      <c r="B189" s="18">
        <f>'Raw Data'!N190</f>
        <v>50</v>
      </c>
      <c r="C189" s="18">
        <f>'Raw Data'!A190</f>
        <v>5.602E-2</v>
      </c>
      <c r="D189" s="5">
        <f>VLOOKUP(B189,'Raw Data'!$N$4:$N$508,1,FALSE)</f>
        <v>50</v>
      </c>
      <c r="E189" s="5">
        <f>_xlfn.XLOOKUP(B189,'Raw Data'!$N$4:$N$509,'Raw Data'!$A$4:$A$509,"Not Found")</f>
        <v>1.46336</v>
      </c>
      <c r="F189" s="5">
        <f>INDEX('Raw Data'!$A$4:$A$508,MATCH(MAX('Raw Data'!$N$4:$N$508),'Raw Data'!$N$4:$N$508,0))</f>
        <v>1.46336</v>
      </c>
      <c r="G189" s="5">
        <f>INDEX('Raw Data'!$F$4:$F$508,MATCH(MIN('Raw Data'!$N$4:$N$508),'Raw Data'!$N$4:$N$508,0))</f>
        <v>5.8520000000000003</v>
      </c>
    </row>
    <row r="190" spans="1:7" x14ac:dyDescent="0.25">
      <c r="A190">
        <v>188</v>
      </c>
      <c r="B190" s="18">
        <f>'Raw Data'!N191</f>
        <v>32</v>
      </c>
      <c r="C190" s="18">
        <f>'Raw Data'!A191</f>
        <v>7.8750000000000001E-2</v>
      </c>
      <c r="D190" s="5">
        <f>VLOOKUP(B190,'Raw Data'!$N$4:$N$508,1,FALSE)</f>
        <v>32</v>
      </c>
      <c r="E190" s="5">
        <f>_xlfn.XLOOKUP(B190,'Raw Data'!$N$4:$N$509,'Raw Data'!$A$4:$A$509,"Not Found")</f>
        <v>7.8750000000000001E-2</v>
      </c>
      <c r="F190" s="5">
        <f>INDEX('Raw Data'!$A$4:$A$508,MATCH(MAX('Raw Data'!$N$4:$N$508),'Raw Data'!$N$4:$N$508,0))</f>
        <v>1.46336</v>
      </c>
      <c r="G190" s="5">
        <f>INDEX('Raw Data'!$F$4:$F$508,MATCH(MIN('Raw Data'!$N$4:$N$508),'Raw Data'!$N$4:$N$508,0))</f>
        <v>5.8520000000000003</v>
      </c>
    </row>
    <row r="191" spans="1:7" x14ac:dyDescent="0.25">
      <c r="A191">
        <v>189</v>
      </c>
      <c r="B191" s="18">
        <f>'Raw Data'!N192</f>
        <v>29.8</v>
      </c>
      <c r="C191" s="18">
        <f>'Raw Data'!A192</f>
        <v>0.12579000000000001</v>
      </c>
      <c r="D191" s="5">
        <f>VLOOKUP(B191,'Raw Data'!$N$4:$N$508,1,FALSE)</f>
        <v>29.8</v>
      </c>
      <c r="E191" s="5">
        <f>_xlfn.XLOOKUP(B191,'Raw Data'!$N$4:$N$509,'Raw Data'!$A$4:$A$509,"Not Found")</f>
        <v>0.12579000000000001</v>
      </c>
      <c r="F191" s="5">
        <f>INDEX('Raw Data'!$A$4:$A$508,MATCH(MAX('Raw Data'!$N$4:$N$508),'Raw Data'!$N$4:$N$508,0))</f>
        <v>1.46336</v>
      </c>
      <c r="G191" s="5">
        <f>INDEX('Raw Data'!$F$4:$F$508,MATCH(MIN('Raw Data'!$N$4:$N$508),'Raw Data'!$N$4:$N$508,0))</f>
        <v>5.8520000000000003</v>
      </c>
    </row>
    <row r="192" spans="1:7" x14ac:dyDescent="0.25">
      <c r="A192">
        <v>190</v>
      </c>
      <c r="B192" s="18">
        <f>'Raw Data'!N193</f>
        <v>34.9</v>
      </c>
      <c r="C192" s="18">
        <f>'Raw Data'!A193</f>
        <v>8.3699999999999997E-2</v>
      </c>
      <c r="D192" s="5">
        <f>VLOOKUP(B192,'Raw Data'!$N$4:$N$508,1,FALSE)</f>
        <v>34.9</v>
      </c>
      <c r="E192" s="5">
        <f>_xlfn.XLOOKUP(B192,'Raw Data'!$N$4:$N$509,'Raw Data'!$A$4:$A$509,"Not Found")</f>
        <v>3.3590000000000002E-2</v>
      </c>
      <c r="F192" s="5">
        <f>INDEX('Raw Data'!$A$4:$A$508,MATCH(MAX('Raw Data'!$N$4:$N$508),'Raw Data'!$N$4:$N$508,0))</f>
        <v>1.46336</v>
      </c>
      <c r="G192" s="5">
        <f>INDEX('Raw Data'!$F$4:$F$508,MATCH(MIN('Raw Data'!$N$4:$N$508),'Raw Data'!$N$4:$N$508,0))</f>
        <v>5.8520000000000003</v>
      </c>
    </row>
    <row r="193" spans="1:7" x14ac:dyDescent="0.25">
      <c r="A193">
        <v>191</v>
      </c>
      <c r="B193" s="18">
        <f>'Raw Data'!N194</f>
        <v>37</v>
      </c>
      <c r="C193" s="18">
        <f>'Raw Data'!A194</f>
        <v>9.0679999999999997E-2</v>
      </c>
      <c r="D193" s="5">
        <f>VLOOKUP(B193,'Raw Data'!$N$4:$N$508,1,FALSE)</f>
        <v>37</v>
      </c>
      <c r="E193" s="5">
        <f>_xlfn.XLOOKUP(B193,'Raw Data'!$N$4:$N$509,'Raw Data'!$A$4:$A$509,"Not Found")</f>
        <v>9.0679999999999997E-2</v>
      </c>
      <c r="F193" s="5">
        <f>INDEX('Raw Data'!$A$4:$A$508,MATCH(MAX('Raw Data'!$N$4:$N$508),'Raw Data'!$N$4:$N$508,0))</f>
        <v>1.46336</v>
      </c>
      <c r="G193" s="5">
        <f>INDEX('Raw Data'!$F$4:$F$508,MATCH(MIN('Raw Data'!$N$4:$N$508),'Raw Data'!$N$4:$N$508,0))</f>
        <v>5.8520000000000003</v>
      </c>
    </row>
    <row r="194" spans="1:7" x14ac:dyDescent="0.25">
      <c r="A194">
        <v>192</v>
      </c>
      <c r="B194" s="18">
        <f>'Raw Data'!N195</f>
        <v>30.5</v>
      </c>
      <c r="C194" s="18">
        <f>'Raw Data'!A195</f>
        <v>6.9110000000000005E-2</v>
      </c>
      <c r="D194" s="5">
        <f>VLOOKUP(B194,'Raw Data'!$N$4:$N$508,1,FALSE)</f>
        <v>30.5</v>
      </c>
      <c r="E194" s="5">
        <f>_xlfn.XLOOKUP(B194,'Raw Data'!$N$4:$N$509,'Raw Data'!$A$4:$A$509,"Not Found")</f>
        <v>6.9110000000000005E-2</v>
      </c>
      <c r="F194" s="5">
        <f>INDEX('Raw Data'!$A$4:$A$508,MATCH(MAX('Raw Data'!$N$4:$N$508),'Raw Data'!$N$4:$N$508,0))</f>
        <v>1.46336</v>
      </c>
      <c r="G194" s="5">
        <f>INDEX('Raw Data'!$F$4:$F$508,MATCH(MIN('Raw Data'!$N$4:$N$508),'Raw Data'!$N$4:$N$508,0))</f>
        <v>5.8520000000000003</v>
      </c>
    </row>
    <row r="195" spans="1:7" x14ac:dyDescent="0.25">
      <c r="A195">
        <v>193</v>
      </c>
      <c r="B195" s="18">
        <f>'Raw Data'!N196</f>
        <v>36.4</v>
      </c>
      <c r="C195" s="18">
        <f>'Raw Data'!A196</f>
        <v>8.6639999999999995E-2</v>
      </c>
      <c r="D195" s="5">
        <f>VLOOKUP(B195,'Raw Data'!$N$4:$N$508,1,FALSE)</f>
        <v>36.4</v>
      </c>
      <c r="E195" s="5">
        <f>_xlfn.XLOOKUP(B195,'Raw Data'!$N$4:$N$509,'Raw Data'!$A$4:$A$509,"Not Found")</f>
        <v>8.6639999999999995E-2</v>
      </c>
      <c r="F195" s="5">
        <f>INDEX('Raw Data'!$A$4:$A$508,MATCH(MAX('Raw Data'!$N$4:$N$508),'Raw Data'!$N$4:$N$508,0))</f>
        <v>1.46336</v>
      </c>
      <c r="G195" s="5">
        <f>INDEX('Raw Data'!$F$4:$F$508,MATCH(MIN('Raw Data'!$N$4:$N$508),'Raw Data'!$N$4:$N$508,0))</f>
        <v>5.8520000000000003</v>
      </c>
    </row>
    <row r="196" spans="1:7" x14ac:dyDescent="0.25">
      <c r="A196">
        <v>194</v>
      </c>
      <c r="B196" s="18">
        <f>'Raw Data'!N197</f>
        <v>31.1</v>
      </c>
      <c r="C196" s="18">
        <f>'Raw Data'!A197</f>
        <v>2.1870000000000001E-2</v>
      </c>
      <c r="D196" s="5">
        <f>VLOOKUP(B196,'Raw Data'!$N$4:$N$508,1,FALSE)</f>
        <v>31.1</v>
      </c>
      <c r="E196" s="5">
        <f>_xlfn.XLOOKUP(B196,'Raw Data'!$N$4:$N$509,'Raw Data'!$A$4:$A$509,"Not Found")</f>
        <v>2.1870000000000001E-2</v>
      </c>
      <c r="F196" s="5">
        <f>INDEX('Raw Data'!$A$4:$A$508,MATCH(MAX('Raw Data'!$N$4:$N$508),'Raw Data'!$N$4:$N$508,0))</f>
        <v>1.46336</v>
      </c>
      <c r="G196" s="5">
        <f>INDEX('Raw Data'!$F$4:$F$508,MATCH(MIN('Raw Data'!$N$4:$N$508),'Raw Data'!$N$4:$N$508,0))</f>
        <v>5.8520000000000003</v>
      </c>
    </row>
    <row r="197" spans="1:7" x14ac:dyDescent="0.25">
      <c r="A197">
        <v>195</v>
      </c>
      <c r="B197" s="18">
        <f>'Raw Data'!N198</f>
        <v>29.1</v>
      </c>
      <c r="C197" s="18">
        <f>'Raw Data'!A198</f>
        <v>1.439E-2</v>
      </c>
      <c r="D197" s="5">
        <f>VLOOKUP(B197,'Raw Data'!$N$4:$N$508,1,FALSE)</f>
        <v>29.1</v>
      </c>
      <c r="E197" s="5">
        <f>_xlfn.XLOOKUP(B197,'Raw Data'!$N$4:$N$509,'Raw Data'!$A$4:$A$509,"Not Found")</f>
        <v>1.439E-2</v>
      </c>
      <c r="F197" s="5">
        <f>INDEX('Raw Data'!$A$4:$A$508,MATCH(MAX('Raw Data'!$N$4:$N$508),'Raw Data'!$N$4:$N$508,0))</f>
        <v>1.46336</v>
      </c>
      <c r="G197" s="5">
        <f>INDEX('Raw Data'!$F$4:$F$508,MATCH(MIN('Raw Data'!$N$4:$N$508),'Raw Data'!$N$4:$N$508,0))</f>
        <v>5.8520000000000003</v>
      </c>
    </row>
    <row r="198" spans="1:7" x14ac:dyDescent="0.25">
      <c r="A198">
        <v>196</v>
      </c>
      <c r="B198" s="18">
        <f>'Raw Data'!N199</f>
        <v>50</v>
      </c>
      <c r="C198" s="18">
        <f>'Raw Data'!A199</f>
        <v>1.3809999999999999E-2</v>
      </c>
      <c r="D198" s="5">
        <f>VLOOKUP(B198,'Raw Data'!$N$4:$N$508,1,FALSE)</f>
        <v>50</v>
      </c>
      <c r="E198" s="5">
        <f>_xlfn.XLOOKUP(B198,'Raw Data'!$N$4:$N$509,'Raw Data'!$A$4:$A$509,"Not Found")</f>
        <v>1.46336</v>
      </c>
      <c r="F198" s="5">
        <f>INDEX('Raw Data'!$A$4:$A$508,MATCH(MAX('Raw Data'!$N$4:$N$508),'Raw Data'!$N$4:$N$508,0))</f>
        <v>1.46336</v>
      </c>
      <c r="G198" s="5">
        <f>INDEX('Raw Data'!$F$4:$F$508,MATCH(MIN('Raw Data'!$N$4:$N$508),'Raw Data'!$N$4:$N$508,0))</f>
        <v>5.8520000000000003</v>
      </c>
    </row>
    <row r="199" spans="1:7" x14ac:dyDescent="0.25">
      <c r="A199">
        <v>197</v>
      </c>
      <c r="B199" s="18">
        <f>'Raw Data'!N200</f>
        <v>33.299999999999997</v>
      </c>
      <c r="C199" s="18">
        <f>'Raw Data'!A200</f>
        <v>4.011E-2</v>
      </c>
      <c r="D199" s="5">
        <f>VLOOKUP(B199,'Raw Data'!$N$4:$N$508,1,FALSE)</f>
        <v>33.299999999999997</v>
      </c>
      <c r="E199" s="5">
        <f>_xlfn.XLOOKUP(B199,'Raw Data'!$N$4:$N$509,'Raw Data'!$A$4:$A$509,"Not Found")</f>
        <v>4.011E-2</v>
      </c>
      <c r="F199" s="5">
        <f>INDEX('Raw Data'!$A$4:$A$508,MATCH(MAX('Raw Data'!$N$4:$N$508),'Raw Data'!$N$4:$N$508,0))</f>
        <v>1.46336</v>
      </c>
      <c r="G199" s="5">
        <f>INDEX('Raw Data'!$F$4:$F$508,MATCH(MIN('Raw Data'!$N$4:$N$508),'Raw Data'!$N$4:$N$508,0))</f>
        <v>5.8520000000000003</v>
      </c>
    </row>
    <row r="200" spans="1:7" x14ac:dyDescent="0.25">
      <c r="A200">
        <v>198</v>
      </c>
      <c r="B200" s="18">
        <f>'Raw Data'!N201</f>
        <v>30.3</v>
      </c>
      <c r="C200" s="18">
        <f>'Raw Data'!A201</f>
        <v>4.666E-2</v>
      </c>
      <c r="D200" s="5">
        <f>VLOOKUP(B200,'Raw Data'!$N$4:$N$508,1,FALSE)</f>
        <v>30.3</v>
      </c>
      <c r="E200" s="5">
        <f>_xlfn.XLOOKUP(B200,'Raw Data'!$N$4:$N$509,'Raw Data'!$A$4:$A$509,"Not Found")</f>
        <v>4.666E-2</v>
      </c>
      <c r="F200" s="5">
        <f>INDEX('Raw Data'!$A$4:$A$508,MATCH(MAX('Raw Data'!$N$4:$N$508),'Raw Data'!$N$4:$N$508,0))</f>
        <v>1.46336</v>
      </c>
      <c r="G200" s="5">
        <f>INDEX('Raw Data'!$F$4:$F$508,MATCH(MIN('Raw Data'!$N$4:$N$508),'Raw Data'!$N$4:$N$508,0))</f>
        <v>5.8520000000000003</v>
      </c>
    </row>
    <row r="201" spans="1:7" x14ac:dyDescent="0.25">
      <c r="A201">
        <v>199</v>
      </c>
      <c r="B201" s="18">
        <f>'Raw Data'!N202</f>
        <v>34.6</v>
      </c>
      <c r="C201" s="18">
        <f>'Raw Data'!A202</f>
        <v>3.7679999999999998E-2</v>
      </c>
      <c r="D201" s="5">
        <f>VLOOKUP(B201,'Raw Data'!$N$4:$N$508,1,FALSE)</f>
        <v>34.6</v>
      </c>
      <c r="E201" s="5">
        <f>_xlfn.XLOOKUP(B201,'Raw Data'!$N$4:$N$509,'Raw Data'!$A$4:$A$509,"Not Found")</f>
        <v>3.7679999999999998E-2</v>
      </c>
      <c r="F201" s="5">
        <f>INDEX('Raw Data'!$A$4:$A$508,MATCH(MAX('Raw Data'!$N$4:$N$508),'Raw Data'!$N$4:$N$508,0))</f>
        <v>1.46336</v>
      </c>
      <c r="G201" s="5">
        <f>INDEX('Raw Data'!$F$4:$F$508,MATCH(MIN('Raw Data'!$N$4:$N$508),'Raw Data'!$N$4:$N$508,0))</f>
        <v>5.8520000000000003</v>
      </c>
    </row>
    <row r="202" spans="1:7" x14ac:dyDescent="0.25">
      <c r="A202">
        <v>200</v>
      </c>
      <c r="B202" s="18">
        <f>'Raw Data'!N203</f>
        <v>34.9</v>
      </c>
      <c r="C202" s="18">
        <f>'Raw Data'!A203</f>
        <v>3.15E-2</v>
      </c>
      <c r="D202" s="5">
        <f>VLOOKUP(B202,'Raw Data'!$N$4:$N$508,1,FALSE)</f>
        <v>34.9</v>
      </c>
      <c r="E202" s="5">
        <f>_xlfn.XLOOKUP(B202,'Raw Data'!$N$4:$N$509,'Raw Data'!$A$4:$A$509,"Not Found")</f>
        <v>3.3590000000000002E-2</v>
      </c>
      <c r="F202" s="5">
        <f>INDEX('Raw Data'!$A$4:$A$508,MATCH(MAX('Raw Data'!$N$4:$N$508),'Raw Data'!$N$4:$N$508,0))</f>
        <v>1.46336</v>
      </c>
      <c r="G202" s="5">
        <f>INDEX('Raw Data'!$F$4:$F$508,MATCH(MIN('Raw Data'!$N$4:$N$508),'Raw Data'!$N$4:$N$508,0))</f>
        <v>5.8520000000000003</v>
      </c>
    </row>
    <row r="203" spans="1:7" x14ac:dyDescent="0.25">
      <c r="A203">
        <v>201</v>
      </c>
      <c r="B203" s="18">
        <f>'Raw Data'!N204</f>
        <v>32.9</v>
      </c>
      <c r="C203" s="18">
        <f>'Raw Data'!A204</f>
        <v>1.7780000000000001E-2</v>
      </c>
      <c r="D203" s="5">
        <f>VLOOKUP(B203,'Raw Data'!$N$4:$N$508,1,FALSE)</f>
        <v>32.9</v>
      </c>
      <c r="E203" s="5">
        <f>_xlfn.XLOOKUP(B203,'Raw Data'!$N$4:$N$509,'Raw Data'!$A$4:$A$509,"Not Found")</f>
        <v>1.7780000000000001E-2</v>
      </c>
      <c r="F203" s="5">
        <f>INDEX('Raw Data'!$A$4:$A$508,MATCH(MAX('Raw Data'!$N$4:$N$508),'Raw Data'!$N$4:$N$508,0))</f>
        <v>1.46336</v>
      </c>
      <c r="G203" s="5">
        <f>INDEX('Raw Data'!$F$4:$F$508,MATCH(MIN('Raw Data'!$N$4:$N$508),'Raw Data'!$N$4:$N$508,0))</f>
        <v>5.8520000000000003</v>
      </c>
    </row>
    <row r="204" spans="1:7" x14ac:dyDescent="0.25">
      <c r="A204">
        <v>202</v>
      </c>
      <c r="B204" s="18">
        <f>'Raw Data'!N205</f>
        <v>24.1</v>
      </c>
      <c r="C204" s="18">
        <f>'Raw Data'!A205</f>
        <v>3.4450000000000001E-2</v>
      </c>
      <c r="D204" s="5">
        <f>VLOOKUP(B204,'Raw Data'!$N$4:$N$508,1,FALSE)</f>
        <v>24.1</v>
      </c>
      <c r="E204" s="5">
        <f>_xlfn.XLOOKUP(B204,'Raw Data'!$N$4:$N$509,'Raw Data'!$A$4:$A$509,"Not Found")</f>
        <v>7.8960000000000002E-2</v>
      </c>
      <c r="F204" s="5">
        <f>INDEX('Raw Data'!$A$4:$A$508,MATCH(MAX('Raw Data'!$N$4:$N$508),'Raw Data'!$N$4:$N$508,0))</f>
        <v>1.46336</v>
      </c>
      <c r="G204" s="5">
        <f>INDEX('Raw Data'!$F$4:$F$508,MATCH(MIN('Raw Data'!$N$4:$N$508),'Raw Data'!$N$4:$N$508,0))</f>
        <v>5.8520000000000003</v>
      </c>
    </row>
    <row r="205" spans="1:7" x14ac:dyDescent="0.25">
      <c r="A205">
        <v>203</v>
      </c>
      <c r="B205" s="18">
        <f>'Raw Data'!N206</f>
        <v>42.3</v>
      </c>
      <c r="C205" s="18">
        <f>'Raw Data'!A206</f>
        <v>2.1770000000000001E-2</v>
      </c>
      <c r="D205" s="5">
        <f>VLOOKUP(B205,'Raw Data'!$N$4:$N$508,1,FALSE)</f>
        <v>42.3</v>
      </c>
      <c r="E205" s="5">
        <f>_xlfn.XLOOKUP(B205,'Raw Data'!$N$4:$N$509,'Raw Data'!$A$4:$A$509,"Not Found")</f>
        <v>2.1770000000000001E-2</v>
      </c>
      <c r="F205" s="5">
        <f>INDEX('Raw Data'!$A$4:$A$508,MATCH(MAX('Raw Data'!$N$4:$N$508),'Raw Data'!$N$4:$N$508,0))</f>
        <v>1.46336</v>
      </c>
      <c r="G205" s="5">
        <f>INDEX('Raw Data'!$F$4:$F$508,MATCH(MIN('Raw Data'!$N$4:$N$508),'Raw Data'!$N$4:$N$508,0))</f>
        <v>5.8520000000000003</v>
      </c>
    </row>
    <row r="206" spans="1:7" x14ac:dyDescent="0.25">
      <c r="A206">
        <v>204</v>
      </c>
      <c r="B206" s="18">
        <f>'Raw Data'!N207</f>
        <v>48.5</v>
      </c>
      <c r="C206" s="18">
        <f>'Raw Data'!A207</f>
        <v>3.5099999999999999E-2</v>
      </c>
      <c r="D206" s="5">
        <f>VLOOKUP(B206,'Raw Data'!$N$4:$N$508,1,FALSE)</f>
        <v>48.5</v>
      </c>
      <c r="E206" s="5">
        <f>_xlfn.XLOOKUP(B206,'Raw Data'!$N$4:$N$509,'Raw Data'!$A$4:$A$509,"Not Found")</f>
        <v>3.5099999999999999E-2</v>
      </c>
      <c r="F206" s="5">
        <f>INDEX('Raw Data'!$A$4:$A$508,MATCH(MAX('Raw Data'!$N$4:$N$508),'Raw Data'!$N$4:$N$508,0))</f>
        <v>1.46336</v>
      </c>
      <c r="G206" s="5">
        <f>INDEX('Raw Data'!$F$4:$F$508,MATCH(MIN('Raw Data'!$N$4:$N$508),'Raw Data'!$N$4:$N$508,0))</f>
        <v>5.8520000000000003</v>
      </c>
    </row>
    <row r="207" spans="1:7" x14ac:dyDescent="0.25">
      <c r="A207">
        <v>205</v>
      </c>
      <c r="B207" s="18">
        <f>'Raw Data'!N208</f>
        <v>50</v>
      </c>
      <c r="C207" s="18">
        <f>'Raw Data'!A208</f>
        <v>2.009E-2</v>
      </c>
      <c r="D207" s="5">
        <f>VLOOKUP(B207,'Raw Data'!$N$4:$N$508,1,FALSE)</f>
        <v>50</v>
      </c>
      <c r="E207" s="5">
        <f>_xlfn.XLOOKUP(B207,'Raw Data'!$N$4:$N$509,'Raw Data'!$A$4:$A$509,"Not Found")</f>
        <v>1.46336</v>
      </c>
      <c r="F207" s="5">
        <f>INDEX('Raw Data'!$A$4:$A$508,MATCH(MAX('Raw Data'!$N$4:$N$508),'Raw Data'!$N$4:$N$508,0))</f>
        <v>1.46336</v>
      </c>
      <c r="G207" s="5">
        <f>INDEX('Raw Data'!$F$4:$F$508,MATCH(MIN('Raw Data'!$N$4:$N$508),'Raw Data'!$N$4:$N$508,0))</f>
        <v>5.8520000000000003</v>
      </c>
    </row>
    <row r="208" spans="1:7" x14ac:dyDescent="0.25">
      <c r="A208">
        <v>206</v>
      </c>
      <c r="B208" s="18">
        <f>'Raw Data'!N209</f>
        <v>22.6</v>
      </c>
      <c r="C208" s="18">
        <f>'Raw Data'!A209</f>
        <v>0.13642000000000001</v>
      </c>
      <c r="D208" s="5">
        <f>VLOOKUP(B208,'Raw Data'!$N$4:$N$508,1,FALSE)</f>
        <v>22.6</v>
      </c>
      <c r="E208" s="5">
        <f>_xlfn.XLOOKUP(B208,'Raw Data'!$N$4:$N$509,'Raw Data'!$A$4:$A$509,"Not Found")</f>
        <v>4.684E-2</v>
      </c>
      <c r="F208" s="5">
        <f>INDEX('Raw Data'!$A$4:$A$508,MATCH(MAX('Raw Data'!$N$4:$N$508),'Raw Data'!$N$4:$N$508,0))</f>
        <v>1.46336</v>
      </c>
      <c r="G208" s="5">
        <f>INDEX('Raw Data'!$F$4:$F$508,MATCH(MIN('Raw Data'!$N$4:$N$508),'Raw Data'!$N$4:$N$508,0))</f>
        <v>5.8520000000000003</v>
      </c>
    </row>
    <row r="209" spans="1:7" x14ac:dyDescent="0.25">
      <c r="A209">
        <v>207</v>
      </c>
      <c r="B209" s="18">
        <f>'Raw Data'!N210</f>
        <v>24.4</v>
      </c>
      <c r="C209" s="18">
        <f>'Raw Data'!A210</f>
        <v>0.22969000000000001</v>
      </c>
      <c r="D209" s="5">
        <f>VLOOKUP(B209,'Raw Data'!$N$4:$N$508,1,FALSE)</f>
        <v>24.4</v>
      </c>
      <c r="E209" s="5">
        <f>_xlfn.XLOOKUP(B209,'Raw Data'!$N$4:$N$509,'Raw Data'!$A$4:$A$509,"Not Found")</f>
        <v>0.22969000000000001</v>
      </c>
      <c r="F209" s="5">
        <f>INDEX('Raw Data'!$A$4:$A$508,MATCH(MAX('Raw Data'!$N$4:$N$508),'Raw Data'!$N$4:$N$508,0))</f>
        <v>1.46336</v>
      </c>
      <c r="G209" s="5">
        <f>INDEX('Raw Data'!$F$4:$F$508,MATCH(MIN('Raw Data'!$N$4:$N$508),'Raw Data'!$N$4:$N$508,0))</f>
        <v>5.8520000000000003</v>
      </c>
    </row>
    <row r="210" spans="1:7" x14ac:dyDescent="0.25">
      <c r="A210">
        <v>208</v>
      </c>
      <c r="B210" s="18">
        <f>'Raw Data'!N211</f>
        <v>22.5</v>
      </c>
      <c r="C210" s="18">
        <f>'Raw Data'!A211</f>
        <v>0.25198999999999999</v>
      </c>
      <c r="D210" s="5">
        <f>VLOOKUP(B210,'Raw Data'!$N$4:$N$508,1,FALSE)</f>
        <v>22.5</v>
      </c>
      <c r="E210" s="5">
        <f>_xlfn.XLOOKUP(B210,'Raw Data'!$N$4:$N$509,'Raw Data'!$A$4:$A$509,"Not Found")</f>
        <v>5.1880000000000003E-2</v>
      </c>
      <c r="F210" s="5">
        <f>INDEX('Raw Data'!$A$4:$A$508,MATCH(MAX('Raw Data'!$N$4:$N$508),'Raw Data'!$N$4:$N$508,0))</f>
        <v>1.46336</v>
      </c>
      <c r="G210" s="5">
        <f>INDEX('Raw Data'!$F$4:$F$508,MATCH(MIN('Raw Data'!$N$4:$N$508),'Raw Data'!$N$4:$N$508,0))</f>
        <v>5.8520000000000003</v>
      </c>
    </row>
    <row r="211" spans="1:7" x14ac:dyDescent="0.25">
      <c r="A211">
        <v>209</v>
      </c>
      <c r="B211" s="18">
        <f>'Raw Data'!N212</f>
        <v>24.4</v>
      </c>
      <c r="C211" s="18">
        <f>'Raw Data'!A212</f>
        <v>0.13586999999999999</v>
      </c>
      <c r="D211" s="5">
        <f>VLOOKUP(B211,'Raw Data'!$N$4:$N$508,1,FALSE)</f>
        <v>24.4</v>
      </c>
      <c r="E211" s="5">
        <f>_xlfn.XLOOKUP(B211,'Raw Data'!$N$4:$N$509,'Raw Data'!$A$4:$A$509,"Not Found")</f>
        <v>0.22969000000000001</v>
      </c>
      <c r="F211" s="5">
        <f>INDEX('Raw Data'!$A$4:$A$508,MATCH(MAX('Raw Data'!$N$4:$N$508),'Raw Data'!$N$4:$N$508,0))</f>
        <v>1.46336</v>
      </c>
      <c r="G211" s="5">
        <f>INDEX('Raw Data'!$F$4:$F$508,MATCH(MIN('Raw Data'!$N$4:$N$508),'Raw Data'!$N$4:$N$508,0))</f>
        <v>5.8520000000000003</v>
      </c>
    </row>
    <row r="212" spans="1:7" x14ac:dyDescent="0.25">
      <c r="A212">
        <v>210</v>
      </c>
      <c r="B212" s="18">
        <f>'Raw Data'!N213</f>
        <v>20</v>
      </c>
      <c r="C212" s="18">
        <f>'Raw Data'!A213</f>
        <v>0.43570999999999999</v>
      </c>
      <c r="D212" s="5">
        <f>VLOOKUP(B212,'Raw Data'!$N$4:$N$508,1,FALSE)</f>
        <v>20</v>
      </c>
      <c r="E212" s="5">
        <f>_xlfn.XLOOKUP(B212,'Raw Data'!$N$4:$N$509,'Raw Data'!$A$4:$A$509,"Not Found")</f>
        <v>9.7439999999999999E-2</v>
      </c>
      <c r="F212" s="5">
        <f>INDEX('Raw Data'!$A$4:$A$508,MATCH(MAX('Raw Data'!$N$4:$N$508),'Raw Data'!$N$4:$N$508,0))</f>
        <v>1.46336</v>
      </c>
      <c r="G212" s="5">
        <f>INDEX('Raw Data'!$F$4:$F$508,MATCH(MIN('Raw Data'!$N$4:$N$508),'Raw Data'!$N$4:$N$508,0))</f>
        <v>5.8520000000000003</v>
      </c>
    </row>
    <row r="213" spans="1:7" x14ac:dyDescent="0.25">
      <c r="A213">
        <v>211</v>
      </c>
      <c r="B213" s="18">
        <f>'Raw Data'!N214</f>
        <v>21.7</v>
      </c>
      <c r="C213" s="18">
        <f>'Raw Data'!A214</f>
        <v>0.17446</v>
      </c>
      <c r="D213" s="5">
        <f>VLOOKUP(B213,'Raw Data'!$N$4:$N$508,1,FALSE)</f>
        <v>21.7</v>
      </c>
      <c r="E213" s="5">
        <f>_xlfn.XLOOKUP(B213,'Raw Data'!$N$4:$N$509,'Raw Data'!$A$4:$A$509,"Not Found")</f>
        <v>9.3780000000000002E-2</v>
      </c>
      <c r="F213" s="5">
        <f>INDEX('Raw Data'!$A$4:$A$508,MATCH(MAX('Raw Data'!$N$4:$N$508),'Raw Data'!$N$4:$N$508,0))</f>
        <v>1.46336</v>
      </c>
      <c r="G213" s="5">
        <f>INDEX('Raw Data'!$F$4:$F$508,MATCH(MIN('Raw Data'!$N$4:$N$508),'Raw Data'!$N$4:$N$508,0))</f>
        <v>5.8520000000000003</v>
      </c>
    </row>
    <row r="214" spans="1:7" x14ac:dyDescent="0.25">
      <c r="A214">
        <v>212</v>
      </c>
      <c r="B214" s="18">
        <f>'Raw Data'!N215</f>
        <v>19.3</v>
      </c>
      <c r="C214" s="18">
        <f>'Raw Data'!A215</f>
        <v>0.37578</v>
      </c>
      <c r="D214" s="5">
        <f>VLOOKUP(B214,'Raw Data'!$N$4:$N$508,1,FALSE)</f>
        <v>19.3</v>
      </c>
      <c r="E214" s="5">
        <f>_xlfn.XLOOKUP(B214,'Raw Data'!$N$4:$N$509,'Raw Data'!$A$4:$A$509,"Not Found")</f>
        <v>0.17141999999999999</v>
      </c>
      <c r="F214" s="5">
        <f>INDEX('Raw Data'!$A$4:$A$508,MATCH(MAX('Raw Data'!$N$4:$N$508),'Raw Data'!$N$4:$N$508,0))</f>
        <v>1.46336</v>
      </c>
      <c r="G214" s="5">
        <f>INDEX('Raw Data'!$F$4:$F$508,MATCH(MIN('Raw Data'!$N$4:$N$508),'Raw Data'!$N$4:$N$508,0))</f>
        <v>5.8520000000000003</v>
      </c>
    </row>
    <row r="215" spans="1:7" x14ac:dyDescent="0.25">
      <c r="A215">
        <v>213</v>
      </c>
      <c r="B215" s="18">
        <f>'Raw Data'!N216</f>
        <v>22.4</v>
      </c>
      <c r="C215" s="18">
        <f>'Raw Data'!A216</f>
        <v>0.21718999999999999</v>
      </c>
      <c r="D215" s="5">
        <f>VLOOKUP(B215,'Raw Data'!$N$4:$N$508,1,FALSE)</f>
        <v>22.4</v>
      </c>
      <c r="E215" s="5">
        <f>_xlfn.XLOOKUP(B215,'Raw Data'!$N$4:$N$509,'Raw Data'!$A$4:$A$509,"Not Found")</f>
        <v>0.21718999999999999</v>
      </c>
      <c r="F215" s="5">
        <f>INDEX('Raw Data'!$A$4:$A$508,MATCH(MAX('Raw Data'!$N$4:$N$508),'Raw Data'!$N$4:$N$508,0))</f>
        <v>1.46336</v>
      </c>
      <c r="G215" s="5">
        <f>INDEX('Raw Data'!$F$4:$F$508,MATCH(MIN('Raw Data'!$N$4:$N$508),'Raw Data'!$N$4:$N$508,0))</f>
        <v>5.8520000000000003</v>
      </c>
    </row>
    <row r="216" spans="1:7" x14ac:dyDescent="0.25">
      <c r="A216">
        <v>214</v>
      </c>
      <c r="B216" s="18">
        <f>'Raw Data'!N217</f>
        <v>28.1</v>
      </c>
      <c r="C216" s="18">
        <f>'Raw Data'!A217</f>
        <v>0.14052000000000001</v>
      </c>
      <c r="D216" s="5">
        <f>VLOOKUP(B216,'Raw Data'!$N$4:$N$508,1,FALSE)</f>
        <v>28.1</v>
      </c>
      <c r="E216" s="5">
        <f>_xlfn.XLOOKUP(B216,'Raw Data'!$N$4:$N$509,'Raw Data'!$A$4:$A$509,"Not Found")</f>
        <v>0.14052000000000001</v>
      </c>
      <c r="F216" s="5">
        <f>INDEX('Raw Data'!$A$4:$A$508,MATCH(MAX('Raw Data'!$N$4:$N$508),'Raw Data'!$N$4:$N$508,0))</f>
        <v>1.46336</v>
      </c>
      <c r="G216" s="5">
        <f>INDEX('Raw Data'!$F$4:$F$508,MATCH(MIN('Raw Data'!$N$4:$N$508),'Raw Data'!$N$4:$N$508,0))</f>
        <v>5.8520000000000003</v>
      </c>
    </row>
    <row r="217" spans="1:7" x14ac:dyDescent="0.25">
      <c r="A217">
        <v>215</v>
      </c>
      <c r="B217" s="18">
        <f>'Raw Data'!N218</f>
        <v>23.7</v>
      </c>
      <c r="C217" s="18">
        <f>'Raw Data'!A218</f>
        <v>0.28954999999999997</v>
      </c>
      <c r="D217" s="5">
        <f>VLOOKUP(B217,'Raw Data'!$N$4:$N$508,1,FALSE)</f>
        <v>23.7</v>
      </c>
      <c r="E217" s="5">
        <f>_xlfn.XLOOKUP(B217,'Raw Data'!$N$4:$N$509,'Raw Data'!$A$4:$A$509,"Not Found")</f>
        <v>0.28954999999999997</v>
      </c>
      <c r="F217" s="5">
        <f>INDEX('Raw Data'!$A$4:$A$508,MATCH(MAX('Raw Data'!$N$4:$N$508),'Raw Data'!$N$4:$N$508,0))</f>
        <v>1.46336</v>
      </c>
      <c r="G217" s="5">
        <f>INDEX('Raw Data'!$F$4:$F$508,MATCH(MIN('Raw Data'!$N$4:$N$508),'Raw Data'!$N$4:$N$508,0))</f>
        <v>5.8520000000000003</v>
      </c>
    </row>
    <row r="218" spans="1:7" x14ac:dyDescent="0.25">
      <c r="A218">
        <v>216</v>
      </c>
      <c r="B218" s="18">
        <f>'Raw Data'!N219</f>
        <v>25</v>
      </c>
      <c r="C218" s="18">
        <f>'Raw Data'!A219</f>
        <v>0.19802</v>
      </c>
      <c r="D218" s="5">
        <f>VLOOKUP(B218,'Raw Data'!$N$4:$N$508,1,FALSE)</f>
        <v>25</v>
      </c>
      <c r="E218" s="5">
        <f>_xlfn.XLOOKUP(B218,'Raw Data'!$N$4:$N$509,'Raw Data'!$A$4:$A$509,"Not Found")</f>
        <v>5.3600000000000002E-2</v>
      </c>
      <c r="F218" s="5">
        <f>INDEX('Raw Data'!$A$4:$A$508,MATCH(MAX('Raw Data'!$N$4:$N$508),'Raw Data'!$N$4:$N$508,0))</f>
        <v>1.46336</v>
      </c>
      <c r="G218" s="5">
        <f>INDEX('Raw Data'!$F$4:$F$508,MATCH(MIN('Raw Data'!$N$4:$N$508),'Raw Data'!$N$4:$N$508,0))</f>
        <v>5.8520000000000003</v>
      </c>
    </row>
    <row r="219" spans="1:7" x14ac:dyDescent="0.25">
      <c r="A219">
        <v>217</v>
      </c>
      <c r="B219" s="18">
        <f>'Raw Data'!N220</f>
        <v>23.3</v>
      </c>
      <c r="C219" s="18">
        <f>'Raw Data'!A220</f>
        <v>4.5600000000000002E-2</v>
      </c>
      <c r="D219" s="5">
        <f>VLOOKUP(B219,'Raw Data'!$N$4:$N$508,1,FALSE)</f>
        <v>23.3</v>
      </c>
      <c r="E219" s="5">
        <f>_xlfn.XLOOKUP(B219,'Raw Data'!$N$4:$N$509,'Raw Data'!$A$4:$A$509,"Not Found")</f>
        <v>0.15445</v>
      </c>
      <c r="F219" s="5">
        <f>INDEX('Raw Data'!$A$4:$A$508,MATCH(MAX('Raw Data'!$N$4:$N$508),'Raw Data'!$N$4:$N$508,0))</f>
        <v>1.46336</v>
      </c>
      <c r="G219" s="5">
        <f>INDEX('Raw Data'!$F$4:$F$508,MATCH(MIN('Raw Data'!$N$4:$N$508),'Raw Data'!$N$4:$N$508,0))</f>
        <v>5.8520000000000003</v>
      </c>
    </row>
    <row r="220" spans="1:7" x14ac:dyDescent="0.25">
      <c r="A220">
        <v>218</v>
      </c>
      <c r="B220" s="18">
        <f>'Raw Data'!N221</f>
        <v>28.7</v>
      </c>
      <c r="C220" s="18">
        <f>'Raw Data'!A221</f>
        <v>7.0129999999999998E-2</v>
      </c>
      <c r="D220" s="5">
        <f>VLOOKUP(B220,'Raw Data'!$N$4:$N$508,1,FALSE)</f>
        <v>28.7</v>
      </c>
      <c r="E220" s="5">
        <f>_xlfn.XLOOKUP(B220,'Raw Data'!$N$4:$N$509,'Raw Data'!$A$4:$A$509,"Not Found")</f>
        <v>2.9850000000000002E-2</v>
      </c>
      <c r="F220" s="5">
        <f>INDEX('Raw Data'!$A$4:$A$508,MATCH(MAX('Raw Data'!$N$4:$N$508),'Raw Data'!$N$4:$N$508,0))</f>
        <v>1.46336</v>
      </c>
      <c r="G220" s="5">
        <f>INDEX('Raw Data'!$F$4:$F$508,MATCH(MIN('Raw Data'!$N$4:$N$508),'Raw Data'!$N$4:$N$508,0))</f>
        <v>5.8520000000000003</v>
      </c>
    </row>
    <row r="221" spans="1:7" x14ac:dyDescent="0.25">
      <c r="A221">
        <v>219</v>
      </c>
      <c r="B221" s="18">
        <f>'Raw Data'!N222</f>
        <v>21.5</v>
      </c>
      <c r="C221" s="18">
        <f>'Raw Data'!A222</f>
        <v>0.11069</v>
      </c>
      <c r="D221" s="5">
        <f>VLOOKUP(B221,'Raw Data'!$N$4:$N$508,1,FALSE)</f>
        <v>21.5</v>
      </c>
      <c r="E221" s="5">
        <f>_xlfn.XLOOKUP(B221,'Raw Data'!$N$4:$N$509,'Raw Data'!$A$4:$A$509,"Not Found")</f>
        <v>1.6566000000000001</v>
      </c>
      <c r="F221" s="5">
        <f>INDEX('Raw Data'!$A$4:$A$508,MATCH(MAX('Raw Data'!$N$4:$N$508),'Raw Data'!$N$4:$N$508,0))</f>
        <v>1.46336</v>
      </c>
      <c r="G221" s="5">
        <f>INDEX('Raw Data'!$F$4:$F$508,MATCH(MIN('Raw Data'!$N$4:$N$508),'Raw Data'!$N$4:$N$508,0))</f>
        <v>5.8520000000000003</v>
      </c>
    </row>
    <row r="222" spans="1:7" x14ac:dyDescent="0.25">
      <c r="A222">
        <v>220</v>
      </c>
      <c r="B222" s="18">
        <f>'Raw Data'!N223</f>
        <v>23</v>
      </c>
      <c r="C222" s="18">
        <f>'Raw Data'!A223</f>
        <v>0.11425</v>
      </c>
      <c r="D222" s="5">
        <f>VLOOKUP(B222,'Raw Data'!$N$4:$N$508,1,FALSE)</f>
        <v>23</v>
      </c>
      <c r="E222" s="5">
        <f>_xlfn.XLOOKUP(B222,'Raw Data'!$N$4:$N$509,'Raw Data'!$A$4:$A$509,"Not Found")</f>
        <v>0.59004999999999996</v>
      </c>
      <c r="F222" s="5">
        <f>INDEX('Raw Data'!$A$4:$A$508,MATCH(MAX('Raw Data'!$N$4:$N$508),'Raw Data'!$N$4:$N$508,0))</f>
        <v>1.46336</v>
      </c>
      <c r="G222" s="5">
        <f>INDEX('Raw Data'!$F$4:$F$508,MATCH(MIN('Raw Data'!$N$4:$N$508),'Raw Data'!$N$4:$N$508,0))</f>
        <v>5.8520000000000003</v>
      </c>
    </row>
    <row r="223" spans="1:7" x14ac:dyDescent="0.25">
      <c r="A223">
        <v>221</v>
      </c>
      <c r="B223" s="18">
        <f>'Raw Data'!N224</f>
        <v>26.7</v>
      </c>
      <c r="C223" s="18">
        <f>'Raw Data'!A224</f>
        <v>0.35809000000000002</v>
      </c>
      <c r="D223" s="5">
        <f>VLOOKUP(B223,'Raw Data'!$N$4:$N$508,1,FALSE)</f>
        <v>26.7</v>
      </c>
      <c r="E223" s="5">
        <f>_xlfn.XLOOKUP(B223,'Raw Data'!$N$4:$N$509,'Raw Data'!$A$4:$A$509,"Not Found")</f>
        <v>0.35809000000000002</v>
      </c>
      <c r="F223" s="5">
        <f>INDEX('Raw Data'!$A$4:$A$508,MATCH(MAX('Raw Data'!$N$4:$N$508),'Raw Data'!$N$4:$N$508,0))</f>
        <v>1.46336</v>
      </c>
      <c r="G223" s="5">
        <f>INDEX('Raw Data'!$F$4:$F$508,MATCH(MIN('Raw Data'!$N$4:$N$508),'Raw Data'!$N$4:$N$508,0))</f>
        <v>5.8520000000000003</v>
      </c>
    </row>
    <row r="224" spans="1:7" x14ac:dyDescent="0.25">
      <c r="A224">
        <v>222</v>
      </c>
      <c r="B224" s="18">
        <f>'Raw Data'!N225</f>
        <v>21.7</v>
      </c>
      <c r="C224" s="18">
        <f>'Raw Data'!A225</f>
        <v>0.40771000000000002</v>
      </c>
      <c r="D224" s="5">
        <f>VLOOKUP(B224,'Raw Data'!$N$4:$N$508,1,FALSE)</f>
        <v>21.7</v>
      </c>
      <c r="E224" s="5">
        <f>_xlfn.XLOOKUP(B224,'Raw Data'!$N$4:$N$509,'Raw Data'!$A$4:$A$509,"Not Found")</f>
        <v>9.3780000000000002E-2</v>
      </c>
      <c r="F224" s="5">
        <f>INDEX('Raw Data'!$A$4:$A$508,MATCH(MAX('Raw Data'!$N$4:$N$508),'Raw Data'!$N$4:$N$508,0))</f>
        <v>1.46336</v>
      </c>
      <c r="G224" s="5">
        <f>INDEX('Raw Data'!$F$4:$F$508,MATCH(MIN('Raw Data'!$N$4:$N$508),'Raw Data'!$N$4:$N$508,0))</f>
        <v>5.8520000000000003</v>
      </c>
    </row>
    <row r="225" spans="1:7" x14ac:dyDescent="0.25">
      <c r="A225">
        <v>223</v>
      </c>
      <c r="B225" s="18">
        <f>'Raw Data'!N226</f>
        <v>27.5</v>
      </c>
      <c r="C225" s="18">
        <f>'Raw Data'!A226</f>
        <v>0.62356</v>
      </c>
      <c r="D225" s="5">
        <f>VLOOKUP(B225,'Raw Data'!$N$4:$N$508,1,FALSE)</f>
        <v>27.5</v>
      </c>
      <c r="E225" s="5">
        <f>_xlfn.XLOOKUP(B225,'Raw Data'!$N$4:$N$509,'Raw Data'!$A$4:$A$509,"Not Found")</f>
        <v>0.14865999999999999</v>
      </c>
      <c r="F225" s="5">
        <f>INDEX('Raw Data'!$A$4:$A$508,MATCH(MAX('Raw Data'!$N$4:$N$508),'Raw Data'!$N$4:$N$508,0))</f>
        <v>1.46336</v>
      </c>
      <c r="G225" s="5">
        <f>INDEX('Raw Data'!$F$4:$F$508,MATCH(MIN('Raw Data'!$N$4:$N$508),'Raw Data'!$N$4:$N$508,0))</f>
        <v>5.8520000000000003</v>
      </c>
    </row>
    <row r="226" spans="1:7" x14ac:dyDescent="0.25">
      <c r="A226">
        <v>224</v>
      </c>
      <c r="B226" s="18">
        <f>'Raw Data'!N227</f>
        <v>30.1</v>
      </c>
      <c r="C226" s="18">
        <f>'Raw Data'!A227</f>
        <v>0.61470000000000002</v>
      </c>
      <c r="D226" s="5">
        <f>VLOOKUP(B226,'Raw Data'!$N$4:$N$508,1,FALSE)</f>
        <v>30.1</v>
      </c>
      <c r="E226" s="5">
        <f>_xlfn.XLOOKUP(B226,'Raw Data'!$N$4:$N$509,'Raw Data'!$A$4:$A$509,"Not Found")</f>
        <v>0.61470000000000002</v>
      </c>
      <c r="F226" s="5">
        <f>INDEX('Raw Data'!$A$4:$A$508,MATCH(MAX('Raw Data'!$N$4:$N$508),'Raw Data'!$N$4:$N$508,0))</f>
        <v>1.46336</v>
      </c>
      <c r="G226" s="5">
        <f>INDEX('Raw Data'!$F$4:$F$508,MATCH(MIN('Raw Data'!$N$4:$N$508),'Raw Data'!$N$4:$N$508,0))</f>
        <v>5.8520000000000003</v>
      </c>
    </row>
    <row r="227" spans="1:7" x14ac:dyDescent="0.25">
      <c r="A227">
        <v>225</v>
      </c>
      <c r="B227" s="18">
        <f>'Raw Data'!N228</f>
        <v>44.8</v>
      </c>
      <c r="C227" s="18">
        <f>'Raw Data'!A228</f>
        <v>0.31533</v>
      </c>
      <c r="D227" s="5">
        <f>VLOOKUP(B227,'Raw Data'!$N$4:$N$508,1,FALSE)</f>
        <v>44.8</v>
      </c>
      <c r="E227" s="5">
        <f>_xlfn.XLOOKUP(B227,'Raw Data'!$N$4:$N$509,'Raw Data'!$A$4:$A$509,"Not Found")</f>
        <v>0.31533</v>
      </c>
      <c r="F227" s="5">
        <f>INDEX('Raw Data'!$A$4:$A$508,MATCH(MAX('Raw Data'!$N$4:$N$508),'Raw Data'!$N$4:$N$508,0))</f>
        <v>1.46336</v>
      </c>
      <c r="G227" s="5">
        <f>INDEX('Raw Data'!$F$4:$F$508,MATCH(MIN('Raw Data'!$N$4:$N$508),'Raw Data'!$N$4:$N$508,0))</f>
        <v>5.8520000000000003</v>
      </c>
    </row>
    <row r="228" spans="1:7" x14ac:dyDescent="0.25">
      <c r="A228">
        <v>226</v>
      </c>
      <c r="B228" s="18">
        <f>'Raw Data'!N229</f>
        <v>50</v>
      </c>
      <c r="C228" s="18">
        <f>'Raw Data'!A229</f>
        <v>0.52693000000000001</v>
      </c>
      <c r="D228" s="5">
        <f>VLOOKUP(B228,'Raw Data'!$N$4:$N$508,1,FALSE)</f>
        <v>50</v>
      </c>
      <c r="E228" s="5">
        <f>_xlfn.XLOOKUP(B228,'Raw Data'!$N$4:$N$509,'Raw Data'!$A$4:$A$509,"Not Found")</f>
        <v>1.46336</v>
      </c>
      <c r="F228" s="5">
        <f>INDEX('Raw Data'!$A$4:$A$508,MATCH(MAX('Raw Data'!$N$4:$N$508),'Raw Data'!$N$4:$N$508,0))</f>
        <v>1.46336</v>
      </c>
      <c r="G228" s="5">
        <f>INDEX('Raw Data'!$F$4:$F$508,MATCH(MIN('Raw Data'!$N$4:$N$508),'Raw Data'!$N$4:$N$508,0))</f>
        <v>5.8520000000000003</v>
      </c>
    </row>
    <row r="229" spans="1:7" x14ac:dyDescent="0.25">
      <c r="A229">
        <v>227</v>
      </c>
      <c r="B229" s="18">
        <f>'Raw Data'!N230</f>
        <v>37.6</v>
      </c>
      <c r="C229" s="18">
        <f>'Raw Data'!A230</f>
        <v>0.38213999999999998</v>
      </c>
      <c r="D229" s="5">
        <f>VLOOKUP(B229,'Raw Data'!$N$4:$N$508,1,FALSE)</f>
        <v>37.6</v>
      </c>
      <c r="E229" s="5">
        <f>_xlfn.XLOOKUP(B229,'Raw Data'!$N$4:$N$509,'Raw Data'!$A$4:$A$509,"Not Found")</f>
        <v>0.38213999999999998</v>
      </c>
      <c r="F229" s="5">
        <f>INDEX('Raw Data'!$A$4:$A$508,MATCH(MAX('Raw Data'!$N$4:$N$508),'Raw Data'!$N$4:$N$508,0))</f>
        <v>1.46336</v>
      </c>
      <c r="G229" s="5">
        <f>INDEX('Raw Data'!$F$4:$F$508,MATCH(MIN('Raw Data'!$N$4:$N$508),'Raw Data'!$N$4:$N$508,0))</f>
        <v>5.8520000000000003</v>
      </c>
    </row>
    <row r="230" spans="1:7" x14ac:dyDescent="0.25">
      <c r="A230">
        <v>228</v>
      </c>
      <c r="B230" s="18">
        <f>'Raw Data'!N231</f>
        <v>31.6</v>
      </c>
      <c r="C230" s="18">
        <f>'Raw Data'!A231</f>
        <v>0.41238000000000002</v>
      </c>
      <c r="D230" s="5">
        <f>VLOOKUP(B230,'Raw Data'!$N$4:$N$508,1,FALSE)</f>
        <v>31.6</v>
      </c>
      <c r="E230" s="5">
        <f>_xlfn.XLOOKUP(B230,'Raw Data'!$N$4:$N$509,'Raw Data'!$A$4:$A$509,"Not Found")</f>
        <v>1.4319999999999999E-2</v>
      </c>
      <c r="F230" s="5">
        <f>INDEX('Raw Data'!$A$4:$A$508,MATCH(MAX('Raw Data'!$N$4:$N$508),'Raw Data'!$N$4:$N$508,0))</f>
        <v>1.46336</v>
      </c>
      <c r="G230" s="5">
        <f>INDEX('Raw Data'!$F$4:$F$508,MATCH(MIN('Raw Data'!$N$4:$N$508),'Raw Data'!$N$4:$N$508,0))</f>
        <v>5.8520000000000003</v>
      </c>
    </row>
    <row r="231" spans="1:7" x14ac:dyDescent="0.25">
      <c r="A231">
        <v>229</v>
      </c>
      <c r="B231" s="18">
        <f>'Raw Data'!N232</f>
        <v>46.7</v>
      </c>
      <c r="C231" s="18">
        <f>'Raw Data'!A232</f>
        <v>0.29819000000000001</v>
      </c>
      <c r="D231" s="5">
        <f>VLOOKUP(B231,'Raw Data'!$N$4:$N$508,1,FALSE)</f>
        <v>46.7</v>
      </c>
      <c r="E231" s="5">
        <f>_xlfn.XLOOKUP(B231,'Raw Data'!$N$4:$N$509,'Raw Data'!$A$4:$A$509,"Not Found")</f>
        <v>0.29819000000000001</v>
      </c>
      <c r="F231" s="5">
        <f>INDEX('Raw Data'!$A$4:$A$508,MATCH(MAX('Raw Data'!$N$4:$N$508),'Raw Data'!$N$4:$N$508,0))</f>
        <v>1.46336</v>
      </c>
      <c r="G231" s="5">
        <f>INDEX('Raw Data'!$F$4:$F$508,MATCH(MIN('Raw Data'!$N$4:$N$508),'Raw Data'!$N$4:$N$508,0))</f>
        <v>5.8520000000000003</v>
      </c>
    </row>
    <row r="232" spans="1:7" x14ac:dyDescent="0.25">
      <c r="A232">
        <v>230</v>
      </c>
      <c r="B232" s="18">
        <f>'Raw Data'!N233</f>
        <v>31.5</v>
      </c>
      <c r="C232" s="18">
        <f>'Raw Data'!A233</f>
        <v>0.44178000000000001</v>
      </c>
      <c r="D232" s="5">
        <f>VLOOKUP(B232,'Raw Data'!$N$4:$N$508,1,FALSE)</f>
        <v>31.5</v>
      </c>
      <c r="E232" s="5">
        <f>_xlfn.XLOOKUP(B232,'Raw Data'!$N$4:$N$509,'Raw Data'!$A$4:$A$509,"Not Found")</f>
        <v>0.44178000000000001</v>
      </c>
      <c r="F232" s="5">
        <f>INDEX('Raw Data'!$A$4:$A$508,MATCH(MAX('Raw Data'!$N$4:$N$508),'Raw Data'!$N$4:$N$508,0))</f>
        <v>1.46336</v>
      </c>
      <c r="G232" s="5">
        <f>INDEX('Raw Data'!$F$4:$F$508,MATCH(MIN('Raw Data'!$N$4:$N$508),'Raw Data'!$N$4:$N$508,0))</f>
        <v>5.8520000000000003</v>
      </c>
    </row>
    <row r="233" spans="1:7" x14ac:dyDescent="0.25">
      <c r="A233">
        <v>231</v>
      </c>
      <c r="B233" s="18">
        <f>'Raw Data'!N234</f>
        <v>24.3</v>
      </c>
      <c r="C233" s="18">
        <f>'Raw Data'!A234</f>
        <v>0.53700000000000003</v>
      </c>
      <c r="D233" s="5">
        <f>VLOOKUP(B233,'Raw Data'!$N$4:$N$508,1,FALSE)</f>
        <v>24.3</v>
      </c>
      <c r="E233" s="5">
        <f>_xlfn.XLOOKUP(B233,'Raw Data'!$N$4:$N$509,'Raw Data'!$A$4:$A$509,"Not Found")</f>
        <v>1.34284</v>
      </c>
      <c r="F233" s="5">
        <f>INDEX('Raw Data'!$A$4:$A$508,MATCH(MAX('Raw Data'!$N$4:$N$508),'Raw Data'!$N$4:$N$508,0))</f>
        <v>1.46336</v>
      </c>
      <c r="G233" s="5">
        <f>INDEX('Raw Data'!$F$4:$F$508,MATCH(MIN('Raw Data'!$N$4:$N$508),'Raw Data'!$N$4:$N$508,0))</f>
        <v>5.8520000000000003</v>
      </c>
    </row>
    <row r="234" spans="1:7" x14ac:dyDescent="0.25">
      <c r="A234">
        <v>232</v>
      </c>
      <c r="B234" s="18">
        <f>'Raw Data'!N235</f>
        <v>31.7</v>
      </c>
      <c r="C234" s="18">
        <f>'Raw Data'!A235</f>
        <v>0.46295999999999998</v>
      </c>
      <c r="D234" s="5">
        <f>VLOOKUP(B234,'Raw Data'!$N$4:$N$508,1,FALSE)</f>
        <v>31.7</v>
      </c>
      <c r="E234" s="5">
        <f>_xlfn.XLOOKUP(B234,'Raw Data'!$N$4:$N$509,'Raw Data'!$A$4:$A$509,"Not Found")</f>
        <v>0.46295999999999998</v>
      </c>
      <c r="F234" s="5">
        <f>INDEX('Raw Data'!$A$4:$A$508,MATCH(MAX('Raw Data'!$N$4:$N$508),'Raw Data'!$N$4:$N$508,0))</f>
        <v>1.46336</v>
      </c>
      <c r="G234" s="5">
        <f>INDEX('Raw Data'!$F$4:$F$508,MATCH(MIN('Raw Data'!$N$4:$N$508),'Raw Data'!$N$4:$N$508,0))</f>
        <v>5.8520000000000003</v>
      </c>
    </row>
    <row r="235" spans="1:7" x14ac:dyDescent="0.25">
      <c r="A235">
        <v>233</v>
      </c>
      <c r="B235" s="18">
        <f>'Raw Data'!N236</f>
        <v>41.7</v>
      </c>
      <c r="C235" s="18">
        <f>'Raw Data'!A236</f>
        <v>0.57528999999999997</v>
      </c>
      <c r="D235" s="5">
        <f>VLOOKUP(B235,'Raw Data'!$N$4:$N$508,1,FALSE)</f>
        <v>41.7</v>
      </c>
      <c r="E235" s="5">
        <f>_xlfn.XLOOKUP(B235,'Raw Data'!$N$4:$N$509,'Raw Data'!$A$4:$A$509,"Not Found")</f>
        <v>0.57528999999999997</v>
      </c>
      <c r="F235" s="5">
        <f>INDEX('Raw Data'!$A$4:$A$508,MATCH(MAX('Raw Data'!$N$4:$N$508),'Raw Data'!$N$4:$N$508,0))</f>
        <v>1.46336</v>
      </c>
      <c r="G235" s="5">
        <f>INDEX('Raw Data'!$F$4:$F$508,MATCH(MIN('Raw Data'!$N$4:$N$508),'Raw Data'!$N$4:$N$508,0))</f>
        <v>5.8520000000000003</v>
      </c>
    </row>
    <row r="236" spans="1:7" x14ac:dyDescent="0.25">
      <c r="A236">
        <v>234</v>
      </c>
      <c r="B236" s="18">
        <f>'Raw Data'!N237</f>
        <v>48.3</v>
      </c>
      <c r="C236" s="18">
        <f>'Raw Data'!A237</f>
        <v>0.33146999999999999</v>
      </c>
      <c r="D236" s="5">
        <f>VLOOKUP(B236,'Raw Data'!$N$4:$N$508,1,FALSE)</f>
        <v>48.3</v>
      </c>
      <c r="E236" s="5">
        <f>_xlfn.XLOOKUP(B236,'Raw Data'!$N$4:$N$509,'Raw Data'!$A$4:$A$509,"Not Found")</f>
        <v>0.33146999999999999</v>
      </c>
      <c r="F236" s="5">
        <f>INDEX('Raw Data'!$A$4:$A$508,MATCH(MAX('Raw Data'!$N$4:$N$508),'Raw Data'!$N$4:$N$508,0))</f>
        <v>1.46336</v>
      </c>
      <c r="G236" s="5">
        <f>INDEX('Raw Data'!$F$4:$F$508,MATCH(MIN('Raw Data'!$N$4:$N$508),'Raw Data'!$N$4:$N$508,0))</f>
        <v>5.8520000000000003</v>
      </c>
    </row>
    <row r="237" spans="1:7" x14ac:dyDescent="0.25">
      <c r="A237">
        <v>235</v>
      </c>
      <c r="B237" s="18">
        <f>'Raw Data'!N238</f>
        <v>29</v>
      </c>
      <c r="C237" s="18">
        <f>'Raw Data'!A238</f>
        <v>0.44790999999999997</v>
      </c>
      <c r="D237" s="5">
        <f>VLOOKUP(B237,'Raw Data'!$N$4:$N$508,1,FALSE)</f>
        <v>29</v>
      </c>
      <c r="E237" s="5">
        <f>_xlfn.XLOOKUP(B237,'Raw Data'!$N$4:$N$509,'Raw Data'!$A$4:$A$509,"Not Found")</f>
        <v>0.44790999999999997</v>
      </c>
      <c r="F237" s="5">
        <f>INDEX('Raw Data'!$A$4:$A$508,MATCH(MAX('Raw Data'!$N$4:$N$508),'Raw Data'!$N$4:$N$508,0))</f>
        <v>1.46336</v>
      </c>
      <c r="G237" s="5">
        <f>INDEX('Raw Data'!$F$4:$F$508,MATCH(MIN('Raw Data'!$N$4:$N$508),'Raw Data'!$N$4:$N$508,0))</f>
        <v>5.8520000000000003</v>
      </c>
    </row>
    <row r="238" spans="1:7" x14ac:dyDescent="0.25">
      <c r="A238">
        <v>236</v>
      </c>
      <c r="B238" s="18">
        <f>'Raw Data'!N239</f>
        <v>24</v>
      </c>
      <c r="C238" s="18">
        <f>'Raw Data'!A239</f>
        <v>0.33045000000000002</v>
      </c>
      <c r="D238" s="5">
        <f>VLOOKUP(B238,'Raw Data'!$N$4:$N$508,1,FALSE)</f>
        <v>24</v>
      </c>
      <c r="E238" s="5">
        <f>_xlfn.XLOOKUP(B238,'Raw Data'!$N$4:$N$509,'Raw Data'!$A$4:$A$509,"Not Found")</f>
        <v>6.3200000000000001E-3</v>
      </c>
      <c r="F238" s="5">
        <f>INDEX('Raw Data'!$A$4:$A$508,MATCH(MAX('Raw Data'!$N$4:$N$508),'Raw Data'!$N$4:$N$508,0))</f>
        <v>1.46336</v>
      </c>
      <c r="G238" s="5">
        <f>INDEX('Raw Data'!$F$4:$F$508,MATCH(MIN('Raw Data'!$N$4:$N$508),'Raw Data'!$N$4:$N$508,0))</f>
        <v>5.8520000000000003</v>
      </c>
    </row>
    <row r="239" spans="1:7" x14ac:dyDescent="0.25">
      <c r="A239">
        <v>237</v>
      </c>
      <c r="B239" s="18">
        <f>'Raw Data'!N240</f>
        <v>25.1</v>
      </c>
      <c r="C239" s="18">
        <f>'Raw Data'!A240</f>
        <v>0.52058000000000004</v>
      </c>
      <c r="D239" s="5">
        <f>VLOOKUP(B239,'Raw Data'!$N$4:$N$508,1,FALSE)</f>
        <v>25.1</v>
      </c>
      <c r="E239" s="5">
        <f>_xlfn.XLOOKUP(B239,'Raw Data'!$N$4:$N$509,'Raw Data'!$A$4:$A$509,"Not Found")</f>
        <v>0.52058000000000004</v>
      </c>
      <c r="F239" s="5">
        <f>INDEX('Raw Data'!$A$4:$A$508,MATCH(MAX('Raw Data'!$N$4:$N$508),'Raw Data'!$N$4:$N$508,0))</f>
        <v>1.46336</v>
      </c>
      <c r="G239" s="5">
        <f>INDEX('Raw Data'!$F$4:$F$508,MATCH(MIN('Raw Data'!$N$4:$N$508),'Raw Data'!$N$4:$N$508,0))</f>
        <v>5.8520000000000003</v>
      </c>
    </row>
    <row r="240" spans="1:7" x14ac:dyDescent="0.25">
      <c r="A240">
        <v>238</v>
      </c>
      <c r="B240" s="18">
        <f>'Raw Data'!N241</f>
        <v>31.5</v>
      </c>
      <c r="C240" s="18">
        <f>'Raw Data'!A241</f>
        <v>0.51183000000000001</v>
      </c>
      <c r="D240" s="5">
        <f>VLOOKUP(B240,'Raw Data'!$N$4:$N$508,1,FALSE)</f>
        <v>31.5</v>
      </c>
      <c r="E240" s="5">
        <f>_xlfn.XLOOKUP(B240,'Raw Data'!$N$4:$N$509,'Raw Data'!$A$4:$A$509,"Not Found")</f>
        <v>0.44178000000000001</v>
      </c>
      <c r="F240" s="5">
        <f>INDEX('Raw Data'!$A$4:$A$508,MATCH(MAX('Raw Data'!$N$4:$N$508),'Raw Data'!$N$4:$N$508,0))</f>
        <v>1.46336</v>
      </c>
      <c r="G240" s="5">
        <f>INDEX('Raw Data'!$F$4:$F$508,MATCH(MIN('Raw Data'!$N$4:$N$508),'Raw Data'!$N$4:$N$508,0))</f>
        <v>5.8520000000000003</v>
      </c>
    </row>
    <row r="241" spans="1:7" x14ac:dyDescent="0.25">
      <c r="A241">
        <v>239</v>
      </c>
      <c r="B241" s="18">
        <f>'Raw Data'!N242</f>
        <v>23.7</v>
      </c>
      <c r="C241" s="18">
        <f>'Raw Data'!A242</f>
        <v>8.2439999999999999E-2</v>
      </c>
      <c r="D241" s="5">
        <f>VLOOKUP(B241,'Raw Data'!$N$4:$N$508,1,FALSE)</f>
        <v>23.7</v>
      </c>
      <c r="E241" s="5">
        <f>_xlfn.XLOOKUP(B241,'Raw Data'!$N$4:$N$509,'Raw Data'!$A$4:$A$509,"Not Found")</f>
        <v>0.28954999999999997</v>
      </c>
      <c r="F241" s="5">
        <f>INDEX('Raw Data'!$A$4:$A$508,MATCH(MAX('Raw Data'!$N$4:$N$508),'Raw Data'!$N$4:$N$508,0))</f>
        <v>1.46336</v>
      </c>
      <c r="G241" s="5">
        <f>INDEX('Raw Data'!$F$4:$F$508,MATCH(MIN('Raw Data'!$N$4:$N$508),'Raw Data'!$N$4:$N$508,0))</f>
        <v>5.8520000000000003</v>
      </c>
    </row>
    <row r="242" spans="1:7" x14ac:dyDescent="0.25">
      <c r="A242">
        <v>240</v>
      </c>
      <c r="B242" s="18">
        <f>'Raw Data'!N243</f>
        <v>23.3</v>
      </c>
      <c r="C242" s="18">
        <f>'Raw Data'!A243</f>
        <v>9.2520000000000005E-2</v>
      </c>
      <c r="D242" s="5">
        <f>VLOOKUP(B242,'Raw Data'!$N$4:$N$508,1,FALSE)</f>
        <v>23.3</v>
      </c>
      <c r="E242" s="5">
        <f>_xlfn.XLOOKUP(B242,'Raw Data'!$N$4:$N$509,'Raw Data'!$A$4:$A$509,"Not Found")</f>
        <v>0.15445</v>
      </c>
      <c r="F242" s="5">
        <f>INDEX('Raw Data'!$A$4:$A$508,MATCH(MAX('Raw Data'!$N$4:$N$508),'Raw Data'!$N$4:$N$508,0))</f>
        <v>1.46336</v>
      </c>
      <c r="G242" s="5">
        <f>INDEX('Raw Data'!$F$4:$F$508,MATCH(MIN('Raw Data'!$N$4:$N$508),'Raw Data'!$N$4:$N$508,0))</f>
        <v>5.8520000000000003</v>
      </c>
    </row>
    <row r="243" spans="1:7" x14ac:dyDescent="0.25">
      <c r="A243">
        <v>241</v>
      </c>
      <c r="B243" s="18">
        <f>'Raw Data'!N244</f>
        <v>22</v>
      </c>
      <c r="C243" s="18">
        <f>'Raw Data'!A244</f>
        <v>0.11329</v>
      </c>
      <c r="D243" s="5">
        <f>VLOOKUP(B243,'Raw Data'!$N$4:$N$508,1,FALSE)</f>
        <v>22</v>
      </c>
      <c r="E243" s="5">
        <f>_xlfn.XLOOKUP(B243,'Raw Data'!$N$4:$N$509,'Raw Data'!$A$4:$A$509,"Not Found")</f>
        <v>5.7889999999999997E-2</v>
      </c>
      <c r="F243" s="5">
        <f>INDEX('Raw Data'!$A$4:$A$508,MATCH(MAX('Raw Data'!$N$4:$N$508),'Raw Data'!$N$4:$N$508,0))</f>
        <v>1.46336</v>
      </c>
      <c r="G243" s="5">
        <f>INDEX('Raw Data'!$F$4:$F$508,MATCH(MIN('Raw Data'!$N$4:$N$508),'Raw Data'!$N$4:$N$508,0))</f>
        <v>5.8520000000000003</v>
      </c>
    </row>
    <row r="244" spans="1:7" x14ac:dyDescent="0.25">
      <c r="A244">
        <v>242</v>
      </c>
      <c r="B244" s="18">
        <f>'Raw Data'!N245</f>
        <v>20.100000000000001</v>
      </c>
      <c r="C244" s="18">
        <f>'Raw Data'!A245</f>
        <v>0.10612000000000001</v>
      </c>
      <c r="D244" s="5">
        <f>VLOOKUP(B244,'Raw Data'!$N$4:$N$508,1,FALSE)</f>
        <v>20.100000000000001</v>
      </c>
      <c r="E244" s="5">
        <f>_xlfn.XLOOKUP(B244,'Raw Data'!$N$4:$N$509,'Raw Data'!$A$4:$A$509,"Not Found")</f>
        <v>0.1396</v>
      </c>
      <c r="F244" s="5">
        <f>INDEX('Raw Data'!$A$4:$A$508,MATCH(MAX('Raw Data'!$N$4:$N$508),'Raw Data'!$N$4:$N$508,0))</f>
        <v>1.46336</v>
      </c>
      <c r="G244" s="5">
        <f>INDEX('Raw Data'!$F$4:$F$508,MATCH(MIN('Raw Data'!$N$4:$N$508),'Raw Data'!$N$4:$N$508,0))</f>
        <v>5.8520000000000003</v>
      </c>
    </row>
    <row r="245" spans="1:7" x14ac:dyDescent="0.25">
      <c r="A245">
        <v>243</v>
      </c>
      <c r="B245" s="18">
        <f>'Raw Data'!N246</f>
        <v>22.2</v>
      </c>
      <c r="C245" s="18">
        <f>'Raw Data'!A246</f>
        <v>0.10290000000000001</v>
      </c>
      <c r="D245" s="5">
        <f>VLOOKUP(B245,'Raw Data'!$N$4:$N$508,1,FALSE)</f>
        <v>22.2</v>
      </c>
      <c r="E245" s="5">
        <f>_xlfn.XLOOKUP(B245,'Raw Data'!$N$4:$N$509,'Raw Data'!$A$4:$A$509,"Not Found")</f>
        <v>0.11027000000000001</v>
      </c>
      <c r="F245" s="5">
        <f>INDEX('Raw Data'!$A$4:$A$508,MATCH(MAX('Raw Data'!$N$4:$N$508),'Raw Data'!$N$4:$N$508,0))</f>
        <v>1.46336</v>
      </c>
      <c r="G245" s="5">
        <f>INDEX('Raw Data'!$F$4:$F$508,MATCH(MIN('Raw Data'!$N$4:$N$508),'Raw Data'!$N$4:$N$508,0))</f>
        <v>5.8520000000000003</v>
      </c>
    </row>
    <row r="246" spans="1:7" x14ac:dyDescent="0.25">
      <c r="A246">
        <v>244</v>
      </c>
      <c r="B246" s="18">
        <f>'Raw Data'!N247</f>
        <v>23.7</v>
      </c>
      <c r="C246" s="18">
        <f>'Raw Data'!A247</f>
        <v>0.12756999999999999</v>
      </c>
      <c r="D246" s="5">
        <f>VLOOKUP(B246,'Raw Data'!$N$4:$N$508,1,FALSE)</f>
        <v>23.7</v>
      </c>
      <c r="E246" s="5">
        <f>_xlfn.XLOOKUP(B246,'Raw Data'!$N$4:$N$509,'Raw Data'!$A$4:$A$509,"Not Found")</f>
        <v>0.28954999999999997</v>
      </c>
      <c r="F246" s="5">
        <f>INDEX('Raw Data'!$A$4:$A$508,MATCH(MAX('Raw Data'!$N$4:$N$508),'Raw Data'!$N$4:$N$508,0))</f>
        <v>1.46336</v>
      </c>
      <c r="G246" s="5">
        <f>INDEX('Raw Data'!$F$4:$F$508,MATCH(MIN('Raw Data'!$N$4:$N$508),'Raw Data'!$N$4:$N$508,0))</f>
        <v>5.8520000000000003</v>
      </c>
    </row>
    <row r="247" spans="1:7" x14ac:dyDescent="0.25">
      <c r="A247">
        <v>245</v>
      </c>
      <c r="B247" s="18">
        <f>'Raw Data'!N248</f>
        <v>17.600000000000001</v>
      </c>
      <c r="C247" s="18">
        <f>'Raw Data'!A248</f>
        <v>0.20608000000000001</v>
      </c>
      <c r="D247" s="5">
        <f>VLOOKUP(B247,'Raw Data'!$N$4:$N$508,1,FALSE)</f>
        <v>17.600000000000001</v>
      </c>
      <c r="E247" s="5">
        <f>_xlfn.XLOOKUP(B247,'Raw Data'!$N$4:$N$509,'Raw Data'!$A$4:$A$509,"Not Found")</f>
        <v>0.20608000000000001</v>
      </c>
      <c r="F247" s="5">
        <f>INDEX('Raw Data'!$A$4:$A$508,MATCH(MAX('Raw Data'!$N$4:$N$508),'Raw Data'!$N$4:$N$508,0))</f>
        <v>1.46336</v>
      </c>
      <c r="G247" s="5">
        <f>INDEX('Raw Data'!$F$4:$F$508,MATCH(MIN('Raw Data'!$N$4:$N$508),'Raw Data'!$N$4:$N$508,0))</f>
        <v>5.8520000000000003</v>
      </c>
    </row>
    <row r="248" spans="1:7" x14ac:dyDescent="0.25">
      <c r="A248">
        <v>246</v>
      </c>
      <c r="B248" s="18">
        <f>'Raw Data'!N249</f>
        <v>18.5</v>
      </c>
      <c r="C248" s="18">
        <f>'Raw Data'!A249</f>
        <v>0.19133</v>
      </c>
      <c r="D248" s="5">
        <f>VLOOKUP(B248,'Raw Data'!$N$4:$N$508,1,FALSE)</f>
        <v>18.5</v>
      </c>
      <c r="E248" s="5">
        <f>_xlfn.XLOOKUP(B248,'Raw Data'!$N$4:$N$509,'Raw Data'!$A$4:$A$509,"Not Found")</f>
        <v>0.14230999999999999</v>
      </c>
      <c r="F248" s="5">
        <f>INDEX('Raw Data'!$A$4:$A$508,MATCH(MAX('Raw Data'!$N$4:$N$508),'Raw Data'!$N$4:$N$508,0))</f>
        <v>1.46336</v>
      </c>
      <c r="G248" s="5">
        <f>INDEX('Raw Data'!$F$4:$F$508,MATCH(MIN('Raw Data'!$N$4:$N$508),'Raw Data'!$N$4:$N$508,0))</f>
        <v>5.8520000000000003</v>
      </c>
    </row>
    <row r="249" spans="1:7" x14ac:dyDescent="0.25">
      <c r="A249">
        <v>247</v>
      </c>
      <c r="B249" s="18">
        <f>'Raw Data'!N250</f>
        <v>24.3</v>
      </c>
      <c r="C249" s="18">
        <f>'Raw Data'!A250</f>
        <v>0.33983000000000002</v>
      </c>
      <c r="D249" s="5">
        <f>VLOOKUP(B249,'Raw Data'!$N$4:$N$508,1,FALSE)</f>
        <v>24.3</v>
      </c>
      <c r="E249" s="5">
        <f>_xlfn.XLOOKUP(B249,'Raw Data'!$N$4:$N$509,'Raw Data'!$A$4:$A$509,"Not Found")</f>
        <v>1.34284</v>
      </c>
      <c r="F249" s="5">
        <f>INDEX('Raw Data'!$A$4:$A$508,MATCH(MAX('Raw Data'!$N$4:$N$508),'Raw Data'!$N$4:$N$508,0))</f>
        <v>1.46336</v>
      </c>
      <c r="G249" s="5">
        <f>INDEX('Raw Data'!$F$4:$F$508,MATCH(MIN('Raw Data'!$N$4:$N$508),'Raw Data'!$N$4:$N$508,0))</f>
        <v>5.8520000000000003</v>
      </c>
    </row>
    <row r="250" spans="1:7" x14ac:dyDescent="0.25">
      <c r="A250">
        <v>248</v>
      </c>
      <c r="B250" s="18">
        <f>'Raw Data'!N251</f>
        <v>20.5</v>
      </c>
      <c r="C250" s="18">
        <f>'Raw Data'!A251</f>
        <v>0.19656999999999999</v>
      </c>
      <c r="D250" s="5">
        <f>VLOOKUP(B250,'Raw Data'!$N$4:$N$508,1,FALSE)</f>
        <v>20.5</v>
      </c>
      <c r="E250" s="5">
        <f>_xlfn.XLOOKUP(B250,'Raw Data'!$N$4:$N$509,'Raw Data'!$A$4:$A$509,"Not Found")</f>
        <v>4.3369999999999999E-2</v>
      </c>
      <c r="F250" s="5">
        <f>INDEX('Raw Data'!$A$4:$A$508,MATCH(MAX('Raw Data'!$N$4:$N$508),'Raw Data'!$N$4:$N$508,0))</f>
        <v>1.46336</v>
      </c>
      <c r="G250" s="5">
        <f>INDEX('Raw Data'!$F$4:$F$508,MATCH(MIN('Raw Data'!$N$4:$N$508),'Raw Data'!$N$4:$N$508,0))</f>
        <v>5.8520000000000003</v>
      </c>
    </row>
    <row r="251" spans="1:7" x14ac:dyDescent="0.25">
      <c r="A251">
        <v>249</v>
      </c>
      <c r="B251" s="18">
        <f>'Raw Data'!N252</f>
        <v>24.5</v>
      </c>
      <c r="C251" s="18">
        <f>'Raw Data'!A252</f>
        <v>0.16439000000000001</v>
      </c>
      <c r="D251" s="5">
        <f>VLOOKUP(B251,'Raw Data'!$N$4:$N$508,1,FALSE)</f>
        <v>24.5</v>
      </c>
      <c r="E251" s="5">
        <f>_xlfn.XLOOKUP(B251,'Raw Data'!$N$4:$N$509,'Raw Data'!$A$4:$A$509,"Not Found")</f>
        <v>0.16439000000000001</v>
      </c>
      <c r="F251" s="5">
        <f>INDEX('Raw Data'!$A$4:$A$508,MATCH(MAX('Raw Data'!$N$4:$N$508),'Raw Data'!$N$4:$N$508,0))</f>
        <v>1.46336</v>
      </c>
      <c r="G251" s="5">
        <f>INDEX('Raw Data'!$F$4:$F$508,MATCH(MIN('Raw Data'!$N$4:$N$508),'Raw Data'!$N$4:$N$508,0))</f>
        <v>5.8520000000000003</v>
      </c>
    </row>
    <row r="252" spans="1:7" x14ac:dyDescent="0.25">
      <c r="A252">
        <v>250</v>
      </c>
      <c r="B252" s="18">
        <f>'Raw Data'!N253</f>
        <v>26.2</v>
      </c>
      <c r="C252" s="18">
        <f>'Raw Data'!A253</f>
        <v>0.19073000000000001</v>
      </c>
      <c r="D252" s="5">
        <f>VLOOKUP(B252,'Raw Data'!$N$4:$N$508,1,FALSE)</f>
        <v>26.2</v>
      </c>
      <c r="E252" s="5">
        <f>_xlfn.XLOOKUP(B252,'Raw Data'!$N$4:$N$509,'Raw Data'!$A$4:$A$509,"Not Found")</f>
        <v>0.19073000000000001</v>
      </c>
      <c r="F252" s="5">
        <f>INDEX('Raw Data'!$A$4:$A$508,MATCH(MAX('Raw Data'!$N$4:$N$508),'Raw Data'!$N$4:$N$508,0))</f>
        <v>1.46336</v>
      </c>
      <c r="G252" s="5">
        <f>INDEX('Raw Data'!$F$4:$F$508,MATCH(MIN('Raw Data'!$N$4:$N$508),'Raw Data'!$N$4:$N$508,0))</f>
        <v>5.8520000000000003</v>
      </c>
    </row>
    <row r="253" spans="1:7" x14ac:dyDescent="0.25">
      <c r="A253">
        <v>251</v>
      </c>
      <c r="B253" s="18">
        <f>'Raw Data'!N254</f>
        <v>24.4</v>
      </c>
      <c r="C253" s="18">
        <f>'Raw Data'!A254</f>
        <v>0.14030000000000001</v>
      </c>
      <c r="D253" s="5">
        <f>VLOOKUP(B253,'Raw Data'!$N$4:$N$508,1,FALSE)</f>
        <v>24.4</v>
      </c>
      <c r="E253" s="5">
        <f>_xlfn.XLOOKUP(B253,'Raw Data'!$N$4:$N$509,'Raw Data'!$A$4:$A$509,"Not Found")</f>
        <v>0.22969000000000001</v>
      </c>
      <c r="F253" s="5">
        <f>INDEX('Raw Data'!$A$4:$A$508,MATCH(MAX('Raw Data'!$N$4:$N$508),'Raw Data'!$N$4:$N$508,0))</f>
        <v>1.46336</v>
      </c>
      <c r="G253" s="5">
        <f>INDEX('Raw Data'!$F$4:$F$508,MATCH(MIN('Raw Data'!$N$4:$N$508),'Raw Data'!$N$4:$N$508,0))</f>
        <v>5.8520000000000003</v>
      </c>
    </row>
    <row r="254" spans="1:7" x14ac:dyDescent="0.25">
      <c r="A254">
        <v>252</v>
      </c>
      <c r="B254" s="18">
        <f>'Raw Data'!N255</f>
        <v>24.8</v>
      </c>
      <c r="C254" s="18">
        <f>'Raw Data'!A255</f>
        <v>0.21409</v>
      </c>
      <c r="D254" s="5">
        <f>VLOOKUP(B254,'Raw Data'!$N$4:$N$508,1,FALSE)</f>
        <v>24.8</v>
      </c>
      <c r="E254" s="5">
        <f>_xlfn.XLOOKUP(B254,'Raw Data'!$N$4:$N$509,'Raw Data'!$A$4:$A$509,"Not Found")</f>
        <v>3.6589999999999998E-2</v>
      </c>
      <c r="F254" s="5">
        <f>INDEX('Raw Data'!$A$4:$A$508,MATCH(MAX('Raw Data'!$N$4:$N$508),'Raw Data'!$N$4:$N$508,0))</f>
        <v>1.46336</v>
      </c>
      <c r="G254" s="5">
        <f>INDEX('Raw Data'!$F$4:$F$508,MATCH(MIN('Raw Data'!$N$4:$N$508),'Raw Data'!$N$4:$N$508,0))</f>
        <v>5.8520000000000003</v>
      </c>
    </row>
    <row r="255" spans="1:7" x14ac:dyDescent="0.25">
      <c r="A255">
        <v>253</v>
      </c>
      <c r="B255" s="18">
        <f>'Raw Data'!N256</f>
        <v>29.6</v>
      </c>
      <c r="C255" s="18">
        <f>'Raw Data'!A256</f>
        <v>8.2210000000000005E-2</v>
      </c>
      <c r="D255" s="5">
        <f>VLOOKUP(B255,'Raw Data'!$N$4:$N$508,1,FALSE)</f>
        <v>29.6</v>
      </c>
      <c r="E255" s="5">
        <f>_xlfn.XLOOKUP(B255,'Raw Data'!$N$4:$N$509,'Raw Data'!$A$4:$A$509,"Not Found")</f>
        <v>6.0470000000000003E-2</v>
      </c>
      <c r="F255" s="5">
        <f>INDEX('Raw Data'!$A$4:$A$508,MATCH(MAX('Raw Data'!$N$4:$N$508),'Raw Data'!$N$4:$N$508,0))</f>
        <v>1.46336</v>
      </c>
      <c r="G255" s="5">
        <f>INDEX('Raw Data'!$F$4:$F$508,MATCH(MIN('Raw Data'!$N$4:$N$508),'Raw Data'!$N$4:$N$508,0))</f>
        <v>5.8520000000000003</v>
      </c>
    </row>
    <row r="256" spans="1:7" x14ac:dyDescent="0.25">
      <c r="A256">
        <v>254</v>
      </c>
      <c r="B256" s="18">
        <f>'Raw Data'!N257</f>
        <v>42.8</v>
      </c>
      <c r="C256" s="18">
        <f>'Raw Data'!A257</f>
        <v>0.36893999999999999</v>
      </c>
      <c r="D256" s="5">
        <f>VLOOKUP(B256,'Raw Data'!$N$4:$N$508,1,FALSE)</f>
        <v>42.8</v>
      </c>
      <c r="E256" s="5">
        <f>_xlfn.XLOOKUP(B256,'Raw Data'!$N$4:$N$509,'Raw Data'!$A$4:$A$509,"Not Found")</f>
        <v>0.36893999999999999</v>
      </c>
      <c r="F256" s="5">
        <f>INDEX('Raw Data'!$A$4:$A$508,MATCH(MAX('Raw Data'!$N$4:$N$508),'Raw Data'!$N$4:$N$508,0))</f>
        <v>1.46336</v>
      </c>
      <c r="G256" s="5">
        <f>INDEX('Raw Data'!$F$4:$F$508,MATCH(MIN('Raw Data'!$N$4:$N$508),'Raw Data'!$N$4:$N$508,0))</f>
        <v>5.8520000000000003</v>
      </c>
    </row>
    <row r="257" spans="1:7" x14ac:dyDescent="0.25">
      <c r="A257">
        <v>255</v>
      </c>
      <c r="B257" s="18">
        <f>'Raw Data'!N258</f>
        <v>21.9</v>
      </c>
      <c r="C257" s="18">
        <f>'Raw Data'!A258</f>
        <v>4.8189999999999997E-2</v>
      </c>
      <c r="D257" s="5">
        <f>VLOOKUP(B257,'Raw Data'!$N$4:$N$508,1,FALSE)</f>
        <v>21.9</v>
      </c>
      <c r="E257" s="5">
        <f>_xlfn.XLOOKUP(B257,'Raw Data'!$N$4:$N$509,'Raw Data'!$A$4:$A$509,"Not Found")</f>
        <v>4.8189999999999997E-2</v>
      </c>
      <c r="F257" s="5">
        <f>INDEX('Raw Data'!$A$4:$A$508,MATCH(MAX('Raw Data'!$N$4:$N$508),'Raw Data'!$N$4:$N$508,0))</f>
        <v>1.46336</v>
      </c>
      <c r="G257" s="5">
        <f>INDEX('Raw Data'!$F$4:$F$508,MATCH(MIN('Raw Data'!$N$4:$N$508),'Raw Data'!$N$4:$N$508,0))</f>
        <v>5.8520000000000003</v>
      </c>
    </row>
    <row r="258" spans="1:7" x14ac:dyDescent="0.25">
      <c r="A258">
        <v>256</v>
      </c>
      <c r="B258" s="18">
        <f>'Raw Data'!N259</f>
        <v>20.9</v>
      </c>
      <c r="C258" s="18">
        <f>'Raw Data'!A259</f>
        <v>3.5479999999999998E-2</v>
      </c>
      <c r="D258" s="5">
        <f>VLOOKUP(B258,'Raw Data'!$N$4:$N$508,1,FALSE)</f>
        <v>20.9</v>
      </c>
      <c r="E258" s="5">
        <f>_xlfn.XLOOKUP(B258,'Raw Data'!$N$4:$N$509,'Raw Data'!$A$4:$A$509,"Not Found")</f>
        <v>0.12816</v>
      </c>
      <c r="F258" s="5">
        <f>INDEX('Raw Data'!$A$4:$A$508,MATCH(MAX('Raw Data'!$N$4:$N$508),'Raw Data'!$N$4:$N$508,0))</f>
        <v>1.46336</v>
      </c>
      <c r="G258" s="5">
        <f>INDEX('Raw Data'!$F$4:$F$508,MATCH(MIN('Raw Data'!$N$4:$N$508),'Raw Data'!$N$4:$N$508,0))</f>
        <v>5.8520000000000003</v>
      </c>
    </row>
    <row r="259" spans="1:7" x14ac:dyDescent="0.25">
      <c r="A259">
        <v>257</v>
      </c>
      <c r="B259" s="18">
        <f>'Raw Data'!N260</f>
        <v>44</v>
      </c>
      <c r="C259" s="18">
        <f>'Raw Data'!A260</f>
        <v>1.538E-2</v>
      </c>
      <c r="D259" s="5">
        <f>VLOOKUP(B259,'Raw Data'!$N$4:$N$508,1,FALSE)</f>
        <v>44</v>
      </c>
      <c r="E259" s="5">
        <f>_xlfn.XLOOKUP(B259,'Raw Data'!$N$4:$N$509,'Raw Data'!$A$4:$A$509,"Not Found")</f>
        <v>1.538E-2</v>
      </c>
      <c r="F259" s="5">
        <f>INDEX('Raw Data'!$A$4:$A$508,MATCH(MAX('Raw Data'!$N$4:$N$508),'Raw Data'!$N$4:$N$508,0))</f>
        <v>1.46336</v>
      </c>
      <c r="G259" s="5">
        <f>INDEX('Raw Data'!$F$4:$F$508,MATCH(MIN('Raw Data'!$N$4:$N$508),'Raw Data'!$N$4:$N$508,0))</f>
        <v>5.8520000000000003</v>
      </c>
    </row>
    <row r="260" spans="1:7" x14ac:dyDescent="0.25">
      <c r="A260">
        <v>258</v>
      </c>
      <c r="B260" s="18">
        <f>'Raw Data'!N261</f>
        <v>50</v>
      </c>
      <c r="C260" s="18">
        <f>'Raw Data'!A261</f>
        <v>0.61153999999999997</v>
      </c>
      <c r="D260" s="5">
        <f>VLOOKUP(B260,'Raw Data'!$N$4:$N$508,1,FALSE)</f>
        <v>50</v>
      </c>
      <c r="E260" s="5">
        <f>_xlfn.XLOOKUP(B260,'Raw Data'!$N$4:$N$509,'Raw Data'!$A$4:$A$509,"Not Found")</f>
        <v>1.46336</v>
      </c>
      <c r="F260" s="5">
        <f>INDEX('Raw Data'!$A$4:$A$508,MATCH(MAX('Raw Data'!$N$4:$N$508),'Raw Data'!$N$4:$N$508,0))</f>
        <v>1.46336</v>
      </c>
      <c r="G260" s="5">
        <f>INDEX('Raw Data'!$F$4:$F$508,MATCH(MIN('Raw Data'!$N$4:$N$508),'Raw Data'!$N$4:$N$508,0))</f>
        <v>5.8520000000000003</v>
      </c>
    </row>
    <row r="261" spans="1:7" x14ac:dyDescent="0.25">
      <c r="A261">
        <v>259</v>
      </c>
      <c r="B261" s="18">
        <f>'Raw Data'!N262</f>
        <v>36</v>
      </c>
      <c r="C261" s="18">
        <f>'Raw Data'!A262</f>
        <v>0.66351000000000004</v>
      </c>
      <c r="D261" s="5">
        <f>VLOOKUP(B261,'Raw Data'!$N$4:$N$508,1,FALSE)</f>
        <v>36</v>
      </c>
      <c r="E261" s="5">
        <f>_xlfn.XLOOKUP(B261,'Raw Data'!$N$4:$N$509,'Raw Data'!$A$4:$A$509,"Not Found")</f>
        <v>0.66351000000000004</v>
      </c>
      <c r="F261" s="5">
        <f>INDEX('Raw Data'!$A$4:$A$508,MATCH(MAX('Raw Data'!$N$4:$N$508),'Raw Data'!$N$4:$N$508,0))</f>
        <v>1.46336</v>
      </c>
      <c r="G261" s="5">
        <f>INDEX('Raw Data'!$F$4:$F$508,MATCH(MIN('Raw Data'!$N$4:$N$508),'Raw Data'!$N$4:$N$508,0))</f>
        <v>5.8520000000000003</v>
      </c>
    </row>
    <row r="262" spans="1:7" x14ac:dyDescent="0.25">
      <c r="A262">
        <v>260</v>
      </c>
      <c r="B262" s="18">
        <f>'Raw Data'!N263</f>
        <v>30.1</v>
      </c>
      <c r="C262" s="18">
        <f>'Raw Data'!A263</f>
        <v>0.65664999999999996</v>
      </c>
      <c r="D262" s="5">
        <f>VLOOKUP(B262,'Raw Data'!$N$4:$N$508,1,FALSE)</f>
        <v>30.1</v>
      </c>
      <c r="E262" s="5">
        <f>_xlfn.XLOOKUP(B262,'Raw Data'!$N$4:$N$509,'Raw Data'!$A$4:$A$509,"Not Found")</f>
        <v>0.61470000000000002</v>
      </c>
      <c r="F262" s="5">
        <f>INDEX('Raw Data'!$A$4:$A$508,MATCH(MAX('Raw Data'!$N$4:$N$508),'Raw Data'!$N$4:$N$508,0))</f>
        <v>1.46336</v>
      </c>
      <c r="G262" s="5">
        <f>INDEX('Raw Data'!$F$4:$F$508,MATCH(MIN('Raw Data'!$N$4:$N$508),'Raw Data'!$N$4:$N$508,0))</f>
        <v>5.8520000000000003</v>
      </c>
    </row>
    <row r="263" spans="1:7" x14ac:dyDescent="0.25">
      <c r="A263">
        <v>261</v>
      </c>
      <c r="B263" s="18">
        <f>'Raw Data'!N264</f>
        <v>33.799999999999997</v>
      </c>
      <c r="C263" s="18">
        <f>'Raw Data'!A264</f>
        <v>0.54010999999999998</v>
      </c>
      <c r="D263" s="5">
        <f>VLOOKUP(B263,'Raw Data'!$N$4:$N$508,1,FALSE)</f>
        <v>33.799999999999997</v>
      </c>
      <c r="E263" s="5">
        <f>_xlfn.XLOOKUP(B263,'Raw Data'!$N$4:$N$509,'Raw Data'!$A$4:$A$509,"Not Found")</f>
        <v>0.54010999999999998</v>
      </c>
      <c r="F263" s="5">
        <f>INDEX('Raw Data'!$A$4:$A$508,MATCH(MAX('Raw Data'!$N$4:$N$508),'Raw Data'!$N$4:$N$508,0))</f>
        <v>1.46336</v>
      </c>
      <c r="G263" s="5">
        <f>INDEX('Raw Data'!$F$4:$F$508,MATCH(MIN('Raw Data'!$N$4:$N$508),'Raw Data'!$N$4:$N$508,0))</f>
        <v>5.8520000000000003</v>
      </c>
    </row>
    <row r="264" spans="1:7" x14ac:dyDescent="0.25">
      <c r="A264">
        <v>262</v>
      </c>
      <c r="B264" s="18">
        <f>'Raw Data'!N265</f>
        <v>43.1</v>
      </c>
      <c r="C264" s="18">
        <f>'Raw Data'!A265</f>
        <v>0.53412000000000004</v>
      </c>
      <c r="D264" s="5">
        <f>VLOOKUP(B264,'Raw Data'!$N$4:$N$508,1,FALSE)</f>
        <v>43.1</v>
      </c>
      <c r="E264" s="5">
        <f>_xlfn.XLOOKUP(B264,'Raw Data'!$N$4:$N$509,'Raw Data'!$A$4:$A$509,"Not Found")</f>
        <v>0.53412000000000004</v>
      </c>
      <c r="F264" s="5">
        <f>INDEX('Raw Data'!$A$4:$A$508,MATCH(MAX('Raw Data'!$N$4:$N$508),'Raw Data'!$N$4:$N$508,0))</f>
        <v>1.46336</v>
      </c>
      <c r="G264" s="5">
        <f>INDEX('Raw Data'!$F$4:$F$508,MATCH(MIN('Raw Data'!$N$4:$N$508),'Raw Data'!$N$4:$N$508,0))</f>
        <v>5.8520000000000003</v>
      </c>
    </row>
    <row r="265" spans="1:7" x14ac:dyDescent="0.25">
      <c r="A265">
        <v>263</v>
      </c>
      <c r="B265" s="18">
        <f>'Raw Data'!N266</f>
        <v>48.8</v>
      </c>
      <c r="C265" s="18">
        <f>'Raw Data'!A266</f>
        <v>0.52014000000000005</v>
      </c>
      <c r="D265" s="5">
        <f>VLOOKUP(B265,'Raw Data'!$N$4:$N$508,1,FALSE)</f>
        <v>48.8</v>
      </c>
      <c r="E265" s="5">
        <f>_xlfn.XLOOKUP(B265,'Raw Data'!$N$4:$N$509,'Raw Data'!$A$4:$A$509,"Not Found")</f>
        <v>0.52014000000000005</v>
      </c>
      <c r="F265" s="5">
        <f>INDEX('Raw Data'!$A$4:$A$508,MATCH(MAX('Raw Data'!$N$4:$N$508),'Raw Data'!$N$4:$N$508,0))</f>
        <v>1.46336</v>
      </c>
      <c r="G265" s="5">
        <f>INDEX('Raw Data'!$F$4:$F$508,MATCH(MIN('Raw Data'!$N$4:$N$508),'Raw Data'!$N$4:$N$508,0))</f>
        <v>5.8520000000000003</v>
      </c>
    </row>
    <row r="266" spans="1:7" x14ac:dyDescent="0.25">
      <c r="A266">
        <v>264</v>
      </c>
      <c r="B266" s="18">
        <f>'Raw Data'!N267</f>
        <v>31</v>
      </c>
      <c r="C266" s="18">
        <f>'Raw Data'!A267</f>
        <v>0.82525999999999999</v>
      </c>
      <c r="D266" s="5">
        <f>VLOOKUP(B266,'Raw Data'!$N$4:$N$508,1,FALSE)</f>
        <v>31</v>
      </c>
      <c r="E266" s="5">
        <f>_xlfn.XLOOKUP(B266,'Raw Data'!$N$4:$N$509,'Raw Data'!$A$4:$A$509,"Not Found")</f>
        <v>0.82525999999999999</v>
      </c>
      <c r="F266" s="5">
        <f>INDEX('Raw Data'!$A$4:$A$508,MATCH(MAX('Raw Data'!$N$4:$N$508),'Raw Data'!$N$4:$N$508,0))</f>
        <v>1.46336</v>
      </c>
      <c r="G266" s="5">
        <f>INDEX('Raw Data'!$F$4:$F$508,MATCH(MIN('Raw Data'!$N$4:$N$508),'Raw Data'!$N$4:$N$508,0))</f>
        <v>5.8520000000000003</v>
      </c>
    </row>
    <row r="267" spans="1:7" x14ac:dyDescent="0.25">
      <c r="A267">
        <v>265</v>
      </c>
      <c r="B267" s="18">
        <f>'Raw Data'!N268</f>
        <v>36.5</v>
      </c>
      <c r="C267" s="18">
        <f>'Raw Data'!A268</f>
        <v>0.55006999999999995</v>
      </c>
      <c r="D267" s="5">
        <f>VLOOKUP(B267,'Raw Data'!$N$4:$N$508,1,FALSE)</f>
        <v>36.5</v>
      </c>
      <c r="E267" s="5">
        <f>_xlfn.XLOOKUP(B267,'Raw Data'!$N$4:$N$509,'Raw Data'!$A$4:$A$509,"Not Found")</f>
        <v>0.55006999999999995</v>
      </c>
      <c r="F267" s="5">
        <f>INDEX('Raw Data'!$A$4:$A$508,MATCH(MAX('Raw Data'!$N$4:$N$508),'Raw Data'!$N$4:$N$508,0))</f>
        <v>1.46336</v>
      </c>
      <c r="G267" s="5">
        <f>INDEX('Raw Data'!$F$4:$F$508,MATCH(MIN('Raw Data'!$N$4:$N$508),'Raw Data'!$N$4:$N$508,0))</f>
        <v>5.8520000000000003</v>
      </c>
    </row>
    <row r="268" spans="1:7" x14ac:dyDescent="0.25">
      <c r="A268">
        <v>266</v>
      </c>
      <c r="B268" s="18">
        <f>'Raw Data'!N269</f>
        <v>22.8</v>
      </c>
      <c r="C268" s="18">
        <f>'Raw Data'!A269</f>
        <v>0.76161999999999996</v>
      </c>
      <c r="D268" s="5">
        <f>VLOOKUP(B268,'Raw Data'!$N$4:$N$508,1,FALSE)</f>
        <v>22.8</v>
      </c>
      <c r="E268" s="5">
        <f>_xlfn.XLOOKUP(B268,'Raw Data'!$N$4:$N$509,'Raw Data'!$A$4:$A$509,"Not Found")</f>
        <v>9.1639999999999999E-2</v>
      </c>
      <c r="F268" s="5">
        <f>INDEX('Raw Data'!$A$4:$A$508,MATCH(MAX('Raw Data'!$N$4:$N$508),'Raw Data'!$N$4:$N$508,0))</f>
        <v>1.46336</v>
      </c>
      <c r="G268" s="5">
        <f>INDEX('Raw Data'!$F$4:$F$508,MATCH(MIN('Raw Data'!$N$4:$N$508),'Raw Data'!$N$4:$N$508,0))</f>
        <v>5.8520000000000003</v>
      </c>
    </row>
    <row r="269" spans="1:7" x14ac:dyDescent="0.25">
      <c r="A269">
        <v>267</v>
      </c>
      <c r="B269" s="18">
        <f>'Raw Data'!N270</f>
        <v>30.7</v>
      </c>
      <c r="C269" s="18">
        <f>'Raw Data'!A270</f>
        <v>0.78569999999999995</v>
      </c>
      <c r="D269" s="5">
        <f>VLOOKUP(B269,'Raw Data'!$N$4:$N$508,1,FALSE)</f>
        <v>30.7</v>
      </c>
      <c r="E269" s="5">
        <f>_xlfn.XLOOKUP(B269,'Raw Data'!$N$4:$N$509,'Raw Data'!$A$4:$A$509,"Not Found")</f>
        <v>0.78569999999999995</v>
      </c>
      <c r="F269" s="5">
        <f>INDEX('Raw Data'!$A$4:$A$508,MATCH(MAX('Raw Data'!$N$4:$N$508),'Raw Data'!$N$4:$N$508,0))</f>
        <v>1.46336</v>
      </c>
      <c r="G269" s="5">
        <f>INDEX('Raw Data'!$F$4:$F$508,MATCH(MIN('Raw Data'!$N$4:$N$508),'Raw Data'!$N$4:$N$508,0))</f>
        <v>5.8520000000000003</v>
      </c>
    </row>
    <row r="270" spans="1:7" x14ac:dyDescent="0.25">
      <c r="A270">
        <v>268</v>
      </c>
      <c r="B270" s="18">
        <f>'Raw Data'!N271</f>
        <v>50</v>
      </c>
      <c r="C270" s="18">
        <f>'Raw Data'!A271</f>
        <v>0.57833999999999997</v>
      </c>
      <c r="D270" s="5">
        <f>VLOOKUP(B270,'Raw Data'!$N$4:$N$508,1,FALSE)</f>
        <v>50</v>
      </c>
      <c r="E270" s="5">
        <f>_xlfn.XLOOKUP(B270,'Raw Data'!$N$4:$N$509,'Raw Data'!$A$4:$A$509,"Not Found")</f>
        <v>1.46336</v>
      </c>
      <c r="F270" s="5">
        <f>INDEX('Raw Data'!$A$4:$A$508,MATCH(MAX('Raw Data'!$N$4:$N$508),'Raw Data'!$N$4:$N$508,0))</f>
        <v>1.46336</v>
      </c>
      <c r="G270" s="5">
        <f>INDEX('Raw Data'!$F$4:$F$508,MATCH(MIN('Raw Data'!$N$4:$N$508),'Raw Data'!$N$4:$N$508,0))</f>
        <v>5.8520000000000003</v>
      </c>
    </row>
    <row r="271" spans="1:7" x14ac:dyDescent="0.25">
      <c r="A271">
        <v>269</v>
      </c>
      <c r="B271" s="18">
        <f>'Raw Data'!N272</f>
        <v>43.5</v>
      </c>
      <c r="C271" s="18">
        <f>'Raw Data'!A272</f>
        <v>0.54049999999999998</v>
      </c>
      <c r="D271" s="5">
        <f>VLOOKUP(B271,'Raw Data'!$N$4:$N$508,1,FALSE)</f>
        <v>43.5</v>
      </c>
      <c r="E271" s="5">
        <f>_xlfn.XLOOKUP(B271,'Raw Data'!$N$4:$N$509,'Raw Data'!$A$4:$A$509,"Not Found")</f>
        <v>0.54049999999999998</v>
      </c>
      <c r="F271" s="5">
        <f>INDEX('Raw Data'!$A$4:$A$508,MATCH(MAX('Raw Data'!$N$4:$N$508),'Raw Data'!$N$4:$N$508,0))</f>
        <v>1.46336</v>
      </c>
      <c r="G271" s="5">
        <f>INDEX('Raw Data'!$F$4:$F$508,MATCH(MIN('Raw Data'!$N$4:$N$508),'Raw Data'!$N$4:$N$508,0))</f>
        <v>5.8520000000000003</v>
      </c>
    </row>
    <row r="272" spans="1:7" x14ac:dyDescent="0.25">
      <c r="A272">
        <v>270</v>
      </c>
      <c r="B272" s="18">
        <f>'Raw Data'!N273</f>
        <v>20.7</v>
      </c>
      <c r="C272" s="18">
        <f>'Raw Data'!A273</f>
        <v>9.0649999999999994E-2</v>
      </c>
      <c r="D272" s="5">
        <f>VLOOKUP(B272,'Raw Data'!$N$4:$N$508,1,FALSE)</f>
        <v>20.7</v>
      </c>
      <c r="E272" s="5">
        <f>_xlfn.XLOOKUP(B272,'Raw Data'!$N$4:$N$509,'Raw Data'!$A$4:$A$509,"Not Found")</f>
        <v>9.0649999999999994E-2</v>
      </c>
      <c r="F272" s="5">
        <f>INDEX('Raw Data'!$A$4:$A$508,MATCH(MAX('Raw Data'!$N$4:$N$508),'Raw Data'!$N$4:$N$508,0))</f>
        <v>1.46336</v>
      </c>
      <c r="G272" s="5">
        <f>INDEX('Raw Data'!$F$4:$F$508,MATCH(MIN('Raw Data'!$N$4:$N$508),'Raw Data'!$N$4:$N$508,0))</f>
        <v>5.8520000000000003</v>
      </c>
    </row>
    <row r="273" spans="1:7" x14ac:dyDescent="0.25">
      <c r="A273">
        <v>271</v>
      </c>
      <c r="B273" s="18">
        <f>'Raw Data'!N274</f>
        <v>21.1</v>
      </c>
      <c r="C273" s="18">
        <f>'Raw Data'!A274</f>
        <v>0.29915999999999998</v>
      </c>
      <c r="D273" s="5">
        <f>VLOOKUP(B273,'Raw Data'!$N$4:$N$508,1,FALSE)</f>
        <v>21.1</v>
      </c>
      <c r="E273" s="5">
        <f>_xlfn.XLOOKUP(B273,'Raw Data'!$N$4:$N$509,'Raw Data'!$A$4:$A$509,"Not Found")</f>
        <v>0.29915999999999998</v>
      </c>
      <c r="F273" s="5">
        <f>INDEX('Raw Data'!$A$4:$A$508,MATCH(MAX('Raw Data'!$N$4:$N$508),'Raw Data'!$N$4:$N$508,0))</f>
        <v>1.46336</v>
      </c>
      <c r="G273" s="5">
        <f>INDEX('Raw Data'!$F$4:$F$508,MATCH(MIN('Raw Data'!$N$4:$N$508),'Raw Data'!$N$4:$N$508,0))</f>
        <v>5.8520000000000003</v>
      </c>
    </row>
    <row r="274" spans="1:7" x14ac:dyDescent="0.25">
      <c r="A274">
        <v>272</v>
      </c>
      <c r="B274" s="18">
        <f>'Raw Data'!N275</f>
        <v>25.2</v>
      </c>
      <c r="C274" s="18">
        <f>'Raw Data'!A275</f>
        <v>0.16211</v>
      </c>
      <c r="D274" s="5">
        <f>VLOOKUP(B274,'Raw Data'!$N$4:$N$508,1,FALSE)</f>
        <v>25.2</v>
      </c>
      <c r="E274" s="5">
        <f>_xlfn.XLOOKUP(B274,'Raw Data'!$N$4:$N$509,'Raw Data'!$A$4:$A$509,"Not Found")</f>
        <v>0.16211</v>
      </c>
      <c r="F274" s="5">
        <f>INDEX('Raw Data'!$A$4:$A$508,MATCH(MAX('Raw Data'!$N$4:$N$508),'Raw Data'!$N$4:$N$508,0))</f>
        <v>1.46336</v>
      </c>
      <c r="G274" s="5">
        <f>INDEX('Raw Data'!$F$4:$F$508,MATCH(MIN('Raw Data'!$N$4:$N$508),'Raw Data'!$N$4:$N$508,0))</f>
        <v>5.8520000000000003</v>
      </c>
    </row>
    <row r="275" spans="1:7" x14ac:dyDescent="0.25">
      <c r="A275">
        <v>273</v>
      </c>
      <c r="B275" s="18">
        <f>'Raw Data'!N276</f>
        <v>24.4</v>
      </c>
      <c r="C275" s="18">
        <f>'Raw Data'!A276</f>
        <v>0.11459999999999999</v>
      </c>
      <c r="D275" s="5">
        <f>VLOOKUP(B275,'Raw Data'!$N$4:$N$508,1,FALSE)</f>
        <v>24.4</v>
      </c>
      <c r="E275" s="5">
        <f>_xlfn.XLOOKUP(B275,'Raw Data'!$N$4:$N$509,'Raw Data'!$A$4:$A$509,"Not Found")</f>
        <v>0.22969000000000001</v>
      </c>
      <c r="F275" s="5">
        <f>INDEX('Raw Data'!$A$4:$A$508,MATCH(MAX('Raw Data'!$N$4:$N$508),'Raw Data'!$N$4:$N$508,0))</f>
        <v>1.46336</v>
      </c>
      <c r="G275" s="5">
        <f>INDEX('Raw Data'!$F$4:$F$508,MATCH(MIN('Raw Data'!$N$4:$N$508),'Raw Data'!$N$4:$N$508,0))</f>
        <v>5.8520000000000003</v>
      </c>
    </row>
    <row r="276" spans="1:7" x14ac:dyDescent="0.25">
      <c r="A276">
        <v>274</v>
      </c>
      <c r="B276" s="18">
        <f>'Raw Data'!N277</f>
        <v>35.200000000000003</v>
      </c>
      <c r="C276" s="18">
        <f>'Raw Data'!A277</f>
        <v>0.22187999999999999</v>
      </c>
      <c r="D276" s="5">
        <f>VLOOKUP(B276,'Raw Data'!$N$4:$N$508,1,FALSE)</f>
        <v>35.200000000000003</v>
      </c>
      <c r="E276" s="5">
        <f>_xlfn.XLOOKUP(B276,'Raw Data'!$N$4:$N$509,'Raw Data'!$A$4:$A$509,"Not Found")</f>
        <v>0.22187999999999999</v>
      </c>
      <c r="F276" s="5">
        <f>INDEX('Raw Data'!$A$4:$A$508,MATCH(MAX('Raw Data'!$N$4:$N$508),'Raw Data'!$N$4:$N$508,0))</f>
        <v>1.46336</v>
      </c>
      <c r="G276" s="5">
        <f>INDEX('Raw Data'!$F$4:$F$508,MATCH(MIN('Raw Data'!$N$4:$N$508),'Raw Data'!$N$4:$N$508,0))</f>
        <v>5.8520000000000003</v>
      </c>
    </row>
    <row r="277" spans="1:7" x14ac:dyDescent="0.25">
      <c r="A277">
        <v>275</v>
      </c>
      <c r="B277" s="18">
        <f>'Raw Data'!N278</f>
        <v>32.4</v>
      </c>
      <c r="C277" s="18">
        <f>'Raw Data'!A278</f>
        <v>5.6439999999999997E-2</v>
      </c>
      <c r="D277" s="5">
        <f>VLOOKUP(B277,'Raw Data'!$N$4:$N$508,1,FALSE)</f>
        <v>32.4</v>
      </c>
      <c r="E277" s="5">
        <f>_xlfn.XLOOKUP(B277,'Raw Data'!$N$4:$N$509,'Raw Data'!$A$4:$A$509,"Not Found")</f>
        <v>5.6439999999999997E-2</v>
      </c>
      <c r="F277" s="5">
        <f>INDEX('Raw Data'!$A$4:$A$508,MATCH(MAX('Raw Data'!$N$4:$N$508),'Raw Data'!$N$4:$N$508,0))</f>
        <v>1.46336</v>
      </c>
      <c r="G277" s="5">
        <f>INDEX('Raw Data'!$F$4:$F$508,MATCH(MIN('Raw Data'!$N$4:$N$508),'Raw Data'!$N$4:$N$508,0))</f>
        <v>5.8520000000000003</v>
      </c>
    </row>
    <row r="278" spans="1:7" x14ac:dyDescent="0.25">
      <c r="A278">
        <v>276</v>
      </c>
      <c r="B278" s="18">
        <f>'Raw Data'!N279</f>
        <v>32</v>
      </c>
      <c r="C278" s="18">
        <f>'Raw Data'!A279</f>
        <v>9.604E-2</v>
      </c>
      <c r="D278" s="5">
        <f>VLOOKUP(B278,'Raw Data'!$N$4:$N$508,1,FALSE)</f>
        <v>32</v>
      </c>
      <c r="E278" s="5">
        <f>_xlfn.XLOOKUP(B278,'Raw Data'!$N$4:$N$509,'Raw Data'!$A$4:$A$509,"Not Found")</f>
        <v>7.8750000000000001E-2</v>
      </c>
      <c r="F278" s="5">
        <f>INDEX('Raw Data'!$A$4:$A$508,MATCH(MAX('Raw Data'!$N$4:$N$508),'Raw Data'!$N$4:$N$508,0))</f>
        <v>1.46336</v>
      </c>
      <c r="G278" s="5">
        <f>INDEX('Raw Data'!$F$4:$F$508,MATCH(MIN('Raw Data'!$N$4:$N$508),'Raw Data'!$N$4:$N$508,0))</f>
        <v>5.8520000000000003</v>
      </c>
    </row>
    <row r="279" spans="1:7" x14ac:dyDescent="0.25">
      <c r="A279">
        <v>277</v>
      </c>
      <c r="B279" s="18">
        <f>'Raw Data'!N280</f>
        <v>33.200000000000003</v>
      </c>
      <c r="C279" s="18">
        <f>'Raw Data'!A280</f>
        <v>0.10469000000000001</v>
      </c>
      <c r="D279" s="5">
        <f>VLOOKUP(B279,'Raw Data'!$N$4:$N$508,1,FALSE)</f>
        <v>33.200000000000003</v>
      </c>
      <c r="E279" s="5">
        <f>_xlfn.XLOOKUP(B279,'Raw Data'!$N$4:$N$509,'Raw Data'!$A$4:$A$509,"Not Found")</f>
        <v>6.8599999999999994E-2</v>
      </c>
      <c r="F279" s="5">
        <f>INDEX('Raw Data'!$A$4:$A$508,MATCH(MAX('Raw Data'!$N$4:$N$508),'Raw Data'!$N$4:$N$508,0))</f>
        <v>1.46336</v>
      </c>
      <c r="G279" s="5">
        <f>INDEX('Raw Data'!$F$4:$F$508,MATCH(MIN('Raw Data'!$N$4:$N$508),'Raw Data'!$N$4:$N$508,0))</f>
        <v>5.8520000000000003</v>
      </c>
    </row>
    <row r="280" spans="1:7" x14ac:dyDescent="0.25">
      <c r="A280">
        <v>278</v>
      </c>
      <c r="B280" s="18">
        <f>'Raw Data'!N281</f>
        <v>33.1</v>
      </c>
      <c r="C280" s="18">
        <f>'Raw Data'!A281</f>
        <v>6.1269999999999998E-2</v>
      </c>
      <c r="D280" s="5">
        <f>VLOOKUP(B280,'Raw Data'!$N$4:$N$508,1,FALSE)</f>
        <v>33.1</v>
      </c>
      <c r="E280" s="5">
        <f>_xlfn.XLOOKUP(B280,'Raw Data'!$N$4:$N$509,'Raw Data'!$A$4:$A$509,"Not Found")</f>
        <v>6.1269999999999998E-2</v>
      </c>
      <c r="F280" s="5">
        <f>INDEX('Raw Data'!$A$4:$A$508,MATCH(MAX('Raw Data'!$N$4:$N$508),'Raw Data'!$N$4:$N$508,0))</f>
        <v>1.46336</v>
      </c>
      <c r="G280" s="5">
        <f>INDEX('Raw Data'!$F$4:$F$508,MATCH(MIN('Raw Data'!$N$4:$N$508),'Raw Data'!$N$4:$N$508,0))</f>
        <v>5.8520000000000003</v>
      </c>
    </row>
    <row r="281" spans="1:7" x14ac:dyDescent="0.25">
      <c r="A281">
        <v>279</v>
      </c>
      <c r="B281" s="18">
        <f>'Raw Data'!N282</f>
        <v>29.1</v>
      </c>
      <c r="C281" s="18">
        <f>'Raw Data'!A282</f>
        <v>7.9780000000000004E-2</v>
      </c>
      <c r="D281" s="5">
        <f>VLOOKUP(B281,'Raw Data'!$N$4:$N$508,1,FALSE)</f>
        <v>29.1</v>
      </c>
      <c r="E281" s="5">
        <f>_xlfn.XLOOKUP(B281,'Raw Data'!$N$4:$N$509,'Raw Data'!$A$4:$A$509,"Not Found")</f>
        <v>1.439E-2</v>
      </c>
      <c r="F281" s="5">
        <f>INDEX('Raw Data'!$A$4:$A$508,MATCH(MAX('Raw Data'!$N$4:$N$508),'Raw Data'!$N$4:$N$508,0))</f>
        <v>1.46336</v>
      </c>
      <c r="G281" s="5">
        <f>INDEX('Raw Data'!$F$4:$F$508,MATCH(MIN('Raw Data'!$N$4:$N$508),'Raw Data'!$N$4:$N$508,0))</f>
        <v>5.8520000000000003</v>
      </c>
    </row>
    <row r="282" spans="1:7" x14ac:dyDescent="0.25">
      <c r="A282">
        <v>280</v>
      </c>
      <c r="B282" s="18">
        <f>'Raw Data'!N283</f>
        <v>35.1</v>
      </c>
      <c r="C282" s="18">
        <f>'Raw Data'!A283</f>
        <v>0.21038000000000001</v>
      </c>
      <c r="D282" s="5">
        <f>VLOOKUP(B282,'Raw Data'!$N$4:$N$508,1,FALSE)</f>
        <v>35.1</v>
      </c>
      <c r="E282" s="5">
        <f>_xlfn.XLOOKUP(B282,'Raw Data'!$N$4:$N$509,'Raw Data'!$A$4:$A$509,"Not Found")</f>
        <v>0.21038000000000001</v>
      </c>
      <c r="F282" s="5">
        <f>INDEX('Raw Data'!$A$4:$A$508,MATCH(MAX('Raw Data'!$N$4:$N$508),'Raw Data'!$N$4:$N$508,0))</f>
        <v>1.46336</v>
      </c>
      <c r="G282" s="5">
        <f>INDEX('Raw Data'!$F$4:$F$508,MATCH(MIN('Raw Data'!$N$4:$N$508),'Raw Data'!$N$4:$N$508,0))</f>
        <v>5.8520000000000003</v>
      </c>
    </row>
    <row r="283" spans="1:7" x14ac:dyDescent="0.25">
      <c r="A283">
        <v>281</v>
      </c>
      <c r="B283" s="18">
        <f>'Raw Data'!N284</f>
        <v>45.4</v>
      </c>
      <c r="C283" s="18">
        <f>'Raw Data'!A284</f>
        <v>3.5779999999999999E-2</v>
      </c>
      <c r="D283" s="5">
        <f>VLOOKUP(B283,'Raw Data'!$N$4:$N$508,1,FALSE)</f>
        <v>45.4</v>
      </c>
      <c r="E283" s="5">
        <f>_xlfn.XLOOKUP(B283,'Raw Data'!$N$4:$N$509,'Raw Data'!$A$4:$A$509,"Not Found")</f>
        <v>3.5779999999999999E-2</v>
      </c>
      <c r="F283" s="5">
        <f>INDEX('Raw Data'!$A$4:$A$508,MATCH(MAX('Raw Data'!$N$4:$N$508),'Raw Data'!$N$4:$N$508,0))</f>
        <v>1.46336</v>
      </c>
      <c r="G283" s="5">
        <f>INDEX('Raw Data'!$F$4:$F$508,MATCH(MIN('Raw Data'!$N$4:$N$508),'Raw Data'!$N$4:$N$508,0))</f>
        <v>5.8520000000000003</v>
      </c>
    </row>
    <row r="284" spans="1:7" x14ac:dyDescent="0.25">
      <c r="A284">
        <v>282</v>
      </c>
      <c r="B284" s="18">
        <f>'Raw Data'!N285</f>
        <v>35.4</v>
      </c>
      <c r="C284" s="18">
        <f>'Raw Data'!A285</f>
        <v>3.705E-2</v>
      </c>
      <c r="D284" s="5">
        <f>VLOOKUP(B284,'Raw Data'!$N$4:$N$508,1,FALSE)</f>
        <v>35.4</v>
      </c>
      <c r="E284" s="5">
        <f>_xlfn.XLOOKUP(B284,'Raw Data'!$N$4:$N$509,'Raw Data'!$A$4:$A$509,"Not Found")</f>
        <v>1.311E-2</v>
      </c>
      <c r="F284" s="5">
        <f>INDEX('Raw Data'!$A$4:$A$508,MATCH(MAX('Raw Data'!$N$4:$N$508),'Raw Data'!$N$4:$N$508,0))</f>
        <v>1.46336</v>
      </c>
      <c r="G284" s="5">
        <f>INDEX('Raw Data'!$F$4:$F$508,MATCH(MIN('Raw Data'!$N$4:$N$508),'Raw Data'!$N$4:$N$508,0))</f>
        <v>5.8520000000000003</v>
      </c>
    </row>
    <row r="285" spans="1:7" x14ac:dyDescent="0.25">
      <c r="A285">
        <v>283</v>
      </c>
      <c r="B285" s="18">
        <f>'Raw Data'!N286</f>
        <v>46</v>
      </c>
      <c r="C285" s="18">
        <f>'Raw Data'!A286</f>
        <v>6.1289999999999997E-2</v>
      </c>
      <c r="D285" s="5">
        <f>VLOOKUP(B285,'Raw Data'!$N$4:$N$508,1,FALSE)</f>
        <v>46</v>
      </c>
      <c r="E285" s="5">
        <f>_xlfn.XLOOKUP(B285,'Raw Data'!$N$4:$N$509,'Raw Data'!$A$4:$A$509,"Not Found")</f>
        <v>6.1289999999999997E-2</v>
      </c>
      <c r="F285" s="5">
        <f>INDEX('Raw Data'!$A$4:$A$508,MATCH(MAX('Raw Data'!$N$4:$N$508),'Raw Data'!$N$4:$N$508,0))</f>
        <v>1.46336</v>
      </c>
      <c r="G285" s="5">
        <f>INDEX('Raw Data'!$F$4:$F$508,MATCH(MIN('Raw Data'!$N$4:$N$508),'Raw Data'!$N$4:$N$508,0))</f>
        <v>5.8520000000000003</v>
      </c>
    </row>
    <row r="286" spans="1:7" x14ac:dyDescent="0.25">
      <c r="A286">
        <v>284</v>
      </c>
      <c r="B286" s="18">
        <f>'Raw Data'!N287</f>
        <v>50</v>
      </c>
      <c r="C286" s="18">
        <f>'Raw Data'!A287</f>
        <v>1.5010000000000001E-2</v>
      </c>
      <c r="D286" s="5">
        <f>VLOOKUP(B286,'Raw Data'!$N$4:$N$508,1,FALSE)</f>
        <v>50</v>
      </c>
      <c r="E286" s="5">
        <f>_xlfn.XLOOKUP(B286,'Raw Data'!$N$4:$N$509,'Raw Data'!$A$4:$A$509,"Not Found")</f>
        <v>1.46336</v>
      </c>
      <c r="F286" s="5">
        <f>INDEX('Raw Data'!$A$4:$A$508,MATCH(MAX('Raw Data'!$N$4:$N$508),'Raw Data'!$N$4:$N$508,0))</f>
        <v>1.46336</v>
      </c>
      <c r="G286" s="5">
        <f>INDEX('Raw Data'!$F$4:$F$508,MATCH(MIN('Raw Data'!$N$4:$N$508),'Raw Data'!$N$4:$N$508,0))</f>
        <v>5.8520000000000003</v>
      </c>
    </row>
    <row r="287" spans="1:7" x14ac:dyDescent="0.25">
      <c r="A287">
        <v>285</v>
      </c>
      <c r="B287" s="18">
        <f>'Raw Data'!N288</f>
        <v>32.200000000000003</v>
      </c>
      <c r="C287" s="18">
        <f>'Raw Data'!A288</f>
        <v>9.0600000000000003E-3</v>
      </c>
      <c r="D287" s="5">
        <f>VLOOKUP(B287,'Raw Data'!$N$4:$N$508,1,FALSE)</f>
        <v>32.200000000000003</v>
      </c>
      <c r="E287" s="5">
        <f>_xlfn.XLOOKUP(B287,'Raw Data'!$N$4:$N$509,'Raw Data'!$A$4:$A$509,"Not Found")</f>
        <v>9.0600000000000003E-3</v>
      </c>
      <c r="F287" s="5">
        <f>INDEX('Raw Data'!$A$4:$A$508,MATCH(MAX('Raw Data'!$N$4:$N$508),'Raw Data'!$N$4:$N$508,0))</f>
        <v>1.46336</v>
      </c>
      <c r="G287" s="5">
        <f>INDEX('Raw Data'!$F$4:$F$508,MATCH(MIN('Raw Data'!$N$4:$N$508),'Raw Data'!$N$4:$N$508,0))</f>
        <v>5.8520000000000003</v>
      </c>
    </row>
    <row r="288" spans="1:7" x14ac:dyDescent="0.25">
      <c r="A288">
        <v>286</v>
      </c>
      <c r="B288" s="18">
        <f>'Raw Data'!N289</f>
        <v>22</v>
      </c>
      <c r="C288" s="18">
        <f>'Raw Data'!A289</f>
        <v>1.0959999999999999E-2</v>
      </c>
      <c r="D288" s="5">
        <f>VLOOKUP(B288,'Raw Data'!$N$4:$N$508,1,FALSE)</f>
        <v>22</v>
      </c>
      <c r="E288" s="5">
        <f>_xlfn.XLOOKUP(B288,'Raw Data'!$N$4:$N$509,'Raw Data'!$A$4:$A$509,"Not Found")</f>
        <v>5.7889999999999997E-2</v>
      </c>
      <c r="F288" s="5">
        <f>INDEX('Raw Data'!$A$4:$A$508,MATCH(MAX('Raw Data'!$N$4:$N$508),'Raw Data'!$N$4:$N$508,0))</f>
        <v>1.46336</v>
      </c>
      <c r="G288" s="5">
        <f>INDEX('Raw Data'!$F$4:$F$508,MATCH(MIN('Raw Data'!$N$4:$N$508),'Raw Data'!$N$4:$N$508,0))</f>
        <v>5.8520000000000003</v>
      </c>
    </row>
    <row r="289" spans="1:7" x14ac:dyDescent="0.25">
      <c r="A289">
        <v>287</v>
      </c>
      <c r="B289" s="18">
        <f>'Raw Data'!N290</f>
        <v>20.100000000000001</v>
      </c>
      <c r="C289" s="18">
        <f>'Raw Data'!A290</f>
        <v>1.9650000000000001E-2</v>
      </c>
      <c r="D289" s="5">
        <f>VLOOKUP(B289,'Raw Data'!$N$4:$N$508,1,FALSE)</f>
        <v>20.100000000000001</v>
      </c>
      <c r="E289" s="5">
        <f>_xlfn.XLOOKUP(B289,'Raw Data'!$N$4:$N$509,'Raw Data'!$A$4:$A$509,"Not Found")</f>
        <v>0.1396</v>
      </c>
      <c r="F289" s="5">
        <f>INDEX('Raw Data'!$A$4:$A$508,MATCH(MAX('Raw Data'!$N$4:$N$508),'Raw Data'!$N$4:$N$508,0))</f>
        <v>1.46336</v>
      </c>
      <c r="G289" s="5">
        <f>INDEX('Raw Data'!$F$4:$F$508,MATCH(MIN('Raw Data'!$N$4:$N$508),'Raw Data'!$N$4:$N$508,0))</f>
        <v>5.8520000000000003</v>
      </c>
    </row>
    <row r="290" spans="1:7" x14ac:dyDescent="0.25">
      <c r="A290">
        <v>288</v>
      </c>
      <c r="B290" s="18">
        <f>'Raw Data'!N291</f>
        <v>23.2</v>
      </c>
      <c r="C290" s="18">
        <f>'Raw Data'!A291</f>
        <v>3.8710000000000001E-2</v>
      </c>
      <c r="D290" s="5">
        <f>VLOOKUP(B290,'Raw Data'!$N$4:$N$508,1,FALSE)</f>
        <v>23.2</v>
      </c>
      <c r="E290" s="5">
        <f>_xlfn.XLOOKUP(B290,'Raw Data'!$N$4:$N$509,'Raw Data'!$A$4:$A$509,"Not Found")</f>
        <v>7.0220000000000005E-2</v>
      </c>
      <c r="F290" s="5">
        <f>INDEX('Raw Data'!$A$4:$A$508,MATCH(MAX('Raw Data'!$N$4:$N$508),'Raw Data'!$N$4:$N$508,0))</f>
        <v>1.46336</v>
      </c>
      <c r="G290" s="5">
        <f>INDEX('Raw Data'!$F$4:$F$508,MATCH(MIN('Raw Data'!$N$4:$N$508),'Raw Data'!$N$4:$N$508,0))</f>
        <v>5.8520000000000003</v>
      </c>
    </row>
    <row r="291" spans="1:7" x14ac:dyDescent="0.25">
      <c r="A291">
        <v>289</v>
      </c>
      <c r="B291" s="18">
        <f>'Raw Data'!N292</f>
        <v>22.3</v>
      </c>
      <c r="C291" s="18">
        <f>'Raw Data'!A292</f>
        <v>4.5900000000000003E-2</v>
      </c>
      <c r="D291" s="5">
        <f>VLOOKUP(B291,'Raw Data'!$N$4:$N$508,1,FALSE)</f>
        <v>22.3</v>
      </c>
      <c r="E291" s="5">
        <f>_xlfn.XLOOKUP(B291,'Raw Data'!$N$4:$N$509,'Raw Data'!$A$4:$A$509,"Not Found")</f>
        <v>2.4495300000000002</v>
      </c>
      <c r="F291" s="5">
        <f>INDEX('Raw Data'!$A$4:$A$508,MATCH(MAX('Raw Data'!$N$4:$N$508),'Raw Data'!$N$4:$N$508,0))</f>
        <v>1.46336</v>
      </c>
      <c r="G291" s="5">
        <f>INDEX('Raw Data'!$F$4:$F$508,MATCH(MIN('Raw Data'!$N$4:$N$508),'Raw Data'!$N$4:$N$508,0))</f>
        <v>5.8520000000000003</v>
      </c>
    </row>
    <row r="292" spans="1:7" x14ac:dyDescent="0.25">
      <c r="A292">
        <v>290</v>
      </c>
      <c r="B292" s="18">
        <f>'Raw Data'!N293</f>
        <v>24.8</v>
      </c>
      <c r="C292" s="18">
        <f>'Raw Data'!A293</f>
        <v>4.2970000000000001E-2</v>
      </c>
      <c r="D292" s="5">
        <f>VLOOKUP(B292,'Raw Data'!$N$4:$N$508,1,FALSE)</f>
        <v>24.8</v>
      </c>
      <c r="E292" s="5">
        <f>_xlfn.XLOOKUP(B292,'Raw Data'!$N$4:$N$509,'Raw Data'!$A$4:$A$509,"Not Found")</f>
        <v>3.6589999999999998E-2</v>
      </c>
      <c r="F292" s="5">
        <f>INDEX('Raw Data'!$A$4:$A$508,MATCH(MAX('Raw Data'!$N$4:$N$508),'Raw Data'!$N$4:$N$508,0))</f>
        <v>1.46336</v>
      </c>
      <c r="G292" s="5">
        <f>INDEX('Raw Data'!$F$4:$F$508,MATCH(MIN('Raw Data'!$N$4:$N$508),'Raw Data'!$N$4:$N$508,0))</f>
        <v>5.8520000000000003</v>
      </c>
    </row>
    <row r="293" spans="1:7" x14ac:dyDescent="0.25">
      <c r="A293">
        <v>291</v>
      </c>
      <c r="B293" s="18">
        <f>'Raw Data'!N294</f>
        <v>28.5</v>
      </c>
      <c r="C293" s="18">
        <f>'Raw Data'!A294</f>
        <v>3.5020000000000003E-2</v>
      </c>
      <c r="D293" s="5">
        <f>VLOOKUP(B293,'Raw Data'!$N$4:$N$508,1,FALSE)</f>
        <v>28.5</v>
      </c>
      <c r="E293" s="5">
        <f>_xlfn.XLOOKUP(B293,'Raw Data'!$N$4:$N$509,'Raw Data'!$A$4:$A$509,"Not Found")</f>
        <v>3.5020000000000003E-2</v>
      </c>
      <c r="F293" s="5">
        <f>INDEX('Raw Data'!$A$4:$A$508,MATCH(MAX('Raw Data'!$N$4:$N$508),'Raw Data'!$N$4:$N$508,0))</f>
        <v>1.46336</v>
      </c>
      <c r="G293" s="5">
        <f>INDEX('Raw Data'!$F$4:$F$508,MATCH(MIN('Raw Data'!$N$4:$N$508),'Raw Data'!$N$4:$N$508,0))</f>
        <v>5.8520000000000003</v>
      </c>
    </row>
    <row r="294" spans="1:7" x14ac:dyDescent="0.25">
      <c r="A294">
        <v>292</v>
      </c>
      <c r="B294" s="18">
        <f>'Raw Data'!N295</f>
        <v>37.299999999999997</v>
      </c>
      <c r="C294" s="18">
        <f>'Raw Data'!A295</f>
        <v>7.886E-2</v>
      </c>
      <c r="D294" s="5">
        <f>VLOOKUP(B294,'Raw Data'!$N$4:$N$508,1,FALSE)</f>
        <v>37.299999999999997</v>
      </c>
      <c r="E294" s="5">
        <f>_xlfn.XLOOKUP(B294,'Raw Data'!$N$4:$N$509,'Raw Data'!$A$4:$A$509,"Not Found")</f>
        <v>7.886E-2</v>
      </c>
      <c r="F294" s="5">
        <f>INDEX('Raw Data'!$A$4:$A$508,MATCH(MAX('Raw Data'!$N$4:$N$508),'Raw Data'!$N$4:$N$508,0))</f>
        <v>1.46336</v>
      </c>
      <c r="G294" s="5">
        <f>INDEX('Raw Data'!$F$4:$F$508,MATCH(MIN('Raw Data'!$N$4:$N$508),'Raw Data'!$N$4:$N$508,0))</f>
        <v>5.8520000000000003</v>
      </c>
    </row>
    <row r="295" spans="1:7" x14ac:dyDescent="0.25">
      <c r="A295">
        <v>293</v>
      </c>
      <c r="B295" s="18">
        <f>'Raw Data'!N296</f>
        <v>27.9</v>
      </c>
      <c r="C295" s="18">
        <f>'Raw Data'!A296</f>
        <v>3.6150000000000002E-2</v>
      </c>
      <c r="D295" s="5">
        <f>VLOOKUP(B295,'Raw Data'!$N$4:$N$508,1,FALSE)</f>
        <v>27.9</v>
      </c>
      <c r="E295" s="5">
        <f>_xlfn.XLOOKUP(B295,'Raw Data'!$N$4:$N$509,'Raw Data'!$A$4:$A$509,"Not Found")</f>
        <v>3.6150000000000002E-2</v>
      </c>
      <c r="F295" s="5">
        <f>INDEX('Raw Data'!$A$4:$A$508,MATCH(MAX('Raw Data'!$N$4:$N$508),'Raw Data'!$N$4:$N$508,0))</f>
        <v>1.46336</v>
      </c>
      <c r="G295" s="5">
        <f>INDEX('Raw Data'!$F$4:$F$508,MATCH(MIN('Raw Data'!$N$4:$N$508),'Raw Data'!$N$4:$N$508,0))</f>
        <v>5.8520000000000003</v>
      </c>
    </row>
    <row r="296" spans="1:7" x14ac:dyDescent="0.25">
      <c r="A296">
        <v>294</v>
      </c>
      <c r="B296" s="18">
        <f>'Raw Data'!N297</f>
        <v>23.9</v>
      </c>
      <c r="C296" s="18">
        <f>'Raw Data'!A297</f>
        <v>8.2650000000000001E-2</v>
      </c>
      <c r="D296" s="5">
        <f>VLOOKUP(B296,'Raw Data'!$N$4:$N$508,1,FALSE)</f>
        <v>23.9</v>
      </c>
      <c r="E296" s="5">
        <f>_xlfn.XLOOKUP(B296,'Raw Data'!$N$4:$N$509,'Raw Data'!$A$4:$A$509,"Not Found")</f>
        <v>4.462E-2</v>
      </c>
      <c r="F296" s="5">
        <f>INDEX('Raw Data'!$A$4:$A$508,MATCH(MAX('Raw Data'!$N$4:$N$508),'Raw Data'!$N$4:$N$508,0))</f>
        <v>1.46336</v>
      </c>
      <c r="G296" s="5">
        <f>INDEX('Raw Data'!$F$4:$F$508,MATCH(MIN('Raw Data'!$N$4:$N$508),'Raw Data'!$N$4:$N$508,0))</f>
        <v>5.8520000000000003</v>
      </c>
    </row>
    <row r="297" spans="1:7" x14ac:dyDescent="0.25">
      <c r="A297">
        <v>295</v>
      </c>
      <c r="B297" s="18">
        <f>'Raw Data'!N298</f>
        <v>21.7</v>
      </c>
      <c r="C297" s="18">
        <f>'Raw Data'!A298</f>
        <v>8.1989999999999993E-2</v>
      </c>
      <c r="D297" s="5">
        <f>VLOOKUP(B297,'Raw Data'!$N$4:$N$508,1,FALSE)</f>
        <v>21.7</v>
      </c>
      <c r="E297" s="5">
        <f>_xlfn.XLOOKUP(B297,'Raw Data'!$N$4:$N$509,'Raw Data'!$A$4:$A$509,"Not Found")</f>
        <v>9.3780000000000002E-2</v>
      </c>
      <c r="F297" s="5">
        <f>INDEX('Raw Data'!$A$4:$A$508,MATCH(MAX('Raw Data'!$N$4:$N$508),'Raw Data'!$N$4:$N$508,0))</f>
        <v>1.46336</v>
      </c>
      <c r="G297" s="5">
        <f>INDEX('Raw Data'!$F$4:$F$508,MATCH(MIN('Raw Data'!$N$4:$N$508),'Raw Data'!$N$4:$N$508,0))</f>
        <v>5.8520000000000003</v>
      </c>
    </row>
    <row r="298" spans="1:7" x14ac:dyDescent="0.25">
      <c r="A298">
        <v>296</v>
      </c>
      <c r="B298" s="18">
        <f>'Raw Data'!N299</f>
        <v>28.6</v>
      </c>
      <c r="C298" s="18">
        <f>'Raw Data'!A299</f>
        <v>0.12931999999999999</v>
      </c>
      <c r="D298" s="5">
        <f>VLOOKUP(B298,'Raw Data'!$N$4:$N$508,1,FALSE)</f>
        <v>28.6</v>
      </c>
      <c r="E298" s="5">
        <f>_xlfn.XLOOKUP(B298,'Raw Data'!$N$4:$N$509,'Raw Data'!$A$4:$A$509,"Not Found")</f>
        <v>0.12931999999999999</v>
      </c>
      <c r="F298" s="5">
        <f>INDEX('Raw Data'!$A$4:$A$508,MATCH(MAX('Raw Data'!$N$4:$N$508),'Raw Data'!$N$4:$N$508,0))</f>
        <v>1.46336</v>
      </c>
      <c r="G298" s="5">
        <f>INDEX('Raw Data'!$F$4:$F$508,MATCH(MIN('Raw Data'!$N$4:$N$508),'Raw Data'!$N$4:$N$508,0))</f>
        <v>5.8520000000000003</v>
      </c>
    </row>
    <row r="299" spans="1:7" x14ac:dyDescent="0.25">
      <c r="A299">
        <v>297</v>
      </c>
      <c r="B299" s="18">
        <f>'Raw Data'!N300</f>
        <v>27.1</v>
      </c>
      <c r="C299" s="18">
        <f>'Raw Data'!A300</f>
        <v>5.3719999999999997E-2</v>
      </c>
      <c r="D299" s="5">
        <f>VLOOKUP(B299,'Raw Data'!$N$4:$N$508,1,FALSE)</f>
        <v>27.1</v>
      </c>
      <c r="E299" s="5">
        <f>_xlfn.XLOOKUP(B299,'Raw Data'!$N$4:$N$509,'Raw Data'!$A$4:$A$509,"Not Found")</f>
        <v>0.14455000000000001</v>
      </c>
      <c r="F299" s="5">
        <f>INDEX('Raw Data'!$A$4:$A$508,MATCH(MAX('Raw Data'!$N$4:$N$508),'Raw Data'!$N$4:$N$508,0))</f>
        <v>1.46336</v>
      </c>
      <c r="G299" s="5">
        <f>INDEX('Raw Data'!$F$4:$F$508,MATCH(MIN('Raw Data'!$N$4:$N$508),'Raw Data'!$N$4:$N$508,0))</f>
        <v>5.8520000000000003</v>
      </c>
    </row>
    <row r="300" spans="1:7" x14ac:dyDescent="0.25">
      <c r="A300">
        <v>298</v>
      </c>
      <c r="B300" s="18">
        <f>'Raw Data'!N301</f>
        <v>20.3</v>
      </c>
      <c r="C300" s="18">
        <f>'Raw Data'!A301</f>
        <v>0.14102999999999999</v>
      </c>
      <c r="D300" s="5">
        <f>VLOOKUP(B300,'Raw Data'!$N$4:$N$508,1,FALSE)</f>
        <v>20.3</v>
      </c>
      <c r="E300" s="5">
        <f>_xlfn.XLOOKUP(B300,'Raw Data'!$N$4:$N$509,'Raw Data'!$A$4:$A$509,"Not Found")</f>
        <v>8.387E-2</v>
      </c>
      <c r="F300" s="5">
        <f>INDEX('Raw Data'!$A$4:$A$508,MATCH(MAX('Raw Data'!$N$4:$N$508),'Raw Data'!$N$4:$N$508,0))</f>
        <v>1.46336</v>
      </c>
      <c r="G300" s="5">
        <f>INDEX('Raw Data'!$F$4:$F$508,MATCH(MIN('Raw Data'!$N$4:$N$508),'Raw Data'!$N$4:$N$508,0))</f>
        <v>5.8520000000000003</v>
      </c>
    </row>
    <row r="301" spans="1:7" x14ac:dyDescent="0.25">
      <c r="A301">
        <v>299</v>
      </c>
      <c r="B301" s="18">
        <f>'Raw Data'!N302</f>
        <v>22.5</v>
      </c>
      <c r="C301" s="18">
        <f>'Raw Data'!A302</f>
        <v>6.4659999999999995E-2</v>
      </c>
      <c r="D301" s="5">
        <f>VLOOKUP(B301,'Raw Data'!$N$4:$N$508,1,FALSE)</f>
        <v>22.5</v>
      </c>
      <c r="E301" s="5">
        <f>_xlfn.XLOOKUP(B301,'Raw Data'!$N$4:$N$509,'Raw Data'!$A$4:$A$509,"Not Found")</f>
        <v>5.1880000000000003E-2</v>
      </c>
      <c r="F301" s="5">
        <f>INDEX('Raw Data'!$A$4:$A$508,MATCH(MAX('Raw Data'!$N$4:$N$508),'Raw Data'!$N$4:$N$508,0))</f>
        <v>1.46336</v>
      </c>
      <c r="G301" s="5">
        <f>INDEX('Raw Data'!$F$4:$F$508,MATCH(MIN('Raw Data'!$N$4:$N$508),'Raw Data'!$N$4:$N$508,0))</f>
        <v>5.8520000000000003</v>
      </c>
    </row>
    <row r="302" spans="1:7" x14ac:dyDescent="0.25">
      <c r="A302">
        <v>300</v>
      </c>
      <c r="B302" s="18">
        <f>'Raw Data'!N303</f>
        <v>29</v>
      </c>
      <c r="C302" s="18">
        <f>'Raw Data'!A303</f>
        <v>5.561E-2</v>
      </c>
      <c r="D302" s="5">
        <f>VLOOKUP(B302,'Raw Data'!$N$4:$N$508,1,FALSE)</f>
        <v>29</v>
      </c>
      <c r="E302" s="5">
        <f>_xlfn.XLOOKUP(B302,'Raw Data'!$N$4:$N$509,'Raw Data'!$A$4:$A$509,"Not Found")</f>
        <v>0.44790999999999997</v>
      </c>
      <c r="F302" s="5">
        <f>INDEX('Raw Data'!$A$4:$A$508,MATCH(MAX('Raw Data'!$N$4:$N$508),'Raw Data'!$N$4:$N$508,0))</f>
        <v>1.46336</v>
      </c>
      <c r="G302" s="5">
        <f>INDEX('Raw Data'!$F$4:$F$508,MATCH(MIN('Raw Data'!$N$4:$N$508),'Raw Data'!$N$4:$N$508,0))</f>
        <v>5.8520000000000003</v>
      </c>
    </row>
    <row r="303" spans="1:7" x14ac:dyDescent="0.25">
      <c r="A303">
        <v>301</v>
      </c>
      <c r="B303" s="18">
        <f>'Raw Data'!N304</f>
        <v>24.8</v>
      </c>
      <c r="C303" s="18">
        <f>'Raw Data'!A304</f>
        <v>4.4170000000000001E-2</v>
      </c>
      <c r="D303" s="5">
        <f>VLOOKUP(B303,'Raw Data'!$N$4:$N$508,1,FALSE)</f>
        <v>24.8</v>
      </c>
      <c r="E303" s="5">
        <f>_xlfn.XLOOKUP(B303,'Raw Data'!$N$4:$N$509,'Raw Data'!$A$4:$A$509,"Not Found")</f>
        <v>3.6589999999999998E-2</v>
      </c>
      <c r="F303" s="5">
        <f>INDEX('Raw Data'!$A$4:$A$508,MATCH(MAX('Raw Data'!$N$4:$N$508),'Raw Data'!$N$4:$N$508,0))</f>
        <v>1.46336</v>
      </c>
      <c r="G303" s="5">
        <f>INDEX('Raw Data'!$F$4:$F$508,MATCH(MIN('Raw Data'!$N$4:$N$508),'Raw Data'!$N$4:$N$508,0))</f>
        <v>5.8520000000000003</v>
      </c>
    </row>
    <row r="304" spans="1:7" x14ac:dyDescent="0.25">
      <c r="A304">
        <v>302</v>
      </c>
      <c r="B304" s="18">
        <f>'Raw Data'!N305</f>
        <v>22</v>
      </c>
      <c r="C304" s="18">
        <f>'Raw Data'!A305</f>
        <v>3.5369999999999999E-2</v>
      </c>
      <c r="D304" s="5">
        <f>VLOOKUP(B304,'Raw Data'!$N$4:$N$508,1,FALSE)</f>
        <v>22</v>
      </c>
      <c r="E304" s="5">
        <f>_xlfn.XLOOKUP(B304,'Raw Data'!$N$4:$N$509,'Raw Data'!$A$4:$A$509,"Not Found")</f>
        <v>5.7889999999999997E-2</v>
      </c>
      <c r="F304" s="5">
        <f>INDEX('Raw Data'!$A$4:$A$508,MATCH(MAX('Raw Data'!$N$4:$N$508),'Raw Data'!$N$4:$N$508,0))</f>
        <v>1.46336</v>
      </c>
      <c r="G304" s="5">
        <f>INDEX('Raw Data'!$F$4:$F$508,MATCH(MIN('Raw Data'!$N$4:$N$508),'Raw Data'!$N$4:$N$508,0))</f>
        <v>5.8520000000000003</v>
      </c>
    </row>
    <row r="305" spans="1:7" x14ac:dyDescent="0.25">
      <c r="A305">
        <v>303</v>
      </c>
      <c r="B305" s="18">
        <f>'Raw Data'!N306</f>
        <v>26.4</v>
      </c>
      <c r="C305" s="18">
        <f>'Raw Data'!A306</f>
        <v>9.2660000000000006E-2</v>
      </c>
      <c r="D305" s="5">
        <f>VLOOKUP(B305,'Raw Data'!$N$4:$N$508,1,FALSE)</f>
        <v>26.4</v>
      </c>
      <c r="E305" s="5">
        <f>_xlfn.XLOOKUP(B305,'Raw Data'!$N$4:$N$509,'Raw Data'!$A$4:$A$509,"Not Found")</f>
        <v>8.3080000000000001E-2</v>
      </c>
      <c r="F305" s="5">
        <f>INDEX('Raw Data'!$A$4:$A$508,MATCH(MAX('Raw Data'!$N$4:$N$508),'Raw Data'!$N$4:$N$508,0))</f>
        <v>1.46336</v>
      </c>
      <c r="G305" s="5">
        <f>INDEX('Raw Data'!$F$4:$F$508,MATCH(MIN('Raw Data'!$N$4:$N$508),'Raw Data'!$N$4:$N$508,0))</f>
        <v>5.8520000000000003</v>
      </c>
    </row>
    <row r="306" spans="1:7" x14ac:dyDescent="0.25">
      <c r="A306">
        <v>304</v>
      </c>
      <c r="B306" s="18">
        <f>'Raw Data'!N307</f>
        <v>33.1</v>
      </c>
      <c r="C306" s="18">
        <f>'Raw Data'!A307</f>
        <v>0.1</v>
      </c>
      <c r="D306" s="5">
        <f>VLOOKUP(B306,'Raw Data'!$N$4:$N$508,1,FALSE)</f>
        <v>33.1</v>
      </c>
      <c r="E306" s="5">
        <f>_xlfn.XLOOKUP(B306,'Raw Data'!$N$4:$N$509,'Raw Data'!$A$4:$A$509,"Not Found")</f>
        <v>6.1269999999999998E-2</v>
      </c>
      <c r="F306" s="5">
        <f>INDEX('Raw Data'!$A$4:$A$508,MATCH(MAX('Raw Data'!$N$4:$N$508),'Raw Data'!$N$4:$N$508,0))</f>
        <v>1.46336</v>
      </c>
      <c r="G306" s="5">
        <f>INDEX('Raw Data'!$F$4:$F$508,MATCH(MIN('Raw Data'!$N$4:$N$508),'Raw Data'!$N$4:$N$508,0))</f>
        <v>5.8520000000000003</v>
      </c>
    </row>
    <row r="307" spans="1:7" x14ac:dyDescent="0.25">
      <c r="A307">
        <v>305</v>
      </c>
      <c r="B307" s="18">
        <f>'Raw Data'!N308</f>
        <v>36.1</v>
      </c>
      <c r="C307" s="18">
        <f>'Raw Data'!A308</f>
        <v>5.5149999999999998E-2</v>
      </c>
      <c r="D307" s="5">
        <f>VLOOKUP(B307,'Raw Data'!$N$4:$N$508,1,FALSE)</f>
        <v>36.1</v>
      </c>
      <c r="E307" s="5">
        <f>_xlfn.XLOOKUP(B307,'Raw Data'!$N$4:$N$509,'Raw Data'!$A$4:$A$509,"Not Found")</f>
        <v>5.5149999999999998E-2</v>
      </c>
      <c r="F307" s="5">
        <f>INDEX('Raw Data'!$A$4:$A$508,MATCH(MAX('Raw Data'!$N$4:$N$508),'Raw Data'!$N$4:$N$508,0))</f>
        <v>1.46336</v>
      </c>
      <c r="G307" s="5">
        <f>INDEX('Raw Data'!$F$4:$F$508,MATCH(MIN('Raw Data'!$N$4:$N$508),'Raw Data'!$N$4:$N$508,0))</f>
        <v>5.8520000000000003</v>
      </c>
    </row>
    <row r="308" spans="1:7" x14ac:dyDescent="0.25">
      <c r="A308">
        <v>306</v>
      </c>
      <c r="B308" s="18">
        <f>'Raw Data'!N309</f>
        <v>28.4</v>
      </c>
      <c r="C308" s="18">
        <f>'Raw Data'!A309</f>
        <v>5.4789999999999998E-2</v>
      </c>
      <c r="D308" s="5">
        <f>VLOOKUP(B308,'Raw Data'!$N$4:$N$508,1,FALSE)</f>
        <v>28.4</v>
      </c>
      <c r="E308" s="5">
        <f>_xlfn.XLOOKUP(B308,'Raw Data'!$N$4:$N$509,'Raw Data'!$A$4:$A$509,"Not Found")</f>
        <v>0.12204</v>
      </c>
      <c r="F308" s="5">
        <f>INDEX('Raw Data'!$A$4:$A$508,MATCH(MAX('Raw Data'!$N$4:$N$508),'Raw Data'!$N$4:$N$508,0))</f>
        <v>1.46336</v>
      </c>
      <c r="G308" s="5">
        <f>INDEX('Raw Data'!$F$4:$F$508,MATCH(MIN('Raw Data'!$N$4:$N$508),'Raw Data'!$N$4:$N$508,0))</f>
        <v>5.8520000000000003</v>
      </c>
    </row>
    <row r="309" spans="1:7" x14ac:dyDescent="0.25">
      <c r="A309">
        <v>307</v>
      </c>
      <c r="B309" s="18">
        <f>'Raw Data'!N310</f>
        <v>33.4</v>
      </c>
      <c r="C309" s="18">
        <f>'Raw Data'!A310</f>
        <v>7.5029999999999999E-2</v>
      </c>
      <c r="D309" s="5">
        <f>VLOOKUP(B309,'Raw Data'!$N$4:$N$508,1,FALSE)</f>
        <v>33.4</v>
      </c>
      <c r="E309" s="5">
        <f>_xlfn.XLOOKUP(B309,'Raw Data'!$N$4:$N$509,'Raw Data'!$A$4:$A$509,"Not Found")</f>
        <v>3.2370000000000003E-2</v>
      </c>
      <c r="F309" s="5">
        <f>INDEX('Raw Data'!$A$4:$A$508,MATCH(MAX('Raw Data'!$N$4:$N$508),'Raw Data'!$N$4:$N$508,0))</f>
        <v>1.46336</v>
      </c>
      <c r="G309" s="5">
        <f>INDEX('Raw Data'!$F$4:$F$508,MATCH(MIN('Raw Data'!$N$4:$N$508),'Raw Data'!$N$4:$N$508,0))</f>
        <v>5.8520000000000003</v>
      </c>
    </row>
    <row r="310" spans="1:7" x14ac:dyDescent="0.25">
      <c r="A310">
        <v>308</v>
      </c>
      <c r="B310" s="18">
        <f>'Raw Data'!N311</f>
        <v>28.2</v>
      </c>
      <c r="C310" s="18">
        <f>'Raw Data'!A311</f>
        <v>4.9320000000000003E-2</v>
      </c>
      <c r="D310" s="5">
        <f>VLOOKUP(B310,'Raw Data'!$N$4:$N$508,1,FALSE)</f>
        <v>28.2</v>
      </c>
      <c r="E310" s="5">
        <f>_xlfn.XLOOKUP(B310,'Raw Data'!$N$4:$N$509,'Raw Data'!$A$4:$A$509,"Not Found")</f>
        <v>4.9320000000000003E-2</v>
      </c>
      <c r="F310" s="5">
        <f>INDEX('Raw Data'!$A$4:$A$508,MATCH(MAX('Raw Data'!$N$4:$N$508),'Raw Data'!$N$4:$N$508,0))</f>
        <v>1.46336</v>
      </c>
      <c r="G310" s="5">
        <f>INDEX('Raw Data'!$F$4:$F$508,MATCH(MIN('Raw Data'!$N$4:$N$508),'Raw Data'!$N$4:$N$508,0))</f>
        <v>5.8520000000000003</v>
      </c>
    </row>
    <row r="311" spans="1:7" x14ac:dyDescent="0.25">
      <c r="A311">
        <v>309</v>
      </c>
      <c r="B311" s="18">
        <f>'Raw Data'!N312</f>
        <v>22.8</v>
      </c>
      <c r="C311" s="18">
        <f>'Raw Data'!A312</f>
        <v>0.49297999999999997</v>
      </c>
      <c r="D311" s="5">
        <f>VLOOKUP(B311,'Raw Data'!$N$4:$N$508,1,FALSE)</f>
        <v>22.8</v>
      </c>
      <c r="E311" s="5">
        <f>_xlfn.XLOOKUP(B311,'Raw Data'!$N$4:$N$509,'Raw Data'!$A$4:$A$509,"Not Found")</f>
        <v>9.1639999999999999E-2</v>
      </c>
      <c r="F311" s="5">
        <f>INDEX('Raw Data'!$A$4:$A$508,MATCH(MAX('Raw Data'!$N$4:$N$508),'Raw Data'!$N$4:$N$508,0))</f>
        <v>1.46336</v>
      </c>
      <c r="G311" s="5">
        <f>INDEX('Raw Data'!$F$4:$F$508,MATCH(MIN('Raw Data'!$N$4:$N$508),'Raw Data'!$N$4:$N$508,0))</f>
        <v>5.8520000000000003</v>
      </c>
    </row>
    <row r="312" spans="1:7" x14ac:dyDescent="0.25">
      <c r="A312">
        <v>310</v>
      </c>
      <c r="B312" s="18">
        <f>'Raw Data'!N313</f>
        <v>20.3</v>
      </c>
      <c r="C312" s="18">
        <f>'Raw Data'!A313</f>
        <v>0.34939999999999999</v>
      </c>
      <c r="D312" s="5">
        <f>VLOOKUP(B312,'Raw Data'!$N$4:$N$508,1,FALSE)</f>
        <v>20.3</v>
      </c>
      <c r="E312" s="5">
        <f>_xlfn.XLOOKUP(B312,'Raw Data'!$N$4:$N$509,'Raw Data'!$A$4:$A$509,"Not Found")</f>
        <v>8.387E-2</v>
      </c>
      <c r="F312" s="5">
        <f>INDEX('Raw Data'!$A$4:$A$508,MATCH(MAX('Raw Data'!$N$4:$N$508),'Raw Data'!$N$4:$N$508,0))</f>
        <v>1.46336</v>
      </c>
      <c r="G312" s="5">
        <f>INDEX('Raw Data'!$F$4:$F$508,MATCH(MIN('Raw Data'!$N$4:$N$508),'Raw Data'!$N$4:$N$508,0))</f>
        <v>5.8520000000000003</v>
      </c>
    </row>
    <row r="313" spans="1:7" x14ac:dyDescent="0.25">
      <c r="A313">
        <v>311</v>
      </c>
      <c r="B313" s="18">
        <f>'Raw Data'!N314</f>
        <v>16.100000000000001</v>
      </c>
      <c r="C313" s="18">
        <f>'Raw Data'!A314</f>
        <v>2.6354799999999998</v>
      </c>
      <c r="D313" s="5">
        <f>VLOOKUP(B313,'Raw Data'!$N$4:$N$508,1,FALSE)</f>
        <v>16.100000000000001</v>
      </c>
      <c r="E313" s="5">
        <f>_xlfn.XLOOKUP(B313,'Raw Data'!$N$4:$N$509,'Raw Data'!$A$4:$A$509,"Not Found")</f>
        <v>2.6354799999999998</v>
      </c>
      <c r="F313" s="5">
        <f>INDEX('Raw Data'!$A$4:$A$508,MATCH(MAX('Raw Data'!$N$4:$N$508),'Raw Data'!$N$4:$N$508,0))</f>
        <v>1.46336</v>
      </c>
      <c r="G313" s="5">
        <f>INDEX('Raw Data'!$F$4:$F$508,MATCH(MIN('Raw Data'!$N$4:$N$508),'Raw Data'!$N$4:$N$508,0))</f>
        <v>5.8520000000000003</v>
      </c>
    </row>
    <row r="314" spans="1:7" x14ac:dyDescent="0.25">
      <c r="A314">
        <v>312</v>
      </c>
      <c r="B314" s="18">
        <f>'Raw Data'!N315</f>
        <v>22.1</v>
      </c>
      <c r="C314" s="18">
        <f>'Raw Data'!A315</f>
        <v>0.79040999999999995</v>
      </c>
      <c r="D314" s="5">
        <f>VLOOKUP(B314,'Raw Data'!$N$4:$N$508,1,FALSE)</f>
        <v>22.1</v>
      </c>
      <c r="E314" s="5">
        <f>_xlfn.XLOOKUP(B314,'Raw Data'!$N$4:$N$509,'Raw Data'!$A$4:$A$509,"Not Found")</f>
        <v>0.79040999999999995</v>
      </c>
      <c r="F314" s="5">
        <f>INDEX('Raw Data'!$A$4:$A$508,MATCH(MAX('Raw Data'!$N$4:$N$508),'Raw Data'!$N$4:$N$508,0))</f>
        <v>1.46336</v>
      </c>
      <c r="G314" s="5">
        <f>INDEX('Raw Data'!$F$4:$F$508,MATCH(MIN('Raw Data'!$N$4:$N$508),'Raw Data'!$N$4:$N$508,0))</f>
        <v>5.8520000000000003</v>
      </c>
    </row>
    <row r="315" spans="1:7" x14ac:dyDescent="0.25">
      <c r="A315">
        <v>313</v>
      </c>
      <c r="B315" s="18">
        <f>'Raw Data'!N316</f>
        <v>19.399999999999999</v>
      </c>
      <c r="C315" s="18">
        <f>'Raw Data'!A316</f>
        <v>0.26168999999999998</v>
      </c>
      <c r="D315" s="5">
        <f>VLOOKUP(B315,'Raw Data'!$N$4:$N$508,1,FALSE)</f>
        <v>19.399999999999999</v>
      </c>
      <c r="E315" s="5">
        <f>_xlfn.XLOOKUP(B315,'Raw Data'!$N$4:$N$509,'Raw Data'!$A$4:$A$509,"Not Found")</f>
        <v>0.21976999999999999</v>
      </c>
      <c r="F315" s="5">
        <f>INDEX('Raw Data'!$A$4:$A$508,MATCH(MAX('Raw Data'!$N$4:$N$508),'Raw Data'!$N$4:$N$508,0))</f>
        <v>1.46336</v>
      </c>
      <c r="G315" s="5">
        <f>INDEX('Raw Data'!$F$4:$F$508,MATCH(MIN('Raw Data'!$N$4:$N$508),'Raw Data'!$N$4:$N$508,0))</f>
        <v>5.8520000000000003</v>
      </c>
    </row>
    <row r="316" spans="1:7" x14ac:dyDescent="0.25">
      <c r="A316">
        <v>314</v>
      </c>
      <c r="B316" s="18">
        <f>'Raw Data'!N317</f>
        <v>21.6</v>
      </c>
      <c r="C316" s="18">
        <f>'Raw Data'!A317</f>
        <v>0.26938000000000001</v>
      </c>
      <c r="D316" s="5">
        <f>VLOOKUP(B316,'Raw Data'!$N$4:$N$508,1,FALSE)</f>
        <v>21.6</v>
      </c>
      <c r="E316" s="5">
        <f>_xlfn.XLOOKUP(B316,'Raw Data'!$N$4:$N$509,'Raw Data'!$A$4:$A$509,"Not Found")</f>
        <v>2.7310000000000001E-2</v>
      </c>
      <c r="F316" s="5">
        <f>INDEX('Raw Data'!$A$4:$A$508,MATCH(MAX('Raw Data'!$N$4:$N$508),'Raw Data'!$N$4:$N$508,0))</f>
        <v>1.46336</v>
      </c>
      <c r="G316" s="5">
        <f>INDEX('Raw Data'!$F$4:$F$508,MATCH(MIN('Raw Data'!$N$4:$N$508),'Raw Data'!$N$4:$N$508,0))</f>
        <v>5.8520000000000003</v>
      </c>
    </row>
    <row r="317" spans="1:7" x14ac:dyDescent="0.25">
      <c r="A317">
        <v>315</v>
      </c>
      <c r="B317" s="18">
        <f>'Raw Data'!N318</f>
        <v>23.8</v>
      </c>
      <c r="C317" s="18">
        <f>'Raw Data'!A318</f>
        <v>0.36919999999999997</v>
      </c>
      <c r="D317" s="5">
        <f>VLOOKUP(B317,'Raw Data'!$N$4:$N$508,1,FALSE)</f>
        <v>23.8</v>
      </c>
      <c r="E317" s="5">
        <f>_xlfn.XLOOKUP(B317,'Raw Data'!$N$4:$N$509,'Raw Data'!$A$4:$A$509,"Not Found")</f>
        <v>1.8002800000000001</v>
      </c>
      <c r="F317" s="5">
        <f>INDEX('Raw Data'!$A$4:$A$508,MATCH(MAX('Raw Data'!$N$4:$N$508),'Raw Data'!$N$4:$N$508,0))</f>
        <v>1.46336</v>
      </c>
      <c r="G317" s="5">
        <f>INDEX('Raw Data'!$F$4:$F$508,MATCH(MIN('Raw Data'!$N$4:$N$508),'Raw Data'!$N$4:$N$508,0))</f>
        <v>5.8520000000000003</v>
      </c>
    </row>
    <row r="318" spans="1:7" x14ac:dyDescent="0.25">
      <c r="A318">
        <v>316</v>
      </c>
      <c r="B318" s="18">
        <f>'Raw Data'!N319</f>
        <v>16.2</v>
      </c>
      <c r="C318" s="18">
        <f>'Raw Data'!A319</f>
        <v>0.25356000000000001</v>
      </c>
      <c r="D318" s="5">
        <f>VLOOKUP(B318,'Raw Data'!$N$4:$N$508,1,FALSE)</f>
        <v>16.2</v>
      </c>
      <c r="E318" s="5">
        <f>_xlfn.XLOOKUP(B318,'Raw Data'!$N$4:$N$509,'Raw Data'!$A$4:$A$509,"Not Found")</f>
        <v>0.25914999999999999</v>
      </c>
      <c r="F318" s="5">
        <f>INDEX('Raw Data'!$A$4:$A$508,MATCH(MAX('Raw Data'!$N$4:$N$508),'Raw Data'!$N$4:$N$508,0))</f>
        <v>1.46336</v>
      </c>
      <c r="G318" s="5">
        <f>INDEX('Raw Data'!$F$4:$F$508,MATCH(MIN('Raw Data'!$N$4:$N$508),'Raw Data'!$N$4:$N$508,0))</f>
        <v>5.8520000000000003</v>
      </c>
    </row>
    <row r="319" spans="1:7" x14ac:dyDescent="0.25">
      <c r="A319">
        <v>317</v>
      </c>
      <c r="B319" s="18">
        <f>'Raw Data'!N320</f>
        <v>17.8</v>
      </c>
      <c r="C319" s="18">
        <f>'Raw Data'!A320</f>
        <v>0.31827</v>
      </c>
      <c r="D319" s="5">
        <f>VLOOKUP(B319,'Raw Data'!$N$4:$N$508,1,FALSE)</f>
        <v>17.8</v>
      </c>
      <c r="E319" s="5">
        <f>_xlfn.XLOOKUP(B319,'Raw Data'!$N$4:$N$509,'Raw Data'!$A$4:$A$509,"Not Found")</f>
        <v>0.54452</v>
      </c>
      <c r="F319" s="5">
        <f>INDEX('Raw Data'!$A$4:$A$508,MATCH(MAX('Raw Data'!$N$4:$N$508),'Raw Data'!$N$4:$N$508,0))</f>
        <v>1.46336</v>
      </c>
      <c r="G319" s="5">
        <f>INDEX('Raw Data'!$F$4:$F$508,MATCH(MIN('Raw Data'!$N$4:$N$508),'Raw Data'!$N$4:$N$508,0))</f>
        <v>5.8520000000000003</v>
      </c>
    </row>
    <row r="320" spans="1:7" x14ac:dyDescent="0.25">
      <c r="A320">
        <v>318</v>
      </c>
      <c r="B320" s="18">
        <f>'Raw Data'!N321</f>
        <v>19.8</v>
      </c>
      <c r="C320" s="18">
        <f>'Raw Data'!A321</f>
        <v>0.24521999999999999</v>
      </c>
      <c r="D320" s="5">
        <f>VLOOKUP(B320,'Raw Data'!$N$4:$N$508,1,FALSE)</f>
        <v>19.8</v>
      </c>
      <c r="E320" s="5">
        <f>_xlfn.XLOOKUP(B320,'Raw Data'!$N$4:$N$509,'Raw Data'!$A$4:$A$509,"Not Found")</f>
        <v>0.12801999999999999</v>
      </c>
      <c r="F320" s="5">
        <f>INDEX('Raw Data'!$A$4:$A$508,MATCH(MAX('Raw Data'!$N$4:$N$508),'Raw Data'!$N$4:$N$508,0))</f>
        <v>1.46336</v>
      </c>
      <c r="G320" s="5">
        <f>INDEX('Raw Data'!$F$4:$F$508,MATCH(MIN('Raw Data'!$N$4:$N$508),'Raw Data'!$N$4:$N$508,0))</f>
        <v>5.8520000000000003</v>
      </c>
    </row>
    <row r="321" spans="1:7" x14ac:dyDescent="0.25">
      <c r="A321">
        <v>319</v>
      </c>
      <c r="B321" s="18">
        <f>'Raw Data'!N322</f>
        <v>23.1</v>
      </c>
      <c r="C321" s="18">
        <f>'Raw Data'!A322</f>
        <v>0.40201999999999999</v>
      </c>
      <c r="D321" s="5">
        <f>VLOOKUP(B321,'Raw Data'!$N$4:$N$508,1,FALSE)</f>
        <v>23.1</v>
      </c>
      <c r="E321" s="5">
        <f>_xlfn.XLOOKUP(B321,'Raw Data'!$N$4:$N$509,'Raw Data'!$A$4:$A$509,"Not Found")</f>
        <v>1.05393</v>
      </c>
      <c r="F321" s="5">
        <f>INDEX('Raw Data'!$A$4:$A$508,MATCH(MAX('Raw Data'!$N$4:$N$508),'Raw Data'!$N$4:$N$508,0))</f>
        <v>1.46336</v>
      </c>
      <c r="G321" s="5">
        <f>INDEX('Raw Data'!$F$4:$F$508,MATCH(MIN('Raw Data'!$N$4:$N$508),'Raw Data'!$N$4:$N$508,0))</f>
        <v>5.8520000000000003</v>
      </c>
    </row>
    <row r="322" spans="1:7" x14ac:dyDescent="0.25">
      <c r="A322">
        <v>320</v>
      </c>
      <c r="B322" s="18">
        <f>'Raw Data'!N323</f>
        <v>21</v>
      </c>
      <c r="C322" s="18">
        <f>'Raw Data'!A323</f>
        <v>0.47547</v>
      </c>
      <c r="D322" s="5">
        <f>VLOOKUP(B322,'Raw Data'!$N$4:$N$508,1,FALSE)</f>
        <v>21</v>
      </c>
      <c r="E322" s="5">
        <f>_xlfn.XLOOKUP(B322,'Raw Data'!$N$4:$N$509,'Raw Data'!$A$4:$A$509,"Not Found")</f>
        <v>1.0024500000000001</v>
      </c>
      <c r="F322" s="5">
        <f>INDEX('Raw Data'!$A$4:$A$508,MATCH(MAX('Raw Data'!$N$4:$N$508),'Raw Data'!$N$4:$N$508,0))</f>
        <v>1.46336</v>
      </c>
      <c r="G322" s="5">
        <f>INDEX('Raw Data'!$F$4:$F$508,MATCH(MIN('Raw Data'!$N$4:$N$508),'Raw Data'!$N$4:$N$508,0))</f>
        <v>5.8520000000000003</v>
      </c>
    </row>
    <row r="323" spans="1:7" x14ac:dyDescent="0.25">
      <c r="A323">
        <v>321</v>
      </c>
      <c r="B323" s="18">
        <f>'Raw Data'!N324</f>
        <v>23.8</v>
      </c>
      <c r="C323" s="18">
        <f>'Raw Data'!A324</f>
        <v>0.1676</v>
      </c>
      <c r="D323" s="5">
        <f>VLOOKUP(B323,'Raw Data'!$N$4:$N$508,1,FALSE)</f>
        <v>23.8</v>
      </c>
      <c r="E323" s="5">
        <f>_xlfn.XLOOKUP(B323,'Raw Data'!$N$4:$N$509,'Raw Data'!$A$4:$A$509,"Not Found")</f>
        <v>1.8002800000000001</v>
      </c>
      <c r="F323" s="5">
        <f>INDEX('Raw Data'!$A$4:$A$508,MATCH(MAX('Raw Data'!$N$4:$N$508),'Raw Data'!$N$4:$N$508,0))</f>
        <v>1.46336</v>
      </c>
      <c r="G323" s="5">
        <f>INDEX('Raw Data'!$F$4:$F$508,MATCH(MIN('Raw Data'!$N$4:$N$508),'Raw Data'!$N$4:$N$508,0))</f>
        <v>5.8520000000000003</v>
      </c>
    </row>
    <row r="324" spans="1:7" x14ac:dyDescent="0.25">
      <c r="A324">
        <v>322</v>
      </c>
      <c r="B324" s="18">
        <f>'Raw Data'!N325</f>
        <v>23.1</v>
      </c>
      <c r="C324" s="18">
        <f>'Raw Data'!A325</f>
        <v>0.18159</v>
      </c>
      <c r="D324" s="5">
        <f>VLOOKUP(B324,'Raw Data'!$N$4:$N$508,1,FALSE)</f>
        <v>23.1</v>
      </c>
      <c r="E324" s="5">
        <f>_xlfn.XLOOKUP(B324,'Raw Data'!$N$4:$N$509,'Raw Data'!$A$4:$A$509,"Not Found")</f>
        <v>1.05393</v>
      </c>
      <c r="F324" s="5">
        <f>INDEX('Raw Data'!$A$4:$A$508,MATCH(MAX('Raw Data'!$N$4:$N$508),'Raw Data'!$N$4:$N$508,0))</f>
        <v>1.46336</v>
      </c>
      <c r="G324" s="5">
        <f>INDEX('Raw Data'!$F$4:$F$508,MATCH(MIN('Raw Data'!$N$4:$N$508),'Raw Data'!$N$4:$N$508,0))</f>
        <v>5.8520000000000003</v>
      </c>
    </row>
    <row r="325" spans="1:7" x14ac:dyDescent="0.25">
      <c r="A325">
        <v>323</v>
      </c>
      <c r="B325" s="18">
        <f>'Raw Data'!N326</f>
        <v>20.399999999999999</v>
      </c>
      <c r="C325" s="18">
        <f>'Raw Data'!A326</f>
        <v>0.35114000000000001</v>
      </c>
      <c r="D325" s="5">
        <f>VLOOKUP(B325,'Raw Data'!$N$4:$N$508,1,FALSE)</f>
        <v>20.399999999999999</v>
      </c>
      <c r="E325" s="5">
        <f>_xlfn.XLOOKUP(B325,'Raw Data'!$N$4:$N$509,'Raw Data'!$A$4:$A$509,"Not Found")</f>
        <v>0.62975999999999999</v>
      </c>
      <c r="F325" s="5">
        <f>INDEX('Raw Data'!$A$4:$A$508,MATCH(MAX('Raw Data'!$N$4:$N$508),'Raw Data'!$N$4:$N$508,0))</f>
        <v>1.46336</v>
      </c>
      <c r="G325" s="5">
        <f>INDEX('Raw Data'!$F$4:$F$508,MATCH(MIN('Raw Data'!$N$4:$N$508),'Raw Data'!$N$4:$N$508,0))</f>
        <v>5.8520000000000003</v>
      </c>
    </row>
    <row r="326" spans="1:7" x14ac:dyDescent="0.25">
      <c r="A326">
        <v>324</v>
      </c>
      <c r="B326" s="18">
        <f>'Raw Data'!N327</f>
        <v>18.5</v>
      </c>
      <c r="C326" s="18">
        <f>'Raw Data'!A327</f>
        <v>0.28392000000000001</v>
      </c>
      <c r="D326" s="5">
        <f>VLOOKUP(B326,'Raw Data'!$N$4:$N$508,1,FALSE)</f>
        <v>18.5</v>
      </c>
      <c r="E326" s="5">
        <f>_xlfn.XLOOKUP(B326,'Raw Data'!$N$4:$N$509,'Raw Data'!$A$4:$A$509,"Not Found")</f>
        <v>0.14230999999999999</v>
      </c>
      <c r="F326" s="5">
        <f>INDEX('Raw Data'!$A$4:$A$508,MATCH(MAX('Raw Data'!$N$4:$N$508),'Raw Data'!$N$4:$N$508,0))</f>
        <v>1.46336</v>
      </c>
      <c r="G326" s="5">
        <f>INDEX('Raw Data'!$F$4:$F$508,MATCH(MIN('Raw Data'!$N$4:$N$508),'Raw Data'!$N$4:$N$508,0))</f>
        <v>5.8520000000000003</v>
      </c>
    </row>
    <row r="327" spans="1:7" x14ac:dyDescent="0.25">
      <c r="A327">
        <v>325</v>
      </c>
      <c r="B327" s="18">
        <f>'Raw Data'!N328</f>
        <v>25</v>
      </c>
      <c r="C327" s="18">
        <f>'Raw Data'!A328</f>
        <v>0.34109</v>
      </c>
      <c r="D327" s="5">
        <f>VLOOKUP(B327,'Raw Data'!$N$4:$N$508,1,FALSE)</f>
        <v>25</v>
      </c>
      <c r="E327" s="5">
        <f>_xlfn.XLOOKUP(B327,'Raw Data'!$N$4:$N$509,'Raw Data'!$A$4:$A$509,"Not Found")</f>
        <v>5.3600000000000002E-2</v>
      </c>
      <c r="F327" s="5">
        <f>INDEX('Raw Data'!$A$4:$A$508,MATCH(MAX('Raw Data'!$N$4:$N$508),'Raw Data'!$N$4:$N$508,0))</f>
        <v>1.46336</v>
      </c>
      <c r="G327" s="5">
        <f>INDEX('Raw Data'!$F$4:$F$508,MATCH(MIN('Raw Data'!$N$4:$N$508),'Raw Data'!$N$4:$N$508,0))</f>
        <v>5.8520000000000003</v>
      </c>
    </row>
    <row r="328" spans="1:7" x14ac:dyDescent="0.25">
      <c r="A328">
        <v>326</v>
      </c>
      <c r="B328" s="18">
        <f>'Raw Data'!N329</f>
        <v>24.6</v>
      </c>
      <c r="C328" s="18">
        <f>'Raw Data'!A329</f>
        <v>0.19186</v>
      </c>
      <c r="D328" s="5">
        <f>VLOOKUP(B328,'Raw Data'!$N$4:$N$508,1,FALSE)</f>
        <v>24.6</v>
      </c>
      <c r="E328" s="5">
        <f>_xlfn.XLOOKUP(B328,'Raw Data'!$N$4:$N$509,'Raw Data'!$A$4:$A$509,"Not Found")</f>
        <v>5.425E-2</v>
      </c>
      <c r="F328" s="5">
        <f>INDEX('Raw Data'!$A$4:$A$508,MATCH(MAX('Raw Data'!$N$4:$N$508),'Raw Data'!$N$4:$N$508,0))</f>
        <v>1.46336</v>
      </c>
      <c r="G328" s="5">
        <f>INDEX('Raw Data'!$F$4:$F$508,MATCH(MIN('Raw Data'!$N$4:$N$508),'Raw Data'!$N$4:$N$508,0))</f>
        <v>5.8520000000000003</v>
      </c>
    </row>
    <row r="329" spans="1:7" x14ac:dyDescent="0.25">
      <c r="A329">
        <v>327</v>
      </c>
      <c r="B329" s="18">
        <f>'Raw Data'!N330</f>
        <v>23</v>
      </c>
      <c r="C329" s="18">
        <f>'Raw Data'!A330</f>
        <v>0.30347000000000002</v>
      </c>
      <c r="D329" s="5">
        <f>VLOOKUP(B329,'Raw Data'!$N$4:$N$508,1,FALSE)</f>
        <v>23</v>
      </c>
      <c r="E329" s="5">
        <f>_xlfn.XLOOKUP(B329,'Raw Data'!$N$4:$N$509,'Raw Data'!$A$4:$A$509,"Not Found")</f>
        <v>0.59004999999999996</v>
      </c>
      <c r="F329" s="5">
        <f>INDEX('Raw Data'!$A$4:$A$508,MATCH(MAX('Raw Data'!$N$4:$N$508),'Raw Data'!$N$4:$N$508,0))</f>
        <v>1.46336</v>
      </c>
      <c r="G329" s="5">
        <f>INDEX('Raw Data'!$F$4:$F$508,MATCH(MIN('Raw Data'!$N$4:$N$508),'Raw Data'!$N$4:$N$508,0))</f>
        <v>5.8520000000000003</v>
      </c>
    </row>
    <row r="330" spans="1:7" x14ac:dyDescent="0.25">
      <c r="A330">
        <v>328</v>
      </c>
      <c r="B330" s="18">
        <f>'Raw Data'!N331</f>
        <v>22.2</v>
      </c>
      <c r="C330" s="18">
        <f>'Raw Data'!A331</f>
        <v>0.24102999999999999</v>
      </c>
      <c r="D330" s="5">
        <f>VLOOKUP(B330,'Raw Data'!$N$4:$N$508,1,FALSE)</f>
        <v>22.2</v>
      </c>
      <c r="E330" s="5">
        <f>_xlfn.XLOOKUP(B330,'Raw Data'!$N$4:$N$509,'Raw Data'!$A$4:$A$509,"Not Found")</f>
        <v>0.11027000000000001</v>
      </c>
      <c r="F330" s="5">
        <f>INDEX('Raw Data'!$A$4:$A$508,MATCH(MAX('Raw Data'!$N$4:$N$508),'Raw Data'!$N$4:$N$508,0))</f>
        <v>1.46336</v>
      </c>
      <c r="G330" s="5">
        <f>INDEX('Raw Data'!$F$4:$F$508,MATCH(MIN('Raw Data'!$N$4:$N$508),'Raw Data'!$N$4:$N$508,0))</f>
        <v>5.8520000000000003</v>
      </c>
    </row>
    <row r="331" spans="1:7" x14ac:dyDescent="0.25">
      <c r="A331">
        <v>329</v>
      </c>
      <c r="B331" s="18">
        <f>'Raw Data'!N332</f>
        <v>19.3</v>
      </c>
      <c r="C331" s="18">
        <f>'Raw Data'!A332</f>
        <v>6.6170000000000007E-2</v>
      </c>
      <c r="D331" s="5">
        <f>VLOOKUP(B331,'Raw Data'!$N$4:$N$508,1,FALSE)</f>
        <v>19.3</v>
      </c>
      <c r="E331" s="5">
        <f>_xlfn.XLOOKUP(B331,'Raw Data'!$N$4:$N$509,'Raw Data'!$A$4:$A$509,"Not Found")</f>
        <v>0.17141999999999999</v>
      </c>
      <c r="F331" s="5">
        <f>INDEX('Raw Data'!$A$4:$A$508,MATCH(MAX('Raw Data'!$N$4:$N$508),'Raw Data'!$N$4:$N$508,0))</f>
        <v>1.46336</v>
      </c>
      <c r="G331" s="5">
        <f>INDEX('Raw Data'!$F$4:$F$508,MATCH(MIN('Raw Data'!$N$4:$N$508),'Raw Data'!$N$4:$N$508,0))</f>
        <v>5.8520000000000003</v>
      </c>
    </row>
    <row r="332" spans="1:7" x14ac:dyDescent="0.25">
      <c r="A332">
        <v>330</v>
      </c>
      <c r="B332" s="18">
        <f>'Raw Data'!N333</f>
        <v>22.6</v>
      </c>
      <c r="C332" s="18">
        <f>'Raw Data'!A333</f>
        <v>6.7239999999999994E-2</v>
      </c>
      <c r="D332" s="5">
        <f>VLOOKUP(B332,'Raw Data'!$N$4:$N$508,1,FALSE)</f>
        <v>22.6</v>
      </c>
      <c r="E332" s="5">
        <f>_xlfn.XLOOKUP(B332,'Raw Data'!$N$4:$N$509,'Raw Data'!$A$4:$A$509,"Not Found")</f>
        <v>4.684E-2</v>
      </c>
      <c r="F332" s="5">
        <f>INDEX('Raw Data'!$A$4:$A$508,MATCH(MAX('Raw Data'!$N$4:$N$508),'Raw Data'!$N$4:$N$508,0))</f>
        <v>1.46336</v>
      </c>
      <c r="G332" s="5">
        <f>INDEX('Raw Data'!$F$4:$F$508,MATCH(MIN('Raw Data'!$N$4:$N$508),'Raw Data'!$N$4:$N$508,0))</f>
        <v>5.8520000000000003</v>
      </c>
    </row>
    <row r="333" spans="1:7" x14ac:dyDescent="0.25">
      <c r="A333">
        <v>331</v>
      </c>
      <c r="B333" s="18">
        <f>'Raw Data'!N334</f>
        <v>19.8</v>
      </c>
      <c r="C333" s="18">
        <f>'Raw Data'!A334</f>
        <v>4.5440000000000001E-2</v>
      </c>
      <c r="D333" s="5">
        <f>VLOOKUP(B333,'Raw Data'!$N$4:$N$508,1,FALSE)</f>
        <v>19.8</v>
      </c>
      <c r="E333" s="5">
        <f>_xlfn.XLOOKUP(B333,'Raw Data'!$N$4:$N$509,'Raw Data'!$A$4:$A$509,"Not Found")</f>
        <v>0.12801999999999999</v>
      </c>
      <c r="F333" s="5">
        <f>INDEX('Raw Data'!$A$4:$A$508,MATCH(MAX('Raw Data'!$N$4:$N$508),'Raw Data'!$N$4:$N$508,0))</f>
        <v>1.46336</v>
      </c>
      <c r="G333" s="5">
        <f>INDEX('Raw Data'!$F$4:$F$508,MATCH(MIN('Raw Data'!$N$4:$N$508),'Raw Data'!$N$4:$N$508,0))</f>
        <v>5.8520000000000003</v>
      </c>
    </row>
    <row r="334" spans="1:7" x14ac:dyDescent="0.25">
      <c r="A334">
        <v>332</v>
      </c>
      <c r="B334" s="18">
        <f>'Raw Data'!N335</f>
        <v>17.100000000000001</v>
      </c>
      <c r="C334" s="18">
        <f>'Raw Data'!A335</f>
        <v>5.0229999999999997E-2</v>
      </c>
      <c r="D334" s="5">
        <f>VLOOKUP(B334,'Raw Data'!$N$4:$N$508,1,FALSE)</f>
        <v>17.100000000000001</v>
      </c>
      <c r="E334" s="5">
        <f>_xlfn.XLOOKUP(B334,'Raw Data'!$N$4:$N$509,'Raw Data'!$A$4:$A$509,"Not Found")</f>
        <v>0.35232999999999998</v>
      </c>
      <c r="F334" s="5">
        <f>INDEX('Raw Data'!$A$4:$A$508,MATCH(MAX('Raw Data'!$N$4:$N$508),'Raw Data'!$N$4:$N$508,0))</f>
        <v>1.46336</v>
      </c>
      <c r="G334" s="5">
        <f>INDEX('Raw Data'!$F$4:$F$508,MATCH(MIN('Raw Data'!$N$4:$N$508),'Raw Data'!$N$4:$N$508,0))</f>
        <v>5.8520000000000003</v>
      </c>
    </row>
    <row r="335" spans="1:7" x14ac:dyDescent="0.25">
      <c r="A335">
        <v>333</v>
      </c>
      <c r="B335" s="18">
        <f>'Raw Data'!N336</f>
        <v>19.399999999999999</v>
      </c>
      <c r="C335" s="18">
        <f>'Raw Data'!A336</f>
        <v>3.4660000000000003E-2</v>
      </c>
      <c r="D335" s="5">
        <f>VLOOKUP(B335,'Raw Data'!$N$4:$N$508,1,FALSE)</f>
        <v>19.399999999999999</v>
      </c>
      <c r="E335" s="5">
        <f>_xlfn.XLOOKUP(B335,'Raw Data'!$N$4:$N$509,'Raw Data'!$A$4:$A$509,"Not Found")</f>
        <v>0.21976999999999999</v>
      </c>
      <c r="F335" s="5">
        <f>INDEX('Raw Data'!$A$4:$A$508,MATCH(MAX('Raw Data'!$N$4:$N$508),'Raw Data'!$N$4:$N$508,0))</f>
        <v>1.46336</v>
      </c>
      <c r="G335" s="5">
        <f>INDEX('Raw Data'!$F$4:$F$508,MATCH(MIN('Raw Data'!$N$4:$N$508),'Raw Data'!$N$4:$N$508,0))</f>
        <v>5.8520000000000003</v>
      </c>
    </row>
    <row r="336" spans="1:7" x14ac:dyDescent="0.25">
      <c r="A336">
        <v>334</v>
      </c>
      <c r="B336" s="18">
        <f>'Raw Data'!N337</f>
        <v>22.2</v>
      </c>
      <c r="C336" s="18">
        <f>'Raw Data'!A337</f>
        <v>5.083E-2</v>
      </c>
      <c r="D336" s="5">
        <f>VLOOKUP(B336,'Raw Data'!$N$4:$N$508,1,FALSE)</f>
        <v>22.2</v>
      </c>
      <c r="E336" s="5">
        <f>_xlfn.XLOOKUP(B336,'Raw Data'!$N$4:$N$509,'Raw Data'!$A$4:$A$509,"Not Found")</f>
        <v>0.11027000000000001</v>
      </c>
      <c r="F336" s="5">
        <f>INDEX('Raw Data'!$A$4:$A$508,MATCH(MAX('Raw Data'!$N$4:$N$508),'Raw Data'!$N$4:$N$508,0))</f>
        <v>1.46336</v>
      </c>
      <c r="G336" s="5">
        <f>INDEX('Raw Data'!$F$4:$F$508,MATCH(MIN('Raw Data'!$N$4:$N$508),'Raw Data'!$N$4:$N$508,0))</f>
        <v>5.8520000000000003</v>
      </c>
    </row>
    <row r="337" spans="1:7" x14ac:dyDescent="0.25">
      <c r="A337">
        <v>335</v>
      </c>
      <c r="B337" s="18">
        <f>'Raw Data'!N338</f>
        <v>20.7</v>
      </c>
      <c r="C337" s="18">
        <f>'Raw Data'!A338</f>
        <v>3.7379999999999997E-2</v>
      </c>
      <c r="D337" s="5">
        <f>VLOOKUP(B337,'Raw Data'!$N$4:$N$508,1,FALSE)</f>
        <v>20.7</v>
      </c>
      <c r="E337" s="5">
        <f>_xlfn.XLOOKUP(B337,'Raw Data'!$N$4:$N$509,'Raw Data'!$A$4:$A$509,"Not Found")</f>
        <v>9.0649999999999994E-2</v>
      </c>
      <c r="F337" s="5">
        <f>INDEX('Raw Data'!$A$4:$A$508,MATCH(MAX('Raw Data'!$N$4:$N$508),'Raw Data'!$N$4:$N$508,0))</f>
        <v>1.46336</v>
      </c>
      <c r="G337" s="5">
        <f>INDEX('Raw Data'!$F$4:$F$508,MATCH(MIN('Raw Data'!$N$4:$N$508),'Raw Data'!$N$4:$N$508,0))</f>
        <v>5.8520000000000003</v>
      </c>
    </row>
    <row r="338" spans="1:7" x14ac:dyDescent="0.25">
      <c r="A338">
        <v>336</v>
      </c>
      <c r="B338" s="18">
        <f>'Raw Data'!N339</f>
        <v>21.1</v>
      </c>
      <c r="C338" s="18">
        <f>'Raw Data'!A339</f>
        <v>3.9609999999999999E-2</v>
      </c>
      <c r="D338" s="5">
        <f>VLOOKUP(B338,'Raw Data'!$N$4:$N$508,1,FALSE)</f>
        <v>21.1</v>
      </c>
      <c r="E338" s="5">
        <f>_xlfn.XLOOKUP(B338,'Raw Data'!$N$4:$N$509,'Raw Data'!$A$4:$A$509,"Not Found")</f>
        <v>0.29915999999999998</v>
      </c>
      <c r="F338" s="5">
        <f>INDEX('Raw Data'!$A$4:$A$508,MATCH(MAX('Raw Data'!$N$4:$N$508),'Raw Data'!$N$4:$N$508,0))</f>
        <v>1.46336</v>
      </c>
      <c r="G338" s="5">
        <f>INDEX('Raw Data'!$F$4:$F$508,MATCH(MIN('Raw Data'!$N$4:$N$508),'Raw Data'!$N$4:$N$508,0))</f>
        <v>5.8520000000000003</v>
      </c>
    </row>
    <row r="339" spans="1:7" x14ac:dyDescent="0.25">
      <c r="A339">
        <v>337</v>
      </c>
      <c r="B339" s="18">
        <f>'Raw Data'!N340</f>
        <v>19.5</v>
      </c>
      <c r="C339" s="18">
        <f>'Raw Data'!A340</f>
        <v>3.4270000000000002E-2</v>
      </c>
      <c r="D339" s="5">
        <f>VLOOKUP(B339,'Raw Data'!$N$4:$N$508,1,FALSE)</f>
        <v>19.5</v>
      </c>
      <c r="E339" s="5">
        <f>_xlfn.XLOOKUP(B339,'Raw Data'!$N$4:$N$509,'Raw Data'!$A$4:$A$509,"Not Found")</f>
        <v>0.13261999999999999</v>
      </c>
      <c r="F339" s="5">
        <f>INDEX('Raw Data'!$A$4:$A$508,MATCH(MAX('Raw Data'!$N$4:$N$508),'Raw Data'!$N$4:$N$508,0))</f>
        <v>1.46336</v>
      </c>
      <c r="G339" s="5">
        <f>INDEX('Raw Data'!$F$4:$F$508,MATCH(MIN('Raw Data'!$N$4:$N$508),'Raw Data'!$N$4:$N$508,0))</f>
        <v>5.8520000000000003</v>
      </c>
    </row>
    <row r="340" spans="1:7" x14ac:dyDescent="0.25">
      <c r="A340">
        <v>338</v>
      </c>
      <c r="B340" s="18">
        <f>'Raw Data'!N341</f>
        <v>18.5</v>
      </c>
      <c r="C340" s="18">
        <f>'Raw Data'!A341</f>
        <v>3.041E-2</v>
      </c>
      <c r="D340" s="5">
        <f>VLOOKUP(B340,'Raw Data'!$N$4:$N$508,1,FALSE)</f>
        <v>18.5</v>
      </c>
      <c r="E340" s="5">
        <f>_xlfn.XLOOKUP(B340,'Raw Data'!$N$4:$N$509,'Raw Data'!$A$4:$A$509,"Not Found")</f>
        <v>0.14230999999999999</v>
      </c>
      <c r="F340" s="5">
        <f>INDEX('Raw Data'!$A$4:$A$508,MATCH(MAX('Raw Data'!$N$4:$N$508),'Raw Data'!$N$4:$N$508,0))</f>
        <v>1.46336</v>
      </c>
      <c r="G340" s="5">
        <f>INDEX('Raw Data'!$F$4:$F$508,MATCH(MIN('Raw Data'!$N$4:$N$508),'Raw Data'!$N$4:$N$508,0))</f>
        <v>5.8520000000000003</v>
      </c>
    </row>
    <row r="341" spans="1:7" x14ac:dyDescent="0.25">
      <c r="A341">
        <v>339</v>
      </c>
      <c r="B341" s="18">
        <f>'Raw Data'!N342</f>
        <v>20.6</v>
      </c>
      <c r="C341" s="18">
        <f>'Raw Data'!A342</f>
        <v>3.3059999999999999E-2</v>
      </c>
      <c r="D341" s="5">
        <f>VLOOKUP(B341,'Raw Data'!$N$4:$N$508,1,FALSE)</f>
        <v>20.6</v>
      </c>
      <c r="E341" s="5">
        <f>_xlfn.XLOOKUP(B341,'Raw Data'!$N$4:$N$509,'Raw Data'!$A$4:$A$509,"Not Found")</f>
        <v>4.2939999999999999E-2</v>
      </c>
      <c r="F341" s="5">
        <f>INDEX('Raw Data'!$A$4:$A$508,MATCH(MAX('Raw Data'!$N$4:$N$508),'Raw Data'!$N$4:$N$508,0))</f>
        <v>1.46336</v>
      </c>
      <c r="G341" s="5">
        <f>INDEX('Raw Data'!$F$4:$F$508,MATCH(MIN('Raw Data'!$N$4:$N$508),'Raw Data'!$N$4:$N$508,0))</f>
        <v>5.8520000000000003</v>
      </c>
    </row>
    <row r="342" spans="1:7" x14ac:dyDescent="0.25">
      <c r="A342">
        <v>340</v>
      </c>
      <c r="B342" s="18">
        <f>'Raw Data'!N343</f>
        <v>19</v>
      </c>
      <c r="C342" s="18">
        <f>'Raw Data'!A343</f>
        <v>5.4969999999999998E-2</v>
      </c>
      <c r="D342" s="5">
        <f>VLOOKUP(B342,'Raw Data'!$N$4:$N$508,1,FALSE)</f>
        <v>19</v>
      </c>
      <c r="E342" s="5">
        <f>_xlfn.XLOOKUP(B342,'Raw Data'!$N$4:$N$509,'Raw Data'!$A$4:$A$509,"Not Found")</f>
        <v>5.4969999999999998E-2</v>
      </c>
      <c r="F342" s="5">
        <f>INDEX('Raw Data'!$A$4:$A$508,MATCH(MAX('Raw Data'!$N$4:$N$508),'Raw Data'!$N$4:$N$508,0))</f>
        <v>1.46336</v>
      </c>
      <c r="G342" s="5">
        <f>INDEX('Raw Data'!$F$4:$F$508,MATCH(MIN('Raw Data'!$N$4:$N$508),'Raw Data'!$N$4:$N$508,0))</f>
        <v>5.8520000000000003</v>
      </c>
    </row>
    <row r="343" spans="1:7" x14ac:dyDescent="0.25">
      <c r="A343">
        <v>341</v>
      </c>
      <c r="B343" s="18">
        <f>'Raw Data'!N344</f>
        <v>18.7</v>
      </c>
      <c r="C343" s="18">
        <f>'Raw Data'!A344</f>
        <v>6.1510000000000002E-2</v>
      </c>
      <c r="D343" s="5">
        <f>VLOOKUP(B343,'Raw Data'!$N$4:$N$508,1,FALSE)</f>
        <v>18.7</v>
      </c>
      <c r="E343" s="5">
        <f>_xlfn.XLOOKUP(B343,'Raw Data'!$N$4:$N$509,'Raw Data'!$A$4:$A$509,"Not Found")</f>
        <v>0.14932000000000001</v>
      </c>
      <c r="F343" s="5">
        <f>INDEX('Raw Data'!$A$4:$A$508,MATCH(MAX('Raw Data'!$N$4:$N$508),'Raw Data'!$N$4:$N$508,0))</f>
        <v>1.46336</v>
      </c>
      <c r="G343" s="5">
        <f>INDEX('Raw Data'!$F$4:$F$508,MATCH(MIN('Raw Data'!$N$4:$N$508),'Raw Data'!$N$4:$N$508,0))</f>
        <v>5.8520000000000003</v>
      </c>
    </row>
    <row r="344" spans="1:7" x14ac:dyDescent="0.25">
      <c r="A344">
        <v>342</v>
      </c>
      <c r="B344" s="18">
        <f>'Raw Data'!N345</f>
        <v>32.700000000000003</v>
      </c>
      <c r="C344" s="18">
        <f>'Raw Data'!A345</f>
        <v>1.3010000000000001E-2</v>
      </c>
      <c r="D344" s="5">
        <f>VLOOKUP(B344,'Raw Data'!$N$4:$N$508,1,FALSE)</f>
        <v>32.700000000000003</v>
      </c>
      <c r="E344" s="5">
        <f>_xlfn.XLOOKUP(B344,'Raw Data'!$N$4:$N$509,'Raw Data'!$A$4:$A$509,"Not Found")</f>
        <v>1.3010000000000001E-2</v>
      </c>
      <c r="F344" s="5">
        <f>INDEX('Raw Data'!$A$4:$A$508,MATCH(MAX('Raw Data'!$N$4:$N$508),'Raw Data'!$N$4:$N$508,0))</f>
        <v>1.46336</v>
      </c>
      <c r="G344" s="5">
        <f>INDEX('Raw Data'!$F$4:$F$508,MATCH(MIN('Raw Data'!$N$4:$N$508),'Raw Data'!$N$4:$N$508,0))</f>
        <v>5.8520000000000003</v>
      </c>
    </row>
    <row r="345" spans="1:7" x14ac:dyDescent="0.25">
      <c r="A345">
        <v>343</v>
      </c>
      <c r="B345" s="18">
        <f>'Raw Data'!N346</f>
        <v>16.5</v>
      </c>
      <c r="C345" s="18">
        <f>'Raw Data'!A346</f>
        <v>2.4979999999999999E-2</v>
      </c>
      <c r="D345" s="5">
        <f>VLOOKUP(B345,'Raw Data'!$N$4:$N$508,1,FALSE)</f>
        <v>16.5</v>
      </c>
      <c r="E345" s="5">
        <f>_xlfn.XLOOKUP(B345,'Raw Data'!$N$4:$N$509,'Raw Data'!$A$4:$A$509,"Not Found")</f>
        <v>0.21124000000000001</v>
      </c>
      <c r="F345" s="5">
        <f>INDEX('Raw Data'!$A$4:$A$508,MATCH(MAX('Raw Data'!$N$4:$N$508),'Raw Data'!$N$4:$N$508,0))</f>
        <v>1.46336</v>
      </c>
      <c r="G345" s="5">
        <f>INDEX('Raw Data'!$F$4:$F$508,MATCH(MIN('Raw Data'!$N$4:$N$508),'Raw Data'!$N$4:$N$508,0))</f>
        <v>5.8520000000000003</v>
      </c>
    </row>
    <row r="346" spans="1:7" x14ac:dyDescent="0.25">
      <c r="A346">
        <v>344</v>
      </c>
      <c r="B346" s="18">
        <f>'Raw Data'!N347</f>
        <v>23.9</v>
      </c>
      <c r="C346" s="18">
        <f>'Raw Data'!A347</f>
        <v>2.5430000000000001E-2</v>
      </c>
      <c r="D346" s="5">
        <f>VLOOKUP(B346,'Raw Data'!$N$4:$N$508,1,FALSE)</f>
        <v>23.9</v>
      </c>
      <c r="E346" s="5">
        <f>_xlfn.XLOOKUP(B346,'Raw Data'!$N$4:$N$509,'Raw Data'!$A$4:$A$509,"Not Found")</f>
        <v>4.462E-2</v>
      </c>
      <c r="F346" s="5">
        <f>INDEX('Raw Data'!$A$4:$A$508,MATCH(MAX('Raw Data'!$N$4:$N$508),'Raw Data'!$N$4:$N$508,0))</f>
        <v>1.46336</v>
      </c>
      <c r="G346" s="5">
        <f>INDEX('Raw Data'!$F$4:$F$508,MATCH(MIN('Raw Data'!$N$4:$N$508),'Raw Data'!$N$4:$N$508,0))</f>
        <v>5.8520000000000003</v>
      </c>
    </row>
    <row r="347" spans="1:7" x14ac:dyDescent="0.25">
      <c r="A347">
        <v>345</v>
      </c>
      <c r="B347" s="18">
        <f>'Raw Data'!N348</f>
        <v>31.2</v>
      </c>
      <c r="C347" s="18">
        <f>'Raw Data'!A348</f>
        <v>3.049E-2</v>
      </c>
      <c r="D347" s="5">
        <f>VLOOKUP(B347,'Raw Data'!$N$4:$N$508,1,FALSE)</f>
        <v>31.2</v>
      </c>
      <c r="E347" s="5">
        <f>_xlfn.XLOOKUP(B347,'Raw Data'!$N$4:$N$509,'Raw Data'!$A$4:$A$509,"Not Found")</f>
        <v>3.049E-2</v>
      </c>
      <c r="F347" s="5">
        <f>INDEX('Raw Data'!$A$4:$A$508,MATCH(MAX('Raw Data'!$N$4:$N$508),'Raw Data'!$N$4:$N$508,0))</f>
        <v>1.46336</v>
      </c>
      <c r="G347" s="5">
        <f>INDEX('Raw Data'!$F$4:$F$508,MATCH(MIN('Raw Data'!$N$4:$N$508),'Raw Data'!$N$4:$N$508,0))</f>
        <v>5.8520000000000003</v>
      </c>
    </row>
    <row r="348" spans="1:7" x14ac:dyDescent="0.25">
      <c r="A348">
        <v>346</v>
      </c>
      <c r="B348" s="18">
        <f>'Raw Data'!N349</f>
        <v>17.5</v>
      </c>
      <c r="C348" s="18">
        <f>'Raw Data'!A349</f>
        <v>3.1130000000000001E-2</v>
      </c>
      <c r="D348" s="5">
        <f>VLOOKUP(B348,'Raw Data'!$N$4:$N$508,1,FALSE)</f>
        <v>17.5</v>
      </c>
      <c r="E348" s="5">
        <f>_xlfn.XLOOKUP(B348,'Raw Data'!$N$4:$N$509,'Raw Data'!$A$4:$A$509,"Not Found")</f>
        <v>0.78420000000000001</v>
      </c>
      <c r="F348" s="5">
        <f>INDEX('Raw Data'!$A$4:$A$508,MATCH(MAX('Raw Data'!$N$4:$N$508),'Raw Data'!$N$4:$N$508,0))</f>
        <v>1.46336</v>
      </c>
      <c r="G348" s="5">
        <f>INDEX('Raw Data'!$F$4:$F$508,MATCH(MIN('Raw Data'!$N$4:$N$508),'Raw Data'!$N$4:$N$508,0))</f>
        <v>5.8520000000000003</v>
      </c>
    </row>
    <row r="349" spans="1:7" x14ac:dyDescent="0.25">
      <c r="A349">
        <v>347</v>
      </c>
      <c r="B349" s="18">
        <f>'Raw Data'!N350</f>
        <v>17.2</v>
      </c>
      <c r="C349" s="18">
        <f>'Raw Data'!A350</f>
        <v>6.1620000000000001E-2</v>
      </c>
      <c r="D349" s="5">
        <f>VLOOKUP(B349,'Raw Data'!$N$4:$N$508,1,FALSE)</f>
        <v>17.2</v>
      </c>
      <c r="E349" s="5">
        <f>_xlfn.XLOOKUP(B349,'Raw Data'!$N$4:$N$509,'Raw Data'!$A$4:$A$509,"Not Found")</f>
        <v>6.1620000000000001E-2</v>
      </c>
      <c r="F349" s="5">
        <f>INDEX('Raw Data'!$A$4:$A$508,MATCH(MAX('Raw Data'!$N$4:$N$508),'Raw Data'!$N$4:$N$508,0))</f>
        <v>1.46336</v>
      </c>
      <c r="G349" s="5">
        <f>INDEX('Raw Data'!$F$4:$F$508,MATCH(MIN('Raw Data'!$N$4:$N$508),'Raw Data'!$N$4:$N$508,0))</f>
        <v>5.8520000000000003</v>
      </c>
    </row>
    <row r="350" spans="1:7" x14ac:dyDescent="0.25">
      <c r="A350">
        <v>348</v>
      </c>
      <c r="B350" s="18">
        <f>'Raw Data'!N351</f>
        <v>23.1</v>
      </c>
      <c r="C350" s="18">
        <f>'Raw Data'!A351</f>
        <v>1.8700000000000001E-2</v>
      </c>
      <c r="D350" s="5">
        <f>VLOOKUP(B350,'Raw Data'!$N$4:$N$508,1,FALSE)</f>
        <v>23.1</v>
      </c>
      <c r="E350" s="5">
        <f>_xlfn.XLOOKUP(B350,'Raw Data'!$N$4:$N$509,'Raw Data'!$A$4:$A$509,"Not Found")</f>
        <v>1.05393</v>
      </c>
      <c r="F350" s="5">
        <f>INDEX('Raw Data'!$A$4:$A$508,MATCH(MAX('Raw Data'!$N$4:$N$508),'Raw Data'!$N$4:$N$508,0))</f>
        <v>1.46336</v>
      </c>
      <c r="G350" s="5">
        <f>INDEX('Raw Data'!$F$4:$F$508,MATCH(MIN('Raw Data'!$N$4:$N$508),'Raw Data'!$N$4:$N$508,0))</f>
        <v>5.8520000000000003</v>
      </c>
    </row>
    <row r="351" spans="1:7" x14ac:dyDescent="0.25">
      <c r="A351">
        <v>349</v>
      </c>
      <c r="B351" s="18">
        <f>'Raw Data'!N352</f>
        <v>24.5</v>
      </c>
      <c r="C351" s="18">
        <f>'Raw Data'!A352</f>
        <v>1.5010000000000001E-2</v>
      </c>
      <c r="D351" s="5">
        <f>VLOOKUP(B351,'Raw Data'!$N$4:$N$508,1,FALSE)</f>
        <v>24.5</v>
      </c>
      <c r="E351" s="5">
        <f>_xlfn.XLOOKUP(B351,'Raw Data'!$N$4:$N$509,'Raw Data'!$A$4:$A$509,"Not Found")</f>
        <v>0.16439000000000001</v>
      </c>
      <c r="F351" s="5">
        <f>INDEX('Raw Data'!$A$4:$A$508,MATCH(MAX('Raw Data'!$N$4:$N$508),'Raw Data'!$N$4:$N$508,0))</f>
        <v>1.46336</v>
      </c>
      <c r="G351" s="5">
        <f>INDEX('Raw Data'!$F$4:$F$508,MATCH(MIN('Raw Data'!$N$4:$N$508),'Raw Data'!$N$4:$N$508,0))</f>
        <v>5.8520000000000003</v>
      </c>
    </row>
    <row r="352" spans="1:7" x14ac:dyDescent="0.25">
      <c r="A352">
        <v>350</v>
      </c>
      <c r="B352" s="18">
        <f>'Raw Data'!N353</f>
        <v>26.6</v>
      </c>
      <c r="C352" s="18">
        <f>'Raw Data'!A353</f>
        <v>2.8989999999999998E-2</v>
      </c>
      <c r="D352" s="5">
        <f>VLOOKUP(B352,'Raw Data'!$N$4:$N$508,1,FALSE)</f>
        <v>26.6</v>
      </c>
      <c r="E352" s="5">
        <f>_xlfn.XLOOKUP(B352,'Raw Data'!$N$4:$N$509,'Raw Data'!$A$4:$A$509,"Not Found")</f>
        <v>0.12744</v>
      </c>
      <c r="F352" s="5">
        <f>INDEX('Raw Data'!$A$4:$A$508,MATCH(MAX('Raw Data'!$N$4:$N$508),'Raw Data'!$N$4:$N$508,0))</f>
        <v>1.46336</v>
      </c>
      <c r="G352" s="5">
        <f>INDEX('Raw Data'!$F$4:$F$508,MATCH(MIN('Raw Data'!$N$4:$N$508),'Raw Data'!$N$4:$N$508,0))</f>
        <v>5.8520000000000003</v>
      </c>
    </row>
    <row r="353" spans="1:7" x14ac:dyDescent="0.25">
      <c r="A353">
        <v>351</v>
      </c>
      <c r="B353" s="18">
        <f>'Raw Data'!N354</f>
        <v>22.9</v>
      </c>
      <c r="C353" s="18">
        <f>'Raw Data'!A354</f>
        <v>6.2109999999999999E-2</v>
      </c>
      <c r="D353" s="5">
        <f>VLOOKUP(B353,'Raw Data'!$N$4:$N$508,1,FALSE)</f>
        <v>22.9</v>
      </c>
      <c r="E353" s="5">
        <f>_xlfn.XLOOKUP(B353,'Raw Data'!$N$4:$N$509,'Raw Data'!$A$4:$A$509,"Not Found")</f>
        <v>8.8289999999999993E-2</v>
      </c>
      <c r="F353" s="5">
        <f>INDEX('Raw Data'!$A$4:$A$508,MATCH(MAX('Raw Data'!$N$4:$N$508),'Raw Data'!$N$4:$N$508,0))</f>
        <v>1.46336</v>
      </c>
      <c r="G353" s="5">
        <f>INDEX('Raw Data'!$F$4:$F$508,MATCH(MIN('Raw Data'!$N$4:$N$508),'Raw Data'!$N$4:$N$508,0))</f>
        <v>5.8520000000000003</v>
      </c>
    </row>
    <row r="354" spans="1:7" x14ac:dyDescent="0.25">
      <c r="A354">
        <v>352</v>
      </c>
      <c r="B354" s="18">
        <f>'Raw Data'!N355</f>
        <v>24.1</v>
      </c>
      <c r="C354" s="18">
        <f>'Raw Data'!A355</f>
        <v>7.9500000000000001E-2</v>
      </c>
      <c r="D354" s="5">
        <f>VLOOKUP(B354,'Raw Data'!$N$4:$N$508,1,FALSE)</f>
        <v>24.1</v>
      </c>
      <c r="E354" s="5">
        <f>_xlfn.XLOOKUP(B354,'Raw Data'!$N$4:$N$509,'Raw Data'!$A$4:$A$509,"Not Found")</f>
        <v>7.8960000000000002E-2</v>
      </c>
      <c r="F354" s="5">
        <f>INDEX('Raw Data'!$A$4:$A$508,MATCH(MAX('Raw Data'!$N$4:$N$508),'Raw Data'!$N$4:$N$508,0))</f>
        <v>1.46336</v>
      </c>
      <c r="G354" s="5">
        <f>INDEX('Raw Data'!$F$4:$F$508,MATCH(MIN('Raw Data'!$N$4:$N$508),'Raw Data'!$N$4:$N$508,0))</f>
        <v>5.8520000000000003</v>
      </c>
    </row>
    <row r="355" spans="1:7" x14ac:dyDescent="0.25">
      <c r="A355">
        <v>353</v>
      </c>
      <c r="B355" s="18">
        <f>'Raw Data'!N356</f>
        <v>18.600000000000001</v>
      </c>
      <c r="C355" s="18">
        <f>'Raw Data'!A356</f>
        <v>7.2440000000000004E-2</v>
      </c>
      <c r="D355" s="5">
        <f>VLOOKUP(B355,'Raw Data'!$N$4:$N$508,1,FALSE)</f>
        <v>18.600000000000001</v>
      </c>
      <c r="E355" s="5">
        <f>_xlfn.XLOOKUP(B355,'Raw Data'!$N$4:$N$509,'Raw Data'!$A$4:$A$509,"Not Found")</f>
        <v>0.22875999999999999</v>
      </c>
      <c r="F355" s="5">
        <f>INDEX('Raw Data'!$A$4:$A$508,MATCH(MAX('Raw Data'!$N$4:$N$508),'Raw Data'!$N$4:$N$508,0))</f>
        <v>1.46336</v>
      </c>
      <c r="G355" s="5">
        <f>INDEX('Raw Data'!$F$4:$F$508,MATCH(MIN('Raw Data'!$N$4:$N$508),'Raw Data'!$N$4:$N$508,0))</f>
        <v>5.8520000000000003</v>
      </c>
    </row>
    <row r="356" spans="1:7" x14ac:dyDescent="0.25">
      <c r="A356">
        <v>354</v>
      </c>
      <c r="B356" s="18">
        <f>'Raw Data'!N357</f>
        <v>30.1</v>
      </c>
      <c r="C356" s="18">
        <f>'Raw Data'!A357</f>
        <v>1.7090000000000001E-2</v>
      </c>
      <c r="D356" s="5">
        <f>VLOOKUP(B356,'Raw Data'!$N$4:$N$508,1,FALSE)</f>
        <v>30.1</v>
      </c>
      <c r="E356" s="5">
        <f>_xlfn.XLOOKUP(B356,'Raw Data'!$N$4:$N$509,'Raw Data'!$A$4:$A$509,"Not Found")</f>
        <v>0.61470000000000002</v>
      </c>
      <c r="F356" s="5">
        <f>INDEX('Raw Data'!$A$4:$A$508,MATCH(MAX('Raw Data'!$N$4:$N$508),'Raw Data'!$N$4:$N$508,0))</f>
        <v>1.46336</v>
      </c>
      <c r="G356" s="5">
        <f>INDEX('Raw Data'!$F$4:$F$508,MATCH(MIN('Raw Data'!$N$4:$N$508),'Raw Data'!$N$4:$N$508,0))</f>
        <v>5.8520000000000003</v>
      </c>
    </row>
    <row r="357" spans="1:7" x14ac:dyDescent="0.25">
      <c r="A357">
        <v>355</v>
      </c>
      <c r="B357" s="18">
        <f>'Raw Data'!N358</f>
        <v>18.2</v>
      </c>
      <c r="C357" s="18">
        <f>'Raw Data'!A358</f>
        <v>4.301E-2</v>
      </c>
      <c r="D357" s="5">
        <f>VLOOKUP(B357,'Raw Data'!$N$4:$N$508,1,FALSE)</f>
        <v>18.2</v>
      </c>
      <c r="E357" s="5">
        <f>_xlfn.XLOOKUP(B357,'Raw Data'!$N$4:$N$509,'Raw Data'!$A$4:$A$509,"Not Found")</f>
        <v>0.63795999999999997</v>
      </c>
      <c r="F357" s="5">
        <f>INDEX('Raw Data'!$A$4:$A$508,MATCH(MAX('Raw Data'!$N$4:$N$508),'Raw Data'!$N$4:$N$508,0))</f>
        <v>1.46336</v>
      </c>
      <c r="G357" s="5">
        <f>INDEX('Raw Data'!$F$4:$F$508,MATCH(MIN('Raw Data'!$N$4:$N$508),'Raw Data'!$N$4:$N$508,0))</f>
        <v>5.8520000000000003</v>
      </c>
    </row>
    <row r="358" spans="1:7" x14ac:dyDescent="0.25">
      <c r="A358">
        <v>356</v>
      </c>
      <c r="B358" s="18">
        <f>'Raw Data'!N359</f>
        <v>20.6</v>
      </c>
      <c r="C358" s="18">
        <f>'Raw Data'!A359</f>
        <v>0.10659</v>
      </c>
      <c r="D358" s="5">
        <f>VLOOKUP(B358,'Raw Data'!$N$4:$N$508,1,FALSE)</f>
        <v>20.6</v>
      </c>
      <c r="E358" s="5">
        <f>_xlfn.XLOOKUP(B358,'Raw Data'!$N$4:$N$509,'Raw Data'!$A$4:$A$509,"Not Found")</f>
        <v>4.2939999999999999E-2</v>
      </c>
      <c r="F358" s="5">
        <f>INDEX('Raw Data'!$A$4:$A$508,MATCH(MAX('Raw Data'!$N$4:$N$508),'Raw Data'!$N$4:$N$508,0))</f>
        <v>1.46336</v>
      </c>
      <c r="G358" s="5">
        <f>INDEX('Raw Data'!$F$4:$F$508,MATCH(MIN('Raw Data'!$N$4:$N$508),'Raw Data'!$N$4:$N$508,0))</f>
        <v>5.8520000000000003</v>
      </c>
    </row>
    <row r="359" spans="1:7" x14ac:dyDescent="0.25">
      <c r="A359">
        <v>357</v>
      </c>
      <c r="B359" s="18">
        <f>'Raw Data'!N360</f>
        <v>17.8</v>
      </c>
      <c r="C359" s="18">
        <f>'Raw Data'!A360</f>
        <v>8.9829600000000003</v>
      </c>
      <c r="D359" s="5">
        <f>VLOOKUP(B359,'Raw Data'!$N$4:$N$508,1,FALSE)</f>
        <v>17.8</v>
      </c>
      <c r="E359" s="5">
        <f>_xlfn.XLOOKUP(B359,'Raw Data'!$N$4:$N$509,'Raw Data'!$A$4:$A$509,"Not Found")</f>
        <v>0.54452</v>
      </c>
      <c r="F359" s="5">
        <f>INDEX('Raw Data'!$A$4:$A$508,MATCH(MAX('Raw Data'!$N$4:$N$508),'Raw Data'!$N$4:$N$508,0))</f>
        <v>1.46336</v>
      </c>
      <c r="G359" s="5">
        <f>INDEX('Raw Data'!$F$4:$F$508,MATCH(MIN('Raw Data'!$N$4:$N$508),'Raw Data'!$N$4:$N$508,0))</f>
        <v>5.8520000000000003</v>
      </c>
    </row>
    <row r="360" spans="1:7" x14ac:dyDescent="0.25">
      <c r="A360">
        <v>358</v>
      </c>
      <c r="B360" s="18">
        <f>'Raw Data'!N361</f>
        <v>21.7</v>
      </c>
      <c r="C360" s="18">
        <f>'Raw Data'!A361</f>
        <v>3.8496999999999999</v>
      </c>
      <c r="D360" s="5">
        <f>VLOOKUP(B360,'Raw Data'!$N$4:$N$508,1,FALSE)</f>
        <v>21.7</v>
      </c>
      <c r="E360" s="5">
        <f>_xlfn.XLOOKUP(B360,'Raw Data'!$N$4:$N$509,'Raw Data'!$A$4:$A$509,"Not Found")</f>
        <v>9.3780000000000002E-2</v>
      </c>
      <c r="F360" s="5">
        <f>INDEX('Raw Data'!$A$4:$A$508,MATCH(MAX('Raw Data'!$N$4:$N$508),'Raw Data'!$N$4:$N$508,0))</f>
        <v>1.46336</v>
      </c>
      <c r="G360" s="5">
        <f>INDEX('Raw Data'!$F$4:$F$508,MATCH(MIN('Raw Data'!$N$4:$N$508),'Raw Data'!$N$4:$N$508,0))</f>
        <v>5.8520000000000003</v>
      </c>
    </row>
    <row r="361" spans="1:7" x14ac:dyDescent="0.25">
      <c r="A361">
        <v>359</v>
      </c>
      <c r="B361" s="18">
        <f>'Raw Data'!N362</f>
        <v>22.7</v>
      </c>
      <c r="C361" s="18">
        <f>'Raw Data'!A362</f>
        <v>5.2017699999999998</v>
      </c>
      <c r="D361" s="5">
        <f>VLOOKUP(B361,'Raw Data'!$N$4:$N$508,1,FALSE)</f>
        <v>22.7</v>
      </c>
      <c r="E361" s="5">
        <f>_xlfn.XLOOKUP(B361,'Raw Data'!$N$4:$N$509,'Raw Data'!$A$4:$A$509,"Not Found")</f>
        <v>2.2423600000000001</v>
      </c>
      <c r="F361" s="5">
        <f>INDEX('Raw Data'!$A$4:$A$508,MATCH(MAX('Raw Data'!$N$4:$N$508),'Raw Data'!$N$4:$N$508,0))</f>
        <v>1.46336</v>
      </c>
      <c r="G361" s="5">
        <f>INDEX('Raw Data'!$F$4:$F$508,MATCH(MIN('Raw Data'!$N$4:$N$508),'Raw Data'!$N$4:$N$508,0))</f>
        <v>5.8520000000000003</v>
      </c>
    </row>
    <row r="362" spans="1:7" x14ac:dyDescent="0.25">
      <c r="A362">
        <v>360</v>
      </c>
      <c r="B362" s="18">
        <f>'Raw Data'!N363</f>
        <v>22.6</v>
      </c>
      <c r="C362" s="18">
        <f>'Raw Data'!A363</f>
        <v>4.2613099999999999</v>
      </c>
      <c r="D362" s="5">
        <f>VLOOKUP(B362,'Raw Data'!$N$4:$N$508,1,FALSE)</f>
        <v>22.6</v>
      </c>
      <c r="E362" s="5">
        <f>_xlfn.XLOOKUP(B362,'Raw Data'!$N$4:$N$509,'Raw Data'!$A$4:$A$509,"Not Found")</f>
        <v>4.684E-2</v>
      </c>
      <c r="F362" s="5">
        <f>INDEX('Raw Data'!$A$4:$A$508,MATCH(MAX('Raw Data'!$N$4:$N$508),'Raw Data'!$N$4:$N$508,0))</f>
        <v>1.46336</v>
      </c>
      <c r="G362" s="5">
        <f>INDEX('Raw Data'!$F$4:$F$508,MATCH(MIN('Raw Data'!$N$4:$N$508),'Raw Data'!$N$4:$N$508,0))</f>
        <v>5.8520000000000003</v>
      </c>
    </row>
    <row r="363" spans="1:7" x14ac:dyDescent="0.25">
      <c r="A363">
        <v>361</v>
      </c>
      <c r="B363" s="18">
        <f>'Raw Data'!N364</f>
        <v>25</v>
      </c>
      <c r="C363" s="18">
        <f>'Raw Data'!A364</f>
        <v>4.5419200000000002</v>
      </c>
      <c r="D363" s="5">
        <f>VLOOKUP(B363,'Raw Data'!$N$4:$N$508,1,FALSE)</f>
        <v>25</v>
      </c>
      <c r="E363" s="5">
        <f>_xlfn.XLOOKUP(B363,'Raw Data'!$N$4:$N$509,'Raw Data'!$A$4:$A$509,"Not Found")</f>
        <v>5.3600000000000002E-2</v>
      </c>
      <c r="F363" s="5">
        <f>INDEX('Raw Data'!$A$4:$A$508,MATCH(MAX('Raw Data'!$N$4:$N$508),'Raw Data'!$N$4:$N$508,0))</f>
        <v>1.46336</v>
      </c>
      <c r="G363" s="5">
        <f>INDEX('Raw Data'!$F$4:$F$508,MATCH(MIN('Raw Data'!$N$4:$N$508),'Raw Data'!$N$4:$N$508,0))</f>
        <v>5.8520000000000003</v>
      </c>
    </row>
    <row r="364" spans="1:7" x14ac:dyDescent="0.25">
      <c r="A364">
        <v>362</v>
      </c>
      <c r="B364" s="18">
        <f>'Raw Data'!N365</f>
        <v>19.899999999999999</v>
      </c>
      <c r="C364" s="18">
        <f>'Raw Data'!A365</f>
        <v>3.83684</v>
      </c>
      <c r="D364" s="5">
        <f>VLOOKUP(B364,'Raw Data'!$N$4:$N$508,1,FALSE)</f>
        <v>19.899999999999999</v>
      </c>
      <c r="E364" s="5">
        <f>_xlfn.XLOOKUP(B364,'Raw Data'!$N$4:$N$509,'Raw Data'!$A$4:$A$509,"Not Found")</f>
        <v>0.62739</v>
      </c>
      <c r="F364" s="5">
        <f>INDEX('Raw Data'!$A$4:$A$508,MATCH(MAX('Raw Data'!$N$4:$N$508),'Raw Data'!$N$4:$N$508,0))</f>
        <v>1.46336</v>
      </c>
      <c r="G364" s="5">
        <f>INDEX('Raw Data'!$F$4:$F$508,MATCH(MIN('Raw Data'!$N$4:$N$508),'Raw Data'!$N$4:$N$508,0))</f>
        <v>5.8520000000000003</v>
      </c>
    </row>
    <row r="365" spans="1:7" x14ac:dyDescent="0.25">
      <c r="A365">
        <v>363</v>
      </c>
      <c r="B365" s="18">
        <f>'Raw Data'!N366</f>
        <v>20.8</v>
      </c>
      <c r="C365" s="18">
        <f>'Raw Data'!A366</f>
        <v>3.67822</v>
      </c>
      <c r="D365" s="5">
        <f>VLOOKUP(B365,'Raw Data'!$N$4:$N$508,1,FALSE)</f>
        <v>20.8</v>
      </c>
      <c r="E365" s="5">
        <f>_xlfn.XLOOKUP(B365,'Raw Data'!$N$4:$N$509,'Raw Data'!$A$4:$A$509,"Not Found")</f>
        <v>8.7069999999999995E-2</v>
      </c>
      <c r="F365" s="5">
        <f>INDEX('Raw Data'!$A$4:$A$508,MATCH(MAX('Raw Data'!$N$4:$N$508),'Raw Data'!$N$4:$N$508,0))</f>
        <v>1.46336</v>
      </c>
      <c r="G365" s="5">
        <f>INDEX('Raw Data'!$F$4:$F$508,MATCH(MIN('Raw Data'!$N$4:$N$508),'Raw Data'!$N$4:$N$508,0))</f>
        <v>5.8520000000000003</v>
      </c>
    </row>
    <row r="366" spans="1:7" x14ac:dyDescent="0.25">
      <c r="A366">
        <v>364</v>
      </c>
      <c r="B366" s="18">
        <f>'Raw Data'!N367</f>
        <v>16.8</v>
      </c>
      <c r="C366" s="18">
        <f>'Raw Data'!A367</f>
        <v>4.2223899999999999</v>
      </c>
      <c r="D366" s="5">
        <f>VLOOKUP(B366,'Raw Data'!$N$4:$N$508,1,FALSE)</f>
        <v>16.8</v>
      </c>
      <c r="E366" s="5">
        <f>_xlfn.XLOOKUP(B366,'Raw Data'!$N$4:$N$509,'Raw Data'!$A$4:$A$509,"Not Found")</f>
        <v>4.2223899999999999</v>
      </c>
      <c r="F366" s="5">
        <f>INDEX('Raw Data'!$A$4:$A$508,MATCH(MAX('Raw Data'!$N$4:$N$508),'Raw Data'!$N$4:$N$508,0))</f>
        <v>1.46336</v>
      </c>
      <c r="G366" s="5">
        <f>INDEX('Raw Data'!$F$4:$F$508,MATCH(MIN('Raw Data'!$N$4:$N$508),'Raw Data'!$N$4:$N$508,0))</f>
        <v>5.8520000000000003</v>
      </c>
    </row>
    <row r="367" spans="1:7" x14ac:dyDescent="0.25">
      <c r="A367">
        <v>365</v>
      </c>
      <c r="B367" s="18">
        <f>'Raw Data'!N368</f>
        <v>21.9</v>
      </c>
      <c r="C367" s="18">
        <f>'Raw Data'!A368</f>
        <v>3.4742799999999998</v>
      </c>
      <c r="D367" s="5">
        <f>VLOOKUP(B367,'Raw Data'!$N$4:$N$508,1,FALSE)</f>
        <v>21.9</v>
      </c>
      <c r="E367" s="5">
        <f>_xlfn.XLOOKUP(B367,'Raw Data'!$N$4:$N$509,'Raw Data'!$A$4:$A$509,"Not Found")</f>
        <v>4.8189999999999997E-2</v>
      </c>
      <c r="F367" s="5">
        <f>INDEX('Raw Data'!$A$4:$A$508,MATCH(MAX('Raw Data'!$N$4:$N$508),'Raw Data'!$N$4:$N$508,0))</f>
        <v>1.46336</v>
      </c>
      <c r="G367" s="5">
        <f>INDEX('Raw Data'!$F$4:$F$508,MATCH(MIN('Raw Data'!$N$4:$N$508),'Raw Data'!$N$4:$N$508,0))</f>
        <v>5.8520000000000003</v>
      </c>
    </row>
    <row r="368" spans="1:7" x14ac:dyDescent="0.25">
      <c r="A368">
        <v>366</v>
      </c>
      <c r="B368" s="18">
        <f>'Raw Data'!N369</f>
        <v>27.5</v>
      </c>
      <c r="C368" s="18">
        <f>'Raw Data'!A369</f>
        <v>4.5558699999999996</v>
      </c>
      <c r="D368" s="5">
        <f>VLOOKUP(B368,'Raw Data'!$N$4:$N$508,1,FALSE)</f>
        <v>27.5</v>
      </c>
      <c r="E368" s="5">
        <f>_xlfn.XLOOKUP(B368,'Raw Data'!$N$4:$N$509,'Raw Data'!$A$4:$A$509,"Not Found")</f>
        <v>0.14865999999999999</v>
      </c>
      <c r="F368" s="5">
        <f>INDEX('Raw Data'!$A$4:$A$508,MATCH(MAX('Raw Data'!$N$4:$N$508),'Raw Data'!$N$4:$N$508,0))</f>
        <v>1.46336</v>
      </c>
      <c r="G368" s="5">
        <f>INDEX('Raw Data'!$F$4:$F$508,MATCH(MIN('Raw Data'!$N$4:$N$508),'Raw Data'!$N$4:$N$508,0))</f>
        <v>5.8520000000000003</v>
      </c>
    </row>
    <row r="369" spans="1:7" x14ac:dyDescent="0.25">
      <c r="A369">
        <v>367</v>
      </c>
      <c r="B369" s="18">
        <f>'Raw Data'!N370</f>
        <v>21.9</v>
      </c>
      <c r="C369" s="18">
        <f>'Raw Data'!A370</f>
        <v>3.6969500000000002</v>
      </c>
      <c r="D369" s="5">
        <f>VLOOKUP(B369,'Raw Data'!$N$4:$N$508,1,FALSE)</f>
        <v>21.9</v>
      </c>
      <c r="E369" s="5">
        <f>_xlfn.XLOOKUP(B369,'Raw Data'!$N$4:$N$509,'Raw Data'!$A$4:$A$509,"Not Found")</f>
        <v>4.8189999999999997E-2</v>
      </c>
      <c r="F369" s="5">
        <f>INDEX('Raw Data'!$A$4:$A$508,MATCH(MAX('Raw Data'!$N$4:$N$508),'Raw Data'!$N$4:$N$508,0))</f>
        <v>1.46336</v>
      </c>
      <c r="G369" s="5">
        <f>INDEX('Raw Data'!$F$4:$F$508,MATCH(MIN('Raw Data'!$N$4:$N$508),'Raw Data'!$N$4:$N$508,0))</f>
        <v>5.8520000000000003</v>
      </c>
    </row>
    <row r="370" spans="1:7" x14ac:dyDescent="0.25">
      <c r="A370">
        <v>368</v>
      </c>
      <c r="B370" s="18">
        <f>'Raw Data'!N371</f>
        <v>0</v>
      </c>
      <c r="C370" s="18">
        <f>'Raw Data'!A371</f>
        <v>0</v>
      </c>
      <c r="D370" s="5" t="e">
        <f>VLOOKUP(B370,'Raw Data'!$N$4:$N$508,1,FALSE)</f>
        <v>#N/A</v>
      </c>
      <c r="E370" s="5" t="str">
        <f>_xlfn.XLOOKUP(B370,'Raw Data'!$N$4:$N$509,'Raw Data'!$A$4:$A$509,"Not Found")</f>
        <v>Not Found</v>
      </c>
      <c r="F370" s="5">
        <f>INDEX('Raw Data'!$A$4:$A$508,MATCH(MAX('Raw Data'!$N$4:$N$508),'Raw Data'!$N$4:$N$508,0))</f>
        <v>1.46336</v>
      </c>
      <c r="G370" s="5">
        <f>INDEX('Raw Data'!$F$4:$F$508,MATCH(MIN('Raw Data'!$N$4:$N$508),'Raw Data'!$N$4:$N$508,0))</f>
        <v>5.8520000000000003</v>
      </c>
    </row>
    <row r="371" spans="1:7" x14ac:dyDescent="0.25">
      <c r="A371">
        <v>369</v>
      </c>
      <c r="B371" s="18">
        <f>'Raw Data'!N372</f>
        <v>50</v>
      </c>
      <c r="C371" s="18">
        <f>'Raw Data'!A372</f>
        <v>4.8982200000000002</v>
      </c>
      <c r="D371" s="5">
        <f>VLOOKUP(B371,'Raw Data'!$N$4:$N$508,1,FALSE)</f>
        <v>50</v>
      </c>
      <c r="E371" s="5">
        <f>_xlfn.XLOOKUP(B371,'Raw Data'!$N$4:$N$509,'Raw Data'!$A$4:$A$509,"Not Found")</f>
        <v>1.46336</v>
      </c>
      <c r="F371" s="5">
        <f>INDEX('Raw Data'!$A$4:$A$508,MATCH(MAX('Raw Data'!$N$4:$N$508),'Raw Data'!$N$4:$N$508,0))</f>
        <v>1.46336</v>
      </c>
      <c r="G371" s="5">
        <f>INDEX('Raw Data'!$F$4:$F$508,MATCH(MIN('Raw Data'!$N$4:$N$508),'Raw Data'!$N$4:$N$508,0))</f>
        <v>5.8520000000000003</v>
      </c>
    </row>
    <row r="372" spans="1:7" x14ac:dyDescent="0.25">
      <c r="A372">
        <v>370</v>
      </c>
      <c r="B372" s="18">
        <f>'Raw Data'!N373</f>
        <v>50</v>
      </c>
      <c r="C372" s="18">
        <f>'Raw Data'!A373</f>
        <v>5.6699799999999998</v>
      </c>
      <c r="D372" s="5">
        <f>VLOOKUP(B372,'Raw Data'!$N$4:$N$508,1,FALSE)</f>
        <v>50</v>
      </c>
      <c r="E372" s="5">
        <f>_xlfn.XLOOKUP(B372,'Raw Data'!$N$4:$N$509,'Raw Data'!$A$4:$A$509,"Not Found")</f>
        <v>1.46336</v>
      </c>
      <c r="F372" s="5">
        <f>INDEX('Raw Data'!$A$4:$A$508,MATCH(MAX('Raw Data'!$N$4:$N$508),'Raw Data'!$N$4:$N$508,0))</f>
        <v>1.46336</v>
      </c>
      <c r="G372" s="5">
        <f>INDEX('Raw Data'!$F$4:$F$508,MATCH(MIN('Raw Data'!$N$4:$N$508),'Raw Data'!$N$4:$N$508,0))</f>
        <v>5.8520000000000003</v>
      </c>
    </row>
    <row r="373" spans="1:7" x14ac:dyDescent="0.25">
      <c r="A373">
        <v>371</v>
      </c>
      <c r="B373" s="18">
        <f>'Raw Data'!N374</f>
        <v>50</v>
      </c>
      <c r="C373" s="18">
        <f>'Raw Data'!A374</f>
        <v>6.5387599999999999</v>
      </c>
      <c r="D373" s="5">
        <f>VLOOKUP(B373,'Raw Data'!$N$4:$N$508,1,FALSE)</f>
        <v>50</v>
      </c>
      <c r="E373" s="5">
        <f>_xlfn.XLOOKUP(B373,'Raw Data'!$N$4:$N$509,'Raw Data'!$A$4:$A$509,"Not Found")</f>
        <v>1.46336</v>
      </c>
      <c r="F373" s="5">
        <f>INDEX('Raw Data'!$A$4:$A$508,MATCH(MAX('Raw Data'!$N$4:$N$508),'Raw Data'!$N$4:$N$508,0))</f>
        <v>1.46336</v>
      </c>
      <c r="G373" s="5">
        <f>INDEX('Raw Data'!$F$4:$F$508,MATCH(MIN('Raw Data'!$N$4:$N$508),'Raw Data'!$N$4:$N$508,0))</f>
        <v>5.8520000000000003</v>
      </c>
    </row>
    <row r="374" spans="1:7" x14ac:dyDescent="0.25">
      <c r="A374">
        <v>372</v>
      </c>
      <c r="B374" s="18">
        <f>'Raw Data'!N375</f>
        <v>50</v>
      </c>
      <c r="C374" s="18">
        <f>'Raw Data'!A375</f>
        <v>9.2323000000000004</v>
      </c>
      <c r="D374" s="5">
        <f>VLOOKUP(B374,'Raw Data'!$N$4:$N$508,1,FALSE)</f>
        <v>50</v>
      </c>
      <c r="E374" s="5">
        <f>_xlfn.XLOOKUP(B374,'Raw Data'!$N$4:$N$509,'Raw Data'!$A$4:$A$509,"Not Found")</f>
        <v>1.46336</v>
      </c>
      <c r="F374" s="5">
        <f>INDEX('Raw Data'!$A$4:$A$508,MATCH(MAX('Raw Data'!$N$4:$N$508),'Raw Data'!$N$4:$N$508,0))</f>
        <v>1.46336</v>
      </c>
      <c r="G374" s="5">
        <f>INDEX('Raw Data'!$F$4:$F$508,MATCH(MIN('Raw Data'!$N$4:$N$508),'Raw Data'!$N$4:$N$508,0))</f>
        <v>5.8520000000000003</v>
      </c>
    </row>
    <row r="375" spans="1:7" x14ac:dyDescent="0.25">
      <c r="A375">
        <v>373</v>
      </c>
      <c r="B375" s="18">
        <f>'Raw Data'!N376</f>
        <v>50</v>
      </c>
      <c r="C375" s="18">
        <f>'Raw Data'!A376</f>
        <v>8.2672500000000007</v>
      </c>
      <c r="D375" s="5">
        <f>VLOOKUP(B375,'Raw Data'!$N$4:$N$508,1,FALSE)</f>
        <v>50</v>
      </c>
      <c r="E375" s="5">
        <f>_xlfn.XLOOKUP(B375,'Raw Data'!$N$4:$N$509,'Raw Data'!$A$4:$A$509,"Not Found")</f>
        <v>1.46336</v>
      </c>
      <c r="F375" s="5">
        <f>INDEX('Raw Data'!$A$4:$A$508,MATCH(MAX('Raw Data'!$N$4:$N$508),'Raw Data'!$N$4:$N$508,0))</f>
        <v>1.46336</v>
      </c>
      <c r="G375" s="5">
        <f>INDEX('Raw Data'!$F$4:$F$508,MATCH(MIN('Raw Data'!$N$4:$N$508),'Raw Data'!$N$4:$N$508,0))</f>
        <v>5.8520000000000003</v>
      </c>
    </row>
    <row r="376" spans="1:7" x14ac:dyDescent="0.25">
      <c r="A376">
        <v>374</v>
      </c>
      <c r="B376" s="18">
        <f>'Raw Data'!N377</f>
        <v>0</v>
      </c>
      <c r="C376" s="18">
        <f>'Raw Data'!A377</f>
        <v>0</v>
      </c>
      <c r="D376" s="5" t="e">
        <f>VLOOKUP(B376,'Raw Data'!$N$4:$N$508,1,FALSE)</f>
        <v>#N/A</v>
      </c>
      <c r="E376" s="5" t="str">
        <f>_xlfn.XLOOKUP(B376,'Raw Data'!$N$4:$N$509,'Raw Data'!$A$4:$A$509,"Not Found")</f>
        <v>Not Found</v>
      </c>
      <c r="F376" s="5">
        <f>INDEX('Raw Data'!$A$4:$A$508,MATCH(MAX('Raw Data'!$N$4:$N$508),'Raw Data'!$N$4:$N$508,0))</f>
        <v>1.46336</v>
      </c>
      <c r="G376" s="5">
        <f>INDEX('Raw Data'!$F$4:$F$508,MATCH(MIN('Raw Data'!$N$4:$N$508),'Raw Data'!$N$4:$N$508,0))</f>
        <v>5.8520000000000003</v>
      </c>
    </row>
    <row r="377" spans="1:7" x14ac:dyDescent="0.25">
      <c r="A377">
        <v>375</v>
      </c>
      <c r="B377" s="18">
        <f>'Raw Data'!N378</f>
        <v>0</v>
      </c>
      <c r="C377" s="18">
        <f>'Raw Data'!A378</f>
        <v>0</v>
      </c>
      <c r="D377" s="5" t="e">
        <f>VLOOKUP(B377,'Raw Data'!$N$4:$N$508,1,FALSE)</f>
        <v>#N/A</v>
      </c>
      <c r="E377" s="5" t="str">
        <f>_xlfn.XLOOKUP(B377,'Raw Data'!$N$4:$N$509,'Raw Data'!$A$4:$A$509,"Not Found")</f>
        <v>Not Found</v>
      </c>
      <c r="F377" s="5">
        <f>INDEX('Raw Data'!$A$4:$A$508,MATCH(MAX('Raw Data'!$N$4:$N$508),'Raw Data'!$N$4:$N$508,0))</f>
        <v>1.46336</v>
      </c>
      <c r="G377" s="5">
        <f>INDEX('Raw Data'!$F$4:$F$508,MATCH(MIN('Raw Data'!$N$4:$N$508),'Raw Data'!$N$4:$N$508,0))</f>
        <v>5.8520000000000003</v>
      </c>
    </row>
    <row r="378" spans="1:7" x14ac:dyDescent="0.25">
      <c r="A378">
        <v>376</v>
      </c>
      <c r="B378" s="18">
        <f>'Raw Data'!N379</f>
        <v>0</v>
      </c>
      <c r="C378" s="18">
        <f>'Raw Data'!A379</f>
        <v>0</v>
      </c>
      <c r="D378" s="5" t="e">
        <f>VLOOKUP(B378,'Raw Data'!$N$4:$N$508,1,FALSE)</f>
        <v>#N/A</v>
      </c>
      <c r="E378" s="5" t="str">
        <f>_xlfn.XLOOKUP(B378,'Raw Data'!$N$4:$N$509,'Raw Data'!$A$4:$A$509,"Not Found")</f>
        <v>Not Found</v>
      </c>
      <c r="F378" s="5">
        <f>INDEX('Raw Data'!$A$4:$A$508,MATCH(MAX('Raw Data'!$N$4:$N$508),'Raw Data'!$N$4:$N$508,0))</f>
        <v>1.46336</v>
      </c>
      <c r="G378" s="5">
        <f>INDEX('Raw Data'!$F$4:$F$508,MATCH(MIN('Raw Data'!$N$4:$N$508),'Raw Data'!$N$4:$N$508,0))</f>
        <v>5.8520000000000003</v>
      </c>
    </row>
    <row r="379" spans="1:7" x14ac:dyDescent="0.25">
      <c r="A379">
        <v>377</v>
      </c>
      <c r="B379" s="18">
        <f>'Raw Data'!N380</f>
        <v>0</v>
      </c>
      <c r="C379" s="18">
        <f>'Raw Data'!A380</f>
        <v>0</v>
      </c>
      <c r="D379" s="5" t="e">
        <f>VLOOKUP(B379,'Raw Data'!$N$4:$N$508,1,FALSE)</f>
        <v>#N/A</v>
      </c>
      <c r="E379" s="5" t="str">
        <f>_xlfn.XLOOKUP(B379,'Raw Data'!$N$4:$N$509,'Raw Data'!$A$4:$A$509,"Not Found")</f>
        <v>Not Found</v>
      </c>
      <c r="F379" s="5">
        <f>INDEX('Raw Data'!$A$4:$A$508,MATCH(MAX('Raw Data'!$N$4:$N$508),'Raw Data'!$N$4:$N$508,0))</f>
        <v>1.46336</v>
      </c>
      <c r="G379" s="5">
        <f>INDEX('Raw Data'!$F$4:$F$508,MATCH(MIN('Raw Data'!$N$4:$N$508),'Raw Data'!$N$4:$N$508,0))</f>
        <v>5.8520000000000003</v>
      </c>
    </row>
    <row r="380" spans="1:7" x14ac:dyDescent="0.25">
      <c r="A380">
        <v>378</v>
      </c>
      <c r="B380" s="18">
        <f>'Raw Data'!N381</f>
        <v>13.3</v>
      </c>
      <c r="C380" s="18">
        <f>'Raw Data'!A381</f>
        <v>9.8234899999999996</v>
      </c>
      <c r="D380" s="5">
        <f>VLOOKUP(B380,'Raw Data'!$N$4:$N$508,1,FALSE)</f>
        <v>13.3</v>
      </c>
      <c r="E380" s="5">
        <f>_xlfn.XLOOKUP(B380,'Raw Data'!$N$4:$N$509,'Raw Data'!$A$4:$A$509,"Not Found")</f>
        <v>0.24979999999999999</v>
      </c>
      <c r="F380" s="5">
        <f>INDEX('Raw Data'!$A$4:$A$508,MATCH(MAX('Raw Data'!$N$4:$N$508),'Raw Data'!$N$4:$N$508,0))</f>
        <v>1.46336</v>
      </c>
      <c r="G380" s="5">
        <f>INDEX('Raw Data'!$F$4:$F$508,MATCH(MIN('Raw Data'!$N$4:$N$508),'Raw Data'!$N$4:$N$508,0))</f>
        <v>5.8520000000000003</v>
      </c>
    </row>
    <row r="381" spans="1:7" x14ac:dyDescent="0.25">
      <c r="A381">
        <v>379</v>
      </c>
      <c r="B381" s="18">
        <f>'Raw Data'!N382</f>
        <v>0</v>
      </c>
      <c r="C381" s="18">
        <f>'Raw Data'!A382</f>
        <v>0</v>
      </c>
      <c r="D381" s="5" t="e">
        <f>VLOOKUP(B381,'Raw Data'!$N$4:$N$508,1,FALSE)</f>
        <v>#N/A</v>
      </c>
      <c r="E381" s="5" t="str">
        <f>_xlfn.XLOOKUP(B381,'Raw Data'!$N$4:$N$509,'Raw Data'!$A$4:$A$509,"Not Found")</f>
        <v>Not Found</v>
      </c>
      <c r="F381" s="5">
        <f>INDEX('Raw Data'!$A$4:$A$508,MATCH(MAX('Raw Data'!$N$4:$N$508),'Raw Data'!$N$4:$N$508,0))</f>
        <v>1.46336</v>
      </c>
      <c r="G381" s="5">
        <f>INDEX('Raw Data'!$F$4:$F$508,MATCH(MIN('Raw Data'!$N$4:$N$508),'Raw Data'!$N$4:$N$508,0))</f>
        <v>5.8520000000000003</v>
      </c>
    </row>
    <row r="382" spans="1:7" x14ac:dyDescent="0.25">
      <c r="A382">
        <v>380</v>
      </c>
      <c r="B382" s="18">
        <f>'Raw Data'!N383</f>
        <v>0</v>
      </c>
      <c r="C382" s="18">
        <f>'Raw Data'!A383</f>
        <v>0</v>
      </c>
      <c r="D382" s="5" t="e">
        <f>VLOOKUP(B382,'Raw Data'!$N$4:$N$508,1,FALSE)</f>
        <v>#N/A</v>
      </c>
      <c r="E382" s="5" t="str">
        <f>_xlfn.XLOOKUP(B382,'Raw Data'!$N$4:$N$509,'Raw Data'!$A$4:$A$509,"Not Found")</f>
        <v>Not Found</v>
      </c>
      <c r="F382" s="5">
        <f>INDEX('Raw Data'!$A$4:$A$508,MATCH(MAX('Raw Data'!$N$4:$N$508),'Raw Data'!$N$4:$N$508,0))</f>
        <v>1.46336</v>
      </c>
      <c r="G382" s="5">
        <f>INDEX('Raw Data'!$F$4:$F$508,MATCH(MIN('Raw Data'!$N$4:$N$508),'Raw Data'!$N$4:$N$508,0))</f>
        <v>5.8520000000000003</v>
      </c>
    </row>
    <row r="383" spans="1:7" x14ac:dyDescent="0.25">
      <c r="A383">
        <v>381</v>
      </c>
      <c r="B383" s="18">
        <f>'Raw Data'!N384</f>
        <v>0</v>
      </c>
      <c r="C383" s="18">
        <f>'Raw Data'!A384</f>
        <v>0</v>
      </c>
      <c r="D383" s="5" t="e">
        <f>VLOOKUP(B383,'Raw Data'!$N$4:$N$508,1,FALSE)</f>
        <v>#N/A</v>
      </c>
      <c r="E383" s="5" t="str">
        <f>_xlfn.XLOOKUP(B383,'Raw Data'!$N$4:$N$509,'Raw Data'!$A$4:$A$509,"Not Found")</f>
        <v>Not Found</v>
      </c>
      <c r="F383" s="5">
        <f>INDEX('Raw Data'!$A$4:$A$508,MATCH(MAX('Raw Data'!$N$4:$N$508),'Raw Data'!$N$4:$N$508,0))</f>
        <v>1.46336</v>
      </c>
      <c r="G383" s="5">
        <f>INDEX('Raw Data'!$F$4:$F$508,MATCH(MIN('Raw Data'!$N$4:$N$508),'Raw Data'!$N$4:$N$508,0))</f>
        <v>5.8520000000000003</v>
      </c>
    </row>
    <row r="384" spans="1:7" x14ac:dyDescent="0.25">
      <c r="A384">
        <v>382</v>
      </c>
      <c r="B384" s="18">
        <f>'Raw Data'!N385</f>
        <v>0</v>
      </c>
      <c r="C384" s="18">
        <f>'Raw Data'!A385</f>
        <v>0</v>
      </c>
      <c r="D384" s="5" t="e">
        <f>VLOOKUP(B384,'Raw Data'!$N$4:$N$508,1,FALSE)</f>
        <v>#N/A</v>
      </c>
      <c r="E384" s="5" t="str">
        <f>_xlfn.XLOOKUP(B384,'Raw Data'!$N$4:$N$509,'Raw Data'!$A$4:$A$509,"Not Found")</f>
        <v>Not Found</v>
      </c>
      <c r="F384" s="5">
        <f>INDEX('Raw Data'!$A$4:$A$508,MATCH(MAX('Raw Data'!$N$4:$N$508),'Raw Data'!$N$4:$N$508,0))</f>
        <v>1.46336</v>
      </c>
      <c r="G384" s="5">
        <f>INDEX('Raw Data'!$F$4:$F$508,MATCH(MIN('Raw Data'!$N$4:$N$508),'Raw Data'!$N$4:$N$508,0))</f>
        <v>5.8520000000000003</v>
      </c>
    </row>
    <row r="385" spans="1:7" x14ac:dyDescent="0.25">
      <c r="A385">
        <v>383</v>
      </c>
      <c r="B385" s="18">
        <f>'Raw Data'!N386</f>
        <v>11.3</v>
      </c>
      <c r="C385" s="18">
        <f>'Raw Data'!A386</f>
        <v>9.1870200000000004</v>
      </c>
      <c r="D385" s="5">
        <f>VLOOKUP(B385,'Raw Data'!$N$4:$N$508,1,FALSE)</f>
        <v>11.3</v>
      </c>
      <c r="E385" s="5">
        <f>_xlfn.XLOOKUP(B385,'Raw Data'!$N$4:$N$509,'Raw Data'!$A$4:$A$509,"Not Found")</f>
        <v>9.1870200000000004</v>
      </c>
      <c r="F385" s="5">
        <f>INDEX('Raw Data'!$A$4:$A$508,MATCH(MAX('Raw Data'!$N$4:$N$508),'Raw Data'!$N$4:$N$508,0))</f>
        <v>1.46336</v>
      </c>
      <c r="G385" s="5">
        <f>INDEX('Raw Data'!$F$4:$F$508,MATCH(MIN('Raw Data'!$N$4:$N$508),'Raw Data'!$N$4:$N$508,0))</f>
        <v>5.8520000000000003</v>
      </c>
    </row>
    <row r="386" spans="1:7" x14ac:dyDescent="0.25">
      <c r="A386">
        <v>384</v>
      </c>
      <c r="B386" s="18">
        <f>'Raw Data'!N387</f>
        <v>12.3</v>
      </c>
      <c r="C386" s="18">
        <f>'Raw Data'!A387</f>
        <v>7.9924799999999996</v>
      </c>
      <c r="D386" s="5">
        <f>VLOOKUP(B386,'Raw Data'!$N$4:$N$508,1,FALSE)</f>
        <v>12.3</v>
      </c>
      <c r="E386" s="5">
        <f>_xlfn.XLOOKUP(B386,'Raw Data'!$N$4:$N$509,'Raw Data'!$A$4:$A$509,"Not Found")</f>
        <v>7.9924799999999996</v>
      </c>
      <c r="F386" s="5">
        <f>INDEX('Raw Data'!$A$4:$A$508,MATCH(MAX('Raw Data'!$N$4:$N$508),'Raw Data'!$N$4:$N$508,0))</f>
        <v>1.46336</v>
      </c>
      <c r="G386" s="5">
        <f>INDEX('Raw Data'!$F$4:$F$508,MATCH(MIN('Raw Data'!$N$4:$N$508),'Raw Data'!$N$4:$N$508,0))</f>
        <v>5.8520000000000003</v>
      </c>
    </row>
    <row r="387" spans="1:7" x14ac:dyDescent="0.25">
      <c r="A387">
        <v>385</v>
      </c>
      <c r="B387" s="18">
        <f>'Raw Data'!N388</f>
        <v>0</v>
      </c>
      <c r="C387" s="18">
        <f>'Raw Data'!A388</f>
        <v>0</v>
      </c>
      <c r="D387" s="5" t="e">
        <f>VLOOKUP(B387,'Raw Data'!$N$4:$N$508,1,FALSE)</f>
        <v>#N/A</v>
      </c>
      <c r="E387" s="5" t="str">
        <f>_xlfn.XLOOKUP(B387,'Raw Data'!$N$4:$N$509,'Raw Data'!$A$4:$A$509,"Not Found")</f>
        <v>Not Found</v>
      </c>
      <c r="F387" s="5">
        <f>INDEX('Raw Data'!$A$4:$A$508,MATCH(MAX('Raw Data'!$N$4:$N$508),'Raw Data'!$N$4:$N$508,0))</f>
        <v>1.46336</v>
      </c>
      <c r="G387" s="5">
        <f>INDEX('Raw Data'!$F$4:$F$508,MATCH(MIN('Raw Data'!$N$4:$N$508),'Raw Data'!$N$4:$N$508,0))</f>
        <v>5.8520000000000003</v>
      </c>
    </row>
    <row r="388" spans="1:7" x14ac:dyDescent="0.25">
      <c r="A388">
        <v>386</v>
      </c>
      <c r="B388" s="18">
        <f>'Raw Data'!N389</f>
        <v>0</v>
      </c>
      <c r="C388" s="18">
        <f>'Raw Data'!A389</f>
        <v>0</v>
      </c>
      <c r="D388" s="5" t="e">
        <f>VLOOKUP(B388,'Raw Data'!$N$4:$N$508,1,FALSE)</f>
        <v>#N/A</v>
      </c>
      <c r="E388" s="5" t="str">
        <f>_xlfn.XLOOKUP(B388,'Raw Data'!$N$4:$N$509,'Raw Data'!$A$4:$A$509,"Not Found")</f>
        <v>Not Found</v>
      </c>
      <c r="F388" s="5">
        <f>INDEX('Raw Data'!$A$4:$A$508,MATCH(MAX('Raw Data'!$N$4:$N$508),'Raw Data'!$N$4:$N$508,0))</f>
        <v>1.46336</v>
      </c>
      <c r="G388" s="5">
        <f>INDEX('Raw Data'!$F$4:$F$508,MATCH(MIN('Raw Data'!$N$4:$N$508),'Raw Data'!$N$4:$N$508,0))</f>
        <v>5.8520000000000003</v>
      </c>
    </row>
    <row r="389" spans="1:7" x14ac:dyDescent="0.25">
      <c r="A389">
        <v>387</v>
      </c>
      <c r="B389" s="18">
        <f>'Raw Data'!N390</f>
        <v>0</v>
      </c>
      <c r="C389" s="18">
        <f>'Raw Data'!A390</f>
        <v>0</v>
      </c>
      <c r="D389" s="5" t="e">
        <f>VLOOKUP(B389,'Raw Data'!$N$4:$N$508,1,FALSE)</f>
        <v>#N/A</v>
      </c>
      <c r="E389" s="5" t="str">
        <f>_xlfn.XLOOKUP(B389,'Raw Data'!$N$4:$N$509,'Raw Data'!$A$4:$A$509,"Not Found")</f>
        <v>Not Found</v>
      </c>
      <c r="F389" s="5">
        <f>INDEX('Raw Data'!$A$4:$A$508,MATCH(MAX('Raw Data'!$N$4:$N$508),'Raw Data'!$N$4:$N$508,0))</f>
        <v>1.46336</v>
      </c>
      <c r="G389" s="5">
        <f>INDEX('Raw Data'!$F$4:$F$508,MATCH(MIN('Raw Data'!$N$4:$N$508),'Raw Data'!$N$4:$N$508,0))</f>
        <v>5.8520000000000003</v>
      </c>
    </row>
    <row r="390" spans="1:7" x14ac:dyDescent="0.25">
      <c r="A390">
        <v>388</v>
      </c>
      <c r="B390" s="18">
        <f>'Raw Data'!N391</f>
        <v>0</v>
      </c>
      <c r="C390" s="18">
        <f>'Raw Data'!A391</f>
        <v>0</v>
      </c>
      <c r="D390" s="5" t="e">
        <f>VLOOKUP(B390,'Raw Data'!$N$4:$N$508,1,FALSE)</f>
        <v>#N/A</v>
      </c>
      <c r="E390" s="5" t="str">
        <f>_xlfn.XLOOKUP(B390,'Raw Data'!$N$4:$N$509,'Raw Data'!$A$4:$A$509,"Not Found")</f>
        <v>Not Found</v>
      </c>
      <c r="F390" s="5">
        <f>INDEX('Raw Data'!$A$4:$A$508,MATCH(MAX('Raw Data'!$N$4:$N$508),'Raw Data'!$N$4:$N$508,0))</f>
        <v>1.46336</v>
      </c>
      <c r="G390" s="5">
        <f>INDEX('Raw Data'!$F$4:$F$508,MATCH(MIN('Raw Data'!$N$4:$N$508),'Raw Data'!$N$4:$N$508,0))</f>
        <v>5.8520000000000003</v>
      </c>
    </row>
    <row r="391" spans="1:7" x14ac:dyDescent="0.25">
      <c r="A391">
        <v>389</v>
      </c>
      <c r="B391" s="18">
        <f>'Raw Data'!N392</f>
        <v>0</v>
      </c>
      <c r="C391" s="18">
        <f>'Raw Data'!A392</f>
        <v>0</v>
      </c>
      <c r="D391" s="5" t="e">
        <f>VLOOKUP(B391,'Raw Data'!$N$4:$N$508,1,FALSE)</f>
        <v>#N/A</v>
      </c>
      <c r="E391" s="5" t="str">
        <f>_xlfn.XLOOKUP(B391,'Raw Data'!$N$4:$N$509,'Raw Data'!$A$4:$A$509,"Not Found")</f>
        <v>Not Found</v>
      </c>
      <c r="F391" s="5">
        <f>INDEX('Raw Data'!$A$4:$A$508,MATCH(MAX('Raw Data'!$N$4:$N$508),'Raw Data'!$N$4:$N$508,0))</f>
        <v>1.46336</v>
      </c>
      <c r="G391" s="5">
        <f>INDEX('Raw Data'!$F$4:$F$508,MATCH(MIN('Raw Data'!$N$4:$N$508),'Raw Data'!$N$4:$N$508,0))</f>
        <v>5.8520000000000003</v>
      </c>
    </row>
    <row r="392" spans="1:7" x14ac:dyDescent="0.25">
      <c r="A392">
        <v>390</v>
      </c>
      <c r="B392" s="18">
        <f>'Raw Data'!N393</f>
        <v>11.5</v>
      </c>
      <c r="C392" s="18">
        <f>'Raw Data'!A393</f>
        <v>8.1517400000000002</v>
      </c>
      <c r="D392" s="5">
        <f>VLOOKUP(B392,'Raw Data'!$N$4:$N$508,1,FALSE)</f>
        <v>11.5</v>
      </c>
      <c r="E392" s="5">
        <f>_xlfn.XLOOKUP(B392,'Raw Data'!$N$4:$N$509,'Raw Data'!$A$4:$A$509,"Not Found")</f>
        <v>8.1517400000000002</v>
      </c>
      <c r="F392" s="5">
        <f>INDEX('Raw Data'!$A$4:$A$508,MATCH(MAX('Raw Data'!$N$4:$N$508),'Raw Data'!$N$4:$N$508,0))</f>
        <v>1.46336</v>
      </c>
      <c r="G392" s="5">
        <f>INDEX('Raw Data'!$F$4:$F$508,MATCH(MIN('Raw Data'!$N$4:$N$508),'Raw Data'!$N$4:$N$508,0))</f>
        <v>5.8520000000000003</v>
      </c>
    </row>
    <row r="393" spans="1:7" x14ac:dyDescent="0.25">
      <c r="A393">
        <v>391</v>
      </c>
      <c r="B393" s="18">
        <f>'Raw Data'!N394</f>
        <v>15.1</v>
      </c>
      <c r="C393" s="18">
        <f>'Raw Data'!A394</f>
        <v>6.9621500000000003</v>
      </c>
      <c r="D393" s="5">
        <f>VLOOKUP(B393,'Raw Data'!$N$4:$N$508,1,FALSE)</f>
        <v>15.1</v>
      </c>
      <c r="E393" s="5">
        <f>_xlfn.XLOOKUP(B393,'Raw Data'!$N$4:$N$509,'Raw Data'!$A$4:$A$509,"Not Found")</f>
        <v>6.9621500000000003</v>
      </c>
      <c r="F393" s="5">
        <f>INDEX('Raw Data'!$A$4:$A$508,MATCH(MAX('Raw Data'!$N$4:$N$508),'Raw Data'!$N$4:$N$508,0))</f>
        <v>1.46336</v>
      </c>
      <c r="G393" s="5">
        <f>INDEX('Raw Data'!$F$4:$F$508,MATCH(MIN('Raw Data'!$N$4:$N$508),'Raw Data'!$N$4:$N$508,0))</f>
        <v>5.8520000000000003</v>
      </c>
    </row>
    <row r="394" spans="1:7" x14ac:dyDescent="0.25">
      <c r="A394">
        <v>392</v>
      </c>
      <c r="B394" s="18">
        <f>'Raw Data'!N395</f>
        <v>23.2</v>
      </c>
      <c r="C394" s="18">
        <f>'Raw Data'!A395</f>
        <v>5.29305</v>
      </c>
      <c r="D394" s="5">
        <f>VLOOKUP(B394,'Raw Data'!$N$4:$N$508,1,FALSE)</f>
        <v>23.2</v>
      </c>
      <c r="E394" s="5">
        <f>_xlfn.XLOOKUP(B394,'Raw Data'!$N$4:$N$509,'Raw Data'!$A$4:$A$509,"Not Found")</f>
        <v>7.0220000000000005E-2</v>
      </c>
      <c r="F394" s="5">
        <f>INDEX('Raw Data'!$A$4:$A$508,MATCH(MAX('Raw Data'!$N$4:$N$508),'Raw Data'!$N$4:$N$508,0))</f>
        <v>1.46336</v>
      </c>
      <c r="G394" s="5">
        <f>INDEX('Raw Data'!$F$4:$F$508,MATCH(MIN('Raw Data'!$N$4:$N$508),'Raw Data'!$N$4:$N$508,0))</f>
        <v>5.8520000000000003</v>
      </c>
    </row>
    <row r="395" spans="1:7" x14ac:dyDescent="0.25">
      <c r="A395">
        <v>393</v>
      </c>
      <c r="B395" s="18">
        <f>'Raw Data'!N396</f>
        <v>0</v>
      </c>
      <c r="C395" s="18">
        <f>'Raw Data'!A396</f>
        <v>0</v>
      </c>
      <c r="D395" s="5" t="e">
        <f>VLOOKUP(B395,'Raw Data'!$N$4:$N$508,1,FALSE)</f>
        <v>#N/A</v>
      </c>
      <c r="E395" s="5" t="str">
        <f>_xlfn.XLOOKUP(B395,'Raw Data'!$N$4:$N$509,'Raw Data'!$A$4:$A$509,"Not Found")</f>
        <v>Not Found</v>
      </c>
      <c r="F395" s="5">
        <f>INDEX('Raw Data'!$A$4:$A$508,MATCH(MAX('Raw Data'!$N$4:$N$508),'Raw Data'!$N$4:$N$508,0))</f>
        <v>1.46336</v>
      </c>
      <c r="G395" s="5">
        <f>INDEX('Raw Data'!$F$4:$F$508,MATCH(MIN('Raw Data'!$N$4:$N$508),'Raw Data'!$N$4:$N$508,0))</f>
        <v>5.8520000000000003</v>
      </c>
    </row>
    <row r="396" spans="1:7" x14ac:dyDescent="0.25">
      <c r="A396">
        <v>394</v>
      </c>
      <c r="B396" s="18">
        <f>'Raw Data'!N397</f>
        <v>13.8</v>
      </c>
      <c r="C396" s="18">
        <f>'Raw Data'!A397</f>
        <v>8.6447599999999998</v>
      </c>
      <c r="D396" s="5">
        <f>VLOOKUP(B396,'Raw Data'!$N$4:$N$508,1,FALSE)</f>
        <v>13.8</v>
      </c>
      <c r="E396" s="5">
        <f>_xlfn.XLOOKUP(B396,'Raw Data'!$N$4:$N$509,'Raw Data'!$A$4:$A$509,"Not Found")</f>
        <v>2.37934</v>
      </c>
      <c r="F396" s="5">
        <f>INDEX('Raw Data'!$A$4:$A$508,MATCH(MAX('Raw Data'!$N$4:$N$508),'Raw Data'!$N$4:$N$508,0))</f>
        <v>1.46336</v>
      </c>
      <c r="G396" s="5">
        <f>INDEX('Raw Data'!$F$4:$F$508,MATCH(MIN('Raw Data'!$N$4:$N$508),'Raw Data'!$N$4:$N$508,0))</f>
        <v>5.8520000000000003</v>
      </c>
    </row>
    <row r="397" spans="1:7" x14ac:dyDescent="0.25">
      <c r="A397">
        <v>395</v>
      </c>
      <c r="B397" s="18">
        <f>'Raw Data'!N398</f>
        <v>0</v>
      </c>
      <c r="C397" s="18">
        <f>'Raw Data'!A398</f>
        <v>0</v>
      </c>
      <c r="D397" s="5" t="e">
        <f>VLOOKUP(B397,'Raw Data'!$N$4:$N$508,1,FALSE)</f>
        <v>#N/A</v>
      </c>
      <c r="E397" s="5" t="str">
        <f>_xlfn.XLOOKUP(B397,'Raw Data'!$N$4:$N$509,'Raw Data'!$A$4:$A$509,"Not Found")</f>
        <v>Not Found</v>
      </c>
      <c r="F397" s="5">
        <f>INDEX('Raw Data'!$A$4:$A$508,MATCH(MAX('Raw Data'!$N$4:$N$508),'Raw Data'!$N$4:$N$508,0))</f>
        <v>1.46336</v>
      </c>
      <c r="G397" s="5">
        <f>INDEX('Raw Data'!$F$4:$F$508,MATCH(MIN('Raw Data'!$N$4:$N$508),'Raw Data'!$N$4:$N$508,0))</f>
        <v>5.8520000000000003</v>
      </c>
    </row>
    <row r="398" spans="1:7" x14ac:dyDescent="0.25">
      <c r="A398">
        <v>396</v>
      </c>
      <c r="B398" s="18">
        <f>'Raw Data'!N399</f>
        <v>13.1</v>
      </c>
      <c r="C398" s="18">
        <f>'Raw Data'!A399</f>
        <v>8.7167499999999993</v>
      </c>
      <c r="D398" s="5">
        <f>VLOOKUP(B398,'Raw Data'!$N$4:$N$508,1,FALSE)</f>
        <v>13.1</v>
      </c>
      <c r="E398" s="5">
        <f>_xlfn.XLOOKUP(B398,'Raw Data'!$N$4:$N$509,'Raw Data'!$A$4:$A$509,"Not Found")</f>
        <v>1.1517200000000001</v>
      </c>
      <c r="F398" s="5">
        <f>INDEX('Raw Data'!$A$4:$A$508,MATCH(MAX('Raw Data'!$N$4:$N$508),'Raw Data'!$N$4:$N$508,0))</f>
        <v>1.46336</v>
      </c>
      <c r="G398" s="5">
        <f>INDEX('Raw Data'!$F$4:$F$508,MATCH(MIN('Raw Data'!$N$4:$N$508),'Raw Data'!$N$4:$N$508,0))</f>
        <v>5.8520000000000003</v>
      </c>
    </row>
    <row r="399" spans="1:7" x14ac:dyDescent="0.25">
      <c r="A399">
        <v>397</v>
      </c>
      <c r="B399" s="18">
        <f>'Raw Data'!N400</f>
        <v>12.5</v>
      </c>
      <c r="C399" s="18">
        <f>'Raw Data'!A400</f>
        <v>5.8720499999999998</v>
      </c>
      <c r="D399" s="5">
        <f>VLOOKUP(B399,'Raw Data'!$N$4:$N$508,1,FALSE)</f>
        <v>12.5</v>
      </c>
      <c r="E399" s="5">
        <f>_xlfn.XLOOKUP(B399,'Raw Data'!$N$4:$N$509,'Raw Data'!$A$4:$A$509,"Not Found")</f>
        <v>5.8720499999999998</v>
      </c>
      <c r="F399" s="5">
        <f>INDEX('Raw Data'!$A$4:$A$508,MATCH(MAX('Raw Data'!$N$4:$N$508),'Raw Data'!$N$4:$N$508,0))</f>
        <v>1.46336</v>
      </c>
      <c r="G399" s="5">
        <f>INDEX('Raw Data'!$F$4:$F$508,MATCH(MIN('Raw Data'!$N$4:$N$508),'Raw Data'!$N$4:$N$508,0))</f>
        <v>5.8520000000000003</v>
      </c>
    </row>
    <row r="400" spans="1:7" x14ac:dyDescent="0.25">
      <c r="A400">
        <v>398</v>
      </c>
      <c r="B400" s="18">
        <f>'Raw Data'!N401</f>
        <v>8.5</v>
      </c>
      <c r="C400" s="18">
        <f>'Raw Data'!A401</f>
        <v>7.6720199999999998</v>
      </c>
      <c r="D400" s="5">
        <f>VLOOKUP(B400,'Raw Data'!$N$4:$N$508,1,FALSE)</f>
        <v>8.5</v>
      </c>
      <c r="E400" s="5">
        <f>_xlfn.XLOOKUP(B400,'Raw Data'!$N$4:$N$509,'Raw Data'!$A$4:$A$509,"Not Found")</f>
        <v>7.6720199999999998</v>
      </c>
      <c r="F400" s="5">
        <f>INDEX('Raw Data'!$A$4:$A$508,MATCH(MAX('Raw Data'!$N$4:$N$508),'Raw Data'!$N$4:$N$508,0))</f>
        <v>1.46336</v>
      </c>
      <c r="G400" s="5">
        <f>INDEX('Raw Data'!$F$4:$F$508,MATCH(MIN('Raw Data'!$N$4:$N$508),'Raw Data'!$N$4:$N$508,0))</f>
        <v>5.8520000000000003</v>
      </c>
    </row>
    <row r="401" spans="1:7" x14ac:dyDescent="0.25">
      <c r="A401">
        <v>399</v>
      </c>
      <c r="B401" s="18">
        <f>'Raw Data'!N402</f>
        <v>0</v>
      </c>
      <c r="C401" s="18">
        <f>'Raw Data'!A402</f>
        <v>0</v>
      </c>
      <c r="D401" s="5" t="e">
        <f>VLOOKUP(B401,'Raw Data'!$N$4:$N$508,1,FALSE)</f>
        <v>#N/A</v>
      </c>
      <c r="E401" s="5" t="str">
        <f>_xlfn.XLOOKUP(B401,'Raw Data'!$N$4:$N$509,'Raw Data'!$A$4:$A$509,"Not Found")</f>
        <v>Not Found</v>
      </c>
      <c r="F401" s="5">
        <f>INDEX('Raw Data'!$A$4:$A$508,MATCH(MAX('Raw Data'!$N$4:$N$508),'Raw Data'!$N$4:$N$508,0))</f>
        <v>1.46336</v>
      </c>
      <c r="G401" s="5">
        <f>INDEX('Raw Data'!$F$4:$F$508,MATCH(MIN('Raw Data'!$N$4:$N$508),'Raw Data'!$N$4:$N$508,0))</f>
        <v>5.8520000000000003</v>
      </c>
    </row>
    <row r="402" spans="1:7" x14ac:dyDescent="0.25">
      <c r="A402">
        <v>400</v>
      </c>
      <c r="B402" s="18">
        <f>'Raw Data'!N403</f>
        <v>6.3</v>
      </c>
      <c r="C402" s="18">
        <f>'Raw Data'!A403</f>
        <v>9.9165500000000009</v>
      </c>
      <c r="D402" s="5">
        <f>VLOOKUP(B402,'Raw Data'!$N$4:$N$508,1,FALSE)</f>
        <v>6.3</v>
      </c>
      <c r="E402" s="5">
        <f>_xlfn.XLOOKUP(B402,'Raw Data'!$N$4:$N$509,'Raw Data'!$A$4:$A$509,"Not Found")</f>
        <v>9.9165500000000009</v>
      </c>
      <c r="F402" s="5">
        <f>INDEX('Raw Data'!$A$4:$A$508,MATCH(MAX('Raw Data'!$N$4:$N$508),'Raw Data'!$N$4:$N$508,0))</f>
        <v>1.46336</v>
      </c>
      <c r="G402" s="5">
        <f>INDEX('Raw Data'!$F$4:$F$508,MATCH(MIN('Raw Data'!$N$4:$N$508),'Raw Data'!$N$4:$N$508,0))</f>
        <v>5.8520000000000003</v>
      </c>
    </row>
    <row r="403" spans="1:7" x14ac:dyDescent="0.25">
      <c r="A403">
        <v>401</v>
      </c>
      <c r="B403" s="18">
        <f>'Raw Data'!N404</f>
        <v>0</v>
      </c>
      <c r="C403" s="18">
        <f>'Raw Data'!A404</f>
        <v>0</v>
      </c>
      <c r="D403" s="5" t="e">
        <f>VLOOKUP(B403,'Raw Data'!$N$4:$N$508,1,FALSE)</f>
        <v>#N/A</v>
      </c>
      <c r="E403" s="5" t="str">
        <f>_xlfn.XLOOKUP(B403,'Raw Data'!$N$4:$N$509,'Raw Data'!$A$4:$A$509,"Not Found")</f>
        <v>Not Found</v>
      </c>
      <c r="F403" s="5">
        <f>INDEX('Raw Data'!$A$4:$A$508,MATCH(MAX('Raw Data'!$N$4:$N$508),'Raw Data'!$N$4:$N$508,0))</f>
        <v>1.46336</v>
      </c>
      <c r="G403" s="5">
        <f>INDEX('Raw Data'!$F$4:$F$508,MATCH(MIN('Raw Data'!$N$4:$N$508),'Raw Data'!$N$4:$N$508,0))</f>
        <v>5.8520000000000003</v>
      </c>
    </row>
    <row r="404" spans="1:7" x14ac:dyDescent="0.25">
      <c r="A404">
        <v>402</v>
      </c>
      <c r="B404" s="18">
        <f>'Raw Data'!N405</f>
        <v>0</v>
      </c>
      <c r="C404" s="18">
        <f>'Raw Data'!A405</f>
        <v>0</v>
      </c>
      <c r="D404" s="5" t="e">
        <f>VLOOKUP(B404,'Raw Data'!$N$4:$N$508,1,FALSE)</f>
        <v>#N/A</v>
      </c>
      <c r="E404" s="5" t="str">
        <f>_xlfn.XLOOKUP(B404,'Raw Data'!$N$4:$N$509,'Raw Data'!$A$4:$A$509,"Not Found")</f>
        <v>Not Found</v>
      </c>
      <c r="F404" s="5">
        <f>INDEX('Raw Data'!$A$4:$A$508,MATCH(MAX('Raw Data'!$N$4:$N$508),'Raw Data'!$N$4:$N$508,0))</f>
        <v>1.46336</v>
      </c>
      <c r="G404" s="5">
        <f>INDEX('Raw Data'!$F$4:$F$508,MATCH(MIN('Raw Data'!$N$4:$N$508),'Raw Data'!$N$4:$N$508,0))</f>
        <v>5.8520000000000003</v>
      </c>
    </row>
    <row r="405" spans="1:7" x14ac:dyDescent="0.25">
      <c r="A405">
        <v>403</v>
      </c>
      <c r="B405" s="18">
        <f>'Raw Data'!N406</f>
        <v>12.1</v>
      </c>
      <c r="C405" s="18">
        <f>'Raw Data'!A406</f>
        <v>9.5957100000000004</v>
      </c>
      <c r="D405" s="5">
        <f>VLOOKUP(B405,'Raw Data'!$N$4:$N$508,1,FALSE)</f>
        <v>12.1</v>
      </c>
      <c r="E405" s="5">
        <f>_xlfn.XLOOKUP(B405,'Raw Data'!$N$4:$N$509,'Raw Data'!$A$4:$A$509,"Not Found")</f>
        <v>9.5957100000000004</v>
      </c>
      <c r="F405" s="5">
        <f>INDEX('Raw Data'!$A$4:$A$508,MATCH(MAX('Raw Data'!$N$4:$N$508),'Raw Data'!$N$4:$N$508,0))</f>
        <v>1.46336</v>
      </c>
      <c r="G405" s="5">
        <f>INDEX('Raw Data'!$F$4:$F$508,MATCH(MIN('Raw Data'!$N$4:$N$508),'Raw Data'!$N$4:$N$508,0))</f>
        <v>5.8520000000000003</v>
      </c>
    </row>
    <row r="406" spans="1:7" x14ac:dyDescent="0.25">
      <c r="A406">
        <v>404</v>
      </c>
      <c r="B406" s="18">
        <f>'Raw Data'!N407</f>
        <v>0</v>
      </c>
      <c r="C406" s="18">
        <f>'Raw Data'!A407</f>
        <v>0</v>
      </c>
      <c r="D406" s="5" t="e">
        <f>VLOOKUP(B406,'Raw Data'!$N$4:$N$508,1,FALSE)</f>
        <v>#N/A</v>
      </c>
      <c r="E406" s="5" t="str">
        <f>_xlfn.XLOOKUP(B406,'Raw Data'!$N$4:$N$509,'Raw Data'!$A$4:$A$509,"Not Found")</f>
        <v>Not Found</v>
      </c>
      <c r="F406" s="5">
        <f>INDEX('Raw Data'!$A$4:$A$508,MATCH(MAX('Raw Data'!$N$4:$N$508),'Raw Data'!$N$4:$N$508,0))</f>
        <v>1.46336</v>
      </c>
      <c r="G406" s="5">
        <f>INDEX('Raw Data'!$F$4:$F$508,MATCH(MIN('Raw Data'!$N$4:$N$508),'Raw Data'!$N$4:$N$508,0))</f>
        <v>5.8520000000000003</v>
      </c>
    </row>
    <row r="407" spans="1:7" x14ac:dyDescent="0.25">
      <c r="A407">
        <v>405</v>
      </c>
      <c r="B407" s="18">
        <f>'Raw Data'!N408</f>
        <v>0</v>
      </c>
      <c r="C407" s="18">
        <f>'Raw Data'!A408</f>
        <v>0</v>
      </c>
      <c r="D407" s="5" t="e">
        <f>VLOOKUP(B407,'Raw Data'!$N$4:$N$508,1,FALSE)</f>
        <v>#N/A</v>
      </c>
      <c r="E407" s="5" t="str">
        <f>_xlfn.XLOOKUP(B407,'Raw Data'!$N$4:$N$509,'Raw Data'!$A$4:$A$509,"Not Found")</f>
        <v>Not Found</v>
      </c>
      <c r="F407" s="5">
        <f>INDEX('Raw Data'!$A$4:$A$508,MATCH(MAX('Raw Data'!$N$4:$N$508),'Raw Data'!$N$4:$N$508,0))</f>
        <v>1.46336</v>
      </c>
      <c r="G407" s="5">
        <f>INDEX('Raw Data'!$F$4:$F$508,MATCH(MIN('Raw Data'!$N$4:$N$508),'Raw Data'!$N$4:$N$508,0))</f>
        <v>5.8520000000000003</v>
      </c>
    </row>
    <row r="408" spans="1:7" x14ac:dyDescent="0.25">
      <c r="A408">
        <v>406</v>
      </c>
      <c r="B408" s="18">
        <f>'Raw Data'!N409</f>
        <v>0</v>
      </c>
      <c r="C408" s="18">
        <f>'Raw Data'!A409</f>
        <v>0</v>
      </c>
      <c r="D408" s="5" t="e">
        <f>VLOOKUP(B408,'Raw Data'!$N$4:$N$508,1,FALSE)</f>
        <v>#N/A</v>
      </c>
      <c r="E408" s="5" t="str">
        <f>_xlfn.XLOOKUP(B408,'Raw Data'!$N$4:$N$509,'Raw Data'!$A$4:$A$509,"Not Found")</f>
        <v>Not Found</v>
      </c>
      <c r="F408" s="5">
        <f>INDEX('Raw Data'!$A$4:$A$508,MATCH(MAX('Raw Data'!$N$4:$N$508),'Raw Data'!$N$4:$N$508,0))</f>
        <v>1.46336</v>
      </c>
      <c r="G408" s="5">
        <f>INDEX('Raw Data'!$F$4:$F$508,MATCH(MIN('Raw Data'!$N$4:$N$508),'Raw Data'!$N$4:$N$508,0))</f>
        <v>5.8520000000000003</v>
      </c>
    </row>
    <row r="409" spans="1:7" x14ac:dyDescent="0.25">
      <c r="A409">
        <v>407</v>
      </c>
      <c r="B409" s="18">
        <f>'Raw Data'!N410</f>
        <v>0</v>
      </c>
      <c r="C409" s="18">
        <f>'Raw Data'!A410</f>
        <v>0</v>
      </c>
      <c r="D409" s="5" t="e">
        <f>VLOOKUP(B409,'Raw Data'!$N$4:$N$508,1,FALSE)</f>
        <v>#N/A</v>
      </c>
      <c r="E409" s="5" t="str">
        <f>_xlfn.XLOOKUP(B409,'Raw Data'!$N$4:$N$509,'Raw Data'!$A$4:$A$509,"Not Found")</f>
        <v>Not Found</v>
      </c>
      <c r="F409" s="5">
        <f>INDEX('Raw Data'!$A$4:$A$508,MATCH(MAX('Raw Data'!$N$4:$N$508),'Raw Data'!$N$4:$N$508,0))</f>
        <v>1.46336</v>
      </c>
      <c r="G409" s="5">
        <f>INDEX('Raw Data'!$F$4:$F$508,MATCH(MIN('Raw Data'!$N$4:$N$508),'Raw Data'!$N$4:$N$508,0))</f>
        <v>5.8520000000000003</v>
      </c>
    </row>
    <row r="410" spans="1:7" x14ac:dyDescent="0.25">
      <c r="A410">
        <v>408</v>
      </c>
      <c r="B410" s="18">
        <f>'Raw Data'!N411</f>
        <v>0</v>
      </c>
      <c r="C410" s="18">
        <f>'Raw Data'!A411</f>
        <v>0</v>
      </c>
      <c r="D410" s="5" t="e">
        <f>VLOOKUP(B410,'Raw Data'!$N$4:$N$508,1,FALSE)</f>
        <v>#N/A</v>
      </c>
      <c r="E410" s="5" t="str">
        <f>_xlfn.XLOOKUP(B410,'Raw Data'!$N$4:$N$509,'Raw Data'!$A$4:$A$509,"Not Found")</f>
        <v>Not Found</v>
      </c>
      <c r="F410" s="5">
        <f>INDEX('Raw Data'!$A$4:$A$508,MATCH(MAX('Raw Data'!$N$4:$N$508),'Raw Data'!$N$4:$N$508,0))</f>
        <v>1.46336</v>
      </c>
      <c r="G410" s="5">
        <f>INDEX('Raw Data'!$F$4:$F$508,MATCH(MIN('Raw Data'!$N$4:$N$508),'Raw Data'!$N$4:$N$508,0))</f>
        <v>5.8520000000000003</v>
      </c>
    </row>
    <row r="411" spans="1:7" x14ac:dyDescent="0.25">
      <c r="A411">
        <v>409</v>
      </c>
      <c r="B411" s="18">
        <f>'Raw Data'!N412</f>
        <v>17.2</v>
      </c>
      <c r="C411" s="18">
        <f>'Raw Data'!A412</f>
        <v>7.4038899999999996</v>
      </c>
      <c r="D411" s="5">
        <f>VLOOKUP(B411,'Raw Data'!$N$4:$N$508,1,FALSE)</f>
        <v>17.2</v>
      </c>
      <c r="E411" s="5">
        <f>_xlfn.XLOOKUP(B411,'Raw Data'!$N$4:$N$509,'Raw Data'!$A$4:$A$509,"Not Found")</f>
        <v>6.1620000000000001E-2</v>
      </c>
      <c r="F411" s="5">
        <f>INDEX('Raw Data'!$A$4:$A$508,MATCH(MAX('Raw Data'!$N$4:$N$508),'Raw Data'!$N$4:$N$508,0))</f>
        <v>1.46336</v>
      </c>
      <c r="G411" s="5">
        <f>INDEX('Raw Data'!$F$4:$F$508,MATCH(MIN('Raw Data'!$N$4:$N$508),'Raw Data'!$N$4:$N$508,0))</f>
        <v>5.8520000000000003</v>
      </c>
    </row>
    <row r="412" spans="1:7" x14ac:dyDescent="0.25">
      <c r="A412">
        <v>410</v>
      </c>
      <c r="B412" s="18">
        <f>'Raw Data'!N413</f>
        <v>0</v>
      </c>
      <c r="C412" s="18">
        <f>'Raw Data'!A413</f>
        <v>0</v>
      </c>
      <c r="D412" s="5" t="e">
        <f>VLOOKUP(B412,'Raw Data'!$N$4:$N$508,1,FALSE)</f>
        <v>#N/A</v>
      </c>
      <c r="E412" s="5" t="str">
        <f>_xlfn.XLOOKUP(B412,'Raw Data'!$N$4:$N$509,'Raw Data'!$A$4:$A$509,"Not Found")</f>
        <v>Not Found</v>
      </c>
      <c r="F412" s="5">
        <f>INDEX('Raw Data'!$A$4:$A$508,MATCH(MAX('Raw Data'!$N$4:$N$508),'Raw Data'!$N$4:$N$508,0))</f>
        <v>1.46336</v>
      </c>
      <c r="G412" s="5">
        <f>INDEX('Raw Data'!$F$4:$F$508,MATCH(MIN('Raw Data'!$N$4:$N$508),'Raw Data'!$N$4:$N$508,0))</f>
        <v>5.8520000000000003</v>
      </c>
    </row>
    <row r="413" spans="1:7" x14ac:dyDescent="0.25">
      <c r="A413">
        <v>411</v>
      </c>
      <c r="B413" s="18">
        <f>'Raw Data'!N414</f>
        <v>0</v>
      </c>
      <c r="C413" s="18">
        <f>'Raw Data'!A414</f>
        <v>0</v>
      </c>
      <c r="D413" s="5" t="e">
        <f>VLOOKUP(B413,'Raw Data'!$N$4:$N$508,1,FALSE)</f>
        <v>#N/A</v>
      </c>
      <c r="E413" s="5" t="str">
        <f>_xlfn.XLOOKUP(B413,'Raw Data'!$N$4:$N$509,'Raw Data'!$A$4:$A$509,"Not Found")</f>
        <v>Not Found</v>
      </c>
      <c r="F413" s="5">
        <f>INDEX('Raw Data'!$A$4:$A$508,MATCH(MAX('Raw Data'!$N$4:$N$508),'Raw Data'!$N$4:$N$508,0))</f>
        <v>1.46336</v>
      </c>
      <c r="G413" s="5">
        <f>INDEX('Raw Data'!$F$4:$F$508,MATCH(MIN('Raw Data'!$N$4:$N$508),'Raw Data'!$N$4:$N$508,0))</f>
        <v>5.8520000000000003</v>
      </c>
    </row>
    <row r="414" spans="1:7" x14ac:dyDescent="0.25">
      <c r="A414">
        <v>412</v>
      </c>
      <c r="B414" s="18">
        <f>'Raw Data'!N415</f>
        <v>0</v>
      </c>
      <c r="C414" s="18">
        <f>'Raw Data'!A415</f>
        <v>0</v>
      </c>
      <c r="D414" s="5" t="e">
        <f>VLOOKUP(B414,'Raw Data'!$N$4:$N$508,1,FALSE)</f>
        <v>#N/A</v>
      </c>
      <c r="E414" s="5" t="str">
        <f>_xlfn.XLOOKUP(B414,'Raw Data'!$N$4:$N$509,'Raw Data'!$A$4:$A$509,"Not Found")</f>
        <v>Not Found</v>
      </c>
      <c r="F414" s="5">
        <f>INDEX('Raw Data'!$A$4:$A$508,MATCH(MAX('Raw Data'!$N$4:$N$508),'Raw Data'!$N$4:$N$508,0))</f>
        <v>1.46336</v>
      </c>
      <c r="G414" s="5">
        <f>INDEX('Raw Data'!$F$4:$F$508,MATCH(MIN('Raw Data'!$N$4:$N$508),'Raw Data'!$N$4:$N$508,0))</f>
        <v>5.8520000000000003</v>
      </c>
    </row>
    <row r="415" spans="1:7" x14ac:dyDescent="0.25">
      <c r="A415">
        <v>413</v>
      </c>
      <c r="B415" s="18">
        <f>'Raw Data'!N416</f>
        <v>0</v>
      </c>
      <c r="C415" s="18">
        <f>'Raw Data'!A416</f>
        <v>0</v>
      </c>
      <c r="D415" s="5" t="e">
        <f>VLOOKUP(B415,'Raw Data'!$N$4:$N$508,1,FALSE)</f>
        <v>#N/A</v>
      </c>
      <c r="E415" s="5" t="str">
        <f>_xlfn.XLOOKUP(B415,'Raw Data'!$N$4:$N$509,'Raw Data'!$A$4:$A$509,"Not Found")</f>
        <v>Not Found</v>
      </c>
      <c r="F415" s="5">
        <f>INDEX('Raw Data'!$A$4:$A$508,MATCH(MAX('Raw Data'!$N$4:$N$508),'Raw Data'!$N$4:$N$508,0))</f>
        <v>1.46336</v>
      </c>
      <c r="G415" s="5">
        <f>INDEX('Raw Data'!$F$4:$F$508,MATCH(MIN('Raw Data'!$N$4:$N$508),'Raw Data'!$N$4:$N$508,0))</f>
        <v>5.8520000000000003</v>
      </c>
    </row>
    <row r="416" spans="1:7" x14ac:dyDescent="0.25">
      <c r="A416">
        <v>414</v>
      </c>
      <c r="B416" s="18">
        <f>'Raw Data'!N417</f>
        <v>0</v>
      </c>
      <c r="C416" s="18">
        <f>'Raw Data'!A417</f>
        <v>0</v>
      </c>
      <c r="D416" s="5" t="e">
        <f>VLOOKUP(B416,'Raw Data'!$N$4:$N$508,1,FALSE)</f>
        <v>#N/A</v>
      </c>
      <c r="E416" s="5" t="str">
        <f>_xlfn.XLOOKUP(B416,'Raw Data'!$N$4:$N$509,'Raw Data'!$A$4:$A$509,"Not Found")</f>
        <v>Not Found</v>
      </c>
      <c r="F416" s="5">
        <f>INDEX('Raw Data'!$A$4:$A$508,MATCH(MAX('Raw Data'!$N$4:$N$508),'Raw Data'!$N$4:$N$508,0))</f>
        <v>1.46336</v>
      </c>
      <c r="G416" s="5">
        <f>INDEX('Raw Data'!$F$4:$F$508,MATCH(MIN('Raw Data'!$N$4:$N$508),'Raw Data'!$N$4:$N$508,0))</f>
        <v>5.8520000000000003</v>
      </c>
    </row>
    <row r="417" spans="1:7" x14ac:dyDescent="0.25">
      <c r="A417">
        <v>415</v>
      </c>
      <c r="B417" s="18">
        <f>'Raw Data'!N418</f>
        <v>0</v>
      </c>
      <c r="C417" s="18">
        <f>'Raw Data'!A418</f>
        <v>0</v>
      </c>
      <c r="D417" s="5" t="e">
        <f>VLOOKUP(B417,'Raw Data'!$N$4:$N$508,1,FALSE)</f>
        <v>#N/A</v>
      </c>
      <c r="E417" s="5" t="str">
        <f>_xlfn.XLOOKUP(B417,'Raw Data'!$N$4:$N$509,'Raw Data'!$A$4:$A$509,"Not Found")</f>
        <v>Not Found</v>
      </c>
      <c r="F417" s="5">
        <f>INDEX('Raw Data'!$A$4:$A$508,MATCH(MAX('Raw Data'!$N$4:$N$508),'Raw Data'!$N$4:$N$508,0))</f>
        <v>1.46336</v>
      </c>
      <c r="G417" s="5">
        <f>INDEX('Raw Data'!$F$4:$F$508,MATCH(MIN('Raw Data'!$N$4:$N$508),'Raw Data'!$N$4:$N$508,0))</f>
        <v>5.8520000000000003</v>
      </c>
    </row>
    <row r="418" spans="1:7" x14ac:dyDescent="0.25">
      <c r="A418">
        <v>416</v>
      </c>
      <c r="B418" s="18">
        <f>'Raw Data'!N419</f>
        <v>0</v>
      </c>
      <c r="C418" s="18">
        <f>'Raw Data'!A419</f>
        <v>0</v>
      </c>
      <c r="D418" s="5" t="e">
        <f>VLOOKUP(B418,'Raw Data'!$N$4:$N$508,1,FALSE)</f>
        <v>#N/A</v>
      </c>
      <c r="E418" s="5" t="str">
        <f>_xlfn.XLOOKUP(B418,'Raw Data'!$N$4:$N$509,'Raw Data'!$A$4:$A$509,"Not Found")</f>
        <v>Not Found</v>
      </c>
      <c r="F418" s="5">
        <f>INDEX('Raw Data'!$A$4:$A$508,MATCH(MAX('Raw Data'!$N$4:$N$508),'Raw Data'!$N$4:$N$508,0))</f>
        <v>1.46336</v>
      </c>
      <c r="G418" s="5">
        <f>INDEX('Raw Data'!$F$4:$F$508,MATCH(MIN('Raw Data'!$N$4:$N$508),'Raw Data'!$N$4:$N$508,0))</f>
        <v>5.8520000000000003</v>
      </c>
    </row>
    <row r="419" spans="1:7" x14ac:dyDescent="0.25">
      <c r="A419">
        <v>417</v>
      </c>
      <c r="B419" s="18">
        <f>'Raw Data'!N420</f>
        <v>0</v>
      </c>
      <c r="C419" s="18">
        <f>'Raw Data'!A420</f>
        <v>0</v>
      </c>
      <c r="D419" s="5" t="e">
        <f>VLOOKUP(B419,'Raw Data'!$N$4:$N$508,1,FALSE)</f>
        <v>#N/A</v>
      </c>
      <c r="E419" s="5" t="str">
        <f>_xlfn.XLOOKUP(B419,'Raw Data'!$N$4:$N$509,'Raw Data'!$A$4:$A$509,"Not Found")</f>
        <v>Not Found</v>
      </c>
      <c r="F419" s="5">
        <f>INDEX('Raw Data'!$A$4:$A$508,MATCH(MAX('Raw Data'!$N$4:$N$508),'Raw Data'!$N$4:$N$508,0))</f>
        <v>1.46336</v>
      </c>
      <c r="G419" s="5">
        <f>INDEX('Raw Data'!$F$4:$F$508,MATCH(MIN('Raw Data'!$N$4:$N$508),'Raw Data'!$N$4:$N$508,0))</f>
        <v>5.8520000000000003</v>
      </c>
    </row>
    <row r="420" spans="1:7" x14ac:dyDescent="0.25">
      <c r="A420">
        <v>418</v>
      </c>
      <c r="B420" s="18">
        <f>'Raw Data'!N421</f>
        <v>0</v>
      </c>
      <c r="C420" s="18">
        <f>'Raw Data'!A421</f>
        <v>0</v>
      </c>
      <c r="D420" s="5" t="e">
        <f>VLOOKUP(B420,'Raw Data'!$N$4:$N$508,1,FALSE)</f>
        <v>#N/A</v>
      </c>
      <c r="E420" s="5" t="str">
        <f>_xlfn.XLOOKUP(B420,'Raw Data'!$N$4:$N$509,'Raw Data'!$A$4:$A$509,"Not Found")</f>
        <v>Not Found</v>
      </c>
      <c r="F420" s="5">
        <f>INDEX('Raw Data'!$A$4:$A$508,MATCH(MAX('Raw Data'!$N$4:$N$508),'Raw Data'!$N$4:$N$508,0))</f>
        <v>1.46336</v>
      </c>
      <c r="G420" s="5">
        <f>INDEX('Raw Data'!$F$4:$F$508,MATCH(MIN('Raw Data'!$N$4:$N$508),'Raw Data'!$N$4:$N$508,0))</f>
        <v>5.8520000000000003</v>
      </c>
    </row>
    <row r="421" spans="1:7" x14ac:dyDescent="0.25">
      <c r="A421">
        <v>419</v>
      </c>
      <c r="B421" s="18">
        <f>'Raw Data'!N422</f>
        <v>0</v>
      </c>
      <c r="C421" s="18">
        <f>'Raw Data'!A422</f>
        <v>0</v>
      </c>
      <c r="D421" s="5" t="e">
        <f>VLOOKUP(B421,'Raw Data'!$N$4:$N$508,1,FALSE)</f>
        <v>#N/A</v>
      </c>
      <c r="E421" s="5" t="str">
        <f>_xlfn.XLOOKUP(B421,'Raw Data'!$N$4:$N$509,'Raw Data'!$A$4:$A$509,"Not Found")</f>
        <v>Not Found</v>
      </c>
      <c r="F421" s="5">
        <f>INDEX('Raw Data'!$A$4:$A$508,MATCH(MAX('Raw Data'!$N$4:$N$508),'Raw Data'!$N$4:$N$508,0))</f>
        <v>1.46336</v>
      </c>
      <c r="G421" s="5">
        <f>INDEX('Raw Data'!$F$4:$F$508,MATCH(MIN('Raw Data'!$N$4:$N$508),'Raw Data'!$N$4:$N$508,0))</f>
        <v>5.8520000000000003</v>
      </c>
    </row>
    <row r="422" spans="1:7" x14ac:dyDescent="0.25">
      <c r="A422">
        <v>420</v>
      </c>
      <c r="B422" s="18">
        <f>'Raw Data'!N423</f>
        <v>0</v>
      </c>
      <c r="C422" s="18">
        <f>'Raw Data'!A423</f>
        <v>0</v>
      </c>
      <c r="D422" s="5" t="e">
        <f>VLOOKUP(B422,'Raw Data'!$N$4:$N$508,1,FALSE)</f>
        <v>#N/A</v>
      </c>
      <c r="E422" s="5" t="str">
        <f>_xlfn.XLOOKUP(B422,'Raw Data'!$N$4:$N$509,'Raw Data'!$A$4:$A$509,"Not Found")</f>
        <v>Not Found</v>
      </c>
      <c r="F422" s="5">
        <f>INDEX('Raw Data'!$A$4:$A$508,MATCH(MAX('Raw Data'!$N$4:$N$508),'Raw Data'!$N$4:$N$508,0))</f>
        <v>1.46336</v>
      </c>
      <c r="G422" s="5">
        <f>INDEX('Raw Data'!$F$4:$F$508,MATCH(MIN('Raw Data'!$N$4:$N$508),'Raw Data'!$N$4:$N$508,0))</f>
        <v>5.8520000000000003</v>
      </c>
    </row>
    <row r="423" spans="1:7" x14ac:dyDescent="0.25">
      <c r="A423">
        <v>421</v>
      </c>
      <c r="B423" s="18">
        <f>'Raw Data'!N424</f>
        <v>0</v>
      </c>
      <c r="C423" s="18">
        <f>'Raw Data'!A424</f>
        <v>0</v>
      </c>
      <c r="D423" s="5" t="e">
        <f>VLOOKUP(B423,'Raw Data'!$N$4:$N$508,1,FALSE)</f>
        <v>#N/A</v>
      </c>
      <c r="E423" s="5" t="str">
        <f>_xlfn.XLOOKUP(B423,'Raw Data'!$N$4:$N$509,'Raw Data'!$A$4:$A$509,"Not Found")</f>
        <v>Not Found</v>
      </c>
      <c r="F423" s="5">
        <f>INDEX('Raw Data'!$A$4:$A$508,MATCH(MAX('Raw Data'!$N$4:$N$508),'Raw Data'!$N$4:$N$508,0))</f>
        <v>1.46336</v>
      </c>
      <c r="G423" s="5">
        <f>INDEX('Raw Data'!$F$4:$F$508,MATCH(MIN('Raw Data'!$N$4:$N$508),'Raw Data'!$N$4:$N$508,0))</f>
        <v>5.8520000000000003</v>
      </c>
    </row>
    <row r="424" spans="1:7" x14ac:dyDescent="0.25">
      <c r="A424">
        <v>422</v>
      </c>
      <c r="B424" s="18">
        <f>'Raw Data'!N425</f>
        <v>14.2</v>
      </c>
      <c r="C424" s="18">
        <f>'Raw Data'!A425</f>
        <v>7.0225900000000001</v>
      </c>
      <c r="D424" s="5">
        <f>VLOOKUP(B424,'Raw Data'!$N$4:$N$508,1,FALSE)</f>
        <v>14.2</v>
      </c>
      <c r="E424" s="5">
        <f>_xlfn.XLOOKUP(B424,'Raw Data'!$N$4:$N$509,'Raw Data'!$A$4:$A$509,"Not Found")</f>
        <v>7.0225900000000001</v>
      </c>
      <c r="F424" s="5">
        <f>INDEX('Raw Data'!$A$4:$A$508,MATCH(MAX('Raw Data'!$N$4:$N$508),'Raw Data'!$N$4:$N$508,0))</f>
        <v>1.46336</v>
      </c>
      <c r="G424" s="5">
        <f>INDEX('Raw Data'!$F$4:$F$508,MATCH(MIN('Raw Data'!$N$4:$N$508),'Raw Data'!$N$4:$N$508,0))</f>
        <v>5.8520000000000003</v>
      </c>
    </row>
    <row r="425" spans="1:7" x14ac:dyDescent="0.25">
      <c r="A425">
        <v>423</v>
      </c>
      <c r="B425" s="18">
        <f>'Raw Data'!N426</f>
        <v>0</v>
      </c>
      <c r="C425" s="18">
        <f>'Raw Data'!A426</f>
        <v>0</v>
      </c>
      <c r="D425" s="5" t="e">
        <f>VLOOKUP(B425,'Raw Data'!$N$4:$N$508,1,FALSE)</f>
        <v>#N/A</v>
      </c>
      <c r="E425" s="5" t="str">
        <f>_xlfn.XLOOKUP(B425,'Raw Data'!$N$4:$N$509,'Raw Data'!$A$4:$A$509,"Not Found")</f>
        <v>Not Found</v>
      </c>
      <c r="F425" s="5">
        <f>INDEX('Raw Data'!$A$4:$A$508,MATCH(MAX('Raw Data'!$N$4:$N$508),'Raw Data'!$N$4:$N$508,0))</f>
        <v>1.46336</v>
      </c>
      <c r="G425" s="5">
        <f>INDEX('Raw Data'!$F$4:$F$508,MATCH(MIN('Raw Data'!$N$4:$N$508),'Raw Data'!$N$4:$N$508,0))</f>
        <v>5.8520000000000003</v>
      </c>
    </row>
    <row r="426" spans="1:7" x14ac:dyDescent="0.25">
      <c r="A426">
        <v>424</v>
      </c>
      <c r="B426" s="18">
        <f>'Raw Data'!N427</f>
        <v>13.4</v>
      </c>
      <c r="C426" s="18">
        <f>'Raw Data'!A427</f>
        <v>7.0504199999999999</v>
      </c>
      <c r="D426" s="5">
        <f>VLOOKUP(B426,'Raw Data'!$N$4:$N$508,1,FALSE)</f>
        <v>13.4</v>
      </c>
      <c r="E426" s="5">
        <f>_xlfn.XLOOKUP(B426,'Raw Data'!$N$4:$N$509,'Raw Data'!$A$4:$A$509,"Not Found")</f>
        <v>3.3210500000000001</v>
      </c>
      <c r="F426" s="5">
        <f>INDEX('Raw Data'!$A$4:$A$508,MATCH(MAX('Raw Data'!$N$4:$N$508),'Raw Data'!$N$4:$N$508,0))</f>
        <v>1.46336</v>
      </c>
      <c r="G426" s="5">
        <f>INDEX('Raw Data'!$F$4:$F$508,MATCH(MIN('Raw Data'!$N$4:$N$508),'Raw Data'!$N$4:$N$508,0))</f>
        <v>5.8520000000000003</v>
      </c>
    </row>
    <row r="427" spans="1:7" x14ac:dyDescent="0.25">
      <c r="A427">
        <v>425</v>
      </c>
      <c r="B427" s="18">
        <f>'Raw Data'!N428</f>
        <v>11.7</v>
      </c>
      <c r="C427" s="18">
        <f>'Raw Data'!A428</f>
        <v>8.7921200000000006</v>
      </c>
      <c r="D427" s="5">
        <f>VLOOKUP(B427,'Raw Data'!$N$4:$N$508,1,FALSE)</f>
        <v>11.7</v>
      </c>
      <c r="E427" s="5">
        <f>_xlfn.XLOOKUP(B427,'Raw Data'!$N$4:$N$509,'Raw Data'!$A$4:$A$509,"Not Found")</f>
        <v>8.7921200000000006</v>
      </c>
      <c r="F427" s="5">
        <f>INDEX('Raw Data'!$A$4:$A$508,MATCH(MAX('Raw Data'!$N$4:$N$508),'Raw Data'!$N$4:$N$508,0))</f>
        <v>1.46336</v>
      </c>
      <c r="G427" s="5">
        <f>INDEX('Raw Data'!$F$4:$F$508,MATCH(MIN('Raw Data'!$N$4:$N$508),'Raw Data'!$N$4:$N$508,0))</f>
        <v>5.8520000000000003</v>
      </c>
    </row>
    <row r="428" spans="1:7" x14ac:dyDescent="0.25">
      <c r="A428">
        <v>426</v>
      </c>
      <c r="B428" s="18">
        <f>'Raw Data'!N429</f>
        <v>0</v>
      </c>
      <c r="C428" s="18">
        <f>'Raw Data'!A429</f>
        <v>0</v>
      </c>
      <c r="D428" s="5" t="e">
        <f>VLOOKUP(B428,'Raw Data'!$N$4:$N$508,1,FALSE)</f>
        <v>#N/A</v>
      </c>
      <c r="E428" s="5" t="str">
        <f>_xlfn.XLOOKUP(B428,'Raw Data'!$N$4:$N$509,'Raw Data'!$A$4:$A$509,"Not Found")</f>
        <v>Not Found</v>
      </c>
      <c r="F428" s="5">
        <f>INDEX('Raw Data'!$A$4:$A$508,MATCH(MAX('Raw Data'!$N$4:$N$508),'Raw Data'!$N$4:$N$508,0))</f>
        <v>1.46336</v>
      </c>
      <c r="G428" s="5">
        <f>INDEX('Raw Data'!$F$4:$F$508,MATCH(MIN('Raw Data'!$N$4:$N$508),'Raw Data'!$N$4:$N$508,0))</f>
        <v>5.8520000000000003</v>
      </c>
    </row>
    <row r="429" spans="1:7" x14ac:dyDescent="0.25">
      <c r="A429">
        <v>427</v>
      </c>
      <c r="B429" s="18">
        <f>'Raw Data'!N430</f>
        <v>0</v>
      </c>
      <c r="C429" s="18">
        <f>'Raw Data'!A430</f>
        <v>0</v>
      </c>
      <c r="D429" s="5" t="e">
        <f>VLOOKUP(B429,'Raw Data'!$N$4:$N$508,1,FALSE)</f>
        <v>#N/A</v>
      </c>
      <c r="E429" s="5" t="str">
        <f>_xlfn.XLOOKUP(B429,'Raw Data'!$N$4:$N$509,'Raw Data'!$A$4:$A$509,"Not Found")</f>
        <v>Not Found</v>
      </c>
      <c r="F429" s="5">
        <f>INDEX('Raw Data'!$A$4:$A$508,MATCH(MAX('Raw Data'!$N$4:$N$508),'Raw Data'!$N$4:$N$508,0))</f>
        <v>1.46336</v>
      </c>
      <c r="G429" s="5">
        <f>INDEX('Raw Data'!$F$4:$F$508,MATCH(MIN('Raw Data'!$N$4:$N$508),'Raw Data'!$N$4:$N$508,0))</f>
        <v>5.8520000000000003</v>
      </c>
    </row>
    <row r="430" spans="1:7" x14ac:dyDescent="0.25">
      <c r="A430">
        <v>428</v>
      </c>
      <c r="B430" s="18">
        <f>'Raw Data'!N431</f>
        <v>0</v>
      </c>
      <c r="C430" s="18">
        <f>'Raw Data'!A431</f>
        <v>0</v>
      </c>
      <c r="D430" s="5" t="e">
        <f>VLOOKUP(B430,'Raw Data'!$N$4:$N$508,1,FALSE)</f>
        <v>#N/A</v>
      </c>
      <c r="E430" s="5" t="str">
        <f>_xlfn.XLOOKUP(B430,'Raw Data'!$N$4:$N$509,'Raw Data'!$A$4:$A$509,"Not Found")</f>
        <v>Not Found</v>
      </c>
      <c r="F430" s="5">
        <f>INDEX('Raw Data'!$A$4:$A$508,MATCH(MAX('Raw Data'!$N$4:$N$508),'Raw Data'!$N$4:$N$508,0))</f>
        <v>1.46336</v>
      </c>
      <c r="G430" s="5">
        <f>INDEX('Raw Data'!$F$4:$F$508,MATCH(MIN('Raw Data'!$N$4:$N$508),'Raw Data'!$N$4:$N$508,0))</f>
        <v>5.8520000000000003</v>
      </c>
    </row>
    <row r="431" spans="1:7" x14ac:dyDescent="0.25">
      <c r="A431">
        <v>429</v>
      </c>
      <c r="B431" s="18">
        <f>'Raw Data'!N432</f>
        <v>11</v>
      </c>
      <c r="C431" s="18">
        <f>'Raw Data'!A432</f>
        <v>7.3671100000000003</v>
      </c>
      <c r="D431" s="5">
        <f>VLOOKUP(B431,'Raw Data'!$N$4:$N$508,1,FALSE)</f>
        <v>11</v>
      </c>
      <c r="E431" s="5">
        <f>_xlfn.XLOOKUP(B431,'Raw Data'!$N$4:$N$509,'Raw Data'!$A$4:$A$509,"Not Found")</f>
        <v>7.3671100000000003</v>
      </c>
      <c r="F431" s="5">
        <f>INDEX('Raw Data'!$A$4:$A$508,MATCH(MAX('Raw Data'!$N$4:$N$508),'Raw Data'!$N$4:$N$508,0))</f>
        <v>1.46336</v>
      </c>
      <c r="G431" s="5">
        <f>INDEX('Raw Data'!$F$4:$F$508,MATCH(MIN('Raw Data'!$N$4:$N$508),'Raw Data'!$N$4:$N$508,0))</f>
        <v>5.8520000000000003</v>
      </c>
    </row>
    <row r="432" spans="1:7" x14ac:dyDescent="0.25">
      <c r="A432">
        <v>430</v>
      </c>
      <c r="B432" s="18">
        <f>'Raw Data'!N433</f>
        <v>9.5</v>
      </c>
      <c r="C432" s="18">
        <f>'Raw Data'!A433</f>
        <v>9.3388899999999992</v>
      </c>
      <c r="D432" s="5">
        <f>VLOOKUP(B432,'Raw Data'!$N$4:$N$508,1,FALSE)</f>
        <v>9.5</v>
      </c>
      <c r="E432" s="5">
        <f>_xlfn.XLOOKUP(B432,'Raw Data'!$N$4:$N$509,'Raw Data'!$A$4:$A$509,"Not Found")</f>
        <v>9.3388899999999992</v>
      </c>
      <c r="F432" s="5">
        <f>INDEX('Raw Data'!$A$4:$A$508,MATCH(MAX('Raw Data'!$N$4:$N$508),'Raw Data'!$N$4:$N$508,0))</f>
        <v>1.46336</v>
      </c>
      <c r="G432" s="5">
        <f>INDEX('Raw Data'!$F$4:$F$508,MATCH(MIN('Raw Data'!$N$4:$N$508),'Raw Data'!$N$4:$N$508,0))</f>
        <v>5.8520000000000003</v>
      </c>
    </row>
    <row r="433" spans="1:7" x14ac:dyDescent="0.25">
      <c r="A433">
        <v>431</v>
      </c>
      <c r="B433" s="18">
        <f>'Raw Data'!N434</f>
        <v>14.5</v>
      </c>
      <c r="C433" s="18">
        <f>'Raw Data'!A434</f>
        <v>8.4921299999999995</v>
      </c>
      <c r="D433" s="5">
        <f>VLOOKUP(B433,'Raw Data'!$N$4:$N$508,1,FALSE)</f>
        <v>14.5</v>
      </c>
      <c r="E433" s="5">
        <f>_xlfn.XLOOKUP(B433,'Raw Data'!$N$4:$N$509,'Raw Data'!$A$4:$A$509,"Not Found")</f>
        <v>0.98843000000000003</v>
      </c>
      <c r="F433" s="5">
        <f>INDEX('Raw Data'!$A$4:$A$508,MATCH(MAX('Raw Data'!$N$4:$N$508),'Raw Data'!$N$4:$N$508,0))</f>
        <v>1.46336</v>
      </c>
      <c r="G433" s="5">
        <f>INDEX('Raw Data'!$F$4:$F$508,MATCH(MIN('Raw Data'!$N$4:$N$508),'Raw Data'!$N$4:$N$508,0))</f>
        <v>5.8520000000000003</v>
      </c>
    </row>
    <row r="434" spans="1:7" x14ac:dyDescent="0.25">
      <c r="A434">
        <v>432</v>
      </c>
      <c r="B434" s="18">
        <f>'Raw Data'!N435</f>
        <v>0</v>
      </c>
      <c r="C434" s="18">
        <f>'Raw Data'!A435</f>
        <v>0</v>
      </c>
      <c r="D434" s="5" t="e">
        <f>VLOOKUP(B434,'Raw Data'!$N$4:$N$508,1,FALSE)</f>
        <v>#N/A</v>
      </c>
      <c r="E434" s="5" t="str">
        <f>_xlfn.XLOOKUP(B434,'Raw Data'!$N$4:$N$509,'Raw Data'!$A$4:$A$509,"Not Found")</f>
        <v>Not Found</v>
      </c>
      <c r="F434" s="5">
        <f>INDEX('Raw Data'!$A$4:$A$508,MATCH(MAX('Raw Data'!$N$4:$N$508),'Raw Data'!$N$4:$N$508,0))</f>
        <v>1.46336</v>
      </c>
      <c r="G434" s="5">
        <f>INDEX('Raw Data'!$F$4:$F$508,MATCH(MIN('Raw Data'!$N$4:$N$508),'Raw Data'!$N$4:$N$508,0))</f>
        <v>5.8520000000000003</v>
      </c>
    </row>
    <row r="435" spans="1:7" x14ac:dyDescent="0.25">
      <c r="A435">
        <v>433</v>
      </c>
      <c r="B435" s="18">
        <f>'Raw Data'!N436</f>
        <v>16.100000000000001</v>
      </c>
      <c r="C435" s="18">
        <f>'Raw Data'!A436</f>
        <v>6.4440499999999998</v>
      </c>
      <c r="D435" s="5">
        <f>VLOOKUP(B435,'Raw Data'!$N$4:$N$508,1,FALSE)</f>
        <v>16.100000000000001</v>
      </c>
      <c r="E435" s="5">
        <f>_xlfn.XLOOKUP(B435,'Raw Data'!$N$4:$N$509,'Raw Data'!$A$4:$A$509,"Not Found")</f>
        <v>2.6354799999999998</v>
      </c>
      <c r="F435" s="5">
        <f>INDEX('Raw Data'!$A$4:$A$508,MATCH(MAX('Raw Data'!$N$4:$N$508),'Raw Data'!$N$4:$N$508,0))</f>
        <v>1.46336</v>
      </c>
      <c r="G435" s="5">
        <f>INDEX('Raw Data'!$F$4:$F$508,MATCH(MIN('Raw Data'!$N$4:$N$508),'Raw Data'!$N$4:$N$508,0))</f>
        <v>5.8520000000000003</v>
      </c>
    </row>
    <row r="436" spans="1:7" x14ac:dyDescent="0.25">
      <c r="A436">
        <v>434</v>
      </c>
      <c r="B436" s="18">
        <f>'Raw Data'!N437</f>
        <v>14.3</v>
      </c>
      <c r="C436" s="18">
        <f>'Raw Data'!A437</f>
        <v>5.5810700000000004</v>
      </c>
      <c r="D436" s="5">
        <f>VLOOKUP(B436,'Raw Data'!$N$4:$N$508,1,FALSE)</f>
        <v>14.3</v>
      </c>
      <c r="E436" s="5">
        <f>_xlfn.XLOOKUP(B436,'Raw Data'!$N$4:$N$509,'Raw Data'!$A$4:$A$509,"Not Found")</f>
        <v>0.88124999999999998</v>
      </c>
      <c r="F436" s="5">
        <f>INDEX('Raw Data'!$A$4:$A$508,MATCH(MAX('Raw Data'!$N$4:$N$508),'Raw Data'!$N$4:$N$508,0))</f>
        <v>1.46336</v>
      </c>
      <c r="G436" s="5">
        <f>INDEX('Raw Data'!$F$4:$F$508,MATCH(MIN('Raw Data'!$N$4:$N$508),'Raw Data'!$N$4:$N$508,0))</f>
        <v>5.8520000000000003</v>
      </c>
    </row>
    <row r="437" spans="1:7" x14ac:dyDescent="0.25">
      <c r="A437">
        <v>435</v>
      </c>
      <c r="B437" s="18">
        <f>'Raw Data'!N438</f>
        <v>0</v>
      </c>
      <c r="C437" s="18">
        <f>'Raw Data'!A438</f>
        <v>0</v>
      </c>
      <c r="D437" s="5" t="e">
        <f>VLOOKUP(B437,'Raw Data'!$N$4:$N$508,1,FALSE)</f>
        <v>#N/A</v>
      </c>
      <c r="E437" s="5" t="str">
        <f>_xlfn.XLOOKUP(B437,'Raw Data'!$N$4:$N$509,'Raw Data'!$A$4:$A$509,"Not Found")</f>
        <v>Not Found</v>
      </c>
      <c r="F437" s="5">
        <f>INDEX('Raw Data'!$A$4:$A$508,MATCH(MAX('Raw Data'!$N$4:$N$508),'Raw Data'!$N$4:$N$508,0))</f>
        <v>1.46336</v>
      </c>
      <c r="G437" s="5">
        <f>INDEX('Raw Data'!$F$4:$F$508,MATCH(MIN('Raw Data'!$N$4:$N$508),'Raw Data'!$N$4:$N$508,0))</f>
        <v>5.8520000000000003</v>
      </c>
    </row>
    <row r="438" spans="1:7" x14ac:dyDescent="0.25">
      <c r="A438">
        <v>436</v>
      </c>
      <c r="B438" s="18">
        <f>'Raw Data'!N439</f>
        <v>0</v>
      </c>
      <c r="C438" s="18">
        <f>'Raw Data'!A439</f>
        <v>0</v>
      </c>
      <c r="D438" s="5" t="e">
        <f>VLOOKUP(B438,'Raw Data'!$N$4:$N$508,1,FALSE)</f>
        <v>#N/A</v>
      </c>
      <c r="E438" s="5" t="str">
        <f>_xlfn.XLOOKUP(B438,'Raw Data'!$N$4:$N$509,'Raw Data'!$A$4:$A$509,"Not Found")</f>
        <v>Not Found</v>
      </c>
      <c r="F438" s="5">
        <f>INDEX('Raw Data'!$A$4:$A$508,MATCH(MAX('Raw Data'!$N$4:$N$508),'Raw Data'!$N$4:$N$508,0))</f>
        <v>1.46336</v>
      </c>
      <c r="G438" s="5">
        <f>INDEX('Raw Data'!$F$4:$F$508,MATCH(MIN('Raw Data'!$N$4:$N$508),'Raw Data'!$N$4:$N$508,0))</f>
        <v>5.8520000000000003</v>
      </c>
    </row>
    <row r="439" spans="1:7" x14ac:dyDescent="0.25">
      <c r="A439">
        <v>437</v>
      </c>
      <c r="B439" s="18">
        <f>'Raw Data'!N440</f>
        <v>0</v>
      </c>
      <c r="C439" s="18">
        <f>'Raw Data'!A440</f>
        <v>0</v>
      </c>
      <c r="D439" s="5" t="e">
        <f>VLOOKUP(B439,'Raw Data'!$N$4:$N$508,1,FALSE)</f>
        <v>#N/A</v>
      </c>
      <c r="E439" s="5" t="str">
        <f>_xlfn.XLOOKUP(B439,'Raw Data'!$N$4:$N$509,'Raw Data'!$A$4:$A$509,"Not Found")</f>
        <v>Not Found</v>
      </c>
      <c r="F439" s="5">
        <f>INDEX('Raw Data'!$A$4:$A$508,MATCH(MAX('Raw Data'!$N$4:$N$508),'Raw Data'!$N$4:$N$508,0))</f>
        <v>1.46336</v>
      </c>
      <c r="G439" s="5">
        <f>INDEX('Raw Data'!$F$4:$F$508,MATCH(MIN('Raw Data'!$N$4:$N$508),'Raw Data'!$N$4:$N$508,0))</f>
        <v>5.8520000000000003</v>
      </c>
    </row>
    <row r="440" spans="1:7" x14ac:dyDescent="0.25">
      <c r="A440">
        <v>438</v>
      </c>
      <c r="B440" s="18">
        <f>'Raw Data'!N441</f>
        <v>0</v>
      </c>
      <c r="C440" s="18">
        <f>'Raw Data'!A441</f>
        <v>0</v>
      </c>
      <c r="D440" s="5" t="e">
        <f>VLOOKUP(B440,'Raw Data'!$N$4:$N$508,1,FALSE)</f>
        <v>#N/A</v>
      </c>
      <c r="E440" s="5" t="str">
        <f>_xlfn.XLOOKUP(B440,'Raw Data'!$N$4:$N$509,'Raw Data'!$A$4:$A$509,"Not Found")</f>
        <v>Not Found</v>
      </c>
      <c r="F440" s="5">
        <f>INDEX('Raw Data'!$A$4:$A$508,MATCH(MAX('Raw Data'!$N$4:$N$508),'Raw Data'!$N$4:$N$508,0))</f>
        <v>1.46336</v>
      </c>
      <c r="G440" s="5">
        <f>INDEX('Raw Data'!$F$4:$F$508,MATCH(MIN('Raw Data'!$N$4:$N$508),'Raw Data'!$N$4:$N$508,0))</f>
        <v>5.8520000000000003</v>
      </c>
    </row>
    <row r="441" spans="1:7" x14ac:dyDescent="0.25">
      <c r="A441">
        <v>439</v>
      </c>
      <c r="B441" s="18">
        <f>'Raw Data'!N442</f>
        <v>0</v>
      </c>
      <c r="C441" s="18">
        <f>'Raw Data'!A442</f>
        <v>0</v>
      </c>
      <c r="D441" s="5" t="e">
        <f>VLOOKUP(B441,'Raw Data'!$N$4:$N$508,1,FALSE)</f>
        <v>#N/A</v>
      </c>
      <c r="E441" s="5" t="str">
        <f>_xlfn.XLOOKUP(B441,'Raw Data'!$N$4:$N$509,'Raw Data'!$A$4:$A$509,"Not Found")</f>
        <v>Not Found</v>
      </c>
      <c r="F441" s="5">
        <f>INDEX('Raw Data'!$A$4:$A$508,MATCH(MAX('Raw Data'!$N$4:$N$508),'Raw Data'!$N$4:$N$508,0))</f>
        <v>1.46336</v>
      </c>
      <c r="G441" s="5">
        <f>INDEX('Raw Data'!$F$4:$F$508,MATCH(MIN('Raw Data'!$N$4:$N$508),'Raw Data'!$N$4:$N$508,0))</f>
        <v>5.8520000000000003</v>
      </c>
    </row>
    <row r="442" spans="1:7" x14ac:dyDescent="0.25">
      <c r="A442">
        <v>440</v>
      </c>
      <c r="B442" s="18">
        <f>'Raw Data'!N443</f>
        <v>12.8</v>
      </c>
      <c r="C442" s="18">
        <f>'Raw Data'!A443</f>
        <v>9.3906299999999998</v>
      </c>
      <c r="D442" s="5">
        <f>VLOOKUP(B442,'Raw Data'!$N$4:$N$508,1,FALSE)</f>
        <v>12.8</v>
      </c>
      <c r="E442" s="5">
        <f>_xlfn.XLOOKUP(B442,'Raw Data'!$N$4:$N$509,'Raw Data'!$A$4:$A$509,"Not Found")</f>
        <v>9.3906299999999998</v>
      </c>
      <c r="F442" s="5">
        <f>INDEX('Raw Data'!$A$4:$A$508,MATCH(MAX('Raw Data'!$N$4:$N$508),'Raw Data'!$N$4:$N$508,0))</f>
        <v>1.46336</v>
      </c>
      <c r="G442" s="5">
        <f>INDEX('Raw Data'!$F$4:$F$508,MATCH(MIN('Raw Data'!$N$4:$N$508),'Raw Data'!$N$4:$N$508,0))</f>
        <v>5.8520000000000003</v>
      </c>
    </row>
    <row r="443" spans="1:7" x14ac:dyDescent="0.25">
      <c r="A443">
        <v>441</v>
      </c>
      <c r="B443" s="18">
        <f>'Raw Data'!N444</f>
        <v>0</v>
      </c>
      <c r="C443" s="18">
        <f>'Raw Data'!A444</f>
        <v>0</v>
      </c>
      <c r="D443" s="5" t="e">
        <f>VLOOKUP(B443,'Raw Data'!$N$4:$N$508,1,FALSE)</f>
        <v>#N/A</v>
      </c>
      <c r="E443" s="5" t="str">
        <f>_xlfn.XLOOKUP(B443,'Raw Data'!$N$4:$N$509,'Raw Data'!$A$4:$A$509,"Not Found")</f>
        <v>Not Found</v>
      </c>
      <c r="F443" s="5">
        <f>INDEX('Raw Data'!$A$4:$A$508,MATCH(MAX('Raw Data'!$N$4:$N$508),'Raw Data'!$N$4:$N$508,0))</f>
        <v>1.46336</v>
      </c>
      <c r="G443" s="5">
        <f>INDEX('Raw Data'!$F$4:$F$508,MATCH(MIN('Raw Data'!$N$4:$N$508),'Raw Data'!$N$4:$N$508,0))</f>
        <v>5.8520000000000003</v>
      </c>
    </row>
    <row r="444" spans="1:7" x14ac:dyDescent="0.25">
      <c r="A444">
        <v>442</v>
      </c>
      <c r="B444" s="18">
        <f>'Raw Data'!N445</f>
        <v>17.100000000000001</v>
      </c>
      <c r="C444" s="18">
        <f>'Raw Data'!A445</f>
        <v>9.7241800000000005</v>
      </c>
      <c r="D444" s="5">
        <f>VLOOKUP(B444,'Raw Data'!$N$4:$N$508,1,FALSE)</f>
        <v>17.100000000000001</v>
      </c>
      <c r="E444" s="5">
        <f>_xlfn.XLOOKUP(B444,'Raw Data'!$N$4:$N$509,'Raw Data'!$A$4:$A$509,"Not Found")</f>
        <v>0.35232999999999998</v>
      </c>
      <c r="F444" s="5">
        <f>INDEX('Raw Data'!$A$4:$A$508,MATCH(MAX('Raw Data'!$N$4:$N$508),'Raw Data'!$N$4:$N$508,0))</f>
        <v>1.46336</v>
      </c>
      <c r="G444" s="5">
        <f>INDEX('Raw Data'!$F$4:$F$508,MATCH(MIN('Raw Data'!$N$4:$N$508),'Raw Data'!$N$4:$N$508,0))</f>
        <v>5.8520000000000003</v>
      </c>
    </row>
    <row r="445" spans="1:7" x14ac:dyDescent="0.25">
      <c r="A445">
        <v>443</v>
      </c>
      <c r="B445" s="18">
        <f>'Raw Data'!N446</f>
        <v>18.399999999999999</v>
      </c>
      <c r="C445" s="18">
        <f>'Raw Data'!A446</f>
        <v>5.6663699999999997</v>
      </c>
      <c r="D445" s="5">
        <f>VLOOKUP(B445,'Raw Data'!$N$4:$N$508,1,FALSE)</f>
        <v>18.399999999999999</v>
      </c>
      <c r="E445" s="5">
        <f>_xlfn.XLOOKUP(B445,'Raw Data'!$N$4:$N$509,'Raw Data'!$A$4:$A$509,"Not Found")</f>
        <v>0.77298999999999995</v>
      </c>
      <c r="F445" s="5">
        <f>INDEX('Raw Data'!$A$4:$A$508,MATCH(MAX('Raw Data'!$N$4:$N$508),'Raw Data'!$N$4:$N$508,0))</f>
        <v>1.46336</v>
      </c>
      <c r="G445" s="5">
        <f>INDEX('Raw Data'!$F$4:$F$508,MATCH(MIN('Raw Data'!$N$4:$N$508),'Raw Data'!$N$4:$N$508,0))</f>
        <v>5.8520000000000003</v>
      </c>
    </row>
    <row r="446" spans="1:7" x14ac:dyDescent="0.25">
      <c r="A446">
        <v>444</v>
      </c>
      <c r="B446" s="18">
        <f>'Raw Data'!N447</f>
        <v>15.4</v>
      </c>
      <c r="C446" s="18">
        <f>'Raw Data'!A447</f>
        <v>9.9665400000000002</v>
      </c>
      <c r="D446" s="5">
        <f>VLOOKUP(B446,'Raw Data'!$N$4:$N$508,1,FALSE)</f>
        <v>15.4</v>
      </c>
      <c r="E446" s="5">
        <f>_xlfn.XLOOKUP(B446,'Raw Data'!$N$4:$N$509,'Raw Data'!$A$4:$A$509,"Not Found")</f>
        <v>2.7339699999999998</v>
      </c>
      <c r="F446" s="5">
        <f>INDEX('Raw Data'!$A$4:$A$508,MATCH(MAX('Raw Data'!$N$4:$N$508),'Raw Data'!$N$4:$N$508,0))</f>
        <v>1.46336</v>
      </c>
      <c r="G446" s="5">
        <f>INDEX('Raw Data'!$F$4:$F$508,MATCH(MIN('Raw Data'!$N$4:$N$508),'Raw Data'!$N$4:$N$508,0))</f>
        <v>5.8520000000000003</v>
      </c>
    </row>
    <row r="447" spans="1:7" x14ac:dyDescent="0.25">
      <c r="A447">
        <v>445</v>
      </c>
      <c r="B447" s="18">
        <f>'Raw Data'!N448</f>
        <v>0</v>
      </c>
      <c r="C447" s="18">
        <f>'Raw Data'!A448</f>
        <v>0</v>
      </c>
      <c r="D447" s="5" t="e">
        <f>VLOOKUP(B447,'Raw Data'!$N$4:$N$508,1,FALSE)</f>
        <v>#N/A</v>
      </c>
      <c r="E447" s="5" t="str">
        <f>_xlfn.XLOOKUP(B447,'Raw Data'!$N$4:$N$509,'Raw Data'!$A$4:$A$509,"Not Found")</f>
        <v>Not Found</v>
      </c>
      <c r="F447" s="5">
        <f>INDEX('Raw Data'!$A$4:$A$508,MATCH(MAX('Raw Data'!$N$4:$N$508),'Raw Data'!$N$4:$N$508,0))</f>
        <v>1.46336</v>
      </c>
      <c r="G447" s="5">
        <f>INDEX('Raw Data'!$F$4:$F$508,MATCH(MIN('Raw Data'!$N$4:$N$508),'Raw Data'!$N$4:$N$508,0))</f>
        <v>5.8520000000000003</v>
      </c>
    </row>
    <row r="448" spans="1:7" x14ac:dyDescent="0.25">
      <c r="A448">
        <v>446</v>
      </c>
      <c r="B448" s="18">
        <f>'Raw Data'!N449</f>
        <v>0</v>
      </c>
      <c r="C448" s="18">
        <f>'Raw Data'!A449</f>
        <v>0</v>
      </c>
      <c r="D448" s="5" t="e">
        <f>VLOOKUP(B448,'Raw Data'!$N$4:$N$508,1,FALSE)</f>
        <v>#N/A</v>
      </c>
      <c r="E448" s="5" t="str">
        <f>_xlfn.XLOOKUP(B448,'Raw Data'!$N$4:$N$509,'Raw Data'!$A$4:$A$509,"Not Found")</f>
        <v>Not Found</v>
      </c>
      <c r="F448" s="5">
        <f>INDEX('Raw Data'!$A$4:$A$508,MATCH(MAX('Raw Data'!$N$4:$N$508),'Raw Data'!$N$4:$N$508,0))</f>
        <v>1.46336</v>
      </c>
      <c r="G448" s="5">
        <f>INDEX('Raw Data'!$F$4:$F$508,MATCH(MIN('Raw Data'!$N$4:$N$508),'Raw Data'!$N$4:$N$508,0))</f>
        <v>5.8520000000000003</v>
      </c>
    </row>
    <row r="449" spans="1:7" x14ac:dyDescent="0.25">
      <c r="A449">
        <v>447</v>
      </c>
      <c r="B449" s="18">
        <f>'Raw Data'!N450</f>
        <v>14.9</v>
      </c>
      <c r="C449" s="18">
        <f>'Raw Data'!A450</f>
        <v>6.2880700000000003</v>
      </c>
      <c r="D449" s="5">
        <f>VLOOKUP(B449,'Raw Data'!$N$4:$N$508,1,FALSE)</f>
        <v>14.9</v>
      </c>
      <c r="E449" s="5">
        <f>_xlfn.XLOOKUP(B449,'Raw Data'!$N$4:$N$509,'Raw Data'!$A$4:$A$509,"Not Found")</f>
        <v>6.2880700000000003</v>
      </c>
      <c r="F449" s="5">
        <f>INDEX('Raw Data'!$A$4:$A$508,MATCH(MAX('Raw Data'!$N$4:$N$508),'Raw Data'!$N$4:$N$508,0))</f>
        <v>1.46336</v>
      </c>
      <c r="G449" s="5">
        <f>INDEX('Raw Data'!$F$4:$F$508,MATCH(MIN('Raw Data'!$N$4:$N$508),'Raw Data'!$N$4:$N$508,0))</f>
        <v>5.8520000000000003</v>
      </c>
    </row>
    <row r="450" spans="1:7" x14ac:dyDescent="0.25">
      <c r="A450">
        <v>448</v>
      </c>
      <c r="B450" s="18">
        <f>'Raw Data'!N451</f>
        <v>12.6</v>
      </c>
      <c r="C450" s="18">
        <f>'Raw Data'!A451</f>
        <v>9.9248499999999993</v>
      </c>
      <c r="D450" s="5">
        <f>VLOOKUP(B450,'Raw Data'!$N$4:$N$508,1,FALSE)</f>
        <v>12.6</v>
      </c>
      <c r="E450" s="5">
        <f>_xlfn.XLOOKUP(B450,'Raw Data'!$N$4:$N$509,'Raw Data'!$A$4:$A$509,"Not Found")</f>
        <v>9.9248499999999993</v>
      </c>
      <c r="F450" s="5">
        <f>INDEX('Raw Data'!$A$4:$A$508,MATCH(MAX('Raw Data'!$N$4:$N$508),'Raw Data'!$N$4:$N$508,0))</f>
        <v>1.46336</v>
      </c>
      <c r="G450" s="5">
        <f>INDEX('Raw Data'!$F$4:$F$508,MATCH(MIN('Raw Data'!$N$4:$N$508),'Raw Data'!$N$4:$N$508,0))</f>
        <v>5.8520000000000003</v>
      </c>
    </row>
    <row r="451" spans="1:7" x14ac:dyDescent="0.25">
      <c r="A451">
        <v>449</v>
      </c>
      <c r="B451" s="18">
        <f>'Raw Data'!N452</f>
        <v>14.1</v>
      </c>
      <c r="C451" s="18">
        <f>'Raw Data'!A452</f>
        <v>9.3290900000000008</v>
      </c>
      <c r="D451" s="5">
        <f>VLOOKUP(B451,'Raw Data'!$N$4:$N$508,1,FALSE)</f>
        <v>14.1</v>
      </c>
      <c r="E451" s="5">
        <f>_xlfn.XLOOKUP(B451,'Raw Data'!$N$4:$N$509,'Raw Data'!$A$4:$A$509,"Not Found")</f>
        <v>9.3290900000000008</v>
      </c>
      <c r="F451" s="5">
        <f>INDEX('Raw Data'!$A$4:$A$508,MATCH(MAX('Raw Data'!$N$4:$N$508),'Raw Data'!$N$4:$N$508,0))</f>
        <v>1.46336</v>
      </c>
      <c r="G451" s="5">
        <f>INDEX('Raw Data'!$F$4:$F$508,MATCH(MIN('Raw Data'!$N$4:$N$508),'Raw Data'!$N$4:$N$508,0))</f>
        <v>5.8520000000000003</v>
      </c>
    </row>
    <row r="452" spans="1:7" x14ac:dyDescent="0.25">
      <c r="A452">
        <v>450</v>
      </c>
      <c r="B452" s="18">
        <f>'Raw Data'!N453</f>
        <v>13</v>
      </c>
      <c r="C452" s="18">
        <f>'Raw Data'!A453</f>
        <v>7.5260100000000003</v>
      </c>
      <c r="D452" s="5">
        <f>VLOOKUP(B452,'Raw Data'!$N$4:$N$508,1,FALSE)</f>
        <v>13</v>
      </c>
      <c r="E452" s="5">
        <f>_xlfn.XLOOKUP(B452,'Raw Data'!$N$4:$N$509,'Raw Data'!$A$4:$A$509,"Not Found")</f>
        <v>7.5260100000000003</v>
      </c>
      <c r="F452" s="5">
        <f>INDEX('Raw Data'!$A$4:$A$508,MATCH(MAX('Raw Data'!$N$4:$N$508),'Raw Data'!$N$4:$N$508,0))</f>
        <v>1.46336</v>
      </c>
      <c r="G452" s="5">
        <f>INDEX('Raw Data'!$F$4:$F$508,MATCH(MIN('Raw Data'!$N$4:$N$508),'Raw Data'!$N$4:$N$508,0))</f>
        <v>5.8520000000000003</v>
      </c>
    </row>
    <row r="453" spans="1:7" x14ac:dyDescent="0.25">
      <c r="A453">
        <v>451</v>
      </c>
      <c r="B453" s="18">
        <f>'Raw Data'!N454</f>
        <v>13.4</v>
      </c>
      <c r="C453" s="18">
        <f>'Raw Data'!A454</f>
        <v>6.7177199999999999</v>
      </c>
      <c r="D453" s="5">
        <f>VLOOKUP(B453,'Raw Data'!$N$4:$N$508,1,FALSE)</f>
        <v>13.4</v>
      </c>
      <c r="E453" s="5">
        <f>_xlfn.XLOOKUP(B453,'Raw Data'!$N$4:$N$509,'Raw Data'!$A$4:$A$509,"Not Found")</f>
        <v>3.3210500000000001</v>
      </c>
      <c r="F453" s="5">
        <f>INDEX('Raw Data'!$A$4:$A$508,MATCH(MAX('Raw Data'!$N$4:$N$508),'Raw Data'!$N$4:$N$508,0))</f>
        <v>1.46336</v>
      </c>
      <c r="G453" s="5">
        <f>INDEX('Raw Data'!$F$4:$F$508,MATCH(MIN('Raw Data'!$N$4:$N$508),'Raw Data'!$N$4:$N$508,0))</f>
        <v>5.8520000000000003</v>
      </c>
    </row>
    <row r="454" spans="1:7" x14ac:dyDescent="0.25">
      <c r="A454">
        <v>452</v>
      </c>
      <c r="B454" s="18">
        <f>'Raw Data'!N455</f>
        <v>15.2</v>
      </c>
      <c r="C454" s="18">
        <f>'Raw Data'!A455</f>
        <v>5.4411399999999999</v>
      </c>
      <c r="D454" s="5">
        <f>VLOOKUP(B454,'Raw Data'!$N$4:$N$508,1,FALSE)</f>
        <v>15.2</v>
      </c>
      <c r="E454" s="5">
        <f>_xlfn.XLOOKUP(B454,'Raw Data'!$N$4:$N$509,'Raw Data'!$A$4:$A$509,"Not Found")</f>
        <v>1.23247</v>
      </c>
      <c r="F454" s="5">
        <f>INDEX('Raw Data'!$A$4:$A$508,MATCH(MAX('Raw Data'!$N$4:$N$508),'Raw Data'!$N$4:$N$508,0))</f>
        <v>1.46336</v>
      </c>
      <c r="G454" s="5">
        <f>INDEX('Raw Data'!$F$4:$F$508,MATCH(MIN('Raw Data'!$N$4:$N$508),'Raw Data'!$N$4:$N$508,0))</f>
        <v>5.8520000000000003</v>
      </c>
    </row>
    <row r="455" spans="1:7" x14ac:dyDescent="0.25">
      <c r="A455">
        <v>453</v>
      </c>
      <c r="B455" s="18">
        <f>'Raw Data'!N456</f>
        <v>16.100000000000001</v>
      </c>
      <c r="C455" s="18">
        <f>'Raw Data'!A456</f>
        <v>5.0901699999999996</v>
      </c>
      <c r="D455" s="5">
        <f>VLOOKUP(B455,'Raw Data'!$N$4:$N$508,1,FALSE)</f>
        <v>16.100000000000001</v>
      </c>
      <c r="E455" s="5">
        <f>_xlfn.XLOOKUP(B455,'Raw Data'!$N$4:$N$509,'Raw Data'!$A$4:$A$509,"Not Found")</f>
        <v>2.6354799999999998</v>
      </c>
      <c r="F455" s="5">
        <f>INDEX('Raw Data'!$A$4:$A$508,MATCH(MAX('Raw Data'!$N$4:$N$508),'Raw Data'!$N$4:$N$508,0))</f>
        <v>1.46336</v>
      </c>
      <c r="G455" s="5">
        <f>INDEX('Raw Data'!$F$4:$F$508,MATCH(MIN('Raw Data'!$N$4:$N$508),'Raw Data'!$N$4:$N$508,0))</f>
        <v>5.8520000000000003</v>
      </c>
    </row>
    <row r="456" spans="1:7" x14ac:dyDescent="0.25">
      <c r="A456">
        <v>454</v>
      </c>
      <c r="B456" s="18">
        <f>'Raw Data'!N457</f>
        <v>17.8</v>
      </c>
      <c r="C456" s="18">
        <f>'Raw Data'!A457</f>
        <v>8.2480899999999995</v>
      </c>
      <c r="D456" s="5">
        <f>VLOOKUP(B456,'Raw Data'!$N$4:$N$508,1,FALSE)</f>
        <v>17.8</v>
      </c>
      <c r="E456" s="5">
        <f>_xlfn.XLOOKUP(B456,'Raw Data'!$N$4:$N$509,'Raw Data'!$A$4:$A$509,"Not Found")</f>
        <v>0.54452</v>
      </c>
      <c r="F456" s="5">
        <f>INDEX('Raw Data'!$A$4:$A$508,MATCH(MAX('Raw Data'!$N$4:$N$508),'Raw Data'!$N$4:$N$508,0))</f>
        <v>1.46336</v>
      </c>
      <c r="G456" s="5">
        <f>INDEX('Raw Data'!$F$4:$F$508,MATCH(MIN('Raw Data'!$N$4:$N$508),'Raw Data'!$N$4:$N$508,0))</f>
        <v>5.8520000000000003</v>
      </c>
    </row>
    <row r="457" spans="1:7" x14ac:dyDescent="0.25">
      <c r="A457">
        <v>455</v>
      </c>
      <c r="B457" s="18">
        <f>'Raw Data'!N458</f>
        <v>14.9</v>
      </c>
      <c r="C457" s="18">
        <f>'Raw Data'!A458</f>
        <v>9.5136299999999991</v>
      </c>
      <c r="D457" s="5">
        <f>VLOOKUP(B457,'Raw Data'!$N$4:$N$508,1,FALSE)</f>
        <v>14.9</v>
      </c>
      <c r="E457" s="5">
        <f>_xlfn.XLOOKUP(B457,'Raw Data'!$N$4:$N$509,'Raw Data'!$A$4:$A$509,"Not Found")</f>
        <v>6.2880700000000003</v>
      </c>
      <c r="F457" s="5">
        <f>INDEX('Raw Data'!$A$4:$A$508,MATCH(MAX('Raw Data'!$N$4:$N$508),'Raw Data'!$N$4:$N$508,0))</f>
        <v>1.46336</v>
      </c>
      <c r="G457" s="5">
        <f>INDEX('Raw Data'!$F$4:$F$508,MATCH(MIN('Raw Data'!$N$4:$N$508),'Raw Data'!$N$4:$N$508,0))</f>
        <v>5.8520000000000003</v>
      </c>
    </row>
    <row r="458" spans="1:7" x14ac:dyDescent="0.25">
      <c r="A458">
        <v>456</v>
      </c>
      <c r="B458" s="18">
        <f>'Raw Data'!N459</f>
        <v>14.1</v>
      </c>
      <c r="C458" s="18">
        <f>'Raw Data'!A459</f>
        <v>4.75237</v>
      </c>
      <c r="D458" s="5">
        <f>VLOOKUP(B458,'Raw Data'!$N$4:$N$508,1,FALSE)</f>
        <v>14.1</v>
      </c>
      <c r="E458" s="5">
        <f>_xlfn.XLOOKUP(B458,'Raw Data'!$N$4:$N$509,'Raw Data'!$A$4:$A$509,"Not Found")</f>
        <v>9.3290900000000008</v>
      </c>
      <c r="F458" s="5">
        <f>INDEX('Raw Data'!$A$4:$A$508,MATCH(MAX('Raw Data'!$N$4:$N$508),'Raw Data'!$N$4:$N$508,0))</f>
        <v>1.46336</v>
      </c>
      <c r="G458" s="5">
        <f>INDEX('Raw Data'!$F$4:$F$508,MATCH(MIN('Raw Data'!$N$4:$N$508),'Raw Data'!$N$4:$N$508,0))</f>
        <v>5.8520000000000003</v>
      </c>
    </row>
    <row r="459" spans="1:7" x14ac:dyDescent="0.25">
      <c r="A459">
        <v>457</v>
      </c>
      <c r="B459" s="18">
        <f>'Raw Data'!N460</f>
        <v>12.7</v>
      </c>
      <c r="C459" s="18">
        <f>'Raw Data'!A460</f>
        <v>4.6688299999999998</v>
      </c>
      <c r="D459" s="5">
        <f>VLOOKUP(B459,'Raw Data'!$N$4:$N$508,1,FALSE)</f>
        <v>12.7</v>
      </c>
      <c r="E459" s="5">
        <f>_xlfn.XLOOKUP(B459,'Raw Data'!$N$4:$N$509,'Raw Data'!$A$4:$A$509,"Not Found")</f>
        <v>1.1308100000000001</v>
      </c>
      <c r="F459" s="5">
        <f>INDEX('Raw Data'!$A$4:$A$508,MATCH(MAX('Raw Data'!$N$4:$N$508),'Raw Data'!$N$4:$N$508,0))</f>
        <v>1.46336</v>
      </c>
      <c r="G459" s="5">
        <f>INDEX('Raw Data'!$F$4:$F$508,MATCH(MIN('Raw Data'!$N$4:$N$508),'Raw Data'!$N$4:$N$508,0))</f>
        <v>5.8520000000000003</v>
      </c>
    </row>
    <row r="460" spans="1:7" x14ac:dyDescent="0.25">
      <c r="A460">
        <v>458</v>
      </c>
      <c r="B460" s="18">
        <f>'Raw Data'!N461</f>
        <v>13.5</v>
      </c>
      <c r="C460" s="18">
        <f>'Raw Data'!A461</f>
        <v>8.2005800000000004</v>
      </c>
      <c r="D460" s="5">
        <f>VLOOKUP(B460,'Raw Data'!$N$4:$N$508,1,FALSE)</f>
        <v>13.5</v>
      </c>
      <c r="E460" s="5">
        <f>_xlfn.XLOOKUP(B460,'Raw Data'!$N$4:$N$509,'Raw Data'!$A$4:$A$509,"Not Found")</f>
        <v>1.6128199999999999</v>
      </c>
      <c r="F460" s="5">
        <f>INDEX('Raw Data'!$A$4:$A$508,MATCH(MAX('Raw Data'!$N$4:$N$508),'Raw Data'!$N$4:$N$508,0))</f>
        <v>1.46336</v>
      </c>
      <c r="G460" s="5">
        <f>INDEX('Raw Data'!$F$4:$F$508,MATCH(MIN('Raw Data'!$N$4:$N$508),'Raw Data'!$N$4:$N$508,0))</f>
        <v>5.8520000000000003</v>
      </c>
    </row>
    <row r="461" spans="1:7" x14ac:dyDescent="0.25">
      <c r="A461">
        <v>459</v>
      </c>
      <c r="B461" s="18">
        <f>'Raw Data'!N462</f>
        <v>14.9</v>
      </c>
      <c r="C461" s="18">
        <f>'Raw Data'!A462</f>
        <v>7.75223</v>
      </c>
      <c r="D461" s="5">
        <f>VLOOKUP(B461,'Raw Data'!$N$4:$N$508,1,FALSE)</f>
        <v>14.9</v>
      </c>
      <c r="E461" s="5">
        <f>_xlfn.XLOOKUP(B461,'Raw Data'!$N$4:$N$509,'Raw Data'!$A$4:$A$509,"Not Found")</f>
        <v>6.2880700000000003</v>
      </c>
      <c r="F461" s="5">
        <f>INDEX('Raw Data'!$A$4:$A$508,MATCH(MAX('Raw Data'!$N$4:$N$508),'Raw Data'!$N$4:$N$508,0))</f>
        <v>1.46336</v>
      </c>
      <c r="G461" s="5">
        <f>INDEX('Raw Data'!$F$4:$F$508,MATCH(MIN('Raw Data'!$N$4:$N$508),'Raw Data'!$N$4:$N$508,0))</f>
        <v>5.8520000000000003</v>
      </c>
    </row>
    <row r="462" spans="1:7" x14ac:dyDescent="0.25">
      <c r="A462">
        <v>460</v>
      </c>
      <c r="B462" s="18">
        <f>'Raw Data'!N463</f>
        <v>20</v>
      </c>
      <c r="C462" s="18">
        <f>'Raw Data'!A463</f>
        <v>6.8011699999999999</v>
      </c>
      <c r="D462" s="5">
        <f>VLOOKUP(B462,'Raw Data'!$N$4:$N$508,1,FALSE)</f>
        <v>20</v>
      </c>
      <c r="E462" s="5">
        <f>_xlfn.XLOOKUP(B462,'Raw Data'!$N$4:$N$509,'Raw Data'!$A$4:$A$509,"Not Found")</f>
        <v>9.7439999999999999E-2</v>
      </c>
      <c r="F462" s="5">
        <f>INDEX('Raw Data'!$A$4:$A$508,MATCH(MAX('Raw Data'!$N$4:$N$508),'Raw Data'!$N$4:$N$508,0))</f>
        <v>1.46336</v>
      </c>
      <c r="G462" s="5">
        <f>INDEX('Raw Data'!$F$4:$F$508,MATCH(MIN('Raw Data'!$N$4:$N$508),'Raw Data'!$N$4:$N$508,0))</f>
        <v>5.8520000000000003</v>
      </c>
    </row>
    <row r="463" spans="1:7" x14ac:dyDescent="0.25">
      <c r="A463">
        <v>461</v>
      </c>
      <c r="B463" s="18">
        <f>'Raw Data'!N464</f>
        <v>16.399999999999999</v>
      </c>
      <c r="C463" s="18">
        <f>'Raw Data'!A464</f>
        <v>4.8121299999999998</v>
      </c>
      <c r="D463" s="5">
        <f>VLOOKUP(B463,'Raw Data'!$N$4:$N$508,1,FALSE)</f>
        <v>16.399999999999999</v>
      </c>
      <c r="E463" s="5">
        <f>_xlfn.XLOOKUP(B463,'Raw Data'!$N$4:$N$509,'Raw Data'!$A$4:$A$509,"Not Found")</f>
        <v>4.8121299999999998</v>
      </c>
      <c r="F463" s="5">
        <f>INDEX('Raw Data'!$A$4:$A$508,MATCH(MAX('Raw Data'!$N$4:$N$508),'Raw Data'!$N$4:$N$508,0))</f>
        <v>1.46336</v>
      </c>
      <c r="G463" s="5">
        <f>INDEX('Raw Data'!$F$4:$F$508,MATCH(MIN('Raw Data'!$N$4:$N$508),'Raw Data'!$N$4:$N$508,0))</f>
        <v>5.8520000000000003</v>
      </c>
    </row>
    <row r="464" spans="1:7" x14ac:dyDescent="0.25">
      <c r="A464">
        <v>462</v>
      </c>
      <c r="B464" s="18">
        <f>'Raw Data'!N465</f>
        <v>17.7</v>
      </c>
      <c r="C464" s="18">
        <f>'Raw Data'!A465</f>
        <v>3.6931099999999999</v>
      </c>
      <c r="D464" s="5">
        <f>VLOOKUP(B464,'Raw Data'!$N$4:$N$508,1,FALSE)</f>
        <v>17.7</v>
      </c>
      <c r="E464" s="5">
        <f>_xlfn.XLOOKUP(B464,'Raw Data'!$N$4:$N$509,'Raw Data'!$A$4:$A$509,"Not Found")</f>
        <v>3.6931099999999999</v>
      </c>
      <c r="F464" s="5">
        <f>INDEX('Raw Data'!$A$4:$A$508,MATCH(MAX('Raw Data'!$N$4:$N$508),'Raw Data'!$N$4:$N$508,0))</f>
        <v>1.46336</v>
      </c>
      <c r="G464" s="5">
        <f>INDEX('Raw Data'!$F$4:$F$508,MATCH(MIN('Raw Data'!$N$4:$N$508),'Raw Data'!$N$4:$N$508,0))</f>
        <v>5.8520000000000003</v>
      </c>
    </row>
    <row r="465" spans="1:7" x14ac:dyDescent="0.25">
      <c r="A465">
        <v>463</v>
      </c>
      <c r="B465" s="18">
        <f>'Raw Data'!N466</f>
        <v>19.5</v>
      </c>
      <c r="C465" s="18">
        <f>'Raw Data'!A466</f>
        <v>6.6549199999999997</v>
      </c>
      <c r="D465" s="5">
        <f>VLOOKUP(B465,'Raw Data'!$N$4:$N$508,1,FALSE)</f>
        <v>19.5</v>
      </c>
      <c r="E465" s="5">
        <f>_xlfn.XLOOKUP(B465,'Raw Data'!$N$4:$N$509,'Raw Data'!$A$4:$A$509,"Not Found")</f>
        <v>0.13261999999999999</v>
      </c>
      <c r="F465" s="5">
        <f>INDEX('Raw Data'!$A$4:$A$508,MATCH(MAX('Raw Data'!$N$4:$N$508),'Raw Data'!$N$4:$N$508,0))</f>
        <v>1.46336</v>
      </c>
      <c r="G465" s="5">
        <f>INDEX('Raw Data'!$F$4:$F$508,MATCH(MIN('Raw Data'!$N$4:$N$508),'Raw Data'!$N$4:$N$508,0))</f>
        <v>5.8520000000000003</v>
      </c>
    </row>
    <row r="466" spans="1:7" x14ac:dyDescent="0.25">
      <c r="A466">
        <v>464</v>
      </c>
      <c r="B466" s="18">
        <f>'Raw Data'!N467</f>
        <v>20.2</v>
      </c>
      <c r="C466" s="18">
        <f>'Raw Data'!A467</f>
        <v>5.8211500000000003</v>
      </c>
      <c r="D466" s="5">
        <f>VLOOKUP(B466,'Raw Data'!$N$4:$N$508,1,FALSE)</f>
        <v>20.2</v>
      </c>
      <c r="E466" s="5">
        <f>_xlfn.XLOOKUP(B466,'Raw Data'!$N$4:$N$509,'Raw Data'!$A$4:$A$509,"Not Found")</f>
        <v>0.80271000000000003</v>
      </c>
      <c r="F466" s="5">
        <f>INDEX('Raw Data'!$A$4:$A$508,MATCH(MAX('Raw Data'!$N$4:$N$508),'Raw Data'!$N$4:$N$508,0))</f>
        <v>1.46336</v>
      </c>
      <c r="G466" s="5">
        <f>INDEX('Raw Data'!$F$4:$F$508,MATCH(MIN('Raw Data'!$N$4:$N$508),'Raw Data'!$N$4:$N$508,0))</f>
        <v>5.8520000000000003</v>
      </c>
    </row>
    <row r="467" spans="1:7" x14ac:dyDescent="0.25">
      <c r="A467">
        <v>465</v>
      </c>
      <c r="B467" s="18">
        <f>'Raw Data'!N468</f>
        <v>21.4</v>
      </c>
      <c r="C467" s="18">
        <f>'Raw Data'!A468</f>
        <v>7.8393199999999998</v>
      </c>
      <c r="D467" s="5">
        <f>VLOOKUP(B467,'Raw Data'!$N$4:$N$508,1,FALSE)</f>
        <v>21.4</v>
      </c>
      <c r="E467" s="5">
        <f>_xlfn.XLOOKUP(B467,'Raw Data'!$N$4:$N$509,'Raw Data'!$A$4:$A$509,"Not Found")</f>
        <v>9.5119999999999996E-2</v>
      </c>
      <c r="F467" s="5">
        <f>INDEX('Raw Data'!$A$4:$A$508,MATCH(MAX('Raw Data'!$N$4:$N$508),'Raw Data'!$N$4:$N$508,0))</f>
        <v>1.46336</v>
      </c>
      <c r="G467" s="5">
        <f>INDEX('Raw Data'!$F$4:$F$508,MATCH(MIN('Raw Data'!$N$4:$N$508),'Raw Data'!$N$4:$N$508,0))</f>
        <v>5.8520000000000003</v>
      </c>
    </row>
    <row r="468" spans="1:7" x14ac:dyDescent="0.25">
      <c r="A468">
        <v>466</v>
      </c>
      <c r="B468" s="18">
        <f>'Raw Data'!N469</f>
        <v>19.899999999999999</v>
      </c>
      <c r="C468" s="18">
        <f>'Raw Data'!A469</f>
        <v>3.1636000000000002</v>
      </c>
      <c r="D468" s="5">
        <f>VLOOKUP(B468,'Raw Data'!$N$4:$N$508,1,FALSE)</f>
        <v>19.899999999999999</v>
      </c>
      <c r="E468" s="5">
        <f>_xlfn.XLOOKUP(B468,'Raw Data'!$N$4:$N$509,'Raw Data'!$A$4:$A$509,"Not Found")</f>
        <v>0.62739</v>
      </c>
      <c r="F468" s="5">
        <f>INDEX('Raw Data'!$A$4:$A$508,MATCH(MAX('Raw Data'!$N$4:$N$508),'Raw Data'!$N$4:$N$508,0))</f>
        <v>1.46336</v>
      </c>
      <c r="G468" s="5">
        <f>INDEX('Raw Data'!$F$4:$F$508,MATCH(MIN('Raw Data'!$N$4:$N$508),'Raw Data'!$N$4:$N$508,0))</f>
        <v>5.8520000000000003</v>
      </c>
    </row>
    <row r="469" spans="1:7" x14ac:dyDescent="0.25">
      <c r="A469">
        <v>467</v>
      </c>
      <c r="B469" s="18">
        <f>'Raw Data'!N470</f>
        <v>19</v>
      </c>
      <c r="C469" s="18">
        <f>'Raw Data'!A470</f>
        <v>3.7749799999999998</v>
      </c>
      <c r="D469" s="5">
        <f>VLOOKUP(B469,'Raw Data'!$N$4:$N$508,1,FALSE)</f>
        <v>19</v>
      </c>
      <c r="E469" s="5">
        <f>_xlfn.XLOOKUP(B469,'Raw Data'!$N$4:$N$509,'Raw Data'!$A$4:$A$509,"Not Found")</f>
        <v>5.4969999999999998E-2</v>
      </c>
      <c r="F469" s="5">
        <f>INDEX('Raw Data'!$A$4:$A$508,MATCH(MAX('Raw Data'!$N$4:$N$508),'Raw Data'!$N$4:$N$508,0))</f>
        <v>1.46336</v>
      </c>
      <c r="G469" s="5">
        <f>INDEX('Raw Data'!$F$4:$F$508,MATCH(MIN('Raw Data'!$N$4:$N$508),'Raw Data'!$N$4:$N$508,0))</f>
        <v>5.8520000000000003</v>
      </c>
    </row>
    <row r="470" spans="1:7" x14ac:dyDescent="0.25">
      <c r="A470">
        <v>468</v>
      </c>
      <c r="B470" s="18">
        <f>'Raw Data'!N471</f>
        <v>19.100000000000001</v>
      </c>
      <c r="C470" s="18">
        <f>'Raw Data'!A471</f>
        <v>4.4222799999999998</v>
      </c>
      <c r="D470" s="5">
        <f>VLOOKUP(B470,'Raw Data'!$N$4:$N$508,1,FALSE)</f>
        <v>19.100000000000001</v>
      </c>
      <c r="E470" s="5">
        <f>_xlfn.XLOOKUP(B470,'Raw Data'!$N$4:$N$509,'Raw Data'!$A$4:$A$509,"Not Found")</f>
        <v>2.3138999999999998</v>
      </c>
      <c r="F470" s="5">
        <f>INDEX('Raw Data'!$A$4:$A$508,MATCH(MAX('Raw Data'!$N$4:$N$508),'Raw Data'!$N$4:$N$508,0))</f>
        <v>1.46336</v>
      </c>
      <c r="G470" s="5">
        <f>INDEX('Raw Data'!$F$4:$F$508,MATCH(MIN('Raw Data'!$N$4:$N$508),'Raw Data'!$N$4:$N$508,0))</f>
        <v>5.8520000000000003</v>
      </c>
    </row>
    <row r="471" spans="1:7" x14ac:dyDescent="0.25">
      <c r="A471">
        <v>469</v>
      </c>
      <c r="B471" s="18">
        <f>'Raw Data'!N472</f>
        <v>0</v>
      </c>
      <c r="C471" s="18">
        <f>'Raw Data'!A472</f>
        <v>0</v>
      </c>
      <c r="D471" s="5" t="e">
        <f>VLOOKUP(B471,'Raw Data'!$N$4:$N$508,1,FALSE)</f>
        <v>#N/A</v>
      </c>
      <c r="E471" s="5" t="str">
        <f>_xlfn.XLOOKUP(B471,'Raw Data'!$N$4:$N$509,'Raw Data'!$A$4:$A$509,"Not Found")</f>
        <v>Not Found</v>
      </c>
      <c r="F471" s="5">
        <f>INDEX('Raw Data'!$A$4:$A$508,MATCH(MAX('Raw Data'!$N$4:$N$508),'Raw Data'!$N$4:$N$508,0))</f>
        <v>1.46336</v>
      </c>
      <c r="G471" s="5">
        <f>INDEX('Raw Data'!$F$4:$F$508,MATCH(MIN('Raw Data'!$N$4:$N$508),'Raw Data'!$N$4:$N$508,0))</f>
        <v>5.8520000000000003</v>
      </c>
    </row>
    <row r="472" spans="1:7" x14ac:dyDescent="0.25">
      <c r="A472">
        <v>470</v>
      </c>
      <c r="B472" s="18">
        <f>'Raw Data'!N473</f>
        <v>0</v>
      </c>
      <c r="C472" s="18">
        <f>'Raw Data'!A473</f>
        <v>0</v>
      </c>
      <c r="D472" s="5" t="e">
        <f>VLOOKUP(B472,'Raw Data'!$N$4:$N$508,1,FALSE)</f>
        <v>#N/A</v>
      </c>
      <c r="E472" s="5" t="str">
        <f>_xlfn.XLOOKUP(B472,'Raw Data'!$N$4:$N$509,'Raw Data'!$A$4:$A$509,"Not Found")</f>
        <v>Not Found</v>
      </c>
      <c r="F472" s="5">
        <f>INDEX('Raw Data'!$A$4:$A$508,MATCH(MAX('Raw Data'!$N$4:$N$508),'Raw Data'!$N$4:$N$508,0))</f>
        <v>1.46336</v>
      </c>
      <c r="G472" s="5">
        <f>INDEX('Raw Data'!$F$4:$F$508,MATCH(MIN('Raw Data'!$N$4:$N$508),'Raw Data'!$N$4:$N$508,0))</f>
        <v>5.8520000000000003</v>
      </c>
    </row>
    <row r="473" spans="1:7" x14ac:dyDescent="0.25">
      <c r="A473">
        <v>471</v>
      </c>
      <c r="B473" s="18">
        <f>'Raw Data'!N474</f>
        <v>19.899999999999999</v>
      </c>
      <c r="C473" s="18">
        <f>'Raw Data'!A474</f>
        <v>4.3487900000000002</v>
      </c>
      <c r="D473" s="5">
        <f>VLOOKUP(B473,'Raw Data'!$N$4:$N$508,1,FALSE)</f>
        <v>19.899999999999999</v>
      </c>
      <c r="E473" s="5">
        <f>_xlfn.XLOOKUP(B473,'Raw Data'!$N$4:$N$509,'Raw Data'!$A$4:$A$509,"Not Found")</f>
        <v>0.62739</v>
      </c>
      <c r="F473" s="5">
        <f>INDEX('Raw Data'!$A$4:$A$508,MATCH(MAX('Raw Data'!$N$4:$N$508),'Raw Data'!$N$4:$N$508,0))</f>
        <v>1.46336</v>
      </c>
      <c r="G473" s="5">
        <f>INDEX('Raw Data'!$F$4:$F$508,MATCH(MIN('Raw Data'!$N$4:$N$508),'Raw Data'!$N$4:$N$508,0))</f>
        <v>5.8520000000000003</v>
      </c>
    </row>
    <row r="474" spans="1:7" x14ac:dyDescent="0.25">
      <c r="A474">
        <v>472</v>
      </c>
      <c r="B474" s="18">
        <f>'Raw Data'!N475</f>
        <v>19.600000000000001</v>
      </c>
      <c r="C474" s="18">
        <f>'Raw Data'!A475</f>
        <v>4.0384099999999998</v>
      </c>
      <c r="D474" s="5">
        <f>VLOOKUP(B474,'Raw Data'!$N$4:$N$508,1,FALSE)</f>
        <v>19.600000000000001</v>
      </c>
      <c r="E474" s="5">
        <f>_xlfn.XLOOKUP(B474,'Raw Data'!$N$4:$N$509,'Raw Data'!$A$4:$A$509,"Not Found")</f>
        <v>0.85204000000000002</v>
      </c>
      <c r="F474" s="5">
        <f>INDEX('Raw Data'!$A$4:$A$508,MATCH(MAX('Raw Data'!$N$4:$N$508),'Raw Data'!$N$4:$N$508,0))</f>
        <v>1.46336</v>
      </c>
      <c r="G474" s="5">
        <f>INDEX('Raw Data'!$F$4:$F$508,MATCH(MIN('Raw Data'!$N$4:$N$508),'Raw Data'!$N$4:$N$508,0))</f>
        <v>5.8520000000000003</v>
      </c>
    </row>
    <row r="475" spans="1:7" x14ac:dyDescent="0.25">
      <c r="A475">
        <v>473</v>
      </c>
      <c r="B475" s="18">
        <f>'Raw Data'!N476</f>
        <v>23.2</v>
      </c>
      <c r="C475" s="18">
        <f>'Raw Data'!A476</f>
        <v>3.5686800000000001</v>
      </c>
      <c r="D475" s="5">
        <f>VLOOKUP(B475,'Raw Data'!$N$4:$N$508,1,FALSE)</f>
        <v>23.2</v>
      </c>
      <c r="E475" s="5">
        <f>_xlfn.XLOOKUP(B475,'Raw Data'!$N$4:$N$509,'Raw Data'!$A$4:$A$509,"Not Found")</f>
        <v>7.0220000000000005E-2</v>
      </c>
      <c r="F475" s="5">
        <f>INDEX('Raw Data'!$A$4:$A$508,MATCH(MAX('Raw Data'!$N$4:$N$508),'Raw Data'!$N$4:$N$508,0))</f>
        <v>1.46336</v>
      </c>
      <c r="G475" s="5">
        <f>INDEX('Raw Data'!$F$4:$F$508,MATCH(MIN('Raw Data'!$N$4:$N$508),'Raw Data'!$N$4:$N$508,0))</f>
        <v>5.8520000000000003</v>
      </c>
    </row>
    <row r="476" spans="1:7" x14ac:dyDescent="0.25">
      <c r="A476">
        <v>474</v>
      </c>
      <c r="B476" s="18">
        <f>'Raw Data'!N477</f>
        <v>29.8</v>
      </c>
      <c r="C476" s="18">
        <f>'Raw Data'!A477</f>
        <v>4.64689</v>
      </c>
      <c r="D476" s="5">
        <f>VLOOKUP(B476,'Raw Data'!$N$4:$N$508,1,FALSE)</f>
        <v>29.8</v>
      </c>
      <c r="E476" s="5">
        <f>_xlfn.XLOOKUP(B476,'Raw Data'!$N$4:$N$509,'Raw Data'!$A$4:$A$509,"Not Found")</f>
        <v>0.12579000000000001</v>
      </c>
      <c r="F476" s="5">
        <f>INDEX('Raw Data'!$A$4:$A$508,MATCH(MAX('Raw Data'!$N$4:$N$508),'Raw Data'!$N$4:$N$508,0))</f>
        <v>1.46336</v>
      </c>
      <c r="G476" s="5">
        <f>INDEX('Raw Data'!$F$4:$F$508,MATCH(MIN('Raw Data'!$N$4:$N$508),'Raw Data'!$N$4:$N$508,0))</f>
        <v>5.8520000000000003</v>
      </c>
    </row>
    <row r="477" spans="1:7" x14ac:dyDescent="0.25">
      <c r="A477">
        <v>475</v>
      </c>
      <c r="B477" s="18">
        <f>'Raw Data'!N478</f>
        <v>13.8</v>
      </c>
      <c r="C477" s="18">
        <f>'Raw Data'!A478</f>
        <v>8.05579</v>
      </c>
      <c r="D477" s="5">
        <f>VLOOKUP(B477,'Raw Data'!$N$4:$N$508,1,FALSE)</f>
        <v>13.8</v>
      </c>
      <c r="E477" s="5">
        <f>_xlfn.XLOOKUP(B477,'Raw Data'!$N$4:$N$509,'Raw Data'!$A$4:$A$509,"Not Found")</f>
        <v>2.37934</v>
      </c>
      <c r="F477" s="5">
        <f>INDEX('Raw Data'!$A$4:$A$508,MATCH(MAX('Raw Data'!$N$4:$N$508),'Raw Data'!$N$4:$N$508,0))</f>
        <v>1.46336</v>
      </c>
      <c r="G477" s="5">
        <f>INDEX('Raw Data'!$F$4:$F$508,MATCH(MIN('Raw Data'!$N$4:$N$508),'Raw Data'!$N$4:$N$508,0))</f>
        <v>5.8520000000000003</v>
      </c>
    </row>
    <row r="478" spans="1:7" x14ac:dyDescent="0.25">
      <c r="A478">
        <v>476</v>
      </c>
      <c r="B478" s="18">
        <f>'Raw Data'!N479</f>
        <v>13.3</v>
      </c>
      <c r="C478" s="18">
        <f>'Raw Data'!A479</f>
        <v>6.3931199999999997</v>
      </c>
      <c r="D478" s="5">
        <f>VLOOKUP(B478,'Raw Data'!$N$4:$N$508,1,FALSE)</f>
        <v>13.3</v>
      </c>
      <c r="E478" s="5">
        <f>_xlfn.XLOOKUP(B478,'Raw Data'!$N$4:$N$509,'Raw Data'!$A$4:$A$509,"Not Found")</f>
        <v>0.24979999999999999</v>
      </c>
      <c r="F478" s="5">
        <f>INDEX('Raw Data'!$A$4:$A$508,MATCH(MAX('Raw Data'!$N$4:$N$508),'Raw Data'!$N$4:$N$508,0))</f>
        <v>1.46336</v>
      </c>
      <c r="G478" s="5">
        <f>INDEX('Raw Data'!$F$4:$F$508,MATCH(MIN('Raw Data'!$N$4:$N$508),'Raw Data'!$N$4:$N$508,0))</f>
        <v>5.8520000000000003</v>
      </c>
    </row>
    <row r="479" spans="1:7" x14ac:dyDescent="0.25">
      <c r="A479">
        <v>477</v>
      </c>
      <c r="B479" s="18">
        <f>'Raw Data'!N480</f>
        <v>16.7</v>
      </c>
      <c r="C479" s="18">
        <f>'Raw Data'!A480</f>
        <v>4.87141</v>
      </c>
      <c r="D479" s="5">
        <f>VLOOKUP(B479,'Raw Data'!$N$4:$N$508,1,FALSE)</f>
        <v>16.7</v>
      </c>
      <c r="E479" s="5">
        <f>_xlfn.XLOOKUP(B479,'Raw Data'!$N$4:$N$509,'Raw Data'!$A$4:$A$509,"Not Found")</f>
        <v>4.87141</v>
      </c>
      <c r="F479" s="5">
        <f>INDEX('Raw Data'!$A$4:$A$508,MATCH(MAX('Raw Data'!$N$4:$N$508),'Raw Data'!$N$4:$N$508,0))</f>
        <v>1.46336</v>
      </c>
      <c r="G479" s="5">
        <f>INDEX('Raw Data'!$F$4:$F$508,MATCH(MIN('Raw Data'!$N$4:$N$508),'Raw Data'!$N$4:$N$508,0))</f>
        <v>5.8520000000000003</v>
      </c>
    </row>
    <row r="480" spans="1:7" x14ac:dyDescent="0.25">
      <c r="A480">
        <v>478</v>
      </c>
      <c r="B480" s="18">
        <f>'Raw Data'!N481</f>
        <v>0</v>
      </c>
      <c r="C480" s="18">
        <f>'Raw Data'!A481</f>
        <v>0</v>
      </c>
      <c r="D480" s="5" t="e">
        <f>VLOOKUP(B480,'Raw Data'!$N$4:$N$508,1,FALSE)</f>
        <v>#N/A</v>
      </c>
      <c r="E480" s="5" t="str">
        <f>_xlfn.XLOOKUP(B480,'Raw Data'!$N$4:$N$509,'Raw Data'!$A$4:$A$509,"Not Found")</f>
        <v>Not Found</v>
      </c>
      <c r="F480" s="5">
        <f>INDEX('Raw Data'!$A$4:$A$508,MATCH(MAX('Raw Data'!$N$4:$N$508),'Raw Data'!$N$4:$N$508,0))</f>
        <v>1.46336</v>
      </c>
      <c r="G480" s="5">
        <f>INDEX('Raw Data'!$F$4:$F$508,MATCH(MIN('Raw Data'!$N$4:$N$508),'Raw Data'!$N$4:$N$508,0))</f>
        <v>5.8520000000000003</v>
      </c>
    </row>
    <row r="481" spans="1:7" x14ac:dyDescent="0.25">
      <c r="A481">
        <v>479</v>
      </c>
      <c r="B481" s="18">
        <f>'Raw Data'!N482</f>
        <v>0</v>
      </c>
      <c r="C481" s="18">
        <f>'Raw Data'!A482</f>
        <v>0</v>
      </c>
      <c r="D481" s="5" t="e">
        <f>VLOOKUP(B481,'Raw Data'!$N$4:$N$508,1,FALSE)</f>
        <v>#N/A</v>
      </c>
      <c r="E481" s="5" t="str">
        <f>_xlfn.XLOOKUP(B481,'Raw Data'!$N$4:$N$509,'Raw Data'!$A$4:$A$509,"Not Found")</f>
        <v>Not Found</v>
      </c>
      <c r="F481" s="5">
        <f>INDEX('Raw Data'!$A$4:$A$508,MATCH(MAX('Raw Data'!$N$4:$N$508),'Raw Data'!$N$4:$N$508,0))</f>
        <v>1.46336</v>
      </c>
      <c r="G481" s="5">
        <f>INDEX('Raw Data'!$F$4:$F$508,MATCH(MIN('Raw Data'!$N$4:$N$508),'Raw Data'!$N$4:$N$508,0))</f>
        <v>5.8520000000000003</v>
      </c>
    </row>
    <row r="482" spans="1:7" x14ac:dyDescent="0.25">
      <c r="A482">
        <v>480</v>
      </c>
      <c r="B482" s="18">
        <f>'Raw Data'!N483</f>
        <v>0</v>
      </c>
      <c r="C482" s="18">
        <f>'Raw Data'!A483</f>
        <v>0</v>
      </c>
      <c r="D482" s="5" t="e">
        <f>VLOOKUP(B482,'Raw Data'!$N$4:$N$508,1,FALSE)</f>
        <v>#N/A</v>
      </c>
      <c r="E482" s="5" t="str">
        <f>_xlfn.XLOOKUP(B482,'Raw Data'!$N$4:$N$509,'Raw Data'!$A$4:$A$509,"Not Found")</f>
        <v>Not Found</v>
      </c>
      <c r="F482" s="5">
        <f>INDEX('Raw Data'!$A$4:$A$508,MATCH(MAX('Raw Data'!$N$4:$N$508),'Raw Data'!$N$4:$N$508,0))</f>
        <v>1.46336</v>
      </c>
      <c r="G482" s="5">
        <f>INDEX('Raw Data'!$F$4:$F$508,MATCH(MIN('Raw Data'!$N$4:$N$508),'Raw Data'!$N$4:$N$508,0))</f>
        <v>5.8520000000000003</v>
      </c>
    </row>
    <row r="483" spans="1:7" x14ac:dyDescent="0.25">
      <c r="A483">
        <v>481</v>
      </c>
      <c r="B483" s="18">
        <f>'Raw Data'!N484</f>
        <v>23</v>
      </c>
      <c r="C483" s="18">
        <f>'Raw Data'!A484</f>
        <v>5.8240100000000004</v>
      </c>
      <c r="D483" s="5">
        <f>VLOOKUP(B483,'Raw Data'!$N$4:$N$508,1,FALSE)</f>
        <v>23</v>
      </c>
      <c r="E483" s="5">
        <f>_xlfn.XLOOKUP(B483,'Raw Data'!$N$4:$N$509,'Raw Data'!$A$4:$A$509,"Not Found")</f>
        <v>0.59004999999999996</v>
      </c>
      <c r="F483" s="5">
        <f>INDEX('Raw Data'!$A$4:$A$508,MATCH(MAX('Raw Data'!$N$4:$N$508),'Raw Data'!$N$4:$N$508,0))</f>
        <v>1.46336</v>
      </c>
      <c r="G483" s="5">
        <f>INDEX('Raw Data'!$F$4:$F$508,MATCH(MIN('Raw Data'!$N$4:$N$508),'Raw Data'!$N$4:$N$508,0))</f>
        <v>5.8520000000000003</v>
      </c>
    </row>
    <row r="484" spans="1:7" x14ac:dyDescent="0.25">
      <c r="A484">
        <v>482</v>
      </c>
      <c r="B484" s="18">
        <f>'Raw Data'!N485</f>
        <v>23.7</v>
      </c>
      <c r="C484" s="18">
        <f>'Raw Data'!A485</f>
        <v>5.7081799999999996</v>
      </c>
      <c r="D484" s="5">
        <f>VLOOKUP(B484,'Raw Data'!$N$4:$N$508,1,FALSE)</f>
        <v>23.7</v>
      </c>
      <c r="E484" s="5">
        <f>_xlfn.XLOOKUP(B484,'Raw Data'!$N$4:$N$509,'Raw Data'!$A$4:$A$509,"Not Found")</f>
        <v>0.28954999999999997</v>
      </c>
      <c r="F484" s="5">
        <f>INDEX('Raw Data'!$A$4:$A$508,MATCH(MAX('Raw Data'!$N$4:$N$508),'Raw Data'!$N$4:$N$508,0))</f>
        <v>1.46336</v>
      </c>
      <c r="G484" s="5">
        <f>INDEX('Raw Data'!$F$4:$F$508,MATCH(MIN('Raw Data'!$N$4:$N$508),'Raw Data'!$N$4:$N$508,0))</f>
        <v>5.8520000000000003</v>
      </c>
    </row>
    <row r="485" spans="1:7" x14ac:dyDescent="0.25">
      <c r="A485">
        <v>483</v>
      </c>
      <c r="B485" s="18">
        <f>'Raw Data'!N486</f>
        <v>25</v>
      </c>
      <c r="C485" s="18">
        <f>'Raw Data'!A486</f>
        <v>5.73116</v>
      </c>
      <c r="D485" s="5">
        <f>VLOOKUP(B485,'Raw Data'!$N$4:$N$508,1,FALSE)</f>
        <v>25</v>
      </c>
      <c r="E485" s="5">
        <f>_xlfn.XLOOKUP(B485,'Raw Data'!$N$4:$N$509,'Raw Data'!$A$4:$A$509,"Not Found")</f>
        <v>5.3600000000000002E-2</v>
      </c>
      <c r="F485" s="5">
        <f>INDEX('Raw Data'!$A$4:$A$508,MATCH(MAX('Raw Data'!$N$4:$N$508),'Raw Data'!$N$4:$N$508,0))</f>
        <v>1.46336</v>
      </c>
      <c r="G485" s="5">
        <f>INDEX('Raw Data'!$F$4:$F$508,MATCH(MIN('Raw Data'!$N$4:$N$508),'Raw Data'!$N$4:$N$508,0))</f>
        <v>5.8520000000000003</v>
      </c>
    </row>
    <row r="486" spans="1:7" x14ac:dyDescent="0.25">
      <c r="A486">
        <v>484</v>
      </c>
      <c r="B486" s="18">
        <f>'Raw Data'!N487</f>
        <v>21.8</v>
      </c>
      <c r="C486" s="18">
        <f>'Raw Data'!A487</f>
        <v>2.8183799999999999</v>
      </c>
      <c r="D486" s="5">
        <f>VLOOKUP(B486,'Raw Data'!$N$4:$N$508,1,FALSE)</f>
        <v>21.8</v>
      </c>
      <c r="E486" s="5">
        <f>_xlfn.XLOOKUP(B486,'Raw Data'!$N$4:$N$509,'Raw Data'!$A$4:$A$509,"Not Found")</f>
        <v>2.8183799999999999</v>
      </c>
      <c r="F486" s="5">
        <f>INDEX('Raw Data'!$A$4:$A$508,MATCH(MAX('Raw Data'!$N$4:$N$508),'Raw Data'!$N$4:$N$508,0))</f>
        <v>1.46336</v>
      </c>
      <c r="G486" s="5">
        <f>INDEX('Raw Data'!$F$4:$F$508,MATCH(MIN('Raw Data'!$N$4:$N$508),'Raw Data'!$N$4:$N$508,0))</f>
        <v>5.8520000000000003</v>
      </c>
    </row>
    <row r="487" spans="1:7" x14ac:dyDescent="0.25">
      <c r="A487">
        <v>485</v>
      </c>
      <c r="B487" s="18">
        <f>'Raw Data'!N488</f>
        <v>20.6</v>
      </c>
      <c r="C487" s="18">
        <f>'Raw Data'!A488</f>
        <v>2.3785699999999999</v>
      </c>
      <c r="D487" s="5">
        <f>VLOOKUP(B487,'Raw Data'!$N$4:$N$508,1,FALSE)</f>
        <v>20.6</v>
      </c>
      <c r="E487" s="5">
        <f>_xlfn.XLOOKUP(B487,'Raw Data'!$N$4:$N$509,'Raw Data'!$A$4:$A$509,"Not Found")</f>
        <v>4.2939999999999999E-2</v>
      </c>
      <c r="F487" s="5">
        <f>INDEX('Raw Data'!$A$4:$A$508,MATCH(MAX('Raw Data'!$N$4:$N$508),'Raw Data'!$N$4:$N$508,0))</f>
        <v>1.46336</v>
      </c>
      <c r="G487" s="5">
        <f>INDEX('Raw Data'!$F$4:$F$508,MATCH(MIN('Raw Data'!$N$4:$N$508),'Raw Data'!$N$4:$N$508,0))</f>
        <v>5.8520000000000003</v>
      </c>
    </row>
    <row r="488" spans="1:7" x14ac:dyDescent="0.25">
      <c r="A488">
        <v>486</v>
      </c>
      <c r="B488" s="18">
        <f>'Raw Data'!N489</f>
        <v>21.2</v>
      </c>
      <c r="C488" s="18">
        <f>'Raw Data'!A489</f>
        <v>3.67367</v>
      </c>
      <c r="D488" s="5">
        <f>VLOOKUP(B488,'Raw Data'!$N$4:$N$508,1,FALSE)</f>
        <v>21.2</v>
      </c>
      <c r="E488" s="5">
        <f>_xlfn.XLOOKUP(B488,'Raw Data'!$N$4:$N$509,'Raw Data'!$A$4:$A$509,"Not Found")</f>
        <v>0.12268999999999999</v>
      </c>
      <c r="F488" s="5">
        <f>INDEX('Raw Data'!$A$4:$A$508,MATCH(MAX('Raw Data'!$N$4:$N$508),'Raw Data'!$N$4:$N$508,0))</f>
        <v>1.46336</v>
      </c>
      <c r="G488" s="5">
        <f>INDEX('Raw Data'!$F$4:$F$508,MATCH(MIN('Raw Data'!$N$4:$N$508),'Raw Data'!$N$4:$N$508,0))</f>
        <v>5.8520000000000003</v>
      </c>
    </row>
    <row r="489" spans="1:7" x14ac:dyDescent="0.25">
      <c r="A489">
        <v>487</v>
      </c>
      <c r="B489" s="18">
        <f>'Raw Data'!N490</f>
        <v>19.100000000000001</v>
      </c>
      <c r="C489" s="18">
        <f>'Raw Data'!A490</f>
        <v>5.6917499999999999</v>
      </c>
      <c r="D489" s="5">
        <f>VLOOKUP(B489,'Raw Data'!$N$4:$N$508,1,FALSE)</f>
        <v>19.100000000000001</v>
      </c>
      <c r="E489" s="5">
        <f>_xlfn.XLOOKUP(B489,'Raw Data'!$N$4:$N$509,'Raw Data'!$A$4:$A$509,"Not Found")</f>
        <v>2.3138999999999998</v>
      </c>
      <c r="F489" s="5">
        <f>INDEX('Raw Data'!$A$4:$A$508,MATCH(MAX('Raw Data'!$N$4:$N$508),'Raw Data'!$N$4:$N$508,0))</f>
        <v>1.46336</v>
      </c>
      <c r="G489" s="5">
        <f>INDEX('Raw Data'!$F$4:$F$508,MATCH(MIN('Raw Data'!$N$4:$N$508),'Raw Data'!$N$4:$N$508,0))</f>
        <v>5.8520000000000003</v>
      </c>
    </row>
    <row r="490" spans="1:7" x14ac:dyDescent="0.25">
      <c r="A490">
        <v>488</v>
      </c>
      <c r="B490" s="18">
        <f>'Raw Data'!N491</f>
        <v>20.6</v>
      </c>
      <c r="C490" s="18">
        <f>'Raw Data'!A491</f>
        <v>4.8356700000000004</v>
      </c>
      <c r="D490" s="5">
        <f>VLOOKUP(B490,'Raw Data'!$N$4:$N$508,1,FALSE)</f>
        <v>20.6</v>
      </c>
      <c r="E490" s="5">
        <f>_xlfn.XLOOKUP(B490,'Raw Data'!$N$4:$N$509,'Raw Data'!$A$4:$A$509,"Not Found")</f>
        <v>4.2939999999999999E-2</v>
      </c>
      <c r="F490" s="5">
        <f>INDEX('Raw Data'!$A$4:$A$508,MATCH(MAX('Raw Data'!$N$4:$N$508),'Raw Data'!$N$4:$N$508,0))</f>
        <v>1.46336</v>
      </c>
      <c r="G490" s="5">
        <f>INDEX('Raw Data'!$F$4:$F$508,MATCH(MIN('Raw Data'!$N$4:$N$508),'Raw Data'!$N$4:$N$508,0))</f>
        <v>5.8520000000000003</v>
      </c>
    </row>
    <row r="491" spans="1:7" x14ac:dyDescent="0.25">
      <c r="A491">
        <v>489</v>
      </c>
      <c r="B491" s="18">
        <f>'Raw Data'!N492</f>
        <v>15.2</v>
      </c>
      <c r="C491" s="18">
        <f>'Raw Data'!A492</f>
        <v>0.15085999999999999</v>
      </c>
      <c r="D491" s="5">
        <f>VLOOKUP(B491,'Raw Data'!$N$4:$N$508,1,FALSE)</f>
        <v>15.2</v>
      </c>
      <c r="E491" s="5">
        <f>_xlfn.XLOOKUP(B491,'Raw Data'!$N$4:$N$509,'Raw Data'!$A$4:$A$509,"Not Found")</f>
        <v>1.23247</v>
      </c>
      <c r="F491" s="5">
        <f>INDEX('Raw Data'!$A$4:$A$508,MATCH(MAX('Raw Data'!$N$4:$N$508),'Raw Data'!$N$4:$N$508,0))</f>
        <v>1.46336</v>
      </c>
      <c r="G491" s="5">
        <f>INDEX('Raw Data'!$F$4:$F$508,MATCH(MIN('Raw Data'!$N$4:$N$508),'Raw Data'!$N$4:$N$508,0))</f>
        <v>5.8520000000000003</v>
      </c>
    </row>
    <row r="492" spans="1:7" x14ac:dyDescent="0.25">
      <c r="A492">
        <v>490</v>
      </c>
      <c r="B492" s="18">
        <f>'Raw Data'!N493</f>
        <v>7</v>
      </c>
      <c r="C492" s="18">
        <f>'Raw Data'!A493</f>
        <v>0.18337000000000001</v>
      </c>
      <c r="D492" s="5">
        <f>VLOOKUP(B492,'Raw Data'!$N$4:$N$508,1,FALSE)</f>
        <v>7</v>
      </c>
      <c r="E492" s="5">
        <f>_xlfn.XLOOKUP(B492,'Raw Data'!$N$4:$N$509,'Raw Data'!$A$4:$A$509,"Not Found")</f>
        <v>0.18337000000000001</v>
      </c>
      <c r="F492" s="5">
        <f>INDEX('Raw Data'!$A$4:$A$508,MATCH(MAX('Raw Data'!$N$4:$N$508),'Raw Data'!$N$4:$N$508,0))</f>
        <v>1.46336</v>
      </c>
      <c r="G492" s="5">
        <f>INDEX('Raw Data'!$F$4:$F$508,MATCH(MIN('Raw Data'!$N$4:$N$508),'Raw Data'!$N$4:$N$508,0))</f>
        <v>5.8520000000000003</v>
      </c>
    </row>
    <row r="493" spans="1:7" x14ac:dyDescent="0.25">
      <c r="A493">
        <v>491</v>
      </c>
      <c r="B493" s="18">
        <f>'Raw Data'!N494</f>
        <v>8.1</v>
      </c>
      <c r="C493" s="18">
        <f>'Raw Data'!A494</f>
        <v>0.20746000000000001</v>
      </c>
      <c r="D493" s="5">
        <f>VLOOKUP(B493,'Raw Data'!$N$4:$N$508,1,FALSE)</f>
        <v>8.1</v>
      </c>
      <c r="E493" s="5">
        <f>_xlfn.XLOOKUP(B493,'Raw Data'!$N$4:$N$509,'Raw Data'!$A$4:$A$509,"Not Found")</f>
        <v>0.20746000000000001</v>
      </c>
      <c r="F493" s="5">
        <f>INDEX('Raw Data'!$A$4:$A$508,MATCH(MAX('Raw Data'!$N$4:$N$508),'Raw Data'!$N$4:$N$508,0))</f>
        <v>1.46336</v>
      </c>
      <c r="G493" s="5">
        <f>INDEX('Raw Data'!$F$4:$F$508,MATCH(MIN('Raw Data'!$N$4:$N$508),'Raw Data'!$N$4:$N$508,0))</f>
        <v>5.8520000000000003</v>
      </c>
    </row>
    <row r="494" spans="1:7" x14ac:dyDescent="0.25">
      <c r="A494">
        <v>492</v>
      </c>
      <c r="B494" s="18">
        <f>'Raw Data'!N495</f>
        <v>13.6</v>
      </c>
      <c r="C494" s="18">
        <f>'Raw Data'!A495</f>
        <v>0.10574</v>
      </c>
      <c r="D494" s="5">
        <f>VLOOKUP(B494,'Raw Data'!$N$4:$N$508,1,FALSE)</f>
        <v>13.6</v>
      </c>
      <c r="E494" s="5">
        <f>_xlfn.XLOOKUP(B494,'Raw Data'!$N$4:$N$509,'Raw Data'!$A$4:$A$509,"Not Found")</f>
        <v>1.25179</v>
      </c>
      <c r="F494" s="5">
        <f>INDEX('Raw Data'!$A$4:$A$508,MATCH(MAX('Raw Data'!$N$4:$N$508),'Raw Data'!$N$4:$N$508,0))</f>
        <v>1.46336</v>
      </c>
      <c r="G494" s="5">
        <f>INDEX('Raw Data'!$F$4:$F$508,MATCH(MIN('Raw Data'!$N$4:$N$508),'Raw Data'!$N$4:$N$508,0))</f>
        <v>5.8520000000000003</v>
      </c>
    </row>
    <row r="495" spans="1:7" x14ac:dyDescent="0.25">
      <c r="A495">
        <v>493</v>
      </c>
      <c r="B495" s="18">
        <f>'Raw Data'!N496</f>
        <v>20.100000000000001</v>
      </c>
      <c r="C495" s="18">
        <f>'Raw Data'!A496</f>
        <v>0.11132</v>
      </c>
      <c r="D495" s="5">
        <f>VLOOKUP(B495,'Raw Data'!$N$4:$N$508,1,FALSE)</f>
        <v>20.100000000000001</v>
      </c>
      <c r="E495" s="5">
        <f>_xlfn.XLOOKUP(B495,'Raw Data'!$N$4:$N$509,'Raw Data'!$A$4:$A$509,"Not Found")</f>
        <v>0.1396</v>
      </c>
      <c r="F495" s="5">
        <f>INDEX('Raw Data'!$A$4:$A$508,MATCH(MAX('Raw Data'!$N$4:$N$508),'Raw Data'!$N$4:$N$508,0))</f>
        <v>1.46336</v>
      </c>
      <c r="G495" s="5">
        <f>INDEX('Raw Data'!$F$4:$F$508,MATCH(MIN('Raw Data'!$N$4:$N$508),'Raw Data'!$N$4:$N$508,0))</f>
        <v>5.8520000000000003</v>
      </c>
    </row>
    <row r="496" spans="1:7" x14ac:dyDescent="0.25">
      <c r="A496">
        <v>494</v>
      </c>
      <c r="B496" s="18">
        <f>'Raw Data'!N497</f>
        <v>21.8</v>
      </c>
      <c r="C496" s="18">
        <f>'Raw Data'!A497</f>
        <v>0.17330999999999999</v>
      </c>
      <c r="D496" s="5">
        <f>VLOOKUP(B496,'Raw Data'!$N$4:$N$508,1,FALSE)</f>
        <v>21.8</v>
      </c>
      <c r="E496" s="5">
        <f>_xlfn.XLOOKUP(B496,'Raw Data'!$N$4:$N$509,'Raw Data'!$A$4:$A$509,"Not Found")</f>
        <v>2.8183799999999999</v>
      </c>
      <c r="F496" s="5">
        <f>INDEX('Raw Data'!$A$4:$A$508,MATCH(MAX('Raw Data'!$N$4:$N$508),'Raw Data'!$N$4:$N$508,0))</f>
        <v>1.46336</v>
      </c>
      <c r="G496" s="5">
        <f>INDEX('Raw Data'!$F$4:$F$508,MATCH(MIN('Raw Data'!$N$4:$N$508),'Raw Data'!$N$4:$N$508,0))</f>
        <v>5.8520000000000003</v>
      </c>
    </row>
    <row r="497" spans="1:7" x14ac:dyDescent="0.25">
      <c r="A497">
        <v>495</v>
      </c>
      <c r="B497" s="18">
        <f>'Raw Data'!N498</f>
        <v>24.5</v>
      </c>
      <c r="C497" s="18">
        <f>'Raw Data'!A498</f>
        <v>0.27956999999999999</v>
      </c>
      <c r="D497" s="5">
        <f>VLOOKUP(B497,'Raw Data'!$N$4:$N$508,1,FALSE)</f>
        <v>24.5</v>
      </c>
      <c r="E497" s="5">
        <f>_xlfn.XLOOKUP(B497,'Raw Data'!$N$4:$N$509,'Raw Data'!$A$4:$A$509,"Not Found")</f>
        <v>0.16439000000000001</v>
      </c>
      <c r="F497" s="5">
        <f>INDEX('Raw Data'!$A$4:$A$508,MATCH(MAX('Raw Data'!$N$4:$N$508),'Raw Data'!$N$4:$N$508,0))</f>
        <v>1.46336</v>
      </c>
      <c r="G497" s="5">
        <f>INDEX('Raw Data'!$F$4:$F$508,MATCH(MIN('Raw Data'!$N$4:$N$508),'Raw Data'!$N$4:$N$508,0))</f>
        <v>5.8520000000000003</v>
      </c>
    </row>
    <row r="498" spans="1:7" x14ac:dyDescent="0.25">
      <c r="A498">
        <v>496</v>
      </c>
      <c r="B498" s="18">
        <f>'Raw Data'!N499</f>
        <v>23.1</v>
      </c>
      <c r="C498" s="18">
        <f>'Raw Data'!A499</f>
        <v>0.17899000000000001</v>
      </c>
      <c r="D498" s="5">
        <f>VLOOKUP(B498,'Raw Data'!$N$4:$N$508,1,FALSE)</f>
        <v>23.1</v>
      </c>
      <c r="E498" s="5">
        <f>_xlfn.XLOOKUP(B498,'Raw Data'!$N$4:$N$509,'Raw Data'!$A$4:$A$509,"Not Found")</f>
        <v>1.05393</v>
      </c>
      <c r="F498" s="5">
        <f>INDEX('Raw Data'!$A$4:$A$508,MATCH(MAX('Raw Data'!$N$4:$N$508),'Raw Data'!$N$4:$N$508,0))</f>
        <v>1.46336</v>
      </c>
      <c r="G498" s="5">
        <f>INDEX('Raw Data'!$F$4:$F$508,MATCH(MIN('Raw Data'!$N$4:$N$508),'Raw Data'!$N$4:$N$508,0))</f>
        <v>5.8520000000000003</v>
      </c>
    </row>
    <row r="499" spans="1:7" x14ac:dyDescent="0.25">
      <c r="A499">
        <v>497</v>
      </c>
      <c r="B499" s="18">
        <f>'Raw Data'!N500</f>
        <v>19.7</v>
      </c>
      <c r="C499" s="18">
        <f>'Raw Data'!A500</f>
        <v>0.28960000000000002</v>
      </c>
      <c r="D499" s="5">
        <f>VLOOKUP(B499,'Raw Data'!$N$4:$N$508,1,FALSE)</f>
        <v>19.7</v>
      </c>
      <c r="E499" s="5">
        <f>_xlfn.XLOOKUP(B499,'Raw Data'!$N$4:$N$509,'Raw Data'!$A$4:$A$509,"Not Found")</f>
        <v>8.8730000000000003E-2</v>
      </c>
      <c r="F499" s="5">
        <f>INDEX('Raw Data'!$A$4:$A$508,MATCH(MAX('Raw Data'!$N$4:$N$508),'Raw Data'!$N$4:$N$508,0))</f>
        <v>1.46336</v>
      </c>
      <c r="G499" s="5">
        <f>INDEX('Raw Data'!$F$4:$F$508,MATCH(MIN('Raw Data'!$N$4:$N$508),'Raw Data'!$N$4:$N$508,0))</f>
        <v>5.8520000000000003</v>
      </c>
    </row>
    <row r="500" spans="1:7" x14ac:dyDescent="0.25">
      <c r="A500">
        <v>498</v>
      </c>
      <c r="B500" s="18">
        <f>'Raw Data'!N501</f>
        <v>18.3</v>
      </c>
      <c r="C500" s="18">
        <f>'Raw Data'!A501</f>
        <v>0.26838000000000001</v>
      </c>
      <c r="D500" s="5">
        <f>VLOOKUP(B500,'Raw Data'!$N$4:$N$508,1,FALSE)</f>
        <v>18.3</v>
      </c>
      <c r="E500" s="5">
        <f>_xlfn.XLOOKUP(B500,'Raw Data'!$N$4:$N$509,'Raw Data'!$A$4:$A$509,"Not Found")</f>
        <v>0.17133999999999999</v>
      </c>
      <c r="F500" s="5">
        <f>INDEX('Raw Data'!$A$4:$A$508,MATCH(MAX('Raw Data'!$N$4:$N$508),'Raw Data'!$N$4:$N$508,0))</f>
        <v>1.46336</v>
      </c>
      <c r="G500" s="5">
        <f>INDEX('Raw Data'!$F$4:$F$508,MATCH(MIN('Raw Data'!$N$4:$N$508),'Raw Data'!$N$4:$N$508,0))</f>
        <v>5.8520000000000003</v>
      </c>
    </row>
    <row r="501" spans="1:7" x14ac:dyDescent="0.25">
      <c r="A501">
        <v>499</v>
      </c>
      <c r="B501" s="18">
        <f>'Raw Data'!N502</f>
        <v>21.2</v>
      </c>
      <c r="C501" s="18">
        <f>'Raw Data'!A502</f>
        <v>0.23912</v>
      </c>
      <c r="D501" s="5">
        <f>VLOOKUP(B501,'Raw Data'!$N$4:$N$508,1,FALSE)</f>
        <v>21.2</v>
      </c>
      <c r="E501" s="5">
        <f>_xlfn.XLOOKUP(B501,'Raw Data'!$N$4:$N$509,'Raw Data'!$A$4:$A$509,"Not Found")</f>
        <v>0.12268999999999999</v>
      </c>
      <c r="F501" s="5">
        <f>INDEX('Raw Data'!$A$4:$A$508,MATCH(MAX('Raw Data'!$N$4:$N$508),'Raw Data'!$N$4:$N$508,0))</f>
        <v>1.46336</v>
      </c>
      <c r="G501" s="5">
        <f>INDEX('Raw Data'!$F$4:$F$508,MATCH(MIN('Raw Data'!$N$4:$N$508),'Raw Data'!$N$4:$N$508,0))</f>
        <v>5.8520000000000003</v>
      </c>
    </row>
    <row r="502" spans="1:7" x14ac:dyDescent="0.25">
      <c r="A502">
        <v>500</v>
      </c>
      <c r="B502" s="18">
        <f>'Raw Data'!N503</f>
        <v>17.5</v>
      </c>
      <c r="C502" s="18">
        <f>'Raw Data'!A503</f>
        <v>0.17782999999999999</v>
      </c>
      <c r="D502" s="5">
        <f>VLOOKUP(B502,'Raw Data'!$N$4:$N$508,1,FALSE)</f>
        <v>17.5</v>
      </c>
      <c r="E502" s="5">
        <f>_xlfn.XLOOKUP(B502,'Raw Data'!$N$4:$N$509,'Raw Data'!$A$4:$A$509,"Not Found")</f>
        <v>0.78420000000000001</v>
      </c>
      <c r="F502" s="5">
        <f>INDEX('Raw Data'!$A$4:$A$508,MATCH(MAX('Raw Data'!$N$4:$N$508),'Raw Data'!$N$4:$N$508,0))</f>
        <v>1.46336</v>
      </c>
      <c r="G502" s="5">
        <f>INDEX('Raw Data'!$F$4:$F$508,MATCH(MIN('Raw Data'!$N$4:$N$508),'Raw Data'!$N$4:$N$508,0))</f>
        <v>5.8520000000000003</v>
      </c>
    </row>
    <row r="503" spans="1:7" x14ac:dyDescent="0.25">
      <c r="A503">
        <v>501</v>
      </c>
      <c r="B503" s="18">
        <f>'Raw Data'!N504</f>
        <v>16.8</v>
      </c>
      <c r="C503" s="18">
        <f>'Raw Data'!A504</f>
        <v>0.22438</v>
      </c>
      <c r="D503" s="5">
        <f>VLOOKUP(B503,'Raw Data'!$N$4:$N$508,1,FALSE)</f>
        <v>16.8</v>
      </c>
      <c r="E503" s="5">
        <f>_xlfn.XLOOKUP(B503,'Raw Data'!$N$4:$N$509,'Raw Data'!$A$4:$A$509,"Not Found")</f>
        <v>4.2223899999999999</v>
      </c>
      <c r="F503" s="5">
        <f>INDEX('Raw Data'!$A$4:$A$508,MATCH(MAX('Raw Data'!$N$4:$N$508),'Raw Data'!$N$4:$N$508,0))</f>
        <v>1.46336</v>
      </c>
      <c r="G503" s="5">
        <f>INDEX('Raw Data'!$F$4:$F$508,MATCH(MIN('Raw Data'!$N$4:$N$508),'Raw Data'!$N$4:$N$508,0))</f>
        <v>5.8520000000000003</v>
      </c>
    </row>
    <row r="504" spans="1:7" x14ac:dyDescent="0.25">
      <c r="A504">
        <v>502</v>
      </c>
      <c r="B504" s="18">
        <f>'Raw Data'!N505</f>
        <v>22.4</v>
      </c>
      <c r="C504" s="18">
        <f>'Raw Data'!A505</f>
        <v>6.2630000000000005E-2</v>
      </c>
      <c r="D504" s="5">
        <f>VLOOKUP(B504,'Raw Data'!$N$4:$N$508,1,FALSE)</f>
        <v>22.4</v>
      </c>
      <c r="E504" s="5">
        <f>_xlfn.XLOOKUP(B504,'Raw Data'!$N$4:$N$509,'Raw Data'!$A$4:$A$509,"Not Found")</f>
        <v>0.21718999999999999</v>
      </c>
      <c r="F504" s="5">
        <f>INDEX('Raw Data'!$A$4:$A$508,MATCH(MAX('Raw Data'!$N$4:$N$508),'Raw Data'!$N$4:$N$508,0))</f>
        <v>1.46336</v>
      </c>
      <c r="G504" s="5">
        <f>INDEX('Raw Data'!$F$4:$F$508,MATCH(MIN('Raw Data'!$N$4:$N$508),'Raw Data'!$N$4:$N$508,0))</f>
        <v>5.8520000000000003</v>
      </c>
    </row>
    <row r="505" spans="1:7" x14ac:dyDescent="0.25">
      <c r="A505">
        <v>503</v>
      </c>
      <c r="B505" s="18">
        <f>'Raw Data'!N506</f>
        <v>20.6</v>
      </c>
      <c r="C505" s="18">
        <f>'Raw Data'!A506</f>
        <v>4.5269999999999998E-2</v>
      </c>
      <c r="D505" s="5">
        <f>VLOOKUP(B505,'Raw Data'!$N$4:$N$508,1,FALSE)</f>
        <v>20.6</v>
      </c>
      <c r="E505" s="5">
        <f>_xlfn.XLOOKUP(B505,'Raw Data'!$N$4:$N$509,'Raw Data'!$A$4:$A$509,"Not Found")</f>
        <v>4.2939999999999999E-2</v>
      </c>
      <c r="F505" s="5">
        <f>INDEX('Raw Data'!$A$4:$A$508,MATCH(MAX('Raw Data'!$N$4:$N$508),'Raw Data'!$N$4:$N$508,0))</f>
        <v>1.46336</v>
      </c>
      <c r="G505" s="5">
        <f>INDEX('Raw Data'!$F$4:$F$508,MATCH(MIN('Raw Data'!$N$4:$N$508),'Raw Data'!$N$4:$N$508,0))</f>
        <v>5.8520000000000003</v>
      </c>
    </row>
    <row r="506" spans="1:7" x14ac:dyDescent="0.25">
      <c r="A506">
        <v>504</v>
      </c>
      <c r="B506" s="18">
        <f>'Raw Data'!N507</f>
        <v>23.9</v>
      </c>
      <c r="C506" s="18">
        <f>'Raw Data'!A507</f>
        <v>6.0760000000000002E-2</v>
      </c>
      <c r="D506" s="5">
        <f>VLOOKUP(B506,'Raw Data'!$N$4:$N$508,1,FALSE)</f>
        <v>23.9</v>
      </c>
      <c r="E506" s="5">
        <f>_xlfn.XLOOKUP(B506,'Raw Data'!$N$4:$N$509,'Raw Data'!$A$4:$A$509,"Not Found")</f>
        <v>4.462E-2</v>
      </c>
      <c r="F506" s="5">
        <f>INDEX('Raw Data'!$A$4:$A$508,MATCH(MAX('Raw Data'!$N$4:$N$508),'Raw Data'!$N$4:$N$508,0))</f>
        <v>1.46336</v>
      </c>
      <c r="G506" s="5">
        <f>INDEX('Raw Data'!$F$4:$F$508,MATCH(MIN('Raw Data'!$N$4:$N$508),'Raw Data'!$N$4:$N$508,0))</f>
        <v>5.8520000000000003</v>
      </c>
    </row>
    <row r="507" spans="1:7" x14ac:dyDescent="0.25">
      <c r="A507">
        <v>505</v>
      </c>
      <c r="B507" s="18">
        <f>'Raw Data'!N508</f>
        <v>22</v>
      </c>
      <c r="C507" s="18">
        <f>'Raw Data'!A508</f>
        <v>0.10959000000000001</v>
      </c>
      <c r="D507" s="5">
        <f>VLOOKUP(B507,'Raw Data'!$N$4:$N$508,1,FALSE)</f>
        <v>22</v>
      </c>
      <c r="E507" s="5">
        <f>_xlfn.XLOOKUP(B507,'Raw Data'!$N$4:$N$509,'Raw Data'!$A$4:$A$509,"Not Found")</f>
        <v>5.7889999999999997E-2</v>
      </c>
      <c r="F507" s="5">
        <f>INDEX('Raw Data'!$A$4:$A$508,MATCH(MAX('Raw Data'!$N$4:$N$508),'Raw Data'!$N$4:$N$508,0))</f>
        <v>1.46336</v>
      </c>
      <c r="G507" s="5">
        <f>INDEX('Raw Data'!$F$4:$F$508,MATCH(MIN('Raw Data'!$N$4:$N$508),'Raw Data'!$N$4:$N$508,0))</f>
        <v>5.8520000000000003</v>
      </c>
    </row>
    <row r="508" spans="1:7" x14ac:dyDescent="0.25">
      <c r="A508">
        <v>506</v>
      </c>
      <c r="B508" s="18">
        <f>'Raw Data'!N509</f>
        <v>11.9</v>
      </c>
      <c r="C508" s="18">
        <f>'Raw Data'!A509</f>
        <v>4.7410000000000001E-2</v>
      </c>
      <c r="D508" s="5" t="e">
        <f>VLOOKUP(B508,'Raw Data'!$N$4:$N$508,1,FALSE)</f>
        <v>#N/A</v>
      </c>
      <c r="E508" s="5">
        <f>_xlfn.XLOOKUP(B508,'Raw Data'!$N$4:$N$509,'Raw Data'!$A$4:$A$509,"Not Found")</f>
        <v>4.7410000000000001E-2</v>
      </c>
      <c r="F508" s="5">
        <f>INDEX('Raw Data'!$A$4:$A$508,MATCH(MAX('Raw Data'!$N$4:$N$508),'Raw Data'!$N$4:$N$508,0))</f>
        <v>1.46336</v>
      </c>
      <c r="G508" s="5">
        <f>INDEX('Raw Data'!$F$4:$F$508,MATCH(MIN('Raw Data'!$N$4:$N$508),'Raw Data'!$N$4:$N$508,0))</f>
        <v>5.8520000000000003</v>
      </c>
    </row>
  </sheetData>
  <mergeCells count="1">
    <mergeCell ref="A1:G1"/>
  </mergeCells>
  <conditionalFormatting sqref="B3:G508">
    <cfRule type="expression" dxfId="2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1B79-6020-4990-BF89-5029AAD0E275}">
  <dimension ref="A1:F509"/>
  <sheetViews>
    <sheetView workbookViewId="0">
      <pane ySplit="2" topLeftCell="A482" activePane="bottomLeft" state="frozen"/>
      <selection pane="bottomLeft" activeCell="G494" sqref="G494"/>
    </sheetView>
  </sheetViews>
  <sheetFormatPr defaultRowHeight="15" x14ac:dyDescent="0.25"/>
  <cols>
    <col min="1" max="1" width="10.7109375" customWidth="1"/>
    <col min="2" max="2" width="18.7109375" customWidth="1"/>
    <col min="3" max="4" width="30.7109375" customWidth="1"/>
    <col min="5" max="6" width="25.7109375" customWidth="1"/>
  </cols>
  <sheetData>
    <row r="1" spans="1:6" ht="30" customHeight="1" x14ac:dyDescent="0.25">
      <c r="A1" s="25" t="s">
        <v>88</v>
      </c>
      <c r="B1" s="25"/>
      <c r="C1" s="25"/>
      <c r="D1" s="25"/>
      <c r="E1" s="25"/>
      <c r="F1" s="25"/>
    </row>
    <row r="2" spans="1:6" s="27" customFormat="1" ht="36" customHeight="1" x14ac:dyDescent="0.25">
      <c r="A2" s="26" t="s">
        <v>30</v>
      </c>
      <c r="B2" s="26" t="s">
        <v>38</v>
      </c>
      <c r="C2" s="26" t="s">
        <v>89</v>
      </c>
      <c r="D2" s="26" t="s">
        <v>90</v>
      </c>
      <c r="E2" s="26" t="s">
        <v>91</v>
      </c>
      <c r="F2" s="26" t="s">
        <v>92</v>
      </c>
    </row>
    <row r="3" spans="1:6" x14ac:dyDescent="0.25">
      <c r="A3" s="5">
        <v>1</v>
      </c>
      <c r="B3" s="29">
        <f>'Raw Data'!N4</f>
        <v>24</v>
      </c>
      <c r="C3" s="5" t="str">
        <f>HLOOKUP("PRICE",'Raw Data'!$A$2:$N$3,2,FALSE)</f>
        <v>Price ($000s)</v>
      </c>
      <c r="D3" s="5" cm="1">
        <f t="array" aca="1" ref="D3" ca="1">INDIRECT("'Raw Data'!N"&amp;(A3+3))</f>
        <v>24</v>
      </c>
      <c r="E3" s="5">
        <f ca="1">IF(A3=506,"End Of Data",OFFSET('Raw Data'!$N$4,A3,0))</f>
        <v>21.6</v>
      </c>
      <c r="F3" s="5" t="str">
        <f ca="1">IF(A3=1,"Start of Data",OFFSET('Raw Data'!$N$4,A3-2,0))</f>
        <v>Start of Data</v>
      </c>
    </row>
    <row r="4" spans="1:6" x14ac:dyDescent="0.25">
      <c r="A4" s="5">
        <v>2</v>
      </c>
      <c r="B4" s="29">
        <f>'Raw Data'!N5</f>
        <v>21.6</v>
      </c>
      <c r="C4" s="5" t="str">
        <f>HLOOKUP("PRICE",'Raw Data'!$A$2:$N$3,2,FALSE)</f>
        <v>Price ($000s)</v>
      </c>
      <c r="D4" s="5" cm="1">
        <f t="array" aca="1" ref="D4" ca="1">INDIRECT("'Raw Data'!N"&amp;(A4+3))</f>
        <v>21.6</v>
      </c>
      <c r="E4" s="5">
        <f ca="1">IF(A4=506,"End Of Data",OFFSET('Raw Data'!$N$4,A4,0))</f>
        <v>34.700000000000003</v>
      </c>
      <c r="F4" s="5">
        <f ca="1">IF(A4=1,"Start of Data",OFFSET('Raw Data'!$N$4,A4-2,0))</f>
        <v>24</v>
      </c>
    </row>
    <row r="5" spans="1:6" x14ac:dyDescent="0.25">
      <c r="A5" s="5">
        <v>3</v>
      </c>
      <c r="B5" s="29">
        <f>'Raw Data'!N6</f>
        <v>34.700000000000003</v>
      </c>
      <c r="C5" s="5" t="str">
        <f>HLOOKUP("PRICE",'Raw Data'!$A$2:$N$3,2,FALSE)</f>
        <v>Price ($000s)</v>
      </c>
      <c r="D5" s="5" cm="1">
        <f t="array" aca="1" ref="D5" ca="1">INDIRECT("'Raw Data'!N"&amp;(A5+3))</f>
        <v>34.700000000000003</v>
      </c>
      <c r="E5" s="5">
        <f ca="1">IF(A5=506,"End Of Data",OFFSET('Raw Data'!$N$4,A5,0))</f>
        <v>33.4</v>
      </c>
      <c r="F5" s="5">
        <f ca="1">IF(A5=1,"Start of Data",OFFSET('Raw Data'!$N$4,A5-2,0))</f>
        <v>21.6</v>
      </c>
    </row>
    <row r="6" spans="1:6" x14ac:dyDescent="0.25">
      <c r="A6" s="5">
        <v>4</v>
      </c>
      <c r="B6" s="29">
        <f>'Raw Data'!N7</f>
        <v>33.4</v>
      </c>
      <c r="C6" s="5" t="str">
        <f>HLOOKUP("PRICE",'Raw Data'!$A$2:$N$3,2,FALSE)</f>
        <v>Price ($000s)</v>
      </c>
      <c r="D6" s="5" cm="1">
        <f t="array" aca="1" ref="D6" ca="1">INDIRECT("'Raw Data'!N"&amp;(A6+3))</f>
        <v>33.4</v>
      </c>
      <c r="E6" s="5">
        <f ca="1">IF(A6=506,"End Of Data",OFFSET('Raw Data'!$N$4,A6,0))</f>
        <v>36.200000000000003</v>
      </c>
      <c r="F6" s="5">
        <f ca="1">IF(A6=1,"Start of Data",OFFSET('Raw Data'!$N$4,A6-2,0))</f>
        <v>34.700000000000003</v>
      </c>
    </row>
    <row r="7" spans="1:6" x14ac:dyDescent="0.25">
      <c r="A7" s="5">
        <v>5</v>
      </c>
      <c r="B7" s="29">
        <f>'Raw Data'!N8</f>
        <v>36.200000000000003</v>
      </c>
      <c r="C7" s="5" t="str">
        <f>HLOOKUP("PRICE",'Raw Data'!$A$2:$N$3,2,FALSE)</f>
        <v>Price ($000s)</v>
      </c>
      <c r="D7" s="5" cm="1">
        <f t="array" aca="1" ref="D7" ca="1">INDIRECT("'Raw Data'!N"&amp;(A7+3))</f>
        <v>36.200000000000003</v>
      </c>
      <c r="E7" s="5">
        <f ca="1">IF(A7=506,"End Of Data",OFFSET('Raw Data'!$N$4,A7,0))</f>
        <v>28.7</v>
      </c>
      <c r="F7" s="5">
        <f ca="1">IF(A7=1,"Start of Data",OFFSET('Raw Data'!$N$4,A7-2,0))</f>
        <v>33.4</v>
      </c>
    </row>
    <row r="8" spans="1:6" x14ac:dyDescent="0.25">
      <c r="A8" s="5">
        <v>6</v>
      </c>
      <c r="B8" s="29">
        <f>'Raw Data'!N9</f>
        <v>28.7</v>
      </c>
      <c r="C8" s="5" t="str">
        <f>HLOOKUP("PRICE",'Raw Data'!$A$2:$N$3,2,FALSE)</f>
        <v>Price ($000s)</v>
      </c>
      <c r="D8" s="5" cm="1">
        <f t="array" aca="1" ref="D8" ca="1">INDIRECT("'Raw Data'!N"&amp;(A8+3))</f>
        <v>28.7</v>
      </c>
      <c r="E8" s="5">
        <f ca="1">IF(A8=506,"End Of Data",OFFSET('Raw Data'!$N$4,A8,0))</f>
        <v>22.9</v>
      </c>
      <c r="F8" s="5">
        <f ca="1">IF(A8=1,"Start of Data",OFFSET('Raw Data'!$N$4,A8-2,0))</f>
        <v>36.200000000000003</v>
      </c>
    </row>
    <row r="9" spans="1:6" x14ac:dyDescent="0.25">
      <c r="A9" s="5">
        <v>7</v>
      </c>
      <c r="B9" s="29">
        <f>'Raw Data'!N10</f>
        <v>22.9</v>
      </c>
      <c r="C9" s="5" t="str">
        <f>HLOOKUP("PRICE",'Raw Data'!$A$2:$N$3,2,FALSE)</f>
        <v>Price ($000s)</v>
      </c>
      <c r="D9" s="5" cm="1">
        <f t="array" aca="1" ref="D9" ca="1">INDIRECT("'Raw Data'!N"&amp;(A9+3))</f>
        <v>22.9</v>
      </c>
      <c r="E9" s="5">
        <f ca="1">IF(A9=506,"End Of Data",OFFSET('Raw Data'!$N$4,A9,0))</f>
        <v>27.1</v>
      </c>
      <c r="F9" s="5">
        <f ca="1">IF(A9=1,"Start of Data",OFFSET('Raw Data'!$N$4,A9-2,0))</f>
        <v>28.7</v>
      </c>
    </row>
    <row r="10" spans="1:6" x14ac:dyDescent="0.25">
      <c r="A10" s="5">
        <v>8</v>
      </c>
      <c r="B10" s="29">
        <f>'Raw Data'!N11</f>
        <v>27.1</v>
      </c>
      <c r="C10" s="5" t="str">
        <f>HLOOKUP("PRICE",'Raw Data'!$A$2:$N$3,2,FALSE)</f>
        <v>Price ($000s)</v>
      </c>
      <c r="D10" s="5" cm="1">
        <f t="array" aca="1" ref="D10" ca="1">INDIRECT("'Raw Data'!N"&amp;(A10+3))</f>
        <v>27.1</v>
      </c>
      <c r="E10" s="5">
        <f ca="1">IF(A10=506,"End Of Data",OFFSET('Raw Data'!$N$4,A10,0))</f>
        <v>16.5</v>
      </c>
      <c r="F10" s="5">
        <f ca="1">IF(A10=1,"Start of Data",OFFSET('Raw Data'!$N$4,A10-2,0))</f>
        <v>22.9</v>
      </c>
    </row>
    <row r="11" spans="1:6" x14ac:dyDescent="0.25">
      <c r="A11" s="5">
        <v>9</v>
      </c>
      <c r="B11" s="29">
        <f>'Raw Data'!N12</f>
        <v>16.5</v>
      </c>
      <c r="C11" s="5" t="str">
        <f>HLOOKUP("PRICE",'Raw Data'!$A$2:$N$3,2,FALSE)</f>
        <v>Price ($000s)</v>
      </c>
      <c r="D11" s="5" cm="1">
        <f t="array" aca="1" ref="D11" ca="1">INDIRECT("'Raw Data'!N"&amp;(A11+3))</f>
        <v>16.5</v>
      </c>
      <c r="E11" s="5">
        <f ca="1">IF(A11=506,"End Of Data",OFFSET('Raw Data'!$N$4,A11,0))</f>
        <v>18.899999999999999</v>
      </c>
      <c r="F11" s="5">
        <f ca="1">IF(A11=1,"Start of Data",OFFSET('Raw Data'!$N$4,A11-2,0))</f>
        <v>27.1</v>
      </c>
    </row>
    <row r="12" spans="1:6" x14ac:dyDescent="0.25">
      <c r="A12" s="5">
        <v>10</v>
      </c>
      <c r="B12" s="29">
        <f>'Raw Data'!N13</f>
        <v>18.899999999999999</v>
      </c>
      <c r="C12" s="5" t="str">
        <f>HLOOKUP("PRICE",'Raw Data'!$A$2:$N$3,2,FALSE)</f>
        <v>Price ($000s)</v>
      </c>
      <c r="D12" s="5" cm="1">
        <f t="array" aca="1" ref="D12" ca="1">INDIRECT("'Raw Data'!N"&amp;(A12+3))</f>
        <v>18.899999999999999</v>
      </c>
      <c r="E12" s="5">
        <f ca="1">IF(A12=506,"End Of Data",OFFSET('Raw Data'!$N$4,A12,0))</f>
        <v>15</v>
      </c>
      <c r="F12" s="5">
        <f ca="1">IF(A12=1,"Start of Data",OFFSET('Raw Data'!$N$4,A12-2,0))</f>
        <v>16.5</v>
      </c>
    </row>
    <row r="13" spans="1:6" x14ac:dyDescent="0.25">
      <c r="A13" s="5">
        <v>11</v>
      </c>
      <c r="B13" s="29">
        <f>'Raw Data'!N14</f>
        <v>15</v>
      </c>
      <c r="C13" s="5" t="str">
        <f>HLOOKUP("PRICE",'Raw Data'!$A$2:$N$3,2,FALSE)</f>
        <v>Price ($000s)</v>
      </c>
      <c r="D13" s="5" cm="1">
        <f t="array" aca="1" ref="D13" ca="1">INDIRECT("'Raw Data'!N"&amp;(A13+3))</f>
        <v>15</v>
      </c>
      <c r="E13" s="5">
        <f ca="1">IF(A13=506,"End Of Data",OFFSET('Raw Data'!$N$4,A13,0))</f>
        <v>18.899999999999999</v>
      </c>
      <c r="F13" s="5">
        <f ca="1">IF(A13=1,"Start of Data",OFFSET('Raw Data'!$N$4,A13-2,0))</f>
        <v>18.899999999999999</v>
      </c>
    </row>
    <row r="14" spans="1:6" x14ac:dyDescent="0.25">
      <c r="A14" s="5">
        <v>12</v>
      </c>
      <c r="B14" s="29">
        <f>'Raw Data'!N15</f>
        <v>18.899999999999999</v>
      </c>
      <c r="C14" s="5" t="str">
        <f>HLOOKUP("PRICE",'Raw Data'!$A$2:$N$3,2,FALSE)</f>
        <v>Price ($000s)</v>
      </c>
      <c r="D14" s="5" cm="1">
        <f t="array" aca="1" ref="D14" ca="1">INDIRECT("'Raw Data'!N"&amp;(A14+3))</f>
        <v>18.899999999999999</v>
      </c>
      <c r="E14" s="5">
        <f ca="1">IF(A14=506,"End Of Data",OFFSET('Raw Data'!$N$4,A14,0))</f>
        <v>21.7</v>
      </c>
      <c r="F14" s="5">
        <f ca="1">IF(A14=1,"Start of Data",OFFSET('Raw Data'!$N$4,A14-2,0))</f>
        <v>15</v>
      </c>
    </row>
    <row r="15" spans="1:6" x14ac:dyDescent="0.25">
      <c r="A15" s="5">
        <v>13</v>
      </c>
      <c r="B15" s="29">
        <f>'Raw Data'!N16</f>
        <v>21.7</v>
      </c>
      <c r="C15" s="5" t="str">
        <f>HLOOKUP("PRICE",'Raw Data'!$A$2:$N$3,2,FALSE)</f>
        <v>Price ($000s)</v>
      </c>
      <c r="D15" s="5" cm="1">
        <f t="array" aca="1" ref="D15" ca="1">INDIRECT("'Raw Data'!N"&amp;(A15+3))</f>
        <v>21.7</v>
      </c>
      <c r="E15" s="5">
        <f ca="1">IF(A15=506,"End Of Data",OFFSET('Raw Data'!$N$4,A15,0))</f>
        <v>20.399999999999999</v>
      </c>
      <c r="F15" s="5">
        <f ca="1">IF(A15=1,"Start of Data",OFFSET('Raw Data'!$N$4,A15-2,0))</f>
        <v>18.899999999999999</v>
      </c>
    </row>
    <row r="16" spans="1:6" x14ac:dyDescent="0.25">
      <c r="A16" s="5">
        <v>14</v>
      </c>
      <c r="B16" s="29">
        <f>'Raw Data'!N17</f>
        <v>20.399999999999999</v>
      </c>
      <c r="C16" s="5" t="str">
        <f>HLOOKUP("PRICE",'Raw Data'!$A$2:$N$3,2,FALSE)</f>
        <v>Price ($000s)</v>
      </c>
      <c r="D16" s="5" cm="1">
        <f t="array" aca="1" ref="D16" ca="1">INDIRECT("'Raw Data'!N"&amp;(A16+3))</f>
        <v>20.399999999999999</v>
      </c>
      <c r="E16" s="5">
        <f ca="1">IF(A16=506,"End Of Data",OFFSET('Raw Data'!$N$4,A16,0))</f>
        <v>18.2</v>
      </c>
      <c r="F16" s="5">
        <f ca="1">IF(A16=1,"Start of Data",OFFSET('Raw Data'!$N$4,A16-2,0))</f>
        <v>21.7</v>
      </c>
    </row>
    <row r="17" spans="1:6" x14ac:dyDescent="0.25">
      <c r="A17" s="5">
        <v>15</v>
      </c>
      <c r="B17" s="29">
        <f>'Raw Data'!N18</f>
        <v>18.2</v>
      </c>
      <c r="C17" s="5" t="str">
        <f>HLOOKUP("PRICE",'Raw Data'!$A$2:$N$3,2,FALSE)</f>
        <v>Price ($000s)</v>
      </c>
      <c r="D17" s="5" cm="1">
        <f t="array" aca="1" ref="D17" ca="1">INDIRECT("'Raw Data'!N"&amp;(A17+3))</f>
        <v>18.2</v>
      </c>
      <c r="E17" s="5">
        <f ca="1">IF(A17=506,"End Of Data",OFFSET('Raw Data'!$N$4,A17,0))</f>
        <v>19.899999999999999</v>
      </c>
      <c r="F17" s="5">
        <f ca="1">IF(A17=1,"Start of Data",OFFSET('Raw Data'!$N$4,A17-2,0))</f>
        <v>20.399999999999999</v>
      </c>
    </row>
    <row r="18" spans="1:6" x14ac:dyDescent="0.25">
      <c r="A18" s="5">
        <v>16</v>
      </c>
      <c r="B18" s="29">
        <f>'Raw Data'!N19</f>
        <v>19.899999999999999</v>
      </c>
      <c r="C18" s="5" t="str">
        <f>HLOOKUP("PRICE",'Raw Data'!$A$2:$N$3,2,FALSE)</f>
        <v>Price ($000s)</v>
      </c>
      <c r="D18" s="5" cm="1">
        <f t="array" aca="1" ref="D18" ca="1">INDIRECT("'Raw Data'!N"&amp;(A18+3))</f>
        <v>19.899999999999999</v>
      </c>
      <c r="E18" s="5">
        <f ca="1">IF(A18=506,"End Of Data",OFFSET('Raw Data'!$N$4,A18,0))</f>
        <v>23.1</v>
      </c>
      <c r="F18" s="5">
        <f ca="1">IF(A18=1,"Start of Data",OFFSET('Raw Data'!$N$4,A18-2,0))</f>
        <v>18.2</v>
      </c>
    </row>
    <row r="19" spans="1:6" x14ac:dyDescent="0.25">
      <c r="A19" s="5">
        <v>17</v>
      </c>
      <c r="B19" s="29">
        <f>'Raw Data'!N20</f>
        <v>23.1</v>
      </c>
      <c r="C19" s="5" t="str">
        <f>HLOOKUP("PRICE",'Raw Data'!$A$2:$N$3,2,FALSE)</f>
        <v>Price ($000s)</v>
      </c>
      <c r="D19" s="5" cm="1">
        <f t="array" aca="1" ref="D19" ca="1">INDIRECT("'Raw Data'!N"&amp;(A19+3))</f>
        <v>23.1</v>
      </c>
      <c r="E19" s="5">
        <f ca="1">IF(A19=506,"End Of Data",OFFSET('Raw Data'!$N$4,A19,0))</f>
        <v>17.5</v>
      </c>
      <c r="F19" s="5">
        <f ca="1">IF(A19=1,"Start of Data",OFFSET('Raw Data'!$N$4,A19-2,0))</f>
        <v>19.899999999999999</v>
      </c>
    </row>
    <row r="20" spans="1:6" x14ac:dyDescent="0.25">
      <c r="A20" s="5">
        <v>18</v>
      </c>
      <c r="B20" s="29">
        <f>'Raw Data'!N21</f>
        <v>17.5</v>
      </c>
      <c r="C20" s="5" t="str">
        <f>HLOOKUP("PRICE",'Raw Data'!$A$2:$N$3,2,FALSE)</f>
        <v>Price ($000s)</v>
      </c>
      <c r="D20" s="5" cm="1">
        <f t="array" aca="1" ref="D20" ca="1">INDIRECT("'Raw Data'!N"&amp;(A20+3))</f>
        <v>17.5</v>
      </c>
      <c r="E20" s="5">
        <f ca="1">IF(A20=506,"End Of Data",OFFSET('Raw Data'!$N$4,A20,0))</f>
        <v>20.2</v>
      </c>
      <c r="F20" s="5">
        <f ca="1">IF(A20=1,"Start of Data",OFFSET('Raw Data'!$N$4,A20-2,0))</f>
        <v>23.1</v>
      </c>
    </row>
    <row r="21" spans="1:6" x14ac:dyDescent="0.25">
      <c r="A21" s="5">
        <v>19</v>
      </c>
      <c r="B21" s="29">
        <f>'Raw Data'!N22</f>
        <v>20.2</v>
      </c>
      <c r="C21" s="5" t="str">
        <f>HLOOKUP("PRICE",'Raw Data'!$A$2:$N$3,2,FALSE)</f>
        <v>Price ($000s)</v>
      </c>
      <c r="D21" s="5" cm="1">
        <f t="array" aca="1" ref="D21" ca="1">INDIRECT("'Raw Data'!N"&amp;(A21+3))</f>
        <v>20.2</v>
      </c>
      <c r="E21" s="5">
        <f ca="1">IF(A21=506,"End Of Data",OFFSET('Raw Data'!$N$4,A21,0))</f>
        <v>18.2</v>
      </c>
      <c r="F21" s="5">
        <f ca="1">IF(A21=1,"Start of Data",OFFSET('Raw Data'!$N$4,A21-2,0))</f>
        <v>17.5</v>
      </c>
    </row>
    <row r="22" spans="1:6" x14ac:dyDescent="0.25">
      <c r="A22" s="5">
        <v>20</v>
      </c>
      <c r="B22" s="29">
        <f>'Raw Data'!N23</f>
        <v>18.2</v>
      </c>
      <c r="C22" s="5" t="str">
        <f>HLOOKUP("PRICE",'Raw Data'!$A$2:$N$3,2,FALSE)</f>
        <v>Price ($000s)</v>
      </c>
      <c r="D22" s="5" cm="1">
        <f t="array" aca="1" ref="D22" ca="1">INDIRECT("'Raw Data'!N"&amp;(A22+3))</f>
        <v>18.2</v>
      </c>
      <c r="E22" s="5">
        <f ca="1">IF(A22=506,"End Of Data",OFFSET('Raw Data'!$N$4,A22,0))</f>
        <v>13.6</v>
      </c>
      <c r="F22" s="5">
        <f ca="1">IF(A22=1,"Start of Data",OFFSET('Raw Data'!$N$4,A22-2,0))</f>
        <v>20.2</v>
      </c>
    </row>
    <row r="23" spans="1:6" x14ac:dyDescent="0.25">
      <c r="A23" s="5">
        <v>21</v>
      </c>
      <c r="B23" s="29">
        <f>'Raw Data'!N24</f>
        <v>13.6</v>
      </c>
      <c r="C23" s="5" t="str">
        <f>HLOOKUP("PRICE",'Raw Data'!$A$2:$N$3,2,FALSE)</f>
        <v>Price ($000s)</v>
      </c>
      <c r="D23" s="5" cm="1">
        <f t="array" aca="1" ref="D23" ca="1">INDIRECT("'Raw Data'!N"&amp;(A23+3))</f>
        <v>13.6</v>
      </c>
      <c r="E23" s="5">
        <f ca="1">IF(A23=506,"End Of Data",OFFSET('Raw Data'!$N$4,A23,0))</f>
        <v>19.600000000000001</v>
      </c>
      <c r="F23" s="5">
        <f ca="1">IF(A23=1,"Start of Data",OFFSET('Raw Data'!$N$4,A23-2,0))</f>
        <v>18.2</v>
      </c>
    </row>
    <row r="24" spans="1:6" x14ac:dyDescent="0.25">
      <c r="A24" s="5">
        <v>22</v>
      </c>
      <c r="B24" s="29">
        <f>'Raw Data'!N25</f>
        <v>19.600000000000001</v>
      </c>
      <c r="C24" s="5" t="str">
        <f>HLOOKUP("PRICE",'Raw Data'!$A$2:$N$3,2,FALSE)</f>
        <v>Price ($000s)</v>
      </c>
      <c r="D24" s="5" cm="1">
        <f t="array" aca="1" ref="D24" ca="1">INDIRECT("'Raw Data'!N"&amp;(A24+3))</f>
        <v>19.600000000000001</v>
      </c>
      <c r="E24" s="5">
        <f ca="1">IF(A24=506,"End Of Data",OFFSET('Raw Data'!$N$4,A24,0))</f>
        <v>15.2</v>
      </c>
      <c r="F24" s="5">
        <f ca="1">IF(A24=1,"Start of Data",OFFSET('Raw Data'!$N$4,A24-2,0))</f>
        <v>13.6</v>
      </c>
    </row>
    <row r="25" spans="1:6" x14ac:dyDescent="0.25">
      <c r="A25" s="5">
        <v>23</v>
      </c>
      <c r="B25" s="29">
        <f>'Raw Data'!N26</f>
        <v>15.2</v>
      </c>
      <c r="C25" s="5" t="str">
        <f>HLOOKUP("PRICE",'Raw Data'!$A$2:$N$3,2,FALSE)</f>
        <v>Price ($000s)</v>
      </c>
      <c r="D25" s="5" cm="1">
        <f t="array" aca="1" ref="D25" ca="1">INDIRECT("'Raw Data'!N"&amp;(A25+3))</f>
        <v>15.2</v>
      </c>
      <c r="E25" s="5">
        <f ca="1">IF(A25=506,"End Of Data",OFFSET('Raw Data'!$N$4,A25,0))</f>
        <v>14.5</v>
      </c>
      <c r="F25" s="5">
        <f ca="1">IF(A25=1,"Start of Data",OFFSET('Raw Data'!$N$4,A25-2,0))</f>
        <v>19.600000000000001</v>
      </c>
    </row>
    <row r="26" spans="1:6" x14ac:dyDescent="0.25">
      <c r="A26" s="5">
        <v>24</v>
      </c>
      <c r="B26" s="29">
        <f>'Raw Data'!N27</f>
        <v>14.5</v>
      </c>
      <c r="C26" s="5" t="str">
        <f>HLOOKUP("PRICE",'Raw Data'!$A$2:$N$3,2,FALSE)</f>
        <v>Price ($000s)</v>
      </c>
      <c r="D26" s="5" cm="1">
        <f t="array" aca="1" ref="D26" ca="1">INDIRECT("'Raw Data'!N"&amp;(A26+3))</f>
        <v>14.5</v>
      </c>
      <c r="E26" s="5">
        <f ca="1">IF(A26=506,"End Of Data",OFFSET('Raw Data'!$N$4,A26,0))</f>
        <v>15.6</v>
      </c>
      <c r="F26" s="5">
        <f ca="1">IF(A26=1,"Start of Data",OFFSET('Raw Data'!$N$4,A26-2,0))</f>
        <v>15.2</v>
      </c>
    </row>
    <row r="27" spans="1:6" x14ac:dyDescent="0.25">
      <c r="A27" s="5">
        <v>25</v>
      </c>
      <c r="B27" s="29">
        <f>'Raw Data'!N28</f>
        <v>15.6</v>
      </c>
      <c r="C27" s="5" t="str">
        <f>HLOOKUP("PRICE",'Raw Data'!$A$2:$N$3,2,FALSE)</f>
        <v>Price ($000s)</v>
      </c>
      <c r="D27" s="5" cm="1">
        <f t="array" aca="1" ref="D27" ca="1">INDIRECT("'Raw Data'!N"&amp;(A27+3))</f>
        <v>15.6</v>
      </c>
      <c r="E27" s="5">
        <f ca="1">IF(A27=506,"End Of Data",OFFSET('Raw Data'!$N$4,A27,0))</f>
        <v>13.9</v>
      </c>
      <c r="F27" s="5">
        <f ca="1">IF(A27=1,"Start of Data",OFFSET('Raw Data'!$N$4,A27-2,0))</f>
        <v>14.5</v>
      </c>
    </row>
    <row r="28" spans="1:6" x14ac:dyDescent="0.25">
      <c r="A28" s="5">
        <v>26</v>
      </c>
      <c r="B28" s="29">
        <f>'Raw Data'!N29</f>
        <v>13.9</v>
      </c>
      <c r="C28" s="5" t="str">
        <f>HLOOKUP("PRICE",'Raw Data'!$A$2:$N$3,2,FALSE)</f>
        <v>Price ($000s)</v>
      </c>
      <c r="D28" s="5" cm="1">
        <f t="array" aca="1" ref="D28" ca="1">INDIRECT("'Raw Data'!N"&amp;(A28+3))</f>
        <v>13.9</v>
      </c>
      <c r="E28" s="5">
        <f ca="1">IF(A28=506,"End Of Data",OFFSET('Raw Data'!$N$4,A28,0))</f>
        <v>16.600000000000001</v>
      </c>
      <c r="F28" s="5">
        <f ca="1">IF(A28=1,"Start of Data",OFFSET('Raw Data'!$N$4,A28-2,0))</f>
        <v>15.6</v>
      </c>
    </row>
    <row r="29" spans="1:6" x14ac:dyDescent="0.25">
      <c r="A29" s="5">
        <v>27</v>
      </c>
      <c r="B29" s="29">
        <f>'Raw Data'!N30</f>
        <v>16.600000000000001</v>
      </c>
      <c r="C29" s="5" t="str">
        <f>HLOOKUP("PRICE",'Raw Data'!$A$2:$N$3,2,FALSE)</f>
        <v>Price ($000s)</v>
      </c>
      <c r="D29" s="5" cm="1">
        <f t="array" aca="1" ref="D29" ca="1">INDIRECT("'Raw Data'!N"&amp;(A29+3))</f>
        <v>16.600000000000001</v>
      </c>
      <c r="E29" s="5">
        <f ca="1">IF(A29=506,"End Of Data",OFFSET('Raw Data'!$N$4,A29,0))</f>
        <v>14.8</v>
      </c>
      <c r="F29" s="5">
        <f ca="1">IF(A29=1,"Start of Data",OFFSET('Raw Data'!$N$4,A29-2,0))</f>
        <v>13.9</v>
      </c>
    </row>
    <row r="30" spans="1:6" x14ac:dyDescent="0.25">
      <c r="A30" s="5">
        <v>28</v>
      </c>
      <c r="B30" s="29">
        <f>'Raw Data'!N31</f>
        <v>14.8</v>
      </c>
      <c r="C30" s="5" t="str">
        <f>HLOOKUP("PRICE",'Raw Data'!$A$2:$N$3,2,FALSE)</f>
        <v>Price ($000s)</v>
      </c>
      <c r="D30" s="5" cm="1">
        <f t="array" aca="1" ref="D30" ca="1">INDIRECT("'Raw Data'!N"&amp;(A30+3))</f>
        <v>14.8</v>
      </c>
      <c r="E30" s="5">
        <f ca="1">IF(A30=506,"End Of Data",OFFSET('Raw Data'!$N$4,A30,0))</f>
        <v>18.399999999999999</v>
      </c>
      <c r="F30" s="5">
        <f ca="1">IF(A30=1,"Start of Data",OFFSET('Raw Data'!$N$4,A30-2,0))</f>
        <v>16.600000000000001</v>
      </c>
    </row>
    <row r="31" spans="1:6" x14ac:dyDescent="0.25">
      <c r="A31" s="5">
        <v>29</v>
      </c>
      <c r="B31" s="29">
        <f>'Raw Data'!N32</f>
        <v>18.399999999999999</v>
      </c>
      <c r="C31" s="5" t="str">
        <f>HLOOKUP("PRICE",'Raw Data'!$A$2:$N$3,2,FALSE)</f>
        <v>Price ($000s)</v>
      </c>
      <c r="D31" s="5" cm="1">
        <f t="array" aca="1" ref="D31" ca="1">INDIRECT("'Raw Data'!N"&amp;(A31+3))</f>
        <v>18.399999999999999</v>
      </c>
      <c r="E31" s="5">
        <f ca="1">IF(A31=506,"End Of Data",OFFSET('Raw Data'!$N$4,A31,0))</f>
        <v>21</v>
      </c>
      <c r="F31" s="5">
        <f ca="1">IF(A31=1,"Start of Data",OFFSET('Raw Data'!$N$4,A31-2,0))</f>
        <v>14.8</v>
      </c>
    </row>
    <row r="32" spans="1:6" x14ac:dyDescent="0.25">
      <c r="A32" s="5">
        <v>30</v>
      </c>
      <c r="B32" s="29">
        <f>'Raw Data'!N33</f>
        <v>21</v>
      </c>
      <c r="C32" s="5" t="str">
        <f>HLOOKUP("PRICE",'Raw Data'!$A$2:$N$3,2,FALSE)</f>
        <v>Price ($000s)</v>
      </c>
      <c r="D32" s="5" cm="1">
        <f t="array" aca="1" ref="D32" ca="1">INDIRECT("'Raw Data'!N"&amp;(A32+3))</f>
        <v>21</v>
      </c>
      <c r="E32" s="5">
        <f ca="1">IF(A32=506,"End Of Data",OFFSET('Raw Data'!$N$4,A32,0))</f>
        <v>12.7</v>
      </c>
      <c r="F32" s="5">
        <f ca="1">IF(A32=1,"Start of Data",OFFSET('Raw Data'!$N$4,A32-2,0))</f>
        <v>18.399999999999999</v>
      </c>
    </row>
    <row r="33" spans="1:6" x14ac:dyDescent="0.25">
      <c r="A33" s="5">
        <v>31</v>
      </c>
      <c r="B33" s="29">
        <f>'Raw Data'!N34</f>
        <v>12.7</v>
      </c>
      <c r="C33" s="5" t="str">
        <f>HLOOKUP("PRICE",'Raw Data'!$A$2:$N$3,2,FALSE)</f>
        <v>Price ($000s)</v>
      </c>
      <c r="D33" s="5" cm="1">
        <f t="array" aca="1" ref="D33" ca="1">INDIRECT("'Raw Data'!N"&amp;(A33+3))</f>
        <v>12.7</v>
      </c>
      <c r="E33" s="5">
        <f ca="1">IF(A33=506,"End Of Data",OFFSET('Raw Data'!$N$4,A33,0))</f>
        <v>14.5</v>
      </c>
      <c r="F33" s="5">
        <f ca="1">IF(A33=1,"Start of Data",OFFSET('Raw Data'!$N$4,A33-2,0))</f>
        <v>21</v>
      </c>
    </row>
    <row r="34" spans="1:6" x14ac:dyDescent="0.25">
      <c r="A34" s="5">
        <v>32</v>
      </c>
      <c r="B34" s="29">
        <f>'Raw Data'!N35</f>
        <v>14.5</v>
      </c>
      <c r="C34" s="5" t="str">
        <f>HLOOKUP("PRICE",'Raw Data'!$A$2:$N$3,2,FALSE)</f>
        <v>Price ($000s)</v>
      </c>
      <c r="D34" s="5" cm="1">
        <f t="array" aca="1" ref="D34" ca="1">INDIRECT("'Raw Data'!N"&amp;(A34+3))</f>
        <v>14.5</v>
      </c>
      <c r="E34" s="5">
        <f ca="1">IF(A34=506,"End Of Data",OFFSET('Raw Data'!$N$4,A34,0))</f>
        <v>13.2</v>
      </c>
      <c r="F34" s="5">
        <f ca="1">IF(A34=1,"Start of Data",OFFSET('Raw Data'!$N$4,A34-2,0))</f>
        <v>12.7</v>
      </c>
    </row>
    <row r="35" spans="1:6" x14ac:dyDescent="0.25">
      <c r="A35" s="5">
        <v>33</v>
      </c>
      <c r="B35" s="29">
        <f>'Raw Data'!N36</f>
        <v>13.2</v>
      </c>
      <c r="C35" s="5" t="str">
        <f>HLOOKUP("PRICE",'Raw Data'!$A$2:$N$3,2,FALSE)</f>
        <v>Price ($000s)</v>
      </c>
      <c r="D35" s="5" cm="1">
        <f t="array" aca="1" ref="D35" ca="1">INDIRECT("'Raw Data'!N"&amp;(A35+3))</f>
        <v>13.2</v>
      </c>
      <c r="E35" s="5">
        <f ca="1">IF(A35=506,"End Of Data",OFFSET('Raw Data'!$N$4,A35,0))</f>
        <v>13.1</v>
      </c>
      <c r="F35" s="5">
        <f ca="1">IF(A35=1,"Start of Data",OFFSET('Raw Data'!$N$4,A35-2,0))</f>
        <v>14.5</v>
      </c>
    </row>
    <row r="36" spans="1:6" x14ac:dyDescent="0.25">
      <c r="A36" s="5">
        <v>34</v>
      </c>
      <c r="B36" s="29">
        <f>'Raw Data'!N37</f>
        <v>13.1</v>
      </c>
      <c r="C36" s="5" t="str">
        <f>HLOOKUP("PRICE",'Raw Data'!$A$2:$N$3,2,FALSE)</f>
        <v>Price ($000s)</v>
      </c>
      <c r="D36" s="5" cm="1">
        <f t="array" aca="1" ref="D36" ca="1">INDIRECT("'Raw Data'!N"&amp;(A36+3))</f>
        <v>13.1</v>
      </c>
      <c r="E36" s="5">
        <f ca="1">IF(A36=506,"End Of Data",OFFSET('Raw Data'!$N$4,A36,0))</f>
        <v>13.5</v>
      </c>
      <c r="F36" s="5">
        <f ca="1">IF(A36=1,"Start of Data",OFFSET('Raw Data'!$N$4,A36-2,0))</f>
        <v>13.2</v>
      </c>
    </row>
    <row r="37" spans="1:6" x14ac:dyDescent="0.25">
      <c r="A37" s="5">
        <v>35</v>
      </c>
      <c r="B37" s="29">
        <f>'Raw Data'!N38</f>
        <v>13.5</v>
      </c>
      <c r="C37" s="5" t="str">
        <f>HLOOKUP("PRICE",'Raw Data'!$A$2:$N$3,2,FALSE)</f>
        <v>Price ($000s)</v>
      </c>
      <c r="D37" s="5" cm="1">
        <f t="array" aca="1" ref="D37" ca="1">INDIRECT("'Raw Data'!N"&amp;(A37+3))</f>
        <v>13.5</v>
      </c>
      <c r="E37" s="5">
        <f ca="1">IF(A37=506,"End Of Data",OFFSET('Raw Data'!$N$4,A37,0))</f>
        <v>18.899999999999999</v>
      </c>
      <c r="F37" s="5">
        <f ca="1">IF(A37=1,"Start of Data",OFFSET('Raw Data'!$N$4,A37-2,0))</f>
        <v>13.1</v>
      </c>
    </row>
    <row r="38" spans="1:6" x14ac:dyDescent="0.25">
      <c r="A38" s="5">
        <v>36</v>
      </c>
      <c r="B38" s="29">
        <f>'Raw Data'!N39</f>
        <v>18.899999999999999</v>
      </c>
      <c r="C38" s="5" t="str">
        <f>HLOOKUP("PRICE",'Raw Data'!$A$2:$N$3,2,FALSE)</f>
        <v>Price ($000s)</v>
      </c>
      <c r="D38" s="5" cm="1">
        <f t="array" aca="1" ref="D38" ca="1">INDIRECT("'Raw Data'!N"&amp;(A38+3))</f>
        <v>18.899999999999999</v>
      </c>
      <c r="E38" s="5">
        <f ca="1">IF(A38=506,"End Of Data",OFFSET('Raw Data'!$N$4,A38,0))</f>
        <v>20</v>
      </c>
      <c r="F38" s="5">
        <f ca="1">IF(A38=1,"Start of Data",OFFSET('Raw Data'!$N$4,A38-2,0))</f>
        <v>13.5</v>
      </c>
    </row>
    <row r="39" spans="1:6" x14ac:dyDescent="0.25">
      <c r="A39" s="5">
        <v>37</v>
      </c>
      <c r="B39" s="29">
        <f>'Raw Data'!N40</f>
        <v>20</v>
      </c>
      <c r="C39" s="5" t="str">
        <f>HLOOKUP("PRICE",'Raw Data'!$A$2:$N$3,2,FALSE)</f>
        <v>Price ($000s)</v>
      </c>
      <c r="D39" s="5" cm="1">
        <f t="array" aca="1" ref="D39" ca="1">INDIRECT("'Raw Data'!N"&amp;(A39+3))</f>
        <v>20</v>
      </c>
      <c r="E39" s="5">
        <f ca="1">IF(A39=506,"End Of Data",OFFSET('Raw Data'!$N$4,A39,0))</f>
        <v>21</v>
      </c>
      <c r="F39" s="5">
        <f ca="1">IF(A39=1,"Start of Data",OFFSET('Raw Data'!$N$4,A39-2,0))</f>
        <v>18.899999999999999</v>
      </c>
    </row>
    <row r="40" spans="1:6" x14ac:dyDescent="0.25">
      <c r="A40" s="5">
        <v>38</v>
      </c>
      <c r="B40" s="29">
        <f>'Raw Data'!N41</f>
        <v>21</v>
      </c>
      <c r="C40" s="5" t="str">
        <f>HLOOKUP("PRICE",'Raw Data'!$A$2:$N$3,2,FALSE)</f>
        <v>Price ($000s)</v>
      </c>
      <c r="D40" s="5" cm="1">
        <f t="array" aca="1" ref="D40" ca="1">INDIRECT("'Raw Data'!N"&amp;(A40+3))</f>
        <v>21</v>
      </c>
      <c r="E40" s="5">
        <f ca="1">IF(A40=506,"End Of Data",OFFSET('Raw Data'!$N$4,A40,0))</f>
        <v>24.7</v>
      </c>
      <c r="F40" s="5">
        <f ca="1">IF(A40=1,"Start of Data",OFFSET('Raw Data'!$N$4,A40-2,0))</f>
        <v>20</v>
      </c>
    </row>
    <row r="41" spans="1:6" x14ac:dyDescent="0.25">
      <c r="A41" s="5">
        <v>39</v>
      </c>
      <c r="B41" s="29">
        <f>'Raw Data'!N42</f>
        <v>24.7</v>
      </c>
      <c r="C41" s="5" t="str">
        <f>HLOOKUP("PRICE",'Raw Data'!$A$2:$N$3,2,FALSE)</f>
        <v>Price ($000s)</v>
      </c>
      <c r="D41" s="5" cm="1">
        <f t="array" aca="1" ref="D41" ca="1">INDIRECT("'Raw Data'!N"&amp;(A41+3))</f>
        <v>24.7</v>
      </c>
      <c r="E41" s="5">
        <f ca="1">IF(A41=506,"End Of Data",OFFSET('Raw Data'!$N$4,A41,0))</f>
        <v>30.8</v>
      </c>
      <c r="F41" s="5">
        <f ca="1">IF(A41=1,"Start of Data",OFFSET('Raw Data'!$N$4,A41-2,0))</f>
        <v>21</v>
      </c>
    </row>
    <row r="42" spans="1:6" x14ac:dyDescent="0.25">
      <c r="A42" s="5">
        <v>40</v>
      </c>
      <c r="B42" s="29">
        <f>'Raw Data'!N43</f>
        <v>30.8</v>
      </c>
      <c r="C42" s="5" t="str">
        <f>HLOOKUP("PRICE",'Raw Data'!$A$2:$N$3,2,FALSE)</f>
        <v>Price ($000s)</v>
      </c>
      <c r="D42" s="5" cm="1">
        <f t="array" aca="1" ref="D42" ca="1">INDIRECT("'Raw Data'!N"&amp;(A42+3))</f>
        <v>30.8</v>
      </c>
      <c r="E42" s="5">
        <f ca="1">IF(A42=506,"End Of Data",OFFSET('Raw Data'!$N$4,A42,0))</f>
        <v>34.9</v>
      </c>
      <c r="F42" s="5">
        <f ca="1">IF(A42=1,"Start of Data",OFFSET('Raw Data'!$N$4,A42-2,0))</f>
        <v>24.7</v>
      </c>
    </row>
    <row r="43" spans="1:6" x14ac:dyDescent="0.25">
      <c r="A43" s="5">
        <v>41</v>
      </c>
      <c r="B43" s="29">
        <f>'Raw Data'!N44</f>
        <v>34.9</v>
      </c>
      <c r="C43" s="5" t="str">
        <f>HLOOKUP("PRICE",'Raw Data'!$A$2:$N$3,2,FALSE)</f>
        <v>Price ($000s)</v>
      </c>
      <c r="D43" s="5" cm="1">
        <f t="array" aca="1" ref="D43" ca="1">INDIRECT("'Raw Data'!N"&amp;(A43+3))</f>
        <v>34.9</v>
      </c>
      <c r="E43" s="5">
        <f ca="1">IF(A43=506,"End Of Data",OFFSET('Raw Data'!$N$4,A43,0))</f>
        <v>26.6</v>
      </c>
      <c r="F43" s="5">
        <f ca="1">IF(A43=1,"Start of Data",OFFSET('Raw Data'!$N$4,A43-2,0))</f>
        <v>30.8</v>
      </c>
    </row>
    <row r="44" spans="1:6" x14ac:dyDescent="0.25">
      <c r="A44" s="5">
        <v>42</v>
      </c>
      <c r="B44" s="29">
        <f>'Raw Data'!N45</f>
        <v>26.6</v>
      </c>
      <c r="C44" s="5" t="str">
        <f>HLOOKUP("PRICE",'Raw Data'!$A$2:$N$3,2,FALSE)</f>
        <v>Price ($000s)</v>
      </c>
      <c r="D44" s="5" cm="1">
        <f t="array" aca="1" ref="D44" ca="1">INDIRECT("'Raw Data'!N"&amp;(A44+3))</f>
        <v>26.6</v>
      </c>
      <c r="E44" s="5">
        <f ca="1">IF(A44=506,"End Of Data",OFFSET('Raw Data'!$N$4,A44,0))</f>
        <v>25.3</v>
      </c>
      <c r="F44" s="5">
        <f ca="1">IF(A44=1,"Start of Data",OFFSET('Raw Data'!$N$4,A44-2,0))</f>
        <v>34.9</v>
      </c>
    </row>
    <row r="45" spans="1:6" x14ac:dyDescent="0.25">
      <c r="A45" s="5">
        <v>43</v>
      </c>
      <c r="B45" s="29">
        <f>'Raw Data'!N46</f>
        <v>25.3</v>
      </c>
      <c r="C45" s="5" t="str">
        <f>HLOOKUP("PRICE",'Raw Data'!$A$2:$N$3,2,FALSE)</f>
        <v>Price ($000s)</v>
      </c>
      <c r="D45" s="5" cm="1">
        <f t="array" aca="1" ref="D45" ca="1">INDIRECT("'Raw Data'!N"&amp;(A45+3))</f>
        <v>25.3</v>
      </c>
      <c r="E45" s="5">
        <f ca="1">IF(A45=506,"End Of Data",OFFSET('Raw Data'!$N$4,A45,0))</f>
        <v>24.7</v>
      </c>
      <c r="F45" s="5">
        <f ca="1">IF(A45=1,"Start of Data",OFFSET('Raw Data'!$N$4,A45-2,0))</f>
        <v>26.6</v>
      </c>
    </row>
    <row r="46" spans="1:6" x14ac:dyDescent="0.25">
      <c r="A46" s="5">
        <v>44</v>
      </c>
      <c r="B46" s="29">
        <f>'Raw Data'!N47</f>
        <v>24.7</v>
      </c>
      <c r="C46" s="5" t="str">
        <f>HLOOKUP("PRICE",'Raw Data'!$A$2:$N$3,2,FALSE)</f>
        <v>Price ($000s)</v>
      </c>
      <c r="D46" s="5" cm="1">
        <f t="array" aca="1" ref="D46" ca="1">INDIRECT("'Raw Data'!N"&amp;(A46+3))</f>
        <v>24.7</v>
      </c>
      <c r="E46" s="5">
        <f ca="1">IF(A46=506,"End Of Data",OFFSET('Raw Data'!$N$4,A46,0))</f>
        <v>21.2</v>
      </c>
      <c r="F46" s="5">
        <f ca="1">IF(A46=1,"Start of Data",OFFSET('Raw Data'!$N$4,A46-2,0))</f>
        <v>25.3</v>
      </c>
    </row>
    <row r="47" spans="1:6" x14ac:dyDescent="0.25">
      <c r="A47" s="5">
        <v>45</v>
      </c>
      <c r="B47" s="29">
        <f>'Raw Data'!N48</f>
        <v>21.2</v>
      </c>
      <c r="C47" s="5" t="str">
        <f>HLOOKUP("PRICE",'Raw Data'!$A$2:$N$3,2,FALSE)</f>
        <v>Price ($000s)</v>
      </c>
      <c r="D47" s="5" cm="1">
        <f t="array" aca="1" ref="D47" ca="1">INDIRECT("'Raw Data'!N"&amp;(A47+3))</f>
        <v>21.2</v>
      </c>
      <c r="E47" s="5">
        <f ca="1">IF(A47=506,"End Of Data",OFFSET('Raw Data'!$N$4,A47,0))</f>
        <v>19.3</v>
      </c>
      <c r="F47" s="5">
        <f ca="1">IF(A47=1,"Start of Data",OFFSET('Raw Data'!$N$4,A47-2,0))</f>
        <v>24.7</v>
      </c>
    </row>
    <row r="48" spans="1:6" x14ac:dyDescent="0.25">
      <c r="A48" s="5">
        <v>46</v>
      </c>
      <c r="B48" s="29">
        <f>'Raw Data'!N49</f>
        <v>19.3</v>
      </c>
      <c r="C48" s="5" t="str">
        <f>HLOOKUP("PRICE",'Raw Data'!$A$2:$N$3,2,FALSE)</f>
        <v>Price ($000s)</v>
      </c>
      <c r="D48" s="5" cm="1">
        <f t="array" aca="1" ref="D48" ca="1">INDIRECT("'Raw Data'!N"&amp;(A48+3))</f>
        <v>19.3</v>
      </c>
      <c r="E48" s="5">
        <f ca="1">IF(A48=506,"End Of Data",OFFSET('Raw Data'!$N$4,A48,0))</f>
        <v>20</v>
      </c>
      <c r="F48" s="5">
        <f ca="1">IF(A48=1,"Start of Data",OFFSET('Raw Data'!$N$4,A48-2,0))</f>
        <v>21.2</v>
      </c>
    </row>
    <row r="49" spans="1:6" x14ac:dyDescent="0.25">
      <c r="A49" s="5">
        <v>47</v>
      </c>
      <c r="B49" s="29">
        <f>'Raw Data'!N50</f>
        <v>20</v>
      </c>
      <c r="C49" s="5" t="str">
        <f>HLOOKUP("PRICE",'Raw Data'!$A$2:$N$3,2,FALSE)</f>
        <v>Price ($000s)</v>
      </c>
      <c r="D49" s="5" cm="1">
        <f t="array" aca="1" ref="D49" ca="1">INDIRECT("'Raw Data'!N"&amp;(A49+3))</f>
        <v>20</v>
      </c>
      <c r="E49" s="5">
        <f ca="1">IF(A49=506,"End Of Data",OFFSET('Raw Data'!$N$4,A49,0))</f>
        <v>16.600000000000001</v>
      </c>
      <c r="F49" s="5">
        <f ca="1">IF(A49=1,"Start of Data",OFFSET('Raw Data'!$N$4,A49-2,0))</f>
        <v>19.3</v>
      </c>
    </row>
    <row r="50" spans="1:6" x14ac:dyDescent="0.25">
      <c r="A50" s="5">
        <v>48</v>
      </c>
      <c r="B50" s="29">
        <f>'Raw Data'!N51</f>
        <v>16.600000000000001</v>
      </c>
      <c r="C50" s="5" t="str">
        <f>HLOOKUP("PRICE",'Raw Data'!$A$2:$N$3,2,FALSE)</f>
        <v>Price ($000s)</v>
      </c>
      <c r="D50" s="5" cm="1">
        <f t="array" aca="1" ref="D50" ca="1">INDIRECT("'Raw Data'!N"&amp;(A50+3))</f>
        <v>16.600000000000001</v>
      </c>
      <c r="E50" s="5">
        <f ca="1">IF(A50=506,"End Of Data",OFFSET('Raw Data'!$N$4,A50,0))</f>
        <v>14.4</v>
      </c>
      <c r="F50" s="5">
        <f ca="1">IF(A50=1,"Start of Data",OFFSET('Raw Data'!$N$4,A50-2,0))</f>
        <v>20</v>
      </c>
    </row>
    <row r="51" spans="1:6" x14ac:dyDescent="0.25">
      <c r="A51" s="5">
        <v>49</v>
      </c>
      <c r="B51" s="29">
        <f>'Raw Data'!N52</f>
        <v>14.4</v>
      </c>
      <c r="C51" s="5" t="str">
        <f>HLOOKUP("PRICE",'Raw Data'!$A$2:$N$3,2,FALSE)</f>
        <v>Price ($000s)</v>
      </c>
      <c r="D51" s="5" cm="1">
        <f t="array" aca="1" ref="D51" ca="1">INDIRECT("'Raw Data'!N"&amp;(A51+3))</f>
        <v>14.4</v>
      </c>
      <c r="E51" s="5">
        <f ca="1">IF(A51=506,"End Of Data",OFFSET('Raw Data'!$N$4,A51,0))</f>
        <v>19.399999999999999</v>
      </c>
      <c r="F51" s="5">
        <f ca="1">IF(A51=1,"Start of Data",OFFSET('Raw Data'!$N$4,A51-2,0))</f>
        <v>16.600000000000001</v>
      </c>
    </row>
    <row r="52" spans="1:6" x14ac:dyDescent="0.25">
      <c r="A52" s="5">
        <v>50</v>
      </c>
      <c r="B52" s="29">
        <f>'Raw Data'!N53</f>
        <v>19.399999999999999</v>
      </c>
      <c r="C52" s="5" t="str">
        <f>HLOOKUP("PRICE",'Raw Data'!$A$2:$N$3,2,FALSE)</f>
        <v>Price ($000s)</v>
      </c>
      <c r="D52" s="5" cm="1">
        <f t="array" aca="1" ref="D52" ca="1">INDIRECT("'Raw Data'!N"&amp;(A52+3))</f>
        <v>19.399999999999999</v>
      </c>
      <c r="E52" s="5">
        <f ca="1">IF(A52=506,"End Of Data",OFFSET('Raw Data'!$N$4,A52,0))</f>
        <v>19.7</v>
      </c>
      <c r="F52" s="5">
        <f ca="1">IF(A52=1,"Start of Data",OFFSET('Raw Data'!$N$4,A52-2,0))</f>
        <v>14.4</v>
      </c>
    </row>
    <row r="53" spans="1:6" x14ac:dyDescent="0.25">
      <c r="A53" s="5">
        <v>51</v>
      </c>
      <c r="B53" s="29">
        <f>'Raw Data'!N54</f>
        <v>19.7</v>
      </c>
      <c r="C53" s="5" t="str">
        <f>HLOOKUP("PRICE",'Raw Data'!$A$2:$N$3,2,FALSE)</f>
        <v>Price ($000s)</v>
      </c>
      <c r="D53" s="5" cm="1">
        <f t="array" aca="1" ref="D53" ca="1">INDIRECT("'Raw Data'!N"&amp;(A53+3))</f>
        <v>19.7</v>
      </c>
      <c r="E53" s="5">
        <f ca="1">IF(A53=506,"End Of Data",OFFSET('Raw Data'!$N$4,A53,0))</f>
        <v>20.5</v>
      </c>
      <c r="F53" s="5">
        <f ca="1">IF(A53=1,"Start of Data",OFFSET('Raw Data'!$N$4,A53-2,0))</f>
        <v>19.399999999999999</v>
      </c>
    </row>
    <row r="54" spans="1:6" x14ac:dyDescent="0.25">
      <c r="A54" s="5">
        <v>52</v>
      </c>
      <c r="B54" s="29">
        <f>'Raw Data'!N55</f>
        <v>20.5</v>
      </c>
      <c r="C54" s="5" t="str">
        <f>HLOOKUP("PRICE",'Raw Data'!$A$2:$N$3,2,FALSE)</f>
        <v>Price ($000s)</v>
      </c>
      <c r="D54" s="5" cm="1">
        <f t="array" aca="1" ref="D54" ca="1">INDIRECT("'Raw Data'!N"&amp;(A54+3))</f>
        <v>20.5</v>
      </c>
      <c r="E54" s="5">
        <f ca="1">IF(A54=506,"End Of Data",OFFSET('Raw Data'!$N$4,A54,0))</f>
        <v>25</v>
      </c>
      <c r="F54" s="5">
        <f ca="1">IF(A54=1,"Start of Data",OFFSET('Raw Data'!$N$4,A54-2,0))</f>
        <v>19.7</v>
      </c>
    </row>
    <row r="55" spans="1:6" x14ac:dyDescent="0.25">
      <c r="A55" s="5">
        <v>53</v>
      </c>
      <c r="B55" s="29">
        <f>'Raw Data'!N56</f>
        <v>25</v>
      </c>
      <c r="C55" s="5" t="str">
        <f>HLOOKUP("PRICE",'Raw Data'!$A$2:$N$3,2,FALSE)</f>
        <v>Price ($000s)</v>
      </c>
      <c r="D55" s="5" cm="1">
        <f t="array" aca="1" ref="D55" ca="1">INDIRECT("'Raw Data'!N"&amp;(A55+3))</f>
        <v>25</v>
      </c>
      <c r="E55" s="5">
        <f ca="1">IF(A55=506,"End Of Data",OFFSET('Raw Data'!$N$4,A55,0))</f>
        <v>23.4</v>
      </c>
      <c r="F55" s="5">
        <f ca="1">IF(A55=1,"Start of Data",OFFSET('Raw Data'!$N$4,A55-2,0))</f>
        <v>20.5</v>
      </c>
    </row>
    <row r="56" spans="1:6" x14ac:dyDescent="0.25">
      <c r="A56" s="5">
        <v>54</v>
      </c>
      <c r="B56" s="29">
        <f>'Raw Data'!N57</f>
        <v>23.4</v>
      </c>
      <c r="C56" s="5" t="str">
        <f>HLOOKUP("PRICE",'Raw Data'!$A$2:$N$3,2,FALSE)</f>
        <v>Price ($000s)</v>
      </c>
      <c r="D56" s="5" cm="1">
        <f t="array" aca="1" ref="D56" ca="1">INDIRECT("'Raw Data'!N"&amp;(A56+3))</f>
        <v>23.4</v>
      </c>
      <c r="E56" s="5">
        <f ca="1">IF(A56=506,"End Of Data",OFFSET('Raw Data'!$N$4,A56,0))</f>
        <v>18.899999999999999</v>
      </c>
      <c r="F56" s="5">
        <f ca="1">IF(A56=1,"Start of Data",OFFSET('Raw Data'!$N$4,A56-2,0))</f>
        <v>25</v>
      </c>
    </row>
    <row r="57" spans="1:6" x14ac:dyDescent="0.25">
      <c r="A57" s="5">
        <v>55</v>
      </c>
      <c r="B57" s="29">
        <f>'Raw Data'!N58</f>
        <v>18.899999999999999</v>
      </c>
      <c r="C57" s="5" t="str">
        <f>HLOOKUP("PRICE",'Raw Data'!$A$2:$N$3,2,FALSE)</f>
        <v>Price ($000s)</v>
      </c>
      <c r="D57" s="5" cm="1">
        <f t="array" aca="1" ref="D57" ca="1">INDIRECT("'Raw Data'!N"&amp;(A57+3))</f>
        <v>18.899999999999999</v>
      </c>
      <c r="E57" s="5">
        <f ca="1">IF(A57=506,"End Of Data",OFFSET('Raw Data'!$N$4,A57,0))</f>
        <v>35.4</v>
      </c>
      <c r="F57" s="5">
        <f ca="1">IF(A57=1,"Start of Data",OFFSET('Raw Data'!$N$4,A57-2,0))</f>
        <v>23.4</v>
      </c>
    </row>
    <row r="58" spans="1:6" x14ac:dyDescent="0.25">
      <c r="A58" s="5">
        <v>56</v>
      </c>
      <c r="B58" s="29">
        <f>'Raw Data'!N59</f>
        <v>35.4</v>
      </c>
      <c r="C58" s="5" t="str">
        <f>HLOOKUP("PRICE",'Raw Data'!$A$2:$N$3,2,FALSE)</f>
        <v>Price ($000s)</v>
      </c>
      <c r="D58" s="5" cm="1">
        <f t="array" aca="1" ref="D58" ca="1">INDIRECT("'Raw Data'!N"&amp;(A58+3))</f>
        <v>35.4</v>
      </c>
      <c r="E58" s="5">
        <f ca="1">IF(A58=506,"End Of Data",OFFSET('Raw Data'!$N$4,A58,0))</f>
        <v>24.7</v>
      </c>
      <c r="F58" s="5">
        <f ca="1">IF(A58=1,"Start of Data",OFFSET('Raw Data'!$N$4,A58-2,0))</f>
        <v>18.899999999999999</v>
      </c>
    </row>
    <row r="59" spans="1:6" x14ac:dyDescent="0.25">
      <c r="A59" s="5">
        <v>57</v>
      </c>
      <c r="B59" s="29">
        <f>'Raw Data'!N60</f>
        <v>24.7</v>
      </c>
      <c r="C59" s="5" t="str">
        <f>HLOOKUP("PRICE",'Raw Data'!$A$2:$N$3,2,FALSE)</f>
        <v>Price ($000s)</v>
      </c>
      <c r="D59" s="5" cm="1">
        <f t="array" aca="1" ref="D59" ca="1">INDIRECT("'Raw Data'!N"&amp;(A59+3))</f>
        <v>24.7</v>
      </c>
      <c r="E59" s="5">
        <f ca="1">IF(A59=506,"End Of Data",OFFSET('Raw Data'!$N$4,A59,0))</f>
        <v>31.6</v>
      </c>
      <c r="F59" s="5">
        <f ca="1">IF(A59=1,"Start of Data",OFFSET('Raw Data'!$N$4,A59-2,0))</f>
        <v>35.4</v>
      </c>
    </row>
    <row r="60" spans="1:6" x14ac:dyDescent="0.25">
      <c r="A60" s="5">
        <v>58</v>
      </c>
      <c r="B60" s="29">
        <f>'Raw Data'!N61</f>
        <v>31.6</v>
      </c>
      <c r="C60" s="5" t="str">
        <f>HLOOKUP("PRICE",'Raw Data'!$A$2:$N$3,2,FALSE)</f>
        <v>Price ($000s)</v>
      </c>
      <c r="D60" s="5" cm="1">
        <f t="array" aca="1" ref="D60" ca="1">INDIRECT("'Raw Data'!N"&amp;(A60+3))</f>
        <v>31.6</v>
      </c>
      <c r="E60" s="5">
        <f ca="1">IF(A60=506,"End Of Data",OFFSET('Raw Data'!$N$4,A60,0))</f>
        <v>23.3</v>
      </c>
      <c r="F60" s="5">
        <f ca="1">IF(A60=1,"Start of Data",OFFSET('Raw Data'!$N$4,A60-2,0))</f>
        <v>24.7</v>
      </c>
    </row>
    <row r="61" spans="1:6" x14ac:dyDescent="0.25">
      <c r="A61" s="5">
        <v>59</v>
      </c>
      <c r="B61" s="29">
        <f>'Raw Data'!N62</f>
        <v>23.3</v>
      </c>
      <c r="C61" s="5" t="str">
        <f>HLOOKUP("PRICE",'Raw Data'!$A$2:$N$3,2,FALSE)</f>
        <v>Price ($000s)</v>
      </c>
      <c r="D61" s="5" cm="1">
        <f t="array" aca="1" ref="D61" ca="1">INDIRECT("'Raw Data'!N"&amp;(A61+3))</f>
        <v>23.3</v>
      </c>
      <c r="E61" s="5">
        <f ca="1">IF(A61=506,"End Of Data",OFFSET('Raw Data'!$N$4,A61,0))</f>
        <v>19.600000000000001</v>
      </c>
      <c r="F61" s="5">
        <f ca="1">IF(A61=1,"Start of Data",OFFSET('Raw Data'!$N$4,A61-2,0))</f>
        <v>31.6</v>
      </c>
    </row>
    <row r="62" spans="1:6" x14ac:dyDescent="0.25">
      <c r="A62" s="5">
        <v>60</v>
      </c>
      <c r="B62" s="29">
        <f>'Raw Data'!N63</f>
        <v>19.600000000000001</v>
      </c>
      <c r="C62" s="5" t="str">
        <f>HLOOKUP("PRICE",'Raw Data'!$A$2:$N$3,2,FALSE)</f>
        <v>Price ($000s)</v>
      </c>
      <c r="D62" s="5" cm="1">
        <f t="array" aca="1" ref="D62" ca="1">INDIRECT("'Raw Data'!N"&amp;(A62+3))</f>
        <v>19.600000000000001</v>
      </c>
      <c r="E62" s="5">
        <f ca="1">IF(A62=506,"End Of Data",OFFSET('Raw Data'!$N$4,A62,0))</f>
        <v>18.7</v>
      </c>
      <c r="F62" s="5">
        <f ca="1">IF(A62=1,"Start of Data",OFFSET('Raw Data'!$N$4,A62-2,0))</f>
        <v>23.3</v>
      </c>
    </row>
    <row r="63" spans="1:6" x14ac:dyDescent="0.25">
      <c r="A63" s="5">
        <v>61</v>
      </c>
      <c r="B63" s="29">
        <f>'Raw Data'!N64</f>
        <v>18.7</v>
      </c>
      <c r="C63" s="5" t="str">
        <f>HLOOKUP("PRICE",'Raw Data'!$A$2:$N$3,2,FALSE)</f>
        <v>Price ($000s)</v>
      </c>
      <c r="D63" s="5" cm="1">
        <f t="array" aca="1" ref="D63" ca="1">INDIRECT("'Raw Data'!N"&amp;(A63+3))</f>
        <v>18.7</v>
      </c>
      <c r="E63" s="5">
        <f ca="1">IF(A63=506,"End Of Data",OFFSET('Raw Data'!$N$4,A63,0))</f>
        <v>16</v>
      </c>
      <c r="F63" s="5">
        <f ca="1">IF(A63=1,"Start of Data",OFFSET('Raw Data'!$N$4,A63-2,0))</f>
        <v>19.600000000000001</v>
      </c>
    </row>
    <row r="64" spans="1:6" x14ac:dyDescent="0.25">
      <c r="A64" s="5">
        <v>62</v>
      </c>
      <c r="B64" s="29">
        <f>'Raw Data'!N65</f>
        <v>16</v>
      </c>
      <c r="C64" s="5" t="str">
        <f>HLOOKUP("PRICE",'Raw Data'!$A$2:$N$3,2,FALSE)</f>
        <v>Price ($000s)</v>
      </c>
      <c r="D64" s="5" cm="1">
        <f t="array" aca="1" ref="D64" ca="1">INDIRECT("'Raw Data'!N"&amp;(A64+3))</f>
        <v>16</v>
      </c>
      <c r="E64" s="5">
        <f ca="1">IF(A64=506,"End Of Data",OFFSET('Raw Data'!$N$4,A64,0))</f>
        <v>22.2</v>
      </c>
      <c r="F64" s="5">
        <f ca="1">IF(A64=1,"Start of Data",OFFSET('Raw Data'!$N$4,A64-2,0))</f>
        <v>18.7</v>
      </c>
    </row>
    <row r="65" spans="1:6" x14ac:dyDescent="0.25">
      <c r="A65" s="5">
        <v>63</v>
      </c>
      <c r="B65" s="29">
        <f>'Raw Data'!N66</f>
        <v>22.2</v>
      </c>
      <c r="C65" s="5" t="str">
        <f>HLOOKUP("PRICE",'Raw Data'!$A$2:$N$3,2,FALSE)</f>
        <v>Price ($000s)</v>
      </c>
      <c r="D65" s="5" cm="1">
        <f t="array" aca="1" ref="D65" ca="1">INDIRECT("'Raw Data'!N"&amp;(A65+3))</f>
        <v>22.2</v>
      </c>
      <c r="E65" s="5">
        <f ca="1">IF(A65=506,"End Of Data",OFFSET('Raw Data'!$N$4,A65,0))</f>
        <v>25</v>
      </c>
      <c r="F65" s="5">
        <f ca="1">IF(A65=1,"Start of Data",OFFSET('Raw Data'!$N$4,A65-2,0))</f>
        <v>16</v>
      </c>
    </row>
    <row r="66" spans="1:6" x14ac:dyDescent="0.25">
      <c r="A66" s="5">
        <v>64</v>
      </c>
      <c r="B66" s="29">
        <f>'Raw Data'!N67</f>
        <v>25</v>
      </c>
      <c r="C66" s="5" t="str">
        <f>HLOOKUP("PRICE",'Raw Data'!$A$2:$N$3,2,FALSE)</f>
        <v>Price ($000s)</v>
      </c>
      <c r="D66" s="5" cm="1">
        <f t="array" aca="1" ref="D66" ca="1">INDIRECT("'Raw Data'!N"&amp;(A66+3))</f>
        <v>25</v>
      </c>
      <c r="E66" s="5">
        <f ca="1">IF(A66=506,"End Of Data",OFFSET('Raw Data'!$N$4,A66,0))</f>
        <v>33</v>
      </c>
      <c r="F66" s="5">
        <f ca="1">IF(A66=1,"Start of Data",OFFSET('Raw Data'!$N$4,A66-2,0))</f>
        <v>22.2</v>
      </c>
    </row>
    <row r="67" spans="1:6" x14ac:dyDescent="0.25">
      <c r="A67" s="5">
        <v>65</v>
      </c>
      <c r="B67" s="29">
        <f>'Raw Data'!N68</f>
        <v>33</v>
      </c>
      <c r="C67" s="5" t="str">
        <f>HLOOKUP("PRICE",'Raw Data'!$A$2:$N$3,2,FALSE)</f>
        <v>Price ($000s)</v>
      </c>
      <c r="D67" s="5" cm="1">
        <f t="array" aca="1" ref="D67" ca="1">INDIRECT("'Raw Data'!N"&amp;(A67+3))</f>
        <v>33</v>
      </c>
      <c r="E67" s="5">
        <f ca="1">IF(A67=506,"End Of Data",OFFSET('Raw Data'!$N$4,A67,0))</f>
        <v>23.5</v>
      </c>
      <c r="F67" s="5">
        <f ca="1">IF(A67=1,"Start of Data",OFFSET('Raw Data'!$N$4,A67-2,0))</f>
        <v>25</v>
      </c>
    </row>
    <row r="68" spans="1:6" x14ac:dyDescent="0.25">
      <c r="A68" s="5">
        <v>66</v>
      </c>
      <c r="B68" s="29">
        <f>'Raw Data'!N69</f>
        <v>23.5</v>
      </c>
      <c r="C68" s="5" t="str">
        <f>HLOOKUP("PRICE",'Raw Data'!$A$2:$N$3,2,FALSE)</f>
        <v>Price ($000s)</v>
      </c>
      <c r="D68" s="5" cm="1">
        <f t="array" aca="1" ref="D68" ca="1">INDIRECT("'Raw Data'!N"&amp;(A68+3))</f>
        <v>23.5</v>
      </c>
      <c r="E68" s="5">
        <f ca="1">IF(A68=506,"End Of Data",OFFSET('Raw Data'!$N$4,A68,0))</f>
        <v>19.399999999999999</v>
      </c>
      <c r="F68" s="5">
        <f ca="1">IF(A68=1,"Start of Data",OFFSET('Raw Data'!$N$4,A68-2,0))</f>
        <v>33</v>
      </c>
    </row>
    <row r="69" spans="1:6" x14ac:dyDescent="0.25">
      <c r="A69" s="5">
        <v>67</v>
      </c>
      <c r="B69" s="29">
        <f>'Raw Data'!N70</f>
        <v>19.399999999999999</v>
      </c>
      <c r="C69" s="5" t="str">
        <f>HLOOKUP("PRICE",'Raw Data'!$A$2:$N$3,2,FALSE)</f>
        <v>Price ($000s)</v>
      </c>
      <c r="D69" s="5" cm="1">
        <f t="array" aca="1" ref="D69" ca="1">INDIRECT("'Raw Data'!N"&amp;(A69+3))</f>
        <v>19.399999999999999</v>
      </c>
      <c r="E69" s="5">
        <f ca="1">IF(A69=506,"End Of Data",OFFSET('Raw Data'!$N$4,A69,0))</f>
        <v>22</v>
      </c>
      <c r="F69" s="5">
        <f ca="1">IF(A69=1,"Start of Data",OFFSET('Raw Data'!$N$4,A69-2,0))</f>
        <v>23.5</v>
      </c>
    </row>
    <row r="70" spans="1:6" x14ac:dyDescent="0.25">
      <c r="A70" s="5">
        <v>68</v>
      </c>
      <c r="B70" s="29">
        <f>'Raw Data'!N71</f>
        <v>22</v>
      </c>
      <c r="C70" s="5" t="str">
        <f>HLOOKUP("PRICE",'Raw Data'!$A$2:$N$3,2,FALSE)</f>
        <v>Price ($000s)</v>
      </c>
      <c r="D70" s="5" cm="1">
        <f t="array" aca="1" ref="D70" ca="1">INDIRECT("'Raw Data'!N"&amp;(A70+3))</f>
        <v>22</v>
      </c>
      <c r="E70" s="5">
        <f ca="1">IF(A70=506,"End Of Data",OFFSET('Raw Data'!$N$4,A70,0))</f>
        <v>17.399999999999999</v>
      </c>
      <c r="F70" s="5">
        <f ca="1">IF(A70=1,"Start of Data",OFFSET('Raw Data'!$N$4,A70-2,0))</f>
        <v>19.399999999999999</v>
      </c>
    </row>
    <row r="71" spans="1:6" x14ac:dyDescent="0.25">
      <c r="A71" s="5">
        <v>69</v>
      </c>
      <c r="B71" s="29">
        <f>'Raw Data'!N72</f>
        <v>17.399999999999999</v>
      </c>
      <c r="C71" s="5" t="str">
        <f>HLOOKUP("PRICE",'Raw Data'!$A$2:$N$3,2,FALSE)</f>
        <v>Price ($000s)</v>
      </c>
      <c r="D71" s="5" cm="1">
        <f t="array" aca="1" ref="D71" ca="1">INDIRECT("'Raw Data'!N"&amp;(A71+3))</f>
        <v>17.399999999999999</v>
      </c>
      <c r="E71" s="5">
        <f ca="1">IF(A71=506,"End Of Data",OFFSET('Raw Data'!$N$4,A71,0))</f>
        <v>20.9</v>
      </c>
      <c r="F71" s="5">
        <f ca="1">IF(A71=1,"Start of Data",OFFSET('Raw Data'!$N$4,A71-2,0))</f>
        <v>22</v>
      </c>
    </row>
    <row r="72" spans="1:6" x14ac:dyDescent="0.25">
      <c r="A72" s="5">
        <v>70</v>
      </c>
      <c r="B72" s="29">
        <f>'Raw Data'!N73</f>
        <v>20.9</v>
      </c>
      <c r="C72" s="5" t="str">
        <f>HLOOKUP("PRICE",'Raw Data'!$A$2:$N$3,2,FALSE)</f>
        <v>Price ($000s)</v>
      </c>
      <c r="D72" s="5" cm="1">
        <f t="array" aca="1" ref="D72" ca="1">INDIRECT("'Raw Data'!N"&amp;(A72+3))</f>
        <v>20.9</v>
      </c>
      <c r="E72" s="5">
        <f ca="1">IF(A72=506,"End Of Data",OFFSET('Raw Data'!$N$4,A72,0))</f>
        <v>24.2</v>
      </c>
      <c r="F72" s="5">
        <f ca="1">IF(A72=1,"Start of Data",OFFSET('Raw Data'!$N$4,A72-2,0))</f>
        <v>17.399999999999999</v>
      </c>
    </row>
    <row r="73" spans="1:6" x14ac:dyDescent="0.25">
      <c r="A73" s="5">
        <v>71</v>
      </c>
      <c r="B73" s="29">
        <f>'Raw Data'!N74</f>
        <v>24.2</v>
      </c>
      <c r="C73" s="5" t="str">
        <f>HLOOKUP("PRICE",'Raw Data'!$A$2:$N$3,2,FALSE)</f>
        <v>Price ($000s)</v>
      </c>
      <c r="D73" s="5" cm="1">
        <f t="array" aca="1" ref="D73" ca="1">INDIRECT("'Raw Data'!N"&amp;(A73+3))</f>
        <v>24.2</v>
      </c>
      <c r="E73" s="5">
        <f ca="1">IF(A73=506,"End Of Data",OFFSET('Raw Data'!$N$4,A73,0))</f>
        <v>21.7</v>
      </c>
      <c r="F73" s="5">
        <f ca="1">IF(A73=1,"Start of Data",OFFSET('Raw Data'!$N$4,A73-2,0))</f>
        <v>20.9</v>
      </c>
    </row>
    <row r="74" spans="1:6" x14ac:dyDescent="0.25">
      <c r="A74" s="5">
        <v>72</v>
      </c>
      <c r="B74" s="29">
        <f>'Raw Data'!N75</f>
        <v>21.7</v>
      </c>
      <c r="C74" s="5" t="str">
        <f>HLOOKUP("PRICE",'Raw Data'!$A$2:$N$3,2,FALSE)</f>
        <v>Price ($000s)</v>
      </c>
      <c r="D74" s="5" cm="1">
        <f t="array" aca="1" ref="D74" ca="1">INDIRECT("'Raw Data'!N"&amp;(A74+3))</f>
        <v>21.7</v>
      </c>
      <c r="E74" s="5">
        <f ca="1">IF(A74=506,"End Of Data",OFFSET('Raw Data'!$N$4,A74,0))</f>
        <v>22.8</v>
      </c>
      <c r="F74" s="5">
        <f ca="1">IF(A74=1,"Start of Data",OFFSET('Raw Data'!$N$4,A74-2,0))</f>
        <v>24.2</v>
      </c>
    </row>
    <row r="75" spans="1:6" x14ac:dyDescent="0.25">
      <c r="A75" s="5">
        <v>73</v>
      </c>
      <c r="B75" s="29">
        <f>'Raw Data'!N76</f>
        <v>22.8</v>
      </c>
      <c r="C75" s="5" t="str">
        <f>HLOOKUP("PRICE",'Raw Data'!$A$2:$N$3,2,FALSE)</f>
        <v>Price ($000s)</v>
      </c>
      <c r="D75" s="5" cm="1">
        <f t="array" aca="1" ref="D75" ca="1">INDIRECT("'Raw Data'!N"&amp;(A75+3))</f>
        <v>22.8</v>
      </c>
      <c r="E75" s="5">
        <f ca="1">IF(A75=506,"End Of Data",OFFSET('Raw Data'!$N$4,A75,0))</f>
        <v>23.4</v>
      </c>
      <c r="F75" s="5">
        <f ca="1">IF(A75=1,"Start of Data",OFFSET('Raw Data'!$N$4,A75-2,0))</f>
        <v>21.7</v>
      </c>
    </row>
    <row r="76" spans="1:6" x14ac:dyDescent="0.25">
      <c r="A76" s="5">
        <v>74</v>
      </c>
      <c r="B76" s="29">
        <f>'Raw Data'!N77</f>
        <v>23.4</v>
      </c>
      <c r="C76" s="5" t="str">
        <f>HLOOKUP("PRICE",'Raw Data'!$A$2:$N$3,2,FALSE)</f>
        <v>Price ($000s)</v>
      </c>
      <c r="D76" s="5" cm="1">
        <f t="array" aca="1" ref="D76" ca="1">INDIRECT("'Raw Data'!N"&amp;(A76+3))</f>
        <v>23.4</v>
      </c>
      <c r="E76" s="5">
        <f ca="1">IF(A76=506,"End Of Data",OFFSET('Raw Data'!$N$4,A76,0))</f>
        <v>24.1</v>
      </c>
      <c r="F76" s="5">
        <f ca="1">IF(A76=1,"Start of Data",OFFSET('Raw Data'!$N$4,A76-2,0))</f>
        <v>22.8</v>
      </c>
    </row>
    <row r="77" spans="1:6" x14ac:dyDescent="0.25">
      <c r="A77" s="5">
        <v>75</v>
      </c>
      <c r="B77" s="29">
        <f>'Raw Data'!N78</f>
        <v>24.1</v>
      </c>
      <c r="C77" s="5" t="str">
        <f>HLOOKUP("PRICE",'Raw Data'!$A$2:$N$3,2,FALSE)</f>
        <v>Price ($000s)</v>
      </c>
      <c r="D77" s="5" cm="1">
        <f t="array" aca="1" ref="D77" ca="1">INDIRECT("'Raw Data'!N"&amp;(A77+3))</f>
        <v>24.1</v>
      </c>
      <c r="E77" s="5">
        <f ca="1">IF(A77=506,"End Of Data",OFFSET('Raw Data'!$N$4,A77,0))</f>
        <v>21.4</v>
      </c>
      <c r="F77" s="5">
        <f ca="1">IF(A77=1,"Start of Data",OFFSET('Raw Data'!$N$4,A77-2,0))</f>
        <v>23.4</v>
      </c>
    </row>
    <row r="78" spans="1:6" x14ac:dyDescent="0.25">
      <c r="A78" s="5">
        <v>76</v>
      </c>
      <c r="B78" s="29">
        <f>'Raw Data'!N79</f>
        <v>21.4</v>
      </c>
      <c r="C78" s="5" t="str">
        <f>HLOOKUP("PRICE",'Raw Data'!$A$2:$N$3,2,FALSE)</f>
        <v>Price ($000s)</v>
      </c>
      <c r="D78" s="5" cm="1">
        <f t="array" aca="1" ref="D78" ca="1">INDIRECT("'Raw Data'!N"&amp;(A78+3))</f>
        <v>21.4</v>
      </c>
      <c r="E78" s="5">
        <f ca="1">IF(A78=506,"End Of Data",OFFSET('Raw Data'!$N$4,A78,0))</f>
        <v>20</v>
      </c>
      <c r="F78" s="5">
        <f ca="1">IF(A78=1,"Start of Data",OFFSET('Raw Data'!$N$4,A78-2,0))</f>
        <v>24.1</v>
      </c>
    </row>
    <row r="79" spans="1:6" x14ac:dyDescent="0.25">
      <c r="A79" s="5">
        <v>77</v>
      </c>
      <c r="B79" s="29">
        <f>'Raw Data'!N80</f>
        <v>20</v>
      </c>
      <c r="C79" s="5" t="str">
        <f>HLOOKUP("PRICE",'Raw Data'!$A$2:$N$3,2,FALSE)</f>
        <v>Price ($000s)</v>
      </c>
      <c r="D79" s="5" cm="1">
        <f t="array" aca="1" ref="D79" ca="1">INDIRECT("'Raw Data'!N"&amp;(A79+3))</f>
        <v>20</v>
      </c>
      <c r="E79" s="5">
        <f ca="1">IF(A79=506,"End Of Data",OFFSET('Raw Data'!$N$4,A79,0))</f>
        <v>20.8</v>
      </c>
      <c r="F79" s="5">
        <f ca="1">IF(A79=1,"Start of Data",OFFSET('Raw Data'!$N$4,A79-2,0))</f>
        <v>21.4</v>
      </c>
    </row>
    <row r="80" spans="1:6" x14ac:dyDescent="0.25">
      <c r="A80" s="5">
        <v>78</v>
      </c>
      <c r="B80" s="29">
        <f>'Raw Data'!N81</f>
        <v>20.8</v>
      </c>
      <c r="C80" s="5" t="str">
        <f>HLOOKUP("PRICE",'Raw Data'!$A$2:$N$3,2,FALSE)</f>
        <v>Price ($000s)</v>
      </c>
      <c r="D80" s="5" cm="1">
        <f t="array" aca="1" ref="D80" ca="1">INDIRECT("'Raw Data'!N"&amp;(A80+3))</f>
        <v>20.8</v>
      </c>
      <c r="E80" s="5">
        <f ca="1">IF(A80=506,"End Of Data",OFFSET('Raw Data'!$N$4,A80,0))</f>
        <v>21.2</v>
      </c>
      <c r="F80" s="5">
        <f ca="1">IF(A80=1,"Start of Data",OFFSET('Raw Data'!$N$4,A80-2,0))</f>
        <v>20</v>
      </c>
    </row>
    <row r="81" spans="1:6" x14ac:dyDescent="0.25">
      <c r="A81" s="5">
        <v>79</v>
      </c>
      <c r="B81" s="29">
        <f>'Raw Data'!N82</f>
        <v>21.2</v>
      </c>
      <c r="C81" s="5" t="str">
        <f>HLOOKUP("PRICE",'Raw Data'!$A$2:$N$3,2,FALSE)</f>
        <v>Price ($000s)</v>
      </c>
      <c r="D81" s="5" cm="1">
        <f t="array" aca="1" ref="D81" ca="1">INDIRECT("'Raw Data'!N"&amp;(A81+3))</f>
        <v>21.2</v>
      </c>
      <c r="E81" s="5">
        <f ca="1">IF(A81=506,"End Of Data",OFFSET('Raw Data'!$N$4,A81,0))</f>
        <v>20.3</v>
      </c>
      <c r="F81" s="5">
        <f ca="1">IF(A81=1,"Start of Data",OFFSET('Raw Data'!$N$4,A81-2,0))</f>
        <v>20.8</v>
      </c>
    </row>
    <row r="82" spans="1:6" x14ac:dyDescent="0.25">
      <c r="A82" s="5">
        <v>80</v>
      </c>
      <c r="B82" s="29">
        <f>'Raw Data'!N83</f>
        <v>20.3</v>
      </c>
      <c r="C82" s="5" t="str">
        <f>HLOOKUP("PRICE",'Raw Data'!$A$2:$N$3,2,FALSE)</f>
        <v>Price ($000s)</v>
      </c>
      <c r="D82" s="5" cm="1">
        <f t="array" aca="1" ref="D82" ca="1">INDIRECT("'Raw Data'!N"&amp;(A82+3))</f>
        <v>20.3</v>
      </c>
      <c r="E82" s="5">
        <f ca="1">IF(A82=506,"End Of Data",OFFSET('Raw Data'!$N$4,A82,0))</f>
        <v>28</v>
      </c>
      <c r="F82" s="5">
        <f ca="1">IF(A82=1,"Start of Data",OFFSET('Raw Data'!$N$4,A82-2,0))</f>
        <v>21.2</v>
      </c>
    </row>
    <row r="83" spans="1:6" x14ac:dyDescent="0.25">
      <c r="A83" s="5">
        <v>81</v>
      </c>
      <c r="B83" s="29">
        <f>'Raw Data'!N84</f>
        <v>28</v>
      </c>
      <c r="C83" s="5" t="str">
        <f>HLOOKUP("PRICE",'Raw Data'!$A$2:$N$3,2,FALSE)</f>
        <v>Price ($000s)</v>
      </c>
      <c r="D83" s="5" cm="1">
        <f t="array" aca="1" ref="D83" ca="1">INDIRECT("'Raw Data'!N"&amp;(A83+3))</f>
        <v>28</v>
      </c>
      <c r="E83" s="5">
        <f ca="1">IF(A83=506,"End Of Data",OFFSET('Raw Data'!$N$4,A83,0))</f>
        <v>23.9</v>
      </c>
      <c r="F83" s="5">
        <f ca="1">IF(A83=1,"Start of Data",OFFSET('Raw Data'!$N$4,A83-2,0))</f>
        <v>20.3</v>
      </c>
    </row>
    <row r="84" spans="1:6" x14ac:dyDescent="0.25">
      <c r="A84" s="5">
        <v>82</v>
      </c>
      <c r="B84" s="29">
        <f>'Raw Data'!N85</f>
        <v>23.9</v>
      </c>
      <c r="C84" s="5" t="str">
        <f>HLOOKUP("PRICE",'Raw Data'!$A$2:$N$3,2,FALSE)</f>
        <v>Price ($000s)</v>
      </c>
      <c r="D84" s="5" cm="1">
        <f t="array" aca="1" ref="D84" ca="1">INDIRECT("'Raw Data'!N"&amp;(A84+3))</f>
        <v>23.9</v>
      </c>
      <c r="E84" s="5">
        <f ca="1">IF(A84=506,"End Of Data",OFFSET('Raw Data'!$N$4,A84,0))</f>
        <v>24.8</v>
      </c>
      <c r="F84" s="5">
        <f ca="1">IF(A84=1,"Start of Data",OFFSET('Raw Data'!$N$4,A84-2,0))</f>
        <v>28</v>
      </c>
    </row>
    <row r="85" spans="1:6" x14ac:dyDescent="0.25">
      <c r="A85" s="5">
        <v>83</v>
      </c>
      <c r="B85" s="29">
        <f>'Raw Data'!N86</f>
        <v>24.8</v>
      </c>
      <c r="C85" s="5" t="str">
        <f>HLOOKUP("PRICE",'Raw Data'!$A$2:$N$3,2,FALSE)</f>
        <v>Price ($000s)</v>
      </c>
      <c r="D85" s="5" cm="1">
        <f t="array" aca="1" ref="D85" ca="1">INDIRECT("'Raw Data'!N"&amp;(A85+3))</f>
        <v>24.8</v>
      </c>
      <c r="E85" s="5">
        <f ca="1">IF(A85=506,"End Of Data",OFFSET('Raw Data'!$N$4,A85,0))</f>
        <v>22.9</v>
      </c>
      <c r="F85" s="5">
        <f ca="1">IF(A85=1,"Start of Data",OFFSET('Raw Data'!$N$4,A85-2,0))</f>
        <v>23.9</v>
      </c>
    </row>
    <row r="86" spans="1:6" x14ac:dyDescent="0.25">
      <c r="A86" s="5">
        <v>84</v>
      </c>
      <c r="B86" s="29">
        <f>'Raw Data'!N87</f>
        <v>22.9</v>
      </c>
      <c r="C86" s="5" t="str">
        <f>HLOOKUP("PRICE",'Raw Data'!$A$2:$N$3,2,FALSE)</f>
        <v>Price ($000s)</v>
      </c>
      <c r="D86" s="5" cm="1">
        <f t="array" aca="1" ref="D86" ca="1">INDIRECT("'Raw Data'!N"&amp;(A86+3))</f>
        <v>22.9</v>
      </c>
      <c r="E86" s="5">
        <f ca="1">IF(A86=506,"End Of Data",OFFSET('Raw Data'!$N$4,A86,0))</f>
        <v>23.9</v>
      </c>
      <c r="F86" s="5">
        <f ca="1">IF(A86=1,"Start of Data",OFFSET('Raw Data'!$N$4,A86-2,0))</f>
        <v>24.8</v>
      </c>
    </row>
    <row r="87" spans="1:6" x14ac:dyDescent="0.25">
      <c r="A87" s="5">
        <v>85</v>
      </c>
      <c r="B87" s="29">
        <f>'Raw Data'!N88</f>
        <v>23.9</v>
      </c>
      <c r="C87" s="5" t="str">
        <f>HLOOKUP("PRICE",'Raw Data'!$A$2:$N$3,2,FALSE)</f>
        <v>Price ($000s)</v>
      </c>
      <c r="D87" s="5" cm="1">
        <f t="array" aca="1" ref="D87" ca="1">INDIRECT("'Raw Data'!N"&amp;(A87+3))</f>
        <v>23.9</v>
      </c>
      <c r="E87" s="5">
        <f ca="1">IF(A87=506,"End Of Data",OFFSET('Raw Data'!$N$4,A87,0))</f>
        <v>26.6</v>
      </c>
      <c r="F87" s="5">
        <f ca="1">IF(A87=1,"Start of Data",OFFSET('Raw Data'!$N$4,A87-2,0))</f>
        <v>22.9</v>
      </c>
    </row>
    <row r="88" spans="1:6" x14ac:dyDescent="0.25">
      <c r="A88" s="5">
        <v>86</v>
      </c>
      <c r="B88" s="29">
        <f>'Raw Data'!N89</f>
        <v>26.6</v>
      </c>
      <c r="C88" s="5" t="str">
        <f>HLOOKUP("PRICE",'Raw Data'!$A$2:$N$3,2,FALSE)</f>
        <v>Price ($000s)</v>
      </c>
      <c r="D88" s="5" cm="1">
        <f t="array" aca="1" ref="D88" ca="1">INDIRECT("'Raw Data'!N"&amp;(A88+3))</f>
        <v>26.6</v>
      </c>
      <c r="E88" s="5">
        <f ca="1">IF(A88=506,"End Of Data",OFFSET('Raw Data'!$N$4,A88,0))</f>
        <v>22.5</v>
      </c>
      <c r="F88" s="5">
        <f ca="1">IF(A88=1,"Start of Data",OFFSET('Raw Data'!$N$4,A88-2,0))</f>
        <v>23.9</v>
      </c>
    </row>
    <row r="89" spans="1:6" x14ac:dyDescent="0.25">
      <c r="A89" s="5">
        <v>87</v>
      </c>
      <c r="B89" s="29">
        <f>'Raw Data'!N90</f>
        <v>22.5</v>
      </c>
      <c r="C89" s="5" t="str">
        <f>HLOOKUP("PRICE",'Raw Data'!$A$2:$N$3,2,FALSE)</f>
        <v>Price ($000s)</v>
      </c>
      <c r="D89" s="5" cm="1">
        <f t="array" aca="1" ref="D89" ca="1">INDIRECT("'Raw Data'!N"&amp;(A89+3))</f>
        <v>22.5</v>
      </c>
      <c r="E89" s="5">
        <f ca="1">IF(A89=506,"End Of Data",OFFSET('Raw Data'!$N$4,A89,0))</f>
        <v>22.2</v>
      </c>
      <c r="F89" s="5">
        <f ca="1">IF(A89=1,"Start of Data",OFFSET('Raw Data'!$N$4,A89-2,0))</f>
        <v>26.6</v>
      </c>
    </row>
    <row r="90" spans="1:6" x14ac:dyDescent="0.25">
      <c r="A90" s="5">
        <v>88</v>
      </c>
      <c r="B90" s="29">
        <f>'Raw Data'!N91</f>
        <v>22.2</v>
      </c>
      <c r="C90" s="5" t="str">
        <f>HLOOKUP("PRICE",'Raw Data'!$A$2:$N$3,2,FALSE)</f>
        <v>Price ($000s)</v>
      </c>
      <c r="D90" s="5" cm="1">
        <f t="array" aca="1" ref="D90" ca="1">INDIRECT("'Raw Data'!N"&amp;(A90+3))</f>
        <v>22.2</v>
      </c>
      <c r="E90" s="5">
        <f ca="1">IF(A90=506,"End Of Data",OFFSET('Raw Data'!$N$4,A90,0))</f>
        <v>23.6</v>
      </c>
      <c r="F90" s="5">
        <f ca="1">IF(A90=1,"Start of Data",OFFSET('Raw Data'!$N$4,A90-2,0))</f>
        <v>22.5</v>
      </c>
    </row>
    <row r="91" spans="1:6" x14ac:dyDescent="0.25">
      <c r="A91" s="5">
        <v>89</v>
      </c>
      <c r="B91" s="29">
        <f>'Raw Data'!N92</f>
        <v>23.6</v>
      </c>
      <c r="C91" s="5" t="str">
        <f>HLOOKUP("PRICE",'Raw Data'!$A$2:$N$3,2,FALSE)</f>
        <v>Price ($000s)</v>
      </c>
      <c r="D91" s="5" cm="1">
        <f t="array" aca="1" ref="D91" ca="1">INDIRECT("'Raw Data'!N"&amp;(A91+3))</f>
        <v>23.6</v>
      </c>
      <c r="E91" s="5">
        <f ca="1">IF(A91=506,"End Of Data",OFFSET('Raw Data'!$N$4,A91,0))</f>
        <v>28.7</v>
      </c>
      <c r="F91" s="5">
        <f ca="1">IF(A91=1,"Start of Data",OFFSET('Raw Data'!$N$4,A91-2,0))</f>
        <v>22.2</v>
      </c>
    </row>
    <row r="92" spans="1:6" x14ac:dyDescent="0.25">
      <c r="A92" s="5">
        <v>90</v>
      </c>
      <c r="B92" s="29">
        <f>'Raw Data'!N93</f>
        <v>28.7</v>
      </c>
      <c r="C92" s="5" t="str">
        <f>HLOOKUP("PRICE",'Raw Data'!$A$2:$N$3,2,FALSE)</f>
        <v>Price ($000s)</v>
      </c>
      <c r="D92" s="5" cm="1">
        <f t="array" aca="1" ref="D92" ca="1">INDIRECT("'Raw Data'!N"&amp;(A92+3))</f>
        <v>28.7</v>
      </c>
      <c r="E92" s="5">
        <f ca="1">IF(A92=506,"End Of Data",OFFSET('Raw Data'!$N$4,A92,0))</f>
        <v>22.6</v>
      </c>
      <c r="F92" s="5">
        <f ca="1">IF(A92=1,"Start of Data",OFFSET('Raw Data'!$N$4,A92-2,0))</f>
        <v>23.6</v>
      </c>
    </row>
    <row r="93" spans="1:6" x14ac:dyDescent="0.25">
      <c r="A93" s="5">
        <v>91</v>
      </c>
      <c r="B93" s="29">
        <f>'Raw Data'!N94</f>
        <v>22.6</v>
      </c>
      <c r="C93" s="5" t="str">
        <f>HLOOKUP("PRICE",'Raw Data'!$A$2:$N$3,2,FALSE)</f>
        <v>Price ($000s)</v>
      </c>
      <c r="D93" s="5" cm="1">
        <f t="array" aca="1" ref="D93" ca="1">INDIRECT("'Raw Data'!N"&amp;(A93+3))</f>
        <v>22.6</v>
      </c>
      <c r="E93" s="5">
        <f ca="1">IF(A93=506,"End Of Data",OFFSET('Raw Data'!$N$4,A93,0))</f>
        <v>22</v>
      </c>
      <c r="F93" s="5">
        <f ca="1">IF(A93=1,"Start of Data",OFFSET('Raw Data'!$N$4,A93-2,0))</f>
        <v>28.7</v>
      </c>
    </row>
    <row r="94" spans="1:6" x14ac:dyDescent="0.25">
      <c r="A94" s="5">
        <v>92</v>
      </c>
      <c r="B94" s="29">
        <f>'Raw Data'!N95</f>
        <v>22</v>
      </c>
      <c r="C94" s="5" t="str">
        <f>HLOOKUP("PRICE",'Raw Data'!$A$2:$N$3,2,FALSE)</f>
        <v>Price ($000s)</v>
      </c>
      <c r="D94" s="5" cm="1">
        <f t="array" aca="1" ref="D94" ca="1">INDIRECT("'Raw Data'!N"&amp;(A94+3))</f>
        <v>22</v>
      </c>
      <c r="E94" s="5">
        <f ca="1">IF(A94=506,"End Of Data",OFFSET('Raw Data'!$N$4,A94,0))</f>
        <v>22.9</v>
      </c>
      <c r="F94" s="5">
        <f ca="1">IF(A94=1,"Start of Data",OFFSET('Raw Data'!$N$4,A94-2,0))</f>
        <v>22.6</v>
      </c>
    </row>
    <row r="95" spans="1:6" x14ac:dyDescent="0.25">
      <c r="A95" s="5">
        <v>93</v>
      </c>
      <c r="B95" s="29">
        <f>'Raw Data'!N96</f>
        <v>22.9</v>
      </c>
      <c r="C95" s="5" t="str">
        <f>HLOOKUP("PRICE",'Raw Data'!$A$2:$N$3,2,FALSE)</f>
        <v>Price ($000s)</v>
      </c>
      <c r="D95" s="5" cm="1">
        <f t="array" aca="1" ref="D95" ca="1">INDIRECT("'Raw Data'!N"&amp;(A95+3))</f>
        <v>22.9</v>
      </c>
      <c r="E95" s="5">
        <f ca="1">IF(A95=506,"End Of Data",OFFSET('Raw Data'!$N$4,A95,0))</f>
        <v>25</v>
      </c>
      <c r="F95" s="5">
        <f ca="1">IF(A95=1,"Start of Data",OFFSET('Raw Data'!$N$4,A95-2,0))</f>
        <v>22</v>
      </c>
    </row>
    <row r="96" spans="1:6" x14ac:dyDescent="0.25">
      <c r="A96" s="5">
        <v>94</v>
      </c>
      <c r="B96" s="29">
        <f>'Raw Data'!N97</f>
        <v>25</v>
      </c>
      <c r="C96" s="5" t="str">
        <f>HLOOKUP("PRICE",'Raw Data'!$A$2:$N$3,2,FALSE)</f>
        <v>Price ($000s)</v>
      </c>
      <c r="D96" s="5" cm="1">
        <f t="array" aca="1" ref="D96" ca="1">INDIRECT("'Raw Data'!N"&amp;(A96+3))</f>
        <v>25</v>
      </c>
      <c r="E96" s="5">
        <f ca="1">IF(A96=506,"End Of Data",OFFSET('Raw Data'!$N$4,A96,0))</f>
        <v>20.6</v>
      </c>
      <c r="F96" s="5">
        <f ca="1">IF(A96=1,"Start of Data",OFFSET('Raw Data'!$N$4,A96-2,0))</f>
        <v>22.9</v>
      </c>
    </row>
    <row r="97" spans="1:6" x14ac:dyDescent="0.25">
      <c r="A97" s="5">
        <v>95</v>
      </c>
      <c r="B97" s="29">
        <f>'Raw Data'!N98</f>
        <v>20.6</v>
      </c>
      <c r="C97" s="5" t="str">
        <f>HLOOKUP("PRICE",'Raw Data'!$A$2:$N$3,2,FALSE)</f>
        <v>Price ($000s)</v>
      </c>
      <c r="D97" s="5" cm="1">
        <f t="array" aca="1" ref="D97" ca="1">INDIRECT("'Raw Data'!N"&amp;(A97+3))</f>
        <v>20.6</v>
      </c>
      <c r="E97" s="5">
        <f ca="1">IF(A97=506,"End Of Data",OFFSET('Raw Data'!$N$4,A97,0))</f>
        <v>28.4</v>
      </c>
      <c r="F97" s="5">
        <f ca="1">IF(A97=1,"Start of Data",OFFSET('Raw Data'!$N$4,A97-2,0))</f>
        <v>25</v>
      </c>
    </row>
    <row r="98" spans="1:6" x14ac:dyDescent="0.25">
      <c r="A98" s="5">
        <v>96</v>
      </c>
      <c r="B98" s="29">
        <f>'Raw Data'!N99</f>
        <v>28.4</v>
      </c>
      <c r="C98" s="5" t="str">
        <f>HLOOKUP("PRICE",'Raw Data'!$A$2:$N$3,2,FALSE)</f>
        <v>Price ($000s)</v>
      </c>
      <c r="D98" s="5" cm="1">
        <f t="array" aca="1" ref="D98" ca="1">INDIRECT("'Raw Data'!N"&amp;(A98+3))</f>
        <v>28.4</v>
      </c>
      <c r="E98" s="5">
        <f ca="1">IF(A98=506,"End Of Data",OFFSET('Raw Data'!$N$4,A98,0))</f>
        <v>21.4</v>
      </c>
      <c r="F98" s="5">
        <f ca="1">IF(A98=1,"Start of Data",OFFSET('Raw Data'!$N$4,A98-2,0))</f>
        <v>20.6</v>
      </c>
    </row>
    <row r="99" spans="1:6" x14ac:dyDescent="0.25">
      <c r="A99" s="5">
        <v>97</v>
      </c>
      <c r="B99" s="29">
        <f>'Raw Data'!N100</f>
        <v>21.4</v>
      </c>
      <c r="C99" s="5" t="str">
        <f>HLOOKUP("PRICE",'Raw Data'!$A$2:$N$3,2,FALSE)</f>
        <v>Price ($000s)</v>
      </c>
      <c r="D99" s="5" cm="1">
        <f t="array" aca="1" ref="D99" ca="1">INDIRECT("'Raw Data'!N"&amp;(A99+3))</f>
        <v>21.4</v>
      </c>
      <c r="E99" s="5">
        <f ca="1">IF(A99=506,"End Of Data",OFFSET('Raw Data'!$N$4,A99,0))</f>
        <v>38.700000000000003</v>
      </c>
      <c r="F99" s="5">
        <f ca="1">IF(A99=1,"Start of Data",OFFSET('Raw Data'!$N$4,A99-2,0))</f>
        <v>28.4</v>
      </c>
    </row>
    <row r="100" spans="1:6" x14ac:dyDescent="0.25">
      <c r="A100" s="5">
        <v>98</v>
      </c>
      <c r="B100" s="29">
        <f>'Raw Data'!N101</f>
        <v>38.700000000000003</v>
      </c>
      <c r="C100" s="5" t="str">
        <f>HLOOKUP("PRICE",'Raw Data'!$A$2:$N$3,2,FALSE)</f>
        <v>Price ($000s)</v>
      </c>
      <c r="D100" s="5" cm="1">
        <f t="array" aca="1" ref="D100" ca="1">INDIRECT("'Raw Data'!N"&amp;(A100+3))</f>
        <v>38.700000000000003</v>
      </c>
      <c r="E100" s="5">
        <f ca="1">IF(A100=506,"End Of Data",OFFSET('Raw Data'!$N$4,A100,0))</f>
        <v>43.8</v>
      </c>
      <c r="F100" s="5">
        <f ca="1">IF(A100=1,"Start of Data",OFFSET('Raw Data'!$N$4,A100-2,0))</f>
        <v>21.4</v>
      </c>
    </row>
    <row r="101" spans="1:6" x14ac:dyDescent="0.25">
      <c r="A101" s="5">
        <v>99</v>
      </c>
      <c r="B101" s="29">
        <f>'Raw Data'!N102</f>
        <v>43.8</v>
      </c>
      <c r="C101" s="5" t="str">
        <f>HLOOKUP("PRICE",'Raw Data'!$A$2:$N$3,2,FALSE)</f>
        <v>Price ($000s)</v>
      </c>
      <c r="D101" s="5" cm="1">
        <f t="array" aca="1" ref="D101" ca="1">INDIRECT("'Raw Data'!N"&amp;(A101+3))</f>
        <v>43.8</v>
      </c>
      <c r="E101" s="5">
        <f ca="1">IF(A101=506,"End Of Data",OFFSET('Raw Data'!$N$4,A101,0))</f>
        <v>33.200000000000003</v>
      </c>
      <c r="F101" s="5">
        <f ca="1">IF(A101=1,"Start of Data",OFFSET('Raw Data'!$N$4,A101-2,0))</f>
        <v>38.700000000000003</v>
      </c>
    </row>
    <row r="102" spans="1:6" x14ac:dyDescent="0.25">
      <c r="A102" s="5">
        <v>100</v>
      </c>
      <c r="B102" s="29">
        <f>'Raw Data'!N103</f>
        <v>33.200000000000003</v>
      </c>
      <c r="C102" s="5" t="str">
        <f>HLOOKUP("PRICE",'Raw Data'!$A$2:$N$3,2,FALSE)</f>
        <v>Price ($000s)</v>
      </c>
      <c r="D102" s="5" cm="1">
        <f t="array" aca="1" ref="D102" ca="1">INDIRECT("'Raw Data'!N"&amp;(A102+3))</f>
        <v>33.200000000000003</v>
      </c>
      <c r="E102" s="5">
        <f ca="1">IF(A102=506,"End Of Data",OFFSET('Raw Data'!$N$4,A102,0))</f>
        <v>27.5</v>
      </c>
      <c r="F102" s="5">
        <f ca="1">IF(A102=1,"Start of Data",OFFSET('Raw Data'!$N$4,A102-2,0))</f>
        <v>43.8</v>
      </c>
    </row>
    <row r="103" spans="1:6" x14ac:dyDescent="0.25">
      <c r="A103" s="5">
        <v>101</v>
      </c>
      <c r="B103" s="29">
        <f>'Raw Data'!N104</f>
        <v>27.5</v>
      </c>
      <c r="C103" s="5" t="str">
        <f>HLOOKUP("PRICE",'Raw Data'!$A$2:$N$3,2,FALSE)</f>
        <v>Price ($000s)</v>
      </c>
      <c r="D103" s="5" cm="1">
        <f t="array" aca="1" ref="D103" ca="1">INDIRECT("'Raw Data'!N"&amp;(A103+3))</f>
        <v>27.5</v>
      </c>
      <c r="E103" s="5">
        <f ca="1">IF(A103=506,"End Of Data",OFFSET('Raw Data'!$N$4,A103,0))</f>
        <v>26.5</v>
      </c>
      <c r="F103" s="5">
        <f ca="1">IF(A103=1,"Start of Data",OFFSET('Raw Data'!$N$4,A103-2,0))</f>
        <v>33.200000000000003</v>
      </c>
    </row>
    <row r="104" spans="1:6" x14ac:dyDescent="0.25">
      <c r="A104" s="5">
        <v>102</v>
      </c>
      <c r="B104" s="29">
        <f>'Raw Data'!N105</f>
        <v>26.5</v>
      </c>
      <c r="C104" s="5" t="str">
        <f>HLOOKUP("PRICE",'Raw Data'!$A$2:$N$3,2,FALSE)</f>
        <v>Price ($000s)</v>
      </c>
      <c r="D104" s="5" cm="1">
        <f t="array" aca="1" ref="D104" ca="1">INDIRECT("'Raw Data'!N"&amp;(A104+3))</f>
        <v>26.5</v>
      </c>
      <c r="E104" s="5">
        <f ca="1">IF(A104=506,"End Of Data",OFFSET('Raw Data'!$N$4,A104,0))</f>
        <v>18.600000000000001</v>
      </c>
      <c r="F104" s="5">
        <f ca="1">IF(A104=1,"Start of Data",OFFSET('Raw Data'!$N$4,A104-2,0))</f>
        <v>27.5</v>
      </c>
    </row>
    <row r="105" spans="1:6" x14ac:dyDescent="0.25">
      <c r="A105" s="5">
        <v>103</v>
      </c>
      <c r="B105" s="29">
        <f>'Raw Data'!N106</f>
        <v>18.600000000000001</v>
      </c>
      <c r="C105" s="5" t="str">
        <f>HLOOKUP("PRICE",'Raw Data'!$A$2:$N$3,2,FALSE)</f>
        <v>Price ($000s)</v>
      </c>
      <c r="D105" s="5" cm="1">
        <f t="array" aca="1" ref="D105" ca="1">INDIRECT("'Raw Data'!N"&amp;(A105+3))</f>
        <v>18.600000000000001</v>
      </c>
      <c r="E105" s="5">
        <f ca="1">IF(A105=506,"End Of Data",OFFSET('Raw Data'!$N$4,A105,0))</f>
        <v>19.3</v>
      </c>
      <c r="F105" s="5">
        <f ca="1">IF(A105=1,"Start of Data",OFFSET('Raw Data'!$N$4,A105-2,0))</f>
        <v>26.5</v>
      </c>
    </row>
    <row r="106" spans="1:6" x14ac:dyDescent="0.25">
      <c r="A106" s="5">
        <v>104</v>
      </c>
      <c r="B106" s="29">
        <f>'Raw Data'!N107</f>
        <v>19.3</v>
      </c>
      <c r="C106" s="5" t="str">
        <f>HLOOKUP("PRICE",'Raw Data'!$A$2:$N$3,2,FALSE)</f>
        <v>Price ($000s)</v>
      </c>
      <c r="D106" s="5" cm="1">
        <f t="array" aca="1" ref="D106" ca="1">INDIRECT("'Raw Data'!N"&amp;(A106+3))</f>
        <v>19.3</v>
      </c>
      <c r="E106" s="5">
        <f ca="1">IF(A106=506,"End Of Data",OFFSET('Raw Data'!$N$4,A106,0))</f>
        <v>20.100000000000001</v>
      </c>
      <c r="F106" s="5">
        <f ca="1">IF(A106=1,"Start of Data",OFFSET('Raw Data'!$N$4,A106-2,0))</f>
        <v>18.600000000000001</v>
      </c>
    </row>
    <row r="107" spans="1:6" x14ac:dyDescent="0.25">
      <c r="A107" s="5">
        <v>105</v>
      </c>
      <c r="B107" s="29">
        <f>'Raw Data'!N108</f>
        <v>20.100000000000001</v>
      </c>
      <c r="C107" s="5" t="str">
        <f>HLOOKUP("PRICE",'Raw Data'!$A$2:$N$3,2,FALSE)</f>
        <v>Price ($000s)</v>
      </c>
      <c r="D107" s="5" cm="1">
        <f t="array" aca="1" ref="D107" ca="1">INDIRECT("'Raw Data'!N"&amp;(A107+3))</f>
        <v>20.100000000000001</v>
      </c>
      <c r="E107" s="5">
        <f ca="1">IF(A107=506,"End Of Data",OFFSET('Raw Data'!$N$4,A107,0))</f>
        <v>19.5</v>
      </c>
      <c r="F107" s="5">
        <f ca="1">IF(A107=1,"Start of Data",OFFSET('Raw Data'!$N$4,A107-2,0))</f>
        <v>19.3</v>
      </c>
    </row>
    <row r="108" spans="1:6" x14ac:dyDescent="0.25">
      <c r="A108" s="5">
        <v>106</v>
      </c>
      <c r="B108" s="29">
        <f>'Raw Data'!N109</f>
        <v>19.5</v>
      </c>
      <c r="C108" s="5" t="str">
        <f>HLOOKUP("PRICE",'Raw Data'!$A$2:$N$3,2,FALSE)</f>
        <v>Price ($000s)</v>
      </c>
      <c r="D108" s="5" cm="1">
        <f t="array" aca="1" ref="D108" ca="1">INDIRECT("'Raw Data'!N"&amp;(A108+3))</f>
        <v>19.5</v>
      </c>
      <c r="E108" s="5">
        <f ca="1">IF(A108=506,"End Of Data",OFFSET('Raw Data'!$N$4,A108,0))</f>
        <v>19.5</v>
      </c>
      <c r="F108" s="5">
        <f ca="1">IF(A108=1,"Start of Data",OFFSET('Raw Data'!$N$4,A108-2,0))</f>
        <v>20.100000000000001</v>
      </c>
    </row>
    <row r="109" spans="1:6" x14ac:dyDescent="0.25">
      <c r="A109" s="5">
        <v>107</v>
      </c>
      <c r="B109" s="29">
        <f>'Raw Data'!N110</f>
        <v>19.5</v>
      </c>
      <c r="C109" s="5" t="str">
        <f>HLOOKUP("PRICE",'Raw Data'!$A$2:$N$3,2,FALSE)</f>
        <v>Price ($000s)</v>
      </c>
      <c r="D109" s="5" cm="1">
        <f t="array" aca="1" ref="D109" ca="1">INDIRECT("'Raw Data'!N"&amp;(A109+3))</f>
        <v>19.5</v>
      </c>
      <c r="E109" s="5">
        <f ca="1">IF(A109=506,"End Of Data",OFFSET('Raw Data'!$N$4,A109,0))</f>
        <v>20.399999999999999</v>
      </c>
      <c r="F109" s="5">
        <f ca="1">IF(A109=1,"Start of Data",OFFSET('Raw Data'!$N$4,A109-2,0))</f>
        <v>19.5</v>
      </c>
    </row>
    <row r="110" spans="1:6" x14ac:dyDescent="0.25">
      <c r="A110" s="5">
        <v>108</v>
      </c>
      <c r="B110" s="29">
        <f>'Raw Data'!N111</f>
        <v>20.399999999999999</v>
      </c>
      <c r="C110" s="5" t="str">
        <f>HLOOKUP("PRICE",'Raw Data'!$A$2:$N$3,2,FALSE)</f>
        <v>Price ($000s)</v>
      </c>
      <c r="D110" s="5" cm="1">
        <f t="array" aca="1" ref="D110" ca="1">INDIRECT("'Raw Data'!N"&amp;(A110+3))</f>
        <v>20.399999999999999</v>
      </c>
      <c r="E110" s="5">
        <f ca="1">IF(A110=506,"End Of Data",OFFSET('Raw Data'!$N$4,A110,0))</f>
        <v>19.8</v>
      </c>
      <c r="F110" s="5">
        <f ca="1">IF(A110=1,"Start of Data",OFFSET('Raw Data'!$N$4,A110-2,0))</f>
        <v>19.5</v>
      </c>
    </row>
    <row r="111" spans="1:6" x14ac:dyDescent="0.25">
      <c r="A111" s="5">
        <v>109</v>
      </c>
      <c r="B111" s="29">
        <f>'Raw Data'!N112</f>
        <v>19.8</v>
      </c>
      <c r="C111" s="5" t="str">
        <f>HLOOKUP("PRICE",'Raw Data'!$A$2:$N$3,2,FALSE)</f>
        <v>Price ($000s)</v>
      </c>
      <c r="D111" s="5" cm="1">
        <f t="array" aca="1" ref="D111" ca="1">INDIRECT("'Raw Data'!N"&amp;(A111+3))</f>
        <v>19.8</v>
      </c>
      <c r="E111" s="5">
        <f ca="1">IF(A111=506,"End Of Data",OFFSET('Raw Data'!$N$4,A111,0))</f>
        <v>19.399999999999999</v>
      </c>
      <c r="F111" s="5">
        <f ca="1">IF(A111=1,"Start of Data",OFFSET('Raw Data'!$N$4,A111-2,0))</f>
        <v>20.399999999999999</v>
      </c>
    </row>
    <row r="112" spans="1:6" x14ac:dyDescent="0.25">
      <c r="A112" s="5">
        <v>110</v>
      </c>
      <c r="B112" s="29">
        <f>'Raw Data'!N113</f>
        <v>19.399999999999999</v>
      </c>
      <c r="C112" s="5" t="str">
        <f>HLOOKUP("PRICE",'Raw Data'!$A$2:$N$3,2,FALSE)</f>
        <v>Price ($000s)</v>
      </c>
      <c r="D112" s="5" cm="1">
        <f t="array" aca="1" ref="D112" ca="1">INDIRECT("'Raw Data'!N"&amp;(A112+3))</f>
        <v>19.399999999999999</v>
      </c>
      <c r="E112" s="5">
        <f ca="1">IF(A112=506,"End Of Data",OFFSET('Raw Data'!$N$4,A112,0))</f>
        <v>21.7</v>
      </c>
      <c r="F112" s="5">
        <f ca="1">IF(A112=1,"Start of Data",OFFSET('Raw Data'!$N$4,A112-2,0))</f>
        <v>19.8</v>
      </c>
    </row>
    <row r="113" spans="1:6" x14ac:dyDescent="0.25">
      <c r="A113" s="5">
        <v>111</v>
      </c>
      <c r="B113" s="29">
        <f>'Raw Data'!N114</f>
        <v>21.7</v>
      </c>
      <c r="C113" s="5" t="str">
        <f>HLOOKUP("PRICE",'Raw Data'!$A$2:$N$3,2,FALSE)</f>
        <v>Price ($000s)</v>
      </c>
      <c r="D113" s="5" cm="1">
        <f t="array" aca="1" ref="D113" ca="1">INDIRECT("'Raw Data'!N"&amp;(A113+3))</f>
        <v>21.7</v>
      </c>
      <c r="E113" s="5">
        <f ca="1">IF(A113=506,"End Of Data",OFFSET('Raw Data'!$N$4,A113,0))</f>
        <v>22.8</v>
      </c>
      <c r="F113" s="5">
        <f ca="1">IF(A113=1,"Start of Data",OFFSET('Raw Data'!$N$4,A113-2,0))</f>
        <v>19.399999999999999</v>
      </c>
    </row>
    <row r="114" spans="1:6" x14ac:dyDescent="0.25">
      <c r="A114" s="5">
        <v>112</v>
      </c>
      <c r="B114" s="29">
        <f>'Raw Data'!N115</f>
        <v>22.8</v>
      </c>
      <c r="C114" s="5" t="str">
        <f>HLOOKUP("PRICE",'Raw Data'!$A$2:$N$3,2,FALSE)</f>
        <v>Price ($000s)</v>
      </c>
      <c r="D114" s="5" cm="1">
        <f t="array" aca="1" ref="D114" ca="1">INDIRECT("'Raw Data'!N"&amp;(A114+3))</f>
        <v>22.8</v>
      </c>
      <c r="E114" s="5">
        <f ca="1">IF(A114=506,"End Of Data",OFFSET('Raw Data'!$N$4,A114,0))</f>
        <v>18.8</v>
      </c>
      <c r="F114" s="5">
        <f ca="1">IF(A114=1,"Start of Data",OFFSET('Raw Data'!$N$4,A114-2,0))</f>
        <v>21.7</v>
      </c>
    </row>
    <row r="115" spans="1:6" x14ac:dyDescent="0.25">
      <c r="A115" s="5">
        <v>113</v>
      </c>
      <c r="B115" s="29">
        <f>'Raw Data'!N116</f>
        <v>18.8</v>
      </c>
      <c r="C115" s="5" t="str">
        <f>HLOOKUP("PRICE",'Raw Data'!$A$2:$N$3,2,FALSE)</f>
        <v>Price ($000s)</v>
      </c>
      <c r="D115" s="5" cm="1">
        <f t="array" aca="1" ref="D115" ca="1">INDIRECT("'Raw Data'!N"&amp;(A115+3))</f>
        <v>18.8</v>
      </c>
      <c r="E115" s="5">
        <f ca="1">IF(A115=506,"End Of Data",OFFSET('Raw Data'!$N$4,A115,0))</f>
        <v>18.7</v>
      </c>
      <c r="F115" s="5">
        <f ca="1">IF(A115=1,"Start of Data",OFFSET('Raw Data'!$N$4,A115-2,0))</f>
        <v>22.8</v>
      </c>
    </row>
    <row r="116" spans="1:6" x14ac:dyDescent="0.25">
      <c r="A116" s="5">
        <v>114</v>
      </c>
      <c r="B116" s="29">
        <f>'Raw Data'!N117</f>
        <v>18.7</v>
      </c>
      <c r="C116" s="5" t="str">
        <f>HLOOKUP("PRICE",'Raw Data'!$A$2:$N$3,2,FALSE)</f>
        <v>Price ($000s)</v>
      </c>
      <c r="D116" s="5" cm="1">
        <f t="array" aca="1" ref="D116" ca="1">INDIRECT("'Raw Data'!N"&amp;(A116+3))</f>
        <v>18.7</v>
      </c>
      <c r="E116" s="5">
        <f ca="1">IF(A116=506,"End Of Data",OFFSET('Raw Data'!$N$4,A116,0))</f>
        <v>18.5</v>
      </c>
      <c r="F116" s="5">
        <f ca="1">IF(A116=1,"Start of Data",OFFSET('Raw Data'!$N$4,A116-2,0))</f>
        <v>18.8</v>
      </c>
    </row>
    <row r="117" spans="1:6" x14ac:dyDescent="0.25">
      <c r="A117" s="5">
        <v>115</v>
      </c>
      <c r="B117" s="29">
        <f>'Raw Data'!N118</f>
        <v>18.5</v>
      </c>
      <c r="C117" s="5" t="str">
        <f>HLOOKUP("PRICE",'Raw Data'!$A$2:$N$3,2,FALSE)</f>
        <v>Price ($000s)</v>
      </c>
      <c r="D117" s="5" cm="1">
        <f t="array" aca="1" ref="D117" ca="1">INDIRECT("'Raw Data'!N"&amp;(A117+3))</f>
        <v>18.5</v>
      </c>
      <c r="E117" s="5">
        <f ca="1">IF(A117=506,"End Of Data",OFFSET('Raw Data'!$N$4,A117,0))</f>
        <v>18.3</v>
      </c>
      <c r="F117" s="5">
        <f ca="1">IF(A117=1,"Start of Data",OFFSET('Raw Data'!$N$4,A117-2,0))</f>
        <v>18.7</v>
      </c>
    </row>
    <row r="118" spans="1:6" x14ac:dyDescent="0.25">
      <c r="A118" s="5">
        <v>116</v>
      </c>
      <c r="B118" s="29">
        <f>'Raw Data'!N119</f>
        <v>18.3</v>
      </c>
      <c r="C118" s="5" t="str">
        <f>HLOOKUP("PRICE",'Raw Data'!$A$2:$N$3,2,FALSE)</f>
        <v>Price ($000s)</v>
      </c>
      <c r="D118" s="5" cm="1">
        <f t="array" aca="1" ref="D118" ca="1">INDIRECT("'Raw Data'!N"&amp;(A118+3))</f>
        <v>18.3</v>
      </c>
      <c r="E118" s="5">
        <f ca="1">IF(A118=506,"End Of Data",OFFSET('Raw Data'!$N$4,A118,0))</f>
        <v>21.2</v>
      </c>
      <c r="F118" s="5">
        <f ca="1">IF(A118=1,"Start of Data",OFFSET('Raw Data'!$N$4,A118-2,0))</f>
        <v>18.5</v>
      </c>
    </row>
    <row r="119" spans="1:6" x14ac:dyDescent="0.25">
      <c r="A119" s="5">
        <v>117</v>
      </c>
      <c r="B119" s="29">
        <f>'Raw Data'!N120</f>
        <v>21.2</v>
      </c>
      <c r="C119" s="5" t="str">
        <f>HLOOKUP("PRICE",'Raw Data'!$A$2:$N$3,2,FALSE)</f>
        <v>Price ($000s)</v>
      </c>
      <c r="D119" s="5" cm="1">
        <f t="array" aca="1" ref="D119" ca="1">INDIRECT("'Raw Data'!N"&amp;(A119+3))</f>
        <v>21.2</v>
      </c>
      <c r="E119" s="5">
        <f ca="1">IF(A119=506,"End Of Data",OFFSET('Raw Data'!$N$4,A119,0))</f>
        <v>19.2</v>
      </c>
      <c r="F119" s="5">
        <f ca="1">IF(A119=1,"Start of Data",OFFSET('Raw Data'!$N$4,A119-2,0))</f>
        <v>18.3</v>
      </c>
    </row>
    <row r="120" spans="1:6" x14ac:dyDescent="0.25">
      <c r="A120" s="5">
        <v>118</v>
      </c>
      <c r="B120" s="29">
        <f>'Raw Data'!N121</f>
        <v>19.2</v>
      </c>
      <c r="C120" s="5" t="str">
        <f>HLOOKUP("PRICE",'Raw Data'!$A$2:$N$3,2,FALSE)</f>
        <v>Price ($000s)</v>
      </c>
      <c r="D120" s="5" cm="1">
        <f t="array" aca="1" ref="D120" ca="1">INDIRECT("'Raw Data'!N"&amp;(A120+3))</f>
        <v>19.2</v>
      </c>
      <c r="E120" s="5">
        <f ca="1">IF(A120=506,"End Of Data",OFFSET('Raw Data'!$N$4,A120,0))</f>
        <v>20.399999999999999</v>
      </c>
      <c r="F120" s="5">
        <f ca="1">IF(A120=1,"Start of Data",OFFSET('Raw Data'!$N$4,A120-2,0))</f>
        <v>21.2</v>
      </c>
    </row>
    <row r="121" spans="1:6" x14ac:dyDescent="0.25">
      <c r="A121" s="5">
        <v>119</v>
      </c>
      <c r="B121" s="29">
        <f>'Raw Data'!N122</f>
        <v>20.399999999999999</v>
      </c>
      <c r="C121" s="5" t="str">
        <f>HLOOKUP("PRICE",'Raw Data'!$A$2:$N$3,2,FALSE)</f>
        <v>Price ($000s)</v>
      </c>
      <c r="D121" s="5" cm="1">
        <f t="array" aca="1" ref="D121" ca="1">INDIRECT("'Raw Data'!N"&amp;(A121+3))</f>
        <v>20.399999999999999</v>
      </c>
      <c r="E121" s="5">
        <f ca="1">IF(A121=506,"End Of Data",OFFSET('Raw Data'!$N$4,A121,0))</f>
        <v>19.3</v>
      </c>
      <c r="F121" s="5">
        <f ca="1">IF(A121=1,"Start of Data",OFFSET('Raw Data'!$N$4,A121-2,0))</f>
        <v>19.2</v>
      </c>
    </row>
    <row r="122" spans="1:6" x14ac:dyDescent="0.25">
      <c r="A122" s="5">
        <v>120</v>
      </c>
      <c r="B122" s="29">
        <f>'Raw Data'!N123</f>
        <v>19.3</v>
      </c>
      <c r="C122" s="5" t="str">
        <f>HLOOKUP("PRICE",'Raw Data'!$A$2:$N$3,2,FALSE)</f>
        <v>Price ($000s)</v>
      </c>
      <c r="D122" s="5" cm="1">
        <f t="array" aca="1" ref="D122" ca="1">INDIRECT("'Raw Data'!N"&amp;(A122+3))</f>
        <v>19.3</v>
      </c>
      <c r="E122" s="5">
        <f ca="1">IF(A122=506,"End Of Data",OFFSET('Raw Data'!$N$4,A122,0))</f>
        <v>22</v>
      </c>
      <c r="F122" s="5">
        <f ca="1">IF(A122=1,"Start of Data",OFFSET('Raw Data'!$N$4,A122-2,0))</f>
        <v>20.399999999999999</v>
      </c>
    </row>
    <row r="123" spans="1:6" x14ac:dyDescent="0.25">
      <c r="A123" s="5">
        <v>121</v>
      </c>
      <c r="B123" s="29">
        <f>'Raw Data'!N124</f>
        <v>22</v>
      </c>
      <c r="C123" s="5" t="str">
        <f>HLOOKUP("PRICE",'Raw Data'!$A$2:$N$3,2,FALSE)</f>
        <v>Price ($000s)</v>
      </c>
      <c r="D123" s="5" cm="1">
        <f t="array" aca="1" ref="D123" ca="1">INDIRECT("'Raw Data'!N"&amp;(A123+3))</f>
        <v>22</v>
      </c>
      <c r="E123" s="5">
        <f ca="1">IF(A123=506,"End Of Data",OFFSET('Raw Data'!$N$4,A123,0))</f>
        <v>20.3</v>
      </c>
      <c r="F123" s="5">
        <f ca="1">IF(A123=1,"Start of Data",OFFSET('Raw Data'!$N$4,A123-2,0))</f>
        <v>19.3</v>
      </c>
    </row>
    <row r="124" spans="1:6" x14ac:dyDescent="0.25">
      <c r="A124" s="5">
        <v>122</v>
      </c>
      <c r="B124" s="29">
        <f>'Raw Data'!N125</f>
        <v>20.3</v>
      </c>
      <c r="C124" s="5" t="str">
        <f>HLOOKUP("PRICE",'Raw Data'!$A$2:$N$3,2,FALSE)</f>
        <v>Price ($000s)</v>
      </c>
      <c r="D124" s="5" cm="1">
        <f t="array" aca="1" ref="D124" ca="1">INDIRECT("'Raw Data'!N"&amp;(A124+3))</f>
        <v>20.3</v>
      </c>
      <c r="E124" s="5">
        <f ca="1">IF(A124=506,"End Of Data",OFFSET('Raw Data'!$N$4,A124,0))</f>
        <v>20.5</v>
      </c>
      <c r="F124" s="5">
        <f ca="1">IF(A124=1,"Start of Data",OFFSET('Raw Data'!$N$4,A124-2,0))</f>
        <v>22</v>
      </c>
    </row>
    <row r="125" spans="1:6" x14ac:dyDescent="0.25">
      <c r="A125" s="5">
        <v>123</v>
      </c>
      <c r="B125" s="29">
        <f>'Raw Data'!N126</f>
        <v>20.5</v>
      </c>
      <c r="C125" s="5" t="str">
        <f>HLOOKUP("PRICE",'Raw Data'!$A$2:$N$3,2,FALSE)</f>
        <v>Price ($000s)</v>
      </c>
      <c r="D125" s="5" cm="1">
        <f t="array" aca="1" ref="D125" ca="1">INDIRECT("'Raw Data'!N"&amp;(A125+3))</f>
        <v>20.5</v>
      </c>
      <c r="E125" s="5">
        <f ca="1">IF(A125=506,"End Of Data",OFFSET('Raw Data'!$N$4,A125,0))</f>
        <v>17.3</v>
      </c>
      <c r="F125" s="5">
        <f ca="1">IF(A125=1,"Start of Data",OFFSET('Raw Data'!$N$4,A125-2,0))</f>
        <v>20.3</v>
      </c>
    </row>
    <row r="126" spans="1:6" x14ac:dyDescent="0.25">
      <c r="A126" s="5">
        <v>124</v>
      </c>
      <c r="B126" s="29">
        <f>'Raw Data'!N127</f>
        <v>17.3</v>
      </c>
      <c r="C126" s="5" t="str">
        <f>HLOOKUP("PRICE",'Raw Data'!$A$2:$N$3,2,FALSE)</f>
        <v>Price ($000s)</v>
      </c>
      <c r="D126" s="5" cm="1">
        <f t="array" aca="1" ref="D126" ca="1">INDIRECT("'Raw Data'!N"&amp;(A126+3))</f>
        <v>17.3</v>
      </c>
      <c r="E126" s="5">
        <f ca="1">IF(A126=506,"End Of Data",OFFSET('Raw Data'!$N$4,A126,0))</f>
        <v>18.8</v>
      </c>
      <c r="F126" s="5">
        <f ca="1">IF(A126=1,"Start of Data",OFFSET('Raw Data'!$N$4,A126-2,0))</f>
        <v>20.5</v>
      </c>
    </row>
    <row r="127" spans="1:6" x14ac:dyDescent="0.25">
      <c r="A127" s="5">
        <v>125</v>
      </c>
      <c r="B127" s="29">
        <f>'Raw Data'!N128</f>
        <v>18.8</v>
      </c>
      <c r="C127" s="5" t="str">
        <f>HLOOKUP("PRICE",'Raw Data'!$A$2:$N$3,2,FALSE)</f>
        <v>Price ($000s)</v>
      </c>
      <c r="D127" s="5" cm="1">
        <f t="array" aca="1" ref="D127" ca="1">INDIRECT("'Raw Data'!N"&amp;(A127+3))</f>
        <v>18.8</v>
      </c>
      <c r="E127" s="5">
        <f ca="1">IF(A127=506,"End Of Data",OFFSET('Raw Data'!$N$4,A127,0))</f>
        <v>21.4</v>
      </c>
      <c r="F127" s="5">
        <f ca="1">IF(A127=1,"Start of Data",OFFSET('Raw Data'!$N$4,A127-2,0))</f>
        <v>17.3</v>
      </c>
    </row>
    <row r="128" spans="1:6" x14ac:dyDescent="0.25">
      <c r="A128" s="5">
        <v>126</v>
      </c>
      <c r="B128" s="29">
        <f>'Raw Data'!N129</f>
        <v>21.4</v>
      </c>
      <c r="C128" s="5" t="str">
        <f>HLOOKUP("PRICE",'Raw Data'!$A$2:$N$3,2,FALSE)</f>
        <v>Price ($000s)</v>
      </c>
      <c r="D128" s="5" cm="1">
        <f t="array" aca="1" ref="D128" ca="1">INDIRECT("'Raw Data'!N"&amp;(A128+3))</f>
        <v>21.4</v>
      </c>
      <c r="E128" s="5">
        <f ca="1">IF(A128=506,"End Of Data",OFFSET('Raw Data'!$N$4,A128,0))</f>
        <v>15.7</v>
      </c>
      <c r="F128" s="5">
        <f ca="1">IF(A128=1,"Start of Data",OFFSET('Raw Data'!$N$4,A128-2,0))</f>
        <v>18.8</v>
      </c>
    </row>
    <row r="129" spans="1:6" x14ac:dyDescent="0.25">
      <c r="A129" s="5">
        <v>127</v>
      </c>
      <c r="B129" s="29">
        <f>'Raw Data'!N130</f>
        <v>15.7</v>
      </c>
      <c r="C129" s="5" t="str">
        <f>HLOOKUP("PRICE",'Raw Data'!$A$2:$N$3,2,FALSE)</f>
        <v>Price ($000s)</v>
      </c>
      <c r="D129" s="5" cm="1">
        <f t="array" aca="1" ref="D129" ca="1">INDIRECT("'Raw Data'!N"&amp;(A129+3))</f>
        <v>15.7</v>
      </c>
      <c r="E129" s="5">
        <f ca="1">IF(A129=506,"End Of Data",OFFSET('Raw Data'!$N$4,A129,0))</f>
        <v>16.2</v>
      </c>
      <c r="F129" s="5">
        <f ca="1">IF(A129=1,"Start of Data",OFFSET('Raw Data'!$N$4,A129-2,0))</f>
        <v>21.4</v>
      </c>
    </row>
    <row r="130" spans="1:6" x14ac:dyDescent="0.25">
      <c r="A130" s="5">
        <v>128</v>
      </c>
      <c r="B130" s="29">
        <f>'Raw Data'!N131</f>
        <v>16.2</v>
      </c>
      <c r="C130" s="5" t="str">
        <f>HLOOKUP("PRICE",'Raw Data'!$A$2:$N$3,2,FALSE)</f>
        <v>Price ($000s)</v>
      </c>
      <c r="D130" s="5" cm="1">
        <f t="array" aca="1" ref="D130" ca="1">INDIRECT("'Raw Data'!N"&amp;(A130+3))</f>
        <v>16.2</v>
      </c>
      <c r="E130" s="5">
        <f ca="1">IF(A130=506,"End Of Data",OFFSET('Raw Data'!$N$4,A130,0))</f>
        <v>18</v>
      </c>
      <c r="F130" s="5">
        <f ca="1">IF(A130=1,"Start of Data",OFFSET('Raw Data'!$N$4,A130-2,0))</f>
        <v>15.7</v>
      </c>
    </row>
    <row r="131" spans="1:6" x14ac:dyDescent="0.25">
      <c r="A131" s="5">
        <v>129</v>
      </c>
      <c r="B131" s="29">
        <f>'Raw Data'!N132</f>
        <v>18</v>
      </c>
      <c r="C131" s="5" t="str">
        <f>HLOOKUP("PRICE",'Raw Data'!$A$2:$N$3,2,FALSE)</f>
        <v>Price ($000s)</v>
      </c>
      <c r="D131" s="5" cm="1">
        <f t="array" aca="1" ref="D131" ca="1">INDIRECT("'Raw Data'!N"&amp;(A131+3))</f>
        <v>18</v>
      </c>
      <c r="E131" s="5">
        <f ca="1">IF(A131=506,"End Of Data",OFFSET('Raw Data'!$N$4,A131,0))</f>
        <v>14.3</v>
      </c>
      <c r="F131" s="5">
        <f ca="1">IF(A131=1,"Start of Data",OFFSET('Raw Data'!$N$4,A131-2,0))</f>
        <v>16.2</v>
      </c>
    </row>
    <row r="132" spans="1:6" x14ac:dyDescent="0.25">
      <c r="A132" s="5">
        <v>130</v>
      </c>
      <c r="B132" s="29">
        <f>'Raw Data'!N133</f>
        <v>14.3</v>
      </c>
      <c r="C132" s="5" t="str">
        <f>HLOOKUP("PRICE",'Raw Data'!$A$2:$N$3,2,FALSE)</f>
        <v>Price ($000s)</v>
      </c>
      <c r="D132" s="5" cm="1">
        <f t="array" aca="1" ref="D132" ca="1">INDIRECT("'Raw Data'!N"&amp;(A132+3))</f>
        <v>14.3</v>
      </c>
      <c r="E132" s="5">
        <f ca="1">IF(A132=506,"End Of Data",OFFSET('Raw Data'!$N$4,A132,0))</f>
        <v>19.2</v>
      </c>
      <c r="F132" s="5">
        <f ca="1">IF(A132=1,"Start of Data",OFFSET('Raw Data'!$N$4,A132-2,0))</f>
        <v>18</v>
      </c>
    </row>
    <row r="133" spans="1:6" x14ac:dyDescent="0.25">
      <c r="A133" s="5">
        <v>131</v>
      </c>
      <c r="B133" s="29">
        <f>'Raw Data'!N134</f>
        <v>19.2</v>
      </c>
      <c r="C133" s="5" t="str">
        <f>HLOOKUP("PRICE",'Raw Data'!$A$2:$N$3,2,FALSE)</f>
        <v>Price ($000s)</v>
      </c>
      <c r="D133" s="5" cm="1">
        <f t="array" aca="1" ref="D133" ca="1">INDIRECT("'Raw Data'!N"&amp;(A133+3))</f>
        <v>19.2</v>
      </c>
      <c r="E133" s="5">
        <f ca="1">IF(A133=506,"End Of Data",OFFSET('Raw Data'!$N$4,A133,0))</f>
        <v>19.600000000000001</v>
      </c>
      <c r="F133" s="5">
        <f ca="1">IF(A133=1,"Start of Data",OFFSET('Raw Data'!$N$4,A133-2,0))</f>
        <v>14.3</v>
      </c>
    </row>
    <row r="134" spans="1:6" x14ac:dyDescent="0.25">
      <c r="A134" s="5">
        <v>132</v>
      </c>
      <c r="B134" s="29">
        <f>'Raw Data'!N135</f>
        <v>19.600000000000001</v>
      </c>
      <c r="C134" s="5" t="str">
        <f>HLOOKUP("PRICE",'Raw Data'!$A$2:$N$3,2,FALSE)</f>
        <v>Price ($000s)</v>
      </c>
      <c r="D134" s="5" cm="1">
        <f t="array" aca="1" ref="D134" ca="1">INDIRECT("'Raw Data'!N"&amp;(A134+3))</f>
        <v>19.600000000000001</v>
      </c>
      <c r="E134" s="5">
        <f ca="1">IF(A134=506,"End Of Data",OFFSET('Raw Data'!$N$4,A134,0))</f>
        <v>23</v>
      </c>
      <c r="F134" s="5">
        <f ca="1">IF(A134=1,"Start of Data",OFFSET('Raw Data'!$N$4,A134-2,0))</f>
        <v>19.2</v>
      </c>
    </row>
    <row r="135" spans="1:6" x14ac:dyDescent="0.25">
      <c r="A135" s="5">
        <v>133</v>
      </c>
      <c r="B135" s="29">
        <f>'Raw Data'!N136</f>
        <v>23</v>
      </c>
      <c r="C135" s="5" t="str">
        <f>HLOOKUP("PRICE",'Raw Data'!$A$2:$N$3,2,FALSE)</f>
        <v>Price ($000s)</v>
      </c>
      <c r="D135" s="5" cm="1">
        <f t="array" aca="1" ref="D135" ca="1">INDIRECT("'Raw Data'!N"&amp;(A135+3))</f>
        <v>23</v>
      </c>
      <c r="E135" s="5">
        <f ca="1">IF(A135=506,"End Of Data",OFFSET('Raw Data'!$N$4,A135,0))</f>
        <v>18.399999999999999</v>
      </c>
      <c r="F135" s="5">
        <f ca="1">IF(A135=1,"Start of Data",OFFSET('Raw Data'!$N$4,A135-2,0))</f>
        <v>19.600000000000001</v>
      </c>
    </row>
    <row r="136" spans="1:6" x14ac:dyDescent="0.25">
      <c r="A136" s="5">
        <v>134</v>
      </c>
      <c r="B136" s="29">
        <f>'Raw Data'!N137</f>
        <v>18.399999999999999</v>
      </c>
      <c r="C136" s="5" t="str">
        <f>HLOOKUP("PRICE",'Raw Data'!$A$2:$N$3,2,FALSE)</f>
        <v>Price ($000s)</v>
      </c>
      <c r="D136" s="5" cm="1">
        <f t="array" aca="1" ref="D136" ca="1">INDIRECT("'Raw Data'!N"&amp;(A136+3))</f>
        <v>18.399999999999999</v>
      </c>
      <c r="E136" s="5">
        <f ca="1">IF(A136=506,"End Of Data",OFFSET('Raw Data'!$N$4,A136,0))</f>
        <v>15.6</v>
      </c>
      <c r="F136" s="5">
        <f ca="1">IF(A136=1,"Start of Data",OFFSET('Raw Data'!$N$4,A136-2,0))</f>
        <v>23</v>
      </c>
    </row>
    <row r="137" spans="1:6" x14ac:dyDescent="0.25">
      <c r="A137" s="5">
        <v>135</v>
      </c>
      <c r="B137" s="29">
        <f>'Raw Data'!N138</f>
        <v>15.6</v>
      </c>
      <c r="C137" s="5" t="str">
        <f>HLOOKUP("PRICE",'Raw Data'!$A$2:$N$3,2,FALSE)</f>
        <v>Price ($000s)</v>
      </c>
      <c r="D137" s="5" cm="1">
        <f t="array" aca="1" ref="D137" ca="1">INDIRECT("'Raw Data'!N"&amp;(A137+3))</f>
        <v>15.6</v>
      </c>
      <c r="E137" s="5">
        <f ca="1">IF(A137=506,"End Of Data",OFFSET('Raw Data'!$N$4,A137,0))</f>
        <v>18.100000000000001</v>
      </c>
      <c r="F137" s="5">
        <f ca="1">IF(A137=1,"Start of Data",OFFSET('Raw Data'!$N$4,A137-2,0))</f>
        <v>18.399999999999999</v>
      </c>
    </row>
    <row r="138" spans="1:6" x14ac:dyDescent="0.25">
      <c r="A138" s="5">
        <v>136</v>
      </c>
      <c r="B138" s="29">
        <f>'Raw Data'!N139</f>
        <v>18.100000000000001</v>
      </c>
      <c r="C138" s="5" t="str">
        <f>HLOOKUP("PRICE",'Raw Data'!$A$2:$N$3,2,FALSE)</f>
        <v>Price ($000s)</v>
      </c>
      <c r="D138" s="5" cm="1">
        <f t="array" aca="1" ref="D138" ca="1">INDIRECT("'Raw Data'!N"&amp;(A138+3))</f>
        <v>18.100000000000001</v>
      </c>
      <c r="E138" s="5">
        <f ca="1">IF(A138=506,"End Of Data",OFFSET('Raw Data'!$N$4,A138,0))</f>
        <v>17.399999999999999</v>
      </c>
      <c r="F138" s="5">
        <f ca="1">IF(A138=1,"Start of Data",OFFSET('Raw Data'!$N$4,A138-2,0))</f>
        <v>15.6</v>
      </c>
    </row>
    <row r="139" spans="1:6" x14ac:dyDescent="0.25">
      <c r="A139" s="5">
        <v>137</v>
      </c>
      <c r="B139" s="29">
        <f>'Raw Data'!N140</f>
        <v>17.399999999999999</v>
      </c>
      <c r="C139" s="5" t="str">
        <f>HLOOKUP("PRICE",'Raw Data'!$A$2:$N$3,2,FALSE)</f>
        <v>Price ($000s)</v>
      </c>
      <c r="D139" s="5" cm="1">
        <f t="array" aca="1" ref="D139" ca="1">INDIRECT("'Raw Data'!N"&amp;(A139+3))</f>
        <v>17.399999999999999</v>
      </c>
      <c r="E139" s="5">
        <f ca="1">IF(A139=506,"End Of Data",OFFSET('Raw Data'!$N$4,A139,0))</f>
        <v>17.100000000000001</v>
      </c>
      <c r="F139" s="5">
        <f ca="1">IF(A139=1,"Start of Data",OFFSET('Raw Data'!$N$4,A139-2,0))</f>
        <v>18.100000000000001</v>
      </c>
    </row>
    <row r="140" spans="1:6" x14ac:dyDescent="0.25">
      <c r="A140" s="5">
        <v>138</v>
      </c>
      <c r="B140" s="29">
        <f>'Raw Data'!N141</f>
        <v>17.100000000000001</v>
      </c>
      <c r="C140" s="5" t="str">
        <f>HLOOKUP("PRICE",'Raw Data'!$A$2:$N$3,2,FALSE)</f>
        <v>Price ($000s)</v>
      </c>
      <c r="D140" s="5" cm="1">
        <f t="array" aca="1" ref="D140" ca="1">INDIRECT("'Raw Data'!N"&amp;(A140+3))</f>
        <v>17.100000000000001</v>
      </c>
      <c r="E140" s="5">
        <f ca="1">IF(A140=506,"End Of Data",OFFSET('Raw Data'!$N$4,A140,0))</f>
        <v>13.3</v>
      </c>
      <c r="F140" s="5">
        <f ca="1">IF(A140=1,"Start of Data",OFFSET('Raw Data'!$N$4,A140-2,0))</f>
        <v>17.399999999999999</v>
      </c>
    </row>
    <row r="141" spans="1:6" x14ac:dyDescent="0.25">
      <c r="A141" s="5">
        <v>139</v>
      </c>
      <c r="B141" s="29">
        <f>'Raw Data'!N142</f>
        <v>13.3</v>
      </c>
      <c r="C141" s="5" t="str">
        <f>HLOOKUP("PRICE",'Raw Data'!$A$2:$N$3,2,FALSE)</f>
        <v>Price ($000s)</v>
      </c>
      <c r="D141" s="5" cm="1">
        <f t="array" aca="1" ref="D141" ca="1">INDIRECT("'Raw Data'!N"&amp;(A141+3))</f>
        <v>13.3</v>
      </c>
      <c r="E141" s="5">
        <f ca="1">IF(A141=506,"End Of Data",OFFSET('Raw Data'!$N$4,A141,0))</f>
        <v>17.8</v>
      </c>
      <c r="F141" s="5">
        <f ca="1">IF(A141=1,"Start of Data",OFFSET('Raw Data'!$N$4,A141-2,0))</f>
        <v>17.100000000000001</v>
      </c>
    </row>
    <row r="142" spans="1:6" x14ac:dyDescent="0.25">
      <c r="A142" s="5">
        <v>140</v>
      </c>
      <c r="B142" s="29">
        <f>'Raw Data'!N143</f>
        <v>17.8</v>
      </c>
      <c r="C142" s="5" t="str">
        <f>HLOOKUP("PRICE",'Raw Data'!$A$2:$N$3,2,FALSE)</f>
        <v>Price ($000s)</v>
      </c>
      <c r="D142" s="5" cm="1">
        <f t="array" aca="1" ref="D142" ca="1">INDIRECT("'Raw Data'!N"&amp;(A142+3))</f>
        <v>17.8</v>
      </c>
      <c r="E142" s="5">
        <f ca="1">IF(A142=506,"End Of Data",OFFSET('Raw Data'!$N$4,A142,0))</f>
        <v>14</v>
      </c>
      <c r="F142" s="5">
        <f ca="1">IF(A142=1,"Start of Data",OFFSET('Raw Data'!$N$4,A142-2,0))</f>
        <v>13.3</v>
      </c>
    </row>
    <row r="143" spans="1:6" x14ac:dyDescent="0.25">
      <c r="A143" s="5">
        <v>141</v>
      </c>
      <c r="B143" s="29">
        <f>'Raw Data'!N144</f>
        <v>14</v>
      </c>
      <c r="C143" s="5" t="str">
        <f>HLOOKUP("PRICE",'Raw Data'!$A$2:$N$3,2,FALSE)</f>
        <v>Price ($000s)</v>
      </c>
      <c r="D143" s="5" cm="1">
        <f t="array" aca="1" ref="D143" ca="1">INDIRECT("'Raw Data'!N"&amp;(A143+3))</f>
        <v>14</v>
      </c>
      <c r="E143" s="5">
        <f ca="1">IF(A143=506,"End Of Data",OFFSET('Raw Data'!$N$4,A143,0))</f>
        <v>14.4</v>
      </c>
      <c r="F143" s="5">
        <f ca="1">IF(A143=1,"Start of Data",OFFSET('Raw Data'!$N$4,A143-2,0))</f>
        <v>17.8</v>
      </c>
    </row>
    <row r="144" spans="1:6" x14ac:dyDescent="0.25">
      <c r="A144" s="5">
        <v>142</v>
      </c>
      <c r="B144" s="29">
        <f>'Raw Data'!N145</f>
        <v>14.4</v>
      </c>
      <c r="C144" s="5" t="str">
        <f>HLOOKUP("PRICE",'Raw Data'!$A$2:$N$3,2,FALSE)</f>
        <v>Price ($000s)</v>
      </c>
      <c r="D144" s="5" cm="1">
        <f t="array" aca="1" ref="D144" ca="1">INDIRECT("'Raw Data'!N"&amp;(A144+3))</f>
        <v>14.4</v>
      </c>
      <c r="E144" s="5">
        <f ca="1">IF(A144=506,"End Of Data",OFFSET('Raw Data'!$N$4,A144,0))</f>
        <v>13.4</v>
      </c>
      <c r="F144" s="5">
        <f ca="1">IF(A144=1,"Start of Data",OFFSET('Raw Data'!$N$4,A144-2,0))</f>
        <v>14</v>
      </c>
    </row>
    <row r="145" spans="1:6" x14ac:dyDescent="0.25">
      <c r="A145" s="5">
        <v>143</v>
      </c>
      <c r="B145" s="29">
        <f>'Raw Data'!N146</f>
        <v>13.4</v>
      </c>
      <c r="C145" s="5" t="str">
        <f>HLOOKUP("PRICE",'Raw Data'!$A$2:$N$3,2,FALSE)</f>
        <v>Price ($000s)</v>
      </c>
      <c r="D145" s="5" cm="1">
        <f t="array" aca="1" ref="D145" ca="1">INDIRECT("'Raw Data'!N"&amp;(A145+3))</f>
        <v>13.4</v>
      </c>
      <c r="E145" s="5">
        <f ca="1">IF(A145=506,"End Of Data",OFFSET('Raw Data'!$N$4,A145,0))</f>
        <v>15.6</v>
      </c>
      <c r="F145" s="5">
        <f ca="1">IF(A145=1,"Start of Data",OFFSET('Raw Data'!$N$4,A145-2,0))</f>
        <v>14.4</v>
      </c>
    </row>
    <row r="146" spans="1:6" x14ac:dyDescent="0.25">
      <c r="A146" s="5">
        <v>144</v>
      </c>
      <c r="B146" s="29">
        <f>'Raw Data'!N147</f>
        <v>15.6</v>
      </c>
      <c r="C146" s="5" t="str">
        <f>HLOOKUP("PRICE",'Raw Data'!$A$2:$N$3,2,FALSE)</f>
        <v>Price ($000s)</v>
      </c>
      <c r="D146" s="5" cm="1">
        <f t="array" aca="1" ref="D146" ca="1">INDIRECT("'Raw Data'!N"&amp;(A146+3))</f>
        <v>15.6</v>
      </c>
      <c r="E146" s="5">
        <f ca="1">IF(A146=506,"End Of Data",OFFSET('Raw Data'!$N$4,A146,0))</f>
        <v>11.8</v>
      </c>
      <c r="F146" s="5">
        <f ca="1">IF(A146=1,"Start of Data",OFFSET('Raw Data'!$N$4,A146-2,0))</f>
        <v>13.4</v>
      </c>
    </row>
    <row r="147" spans="1:6" x14ac:dyDescent="0.25">
      <c r="A147" s="5">
        <v>145</v>
      </c>
      <c r="B147" s="29">
        <f>'Raw Data'!N148</f>
        <v>11.8</v>
      </c>
      <c r="C147" s="5" t="str">
        <f>HLOOKUP("PRICE",'Raw Data'!$A$2:$N$3,2,FALSE)</f>
        <v>Price ($000s)</v>
      </c>
      <c r="D147" s="5" cm="1">
        <f t="array" aca="1" ref="D147" ca="1">INDIRECT("'Raw Data'!N"&amp;(A147+3))</f>
        <v>11.8</v>
      </c>
      <c r="E147" s="5">
        <f ca="1">IF(A147=506,"End Of Data",OFFSET('Raw Data'!$N$4,A147,0))</f>
        <v>13.8</v>
      </c>
      <c r="F147" s="5">
        <f ca="1">IF(A147=1,"Start of Data",OFFSET('Raw Data'!$N$4,A147-2,0))</f>
        <v>15.6</v>
      </c>
    </row>
    <row r="148" spans="1:6" x14ac:dyDescent="0.25">
      <c r="A148" s="5">
        <v>146</v>
      </c>
      <c r="B148" s="29">
        <f>'Raw Data'!N149</f>
        <v>13.8</v>
      </c>
      <c r="C148" s="5" t="str">
        <f>HLOOKUP("PRICE",'Raw Data'!$A$2:$N$3,2,FALSE)</f>
        <v>Price ($000s)</v>
      </c>
      <c r="D148" s="5" cm="1">
        <f t="array" aca="1" ref="D148" ca="1">INDIRECT("'Raw Data'!N"&amp;(A148+3))</f>
        <v>13.8</v>
      </c>
      <c r="E148" s="5">
        <f ca="1">IF(A148=506,"End Of Data",OFFSET('Raw Data'!$N$4,A148,0))</f>
        <v>15.6</v>
      </c>
      <c r="F148" s="5">
        <f ca="1">IF(A148=1,"Start of Data",OFFSET('Raw Data'!$N$4,A148-2,0))</f>
        <v>11.8</v>
      </c>
    </row>
    <row r="149" spans="1:6" x14ac:dyDescent="0.25">
      <c r="A149" s="5">
        <v>147</v>
      </c>
      <c r="B149" s="29">
        <f>'Raw Data'!N150</f>
        <v>15.6</v>
      </c>
      <c r="C149" s="5" t="str">
        <f>HLOOKUP("PRICE",'Raw Data'!$A$2:$N$3,2,FALSE)</f>
        <v>Price ($000s)</v>
      </c>
      <c r="D149" s="5" cm="1">
        <f t="array" aca="1" ref="D149" ca="1">INDIRECT("'Raw Data'!N"&amp;(A149+3))</f>
        <v>15.6</v>
      </c>
      <c r="E149" s="5">
        <f ca="1">IF(A149=506,"End Of Data",OFFSET('Raw Data'!$N$4,A149,0))</f>
        <v>14.6</v>
      </c>
      <c r="F149" s="5">
        <f ca="1">IF(A149=1,"Start of Data",OFFSET('Raw Data'!$N$4,A149-2,0))</f>
        <v>13.8</v>
      </c>
    </row>
    <row r="150" spans="1:6" x14ac:dyDescent="0.25">
      <c r="A150" s="5">
        <v>148</v>
      </c>
      <c r="B150" s="29">
        <f>'Raw Data'!N151</f>
        <v>14.6</v>
      </c>
      <c r="C150" s="5" t="str">
        <f>HLOOKUP("PRICE",'Raw Data'!$A$2:$N$3,2,FALSE)</f>
        <v>Price ($000s)</v>
      </c>
      <c r="D150" s="5" cm="1">
        <f t="array" aca="1" ref="D150" ca="1">INDIRECT("'Raw Data'!N"&amp;(A150+3))</f>
        <v>14.6</v>
      </c>
      <c r="E150" s="5">
        <f ca="1">IF(A150=506,"End Of Data",OFFSET('Raw Data'!$N$4,A150,0))</f>
        <v>17.8</v>
      </c>
      <c r="F150" s="5">
        <f ca="1">IF(A150=1,"Start of Data",OFFSET('Raw Data'!$N$4,A150-2,0))</f>
        <v>15.6</v>
      </c>
    </row>
    <row r="151" spans="1:6" x14ac:dyDescent="0.25">
      <c r="A151" s="5">
        <v>149</v>
      </c>
      <c r="B151" s="29">
        <f>'Raw Data'!N152</f>
        <v>17.8</v>
      </c>
      <c r="C151" s="5" t="str">
        <f>HLOOKUP("PRICE",'Raw Data'!$A$2:$N$3,2,FALSE)</f>
        <v>Price ($000s)</v>
      </c>
      <c r="D151" s="5" cm="1">
        <f t="array" aca="1" ref="D151" ca="1">INDIRECT("'Raw Data'!N"&amp;(A151+3))</f>
        <v>17.8</v>
      </c>
      <c r="E151" s="5">
        <f ca="1">IF(A151=506,"End Of Data",OFFSET('Raw Data'!$N$4,A151,0))</f>
        <v>15.4</v>
      </c>
      <c r="F151" s="5">
        <f ca="1">IF(A151=1,"Start of Data",OFFSET('Raw Data'!$N$4,A151-2,0))</f>
        <v>14.6</v>
      </c>
    </row>
    <row r="152" spans="1:6" x14ac:dyDescent="0.25">
      <c r="A152" s="5">
        <v>150</v>
      </c>
      <c r="B152" s="29">
        <f>'Raw Data'!N153</f>
        <v>15.4</v>
      </c>
      <c r="C152" s="5" t="str">
        <f>HLOOKUP("PRICE",'Raw Data'!$A$2:$N$3,2,FALSE)</f>
        <v>Price ($000s)</v>
      </c>
      <c r="D152" s="5" cm="1">
        <f t="array" aca="1" ref="D152" ca="1">INDIRECT("'Raw Data'!N"&amp;(A152+3))</f>
        <v>15.4</v>
      </c>
      <c r="E152" s="5">
        <f ca="1">IF(A152=506,"End Of Data",OFFSET('Raw Data'!$N$4,A152,0))</f>
        <v>21.5</v>
      </c>
      <c r="F152" s="5">
        <f ca="1">IF(A152=1,"Start of Data",OFFSET('Raw Data'!$N$4,A152-2,0))</f>
        <v>17.8</v>
      </c>
    </row>
    <row r="153" spans="1:6" x14ac:dyDescent="0.25">
      <c r="A153" s="5">
        <v>151</v>
      </c>
      <c r="B153" s="29">
        <f>'Raw Data'!N154</f>
        <v>21.5</v>
      </c>
      <c r="C153" s="5" t="str">
        <f>HLOOKUP("PRICE",'Raw Data'!$A$2:$N$3,2,FALSE)</f>
        <v>Price ($000s)</v>
      </c>
      <c r="D153" s="5" cm="1">
        <f t="array" aca="1" ref="D153" ca="1">INDIRECT("'Raw Data'!N"&amp;(A153+3))</f>
        <v>21.5</v>
      </c>
      <c r="E153" s="5">
        <f ca="1">IF(A153=506,"End Of Data",OFFSET('Raw Data'!$N$4,A153,0))</f>
        <v>19.600000000000001</v>
      </c>
      <c r="F153" s="5">
        <f ca="1">IF(A153=1,"Start of Data",OFFSET('Raw Data'!$N$4,A153-2,0))</f>
        <v>15.4</v>
      </c>
    </row>
    <row r="154" spans="1:6" x14ac:dyDescent="0.25">
      <c r="A154" s="5">
        <v>152</v>
      </c>
      <c r="B154" s="29">
        <f>'Raw Data'!N155</f>
        <v>19.600000000000001</v>
      </c>
      <c r="C154" s="5" t="str">
        <f>HLOOKUP("PRICE",'Raw Data'!$A$2:$N$3,2,FALSE)</f>
        <v>Price ($000s)</v>
      </c>
      <c r="D154" s="5" cm="1">
        <f t="array" aca="1" ref="D154" ca="1">INDIRECT("'Raw Data'!N"&amp;(A154+3))</f>
        <v>19.600000000000001</v>
      </c>
      <c r="E154" s="5">
        <f ca="1">IF(A154=506,"End Of Data",OFFSET('Raw Data'!$N$4,A154,0))</f>
        <v>15.3</v>
      </c>
      <c r="F154" s="5">
        <f ca="1">IF(A154=1,"Start of Data",OFFSET('Raw Data'!$N$4,A154-2,0))</f>
        <v>21.5</v>
      </c>
    </row>
    <row r="155" spans="1:6" x14ac:dyDescent="0.25">
      <c r="A155" s="5">
        <v>153</v>
      </c>
      <c r="B155" s="29">
        <f>'Raw Data'!N156</f>
        <v>15.3</v>
      </c>
      <c r="C155" s="5" t="str">
        <f>HLOOKUP("PRICE",'Raw Data'!$A$2:$N$3,2,FALSE)</f>
        <v>Price ($000s)</v>
      </c>
      <c r="D155" s="5" cm="1">
        <f t="array" aca="1" ref="D155" ca="1">INDIRECT("'Raw Data'!N"&amp;(A155+3))</f>
        <v>15.3</v>
      </c>
      <c r="E155" s="5">
        <f ca="1">IF(A155=506,"End Of Data",OFFSET('Raw Data'!$N$4,A155,0))</f>
        <v>19.399999999999999</v>
      </c>
      <c r="F155" s="5">
        <f ca="1">IF(A155=1,"Start of Data",OFFSET('Raw Data'!$N$4,A155-2,0))</f>
        <v>19.600000000000001</v>
      </c>
    </row>
    <row r="156" spans="1:6" x14ac:dyDescent="0.25">
      <c r="A156" s="5">
        <v>154</v>
      </c>
      <c r="B156" s="29">
        <f>'Raw Data'!N157</f>
        <v>19.399999999999999</v>
      </c>
      <c r="C156" s="5" t="str">
        <f>HLOOKUP("PRICE",'Raw Data'!$A$2:$N$3,2,FALSE)</f>
        <v>Price ($000s)</v>
      </c>
      <c r="D156" s="5" cm="1">
        <f t="array" aca="1" ref="D156" ca="1">INDIRECT("'Raw Data'!N"&amp;(A156+3))</f>
        <v>19.399999999999999</v>
      </c>
      <c r="E156" s="5">
        <f ca="1">IF(A156=506,"End Of Data",OFFSET('Raw Data'!$N$4,A156,0))</f>
        <v>17</v>
      </c>
      <c r="F156" s="5">
        <f ca="1">IF(A156=1,"Start of Data",OFFSET('Raw Data'!$N$4,A156-2,0))</f>
        <v>15.3</v>
      </c>
    </row>
    <row r="157" spans="1:6" x14ac:dyDescent="0.25">
      <c r="A157" s="5">
        <v>155</v>
      </c>
      <c r="B157" s="29">
        <f>'Raw Data'!N158</f>
        <v>17</v>
      </c>
      <c r="C157" s="5" t="str">
        <f>HLOOKUP("PRICE",'Raw Data'!$A$2:$N$3,2,FALSE)</f>
        <v>Price ($000s)</v>
      </c>
      <c r="D157" s="5" cm="1">
        <f t="array" aca="1" ref="D157" ca="1">INDIRECT("'Raw Data'!N"&amp;(A157+3))</f>
        <v>17</v>
      </c>
      <c r="E157" s="5">
        <f ca="1">IF(A157=506,"End Of Data",OFFSET('Raw Data'!$N$4,A157,0))</f>
        <v>15.6</v>
      </c>
      <c r="F157" s="5">
        <f ca="1">IF(A157=1,"Start of Data",OFFSET('Raw Data'!$N$4,A157-2,0))</f>
        <v>19.399999999999999</v>
      </c>
    </row>
    <row r="158" spans="1:6" x14ac:dyDescent="0.25">
      <c r="A158" s="5">
        <v>156</v>
      </c>
      <c r="B158" s="29">
        <f>'Raw Data'!N159</f>
        <v>15.6</v>
      </c>
      <c r="C158" s="5" t="str">
        <f>HLOOKUP("PRICE",'Raw Data'!$A$2:$N$3,2,FALSE)</f>
        <v>Price ($000s)</v>
      </c>
      <c r="D158" s="5" cm="1">
        <f t="array" aca="1" ref="D158" ca="1">INDIRECT("'Raw Data'!N"&amp;(A158+3))</f>
        <v>15.6</v>
      </c>
      <c r="E158" s="5">
        <f ca="1">IF(A158=506,"End Of Data",OFFSET('Raw Data'!$N$4,A158,0))</f>
        <v>13.1</v>
      </c>
      <c r="F158" s="5">
        <f ca="1">IF(A158=1,"Start of Data",OFFSET('Raw Data'!$N$4,A158-2,0))</f>
        <v>17</v>
      </c>
    </row>
    <row r="159" spans="1:6" x14ac:dyDescent="0.25">
      <c r="A159" s="5">
        <v>157</v>
      </c>
      <c r="B159" s="29">
        <f>'Raw Data'!N160</f>
        <v>13.1</v>
      </c>
      <c r="C159" s="5" t="str">
        <f>HLOOKUP("PRICE",'Raw Data'!$A$2:$N$3,2,FALSE)</f>
        <v>Price ($000s)</v>
      </c>
      <c r="D159" s="5" cm="1">
        <f t="array" aca="1" ref="D159" ca="1">INDIRECT("'Raw Data'!N"&amp;(A159+3))</f>
        <v>13.1</v>
      </c>
      <c r="E159" s="5">
        <f ca="1">IF(A159=506,"End Of Data",OFFSET('Raw Data'!$N$4,A159,0))</f>
        <v>41.3</v>
      </c>
      <c r="F159" s="5">
        <f ca="1">IF(A159=1,"Start of Data",OFFSET('Raw Data'!$N$4,A159-2,0))</f>
        <v>15.6</v>
      </c>
    </row>
    <row r="160" spans="1:6" x14ac:dyDescent="0.25">
      <c r="A160" s="5">
        <v>158</v>
      </c>
      <c r="B160" s="29">
        <f>'Raw Data'!N161</f>
        <v>41.3</v>
      </c>
      <c r="C160" s="5" t="str">
        <f>HLOOKUP("PRICE",'Raw Data'!$A$2:$N$3,2,FALSE)</f>
        <v>Price ($000s)</v>
      </c>
      <c r="D160" s="5" cm="1">
        <f t="array" aca="1" ref="D160" ca="1">INDIRECT("'Raw Data'!N"&amp;(A160+3))</f>
        <v>41.3</v>
      </c>
      <c r="E160" s="5">
        <f ca="1">IF(A160=506,"End Of Data",OFFSET('Raw Data'!$N$4,A160,0))</f>
        <v>24.3</v>
      </c>
      <c r="F160" s="5">
        <f ca="1">IF(A160=1,"Start of Data",OFFSET('Raw Data'!$N$4,A160-2,0))</f>
        <v>13.1</v>
      </c>
    </row>
    <row r="161" spans="1:6" x14ac:dyDescent="0.25">
      <c r="A161" s="5">
        <v>159</v>
      </c>
      <c r="B161" s="29">
        <f>'Raw Data'!N162</f>
        <v>24.3</v>
      </c>
      <c r="C161" s="5" t="str">
        <f>HLOOKUP("PRICE",'Raw Data'!$A$2:$N$3,2,FALSE)</f>
        <v>Price ($000s)</v>
      </c>
      <c r="D161" s="5" cm="1">
        <f t="array" aca="1" ref="D161" ca="1">INDIRECT("'Raw Data'!N"&amp;(A161+3))</f>
        <v>24.3</v>
      </c>
      <c r="E161" s="5">
        <f ca="1">IF(A161=506,"End Of Data",OFFSET('Raw Data'!$N$4,A161,0))</f>
        <v>23.3</v>
      </c>
      <c r="F161" s="5">
        <f ca="1">IF(A161=1,"Start of Data",OFFSET('Raw Data'!$N$4,A161-2,0))</f>
        <v>41.3</v>
      </c>
    </row>
    <row r="162" spans="1:6" x14ac:dyDescent="0.25">
      <c r="A162" s="5">
        <v>160</v>
      </c>
      <c r="B162" s="29">
        <f>'Raw Data'!N163</f>
        <v>23.3</v>
      </c>
      <c r="C162" s="5" t="str">
        <f>HLOOKUP("PRICE",'Raw Data'!$A$2:$N$3,2,FALSE)</f>
        <v>Price ($000s)</v>
      </c>
      <c r="D162" s="5" cm="1">
        <f t="array" aca="1" ref="D162" ca="1">INDIRECT("'Raw Data'!N"&amp;(A162+3))</f>
        <v>23.3</v>
      </c>
      <c r="E162" s="5">
        <f ca="1">IF(A162=506,"End Of Data",OFFSET('Raw Data'!$N$4,A162,0))</f>
        <v>27</v>
      </c>
      <c r="F162" s="5">
        <f ca="1">IF(A162=1,"Start of Data",OFFSET('Raw Data'!$N$4,A162-2,0))</f>
        <v>24.3</v>
      </c>
    </row>
    <row r="163" spans="1:6" x14ac:dyDescent="0.25">
      <c r="A163" s="5">
        <v>161</v>
      </c>
      <c r="B163" s="29">
        <f>'Raw Data'!N164</f>
        <v>27</v>
      </c>
      <c r="C163" s="5" t="str">
        <f>HLOOKUP("PRICE",'Raw Data'!$A$2:$N$3,2,FALSE)</f>
        <v>Price ($000s)</v>
      </c>
      <c r="D163" s="5" cm="1">
        <f t="array" aca="1" ref="D163" ca="1">INDIRECT("'Raw Data'!N"&amp;(A163+3))</f>
        <v>27</v>
      </c>
      <c r="E163" s="5">
        <f ca="1">IF(A163=506,"End Of Data",OFFSET('Raw Data'!$N$4,A163,0))</f>
        <v>50</v>
      </c>
      <c r="F163" s="5">
        <f ca="1">IF(A163=1,"Start of Data",OFFSET('Raw Data'!$N$4,A163-2,0))</f>
        <v>23.3</v>
      </c>
    </row>
    <row r="164" spans="1:6" x14ac:dyDescent="0.25">
      <c r="A164" s="5">
        <v>162</v>
      </c>
      <c r="B164" s="29">
        <f>'Raw Data'!N165</f>
        <v>50</v>
      </c>
      <c r="C164" s="5" t="str">
        <f>HLOOKUP("PRICE",'Raw Data'!$A$2:$N$3,2,FALSE)</f>
        <v>Price ($000s)</v>
      </c>
      <c r="D164" s="5" cm="1">
        <f t="array" aca="1" ref="D164" ca="1">INDIRECT("'Raw Data'!N"&amp;(A164+3))</f>
        <v>50</v>
      </c>
      <c r="E164" s="5">
        <f ca="1">IF(A164=506,"End Of Data",OFFSET('Raw Data'!$N$4,A164,0))</f>
        <v>50</v>
      </c>
      <c r="F164" s="5">
        <f ca="1">IF(A164=1,"Start of Data",OFFSET('Raw Data'!$N$4,A164-2,0))</f>
        <v>27</v>
      </c>
    </row>
    <row r="165" spans="1:6" x14ac:dyDescent="0.25">
      <c r="A165" s="5">
        <v>163</v>
      </c>
      <c r="B165" s="29">
        <f>'Raw Data'!N166</f>
        <v>50</v>
      </c>
      <c r="C165" s="5" t="str">
        <f>HLOOKUP("PRICE",'Raw Data'!$A$2:$N$3,2,FALSE)</f>
        <v>Price ($000s)</v>
      </c>
      <c r="D165" s="5" cm="1">
        <f t="array" aca="1" ref="D165" ca="1">INDIRECT("'Raw Data'!N"&amp;(A165+3))</f>
        <v>50</v>
      </c>
      <c r="E165" s="5">
        <f ca="1">IF(A165=506,"End Of Data",OFFSET('Raw Data'!$N$4,A165,0))</f>
        <v>50</v>
      </c>
      <c r="F165" s="5">
        <f ca="1">IF(A165=1,"Start of Data",OFFSET('Raw Data'!$N$4,A165-2,0))</f>
        <v>50</v>
      </c>
    </row>
    <row r="166" spans="1:6" x14ac:dyDescent="0.25">
      <c r="A166" s="5">
        <v>164</v>
      </c>
      <c r="B166" s="29">
        <f>'Raw Data'!N167</f>
        <v>50</v>
      </c>
      <c r="C166" s="5" t="str">
        <f>HLOOKUP("PRICE",'Raw Data'!$A$2:$N$3,2,FALSE)</f>
        <v>Price ($000s)</v>
      </c>
      <c r="D166" s="5" cm="1">
        <f t="array" aca="1" ref="D166" ca="1">INDIRECT("'Raw Data'!N"&amp;(A166+3))</f>
        <v>50</v>
      </c>
      <c r="E166" s="5">
        <f ca="1">IF(A166=506,"End Of Data",OFFSET('Raw Data'!$N$4,A166,0))</f>
        <v>22.7</v>
      </c>
      <c r="F166" s="5">
        <f ca="1">IF(A166=1,"Start of Data",OFFSET('Raw Data'!$N$4,A166-2,0))</f>
        <v>50</v>
      </c>
    </row>
    <row r="167" spans="1:6" x14ac:dyDescent="0.25">
      <c r="A167" s="5">
        <v>165</v>
      </c>
      <c r="B167" s="29">
        <f>'Raw Data'!N168</f>
        <v>22.7</v>
      </c>
      <c r="C167" s="5" t="str">
        <f>HLOOKUP("PRICE",'Raw Data'!$A$2:$N$3,2,FALSE)</f>
        <v>Price ($000s)</v>
      </c>
      <c r="D167" s="5" cm="1">
        <f t="array" aca="1" ref="D167" ca="1">INDIRECT("'Raw Data'!N"&amp;(A167+3))</f>
        <v>22.7</v>
      </c>
      <c r="E167" s="5">
        <f ca="1">IF(A167=506,"End Of Data",OFFSET('Raw Data'!$N$4,A167,0))</f>
        <v>25</v>
      </c>
      <c r="F167" s="5">
        <f ca="1">IF(A167=1,"Start of Data",OFFSET('Raw Data'!$N$4,A167-2,0))</f>
        <v>50</v>
      </c>
    </row>
    <row r="168" spans="1:6" x14ac:dyDescent="0.25">
      <c r="A168" s="5">
        <v>166</v>
      </c>
      <c r="B168" s="29">
        <f>'Raw Data'!N169</f>
        <v>25</v>
      </c>
      <c r="C168" s="5" t="str">
        <f>HLOOKUP("PRICE",'Raw Data'!$A$2:$N$3,2,FALSE)</f>
        <v>Price ($000s)</v>
      </c>
      <c r="D168" s="5" cm="1">
        <f t="array" aca="1" ref="D168" ca="1">INDIRECT("'Raw Data'!N"&amp;(A168+3))</f>
        <v>25</v>
      </c>
      <c r="E168" s="5">
        <f ca="1">IF(A168=506,"End Of Data",OFFSET('Raw Data'!$N$4,A168,0))</f>
        <v>50</v>
      </c>
      <c r="F168" s="5">
        <f ca="1">IF(A168=1,"Start of Data",OFFSET('Raw Data'!$N$4,A168-2,0))</f>
        <v>22.7</v>
      </c>
    </row>
    <row r="169" spans="1:6" x14ac:dyDescent="0.25">
      <c r="A169" s="5">
        <v>167</v>
      </c>
      <c r="B169" s="29">
        <f>'Raw Data'!N170</f>
        <v>50</v>
      </c>
      <c r="C169" s="5" t="str">
        <f>HLOOKUP("PRICE",'Raw Data'!$A$2:$N$3,2,FALSE)</f>
        <v>Price ($000s)</v>
      </c>
      <c r="D169" s="5" cm="1">
        <f t="array" aca="1" ref="D169" ca="1">INDIRECT("'Raw Data'!N"&amp;(A169+3))</f>
        <v>50</v>
      </c>
      <c r="E169" s="5">
        <f ca="1">IF(A169=506,"End Of Data",OFFSET('Raw Data'!$N$4,A169,0))</f>
        <v>23.8</v>
      </c>
      <c r="F169" s="5">
        <f ca="1">IF(A169=1,"Start of Data",OFFSET('Raw Data'!$N$4,A169-2,0))</f>
        <v>25</v>
      </c>
    </row>
    <row r="170" spans="1:6" x14ac:dyDescent="0.25">
      <c r="A170" s="5">
        <v>168</v>
      </c>
      <c r="B170" s="29">
        <f>'Raw Data'!N171</f>
        <v>23.8</v>
      </c>
      <c r="C170" s="5" t="str">
        <f>HLOOKUP("PRICE",'Raw Data'!$A$2:$N$3,2,FALSE)</f>
        <v>Price ($000s)</v>
      </c>
      <c r="D170" s="5" cm="1">
        <f t="array" aca="1" ref="D170" ca="1">INDIRECT("'Raw Data'!N"&amp;(A170+3))</f>
        <v>23.8</v>
      </c>
      <c r="E170" s="5">
        <f ca="1">IF(A170=506,"End Of Data",OFFSET('Raw Data'!$N$4,A170,0))</f>
        <v>23.8</v>
      </c>
      <c r="F170" s="5">
        <f ca="1">IF(A170=1,"Start of Data",OFFSET('Raw Data'!$N$4,A170-2,0))</f>
        <v>50</v>
      </c>
    </row>
    <row r="171" spans="1:6" x14ac:dyDescent="0.25">
      <c r="A171" s="5">
        <v>169</v>
      </c>
      <c r="B171" s="29">
        <f>'Raw Data'!N172</f>
        <v>23.8</v>
      </c>
      <c r="C171" s="5" t="str">
        <f>HLOOKUP("PRICE",'Raw Data'!$A$2:$N$3,2,FALSE)</f>
        <v>Price ($000s)</v>
      </c>
      <c r="D171" s="5" cm="1">
        <f t="array" aca="1" ref="D171" ca="1">INDIRECT("'Raw Data'!N"&amp;(A171+3))</f>
        <v>23.8</v>
      </c>
      <c r="E171" s="5">
        <f ca="1">IF(A171=506,"End Of Data",OFFSET('Raw Data'!$N$4,A171,0))</f>
        <v>22.3</v>
      </c>
      <c r="F171" s="5">
        <f ca="1">IF(A171=1,"Start of Data",OFFSET('Raw Data'!$N$4,A171-2,0))</f>
        <v>23.8</v>
      </c>
    </row>
    <row r="172" spans="1:6" x14ac:dyDescent="0.25">
      <c r="A172" s="5">
        <v>170</v>
      </c>
      <c r="B172" s="29">
        <f>'Raw Data'!N173</f>
        <v>22.3</v>
      </c>
      <c r="C172" s="5" t="str">
        <f>HLOOKUP("PRICE",'Raw Data'!$A$2:$N$3,2,FALSE)</f>
        <v>Price ($000s)</v>
      </c>
      <c r="D172" s="5" cm="1">
        <f t="array" aca="1" ref="D172" ca="1">INDIRECT("'Raw Data'!N"&amp;(A172+3))</f>
        <v>22.3</v>
      </c>
      <c r="E172" s="5">
        <f ca="1">IF(A172=506,"End Of Data",OFFSET('Raw Data'!$N$4,A172,0))</f>
        <v>17.399999999999999</v>
      </c>
      <c r="F172" s="5">
        <f ca="1">IF(A172=1,"Start of Data",OFFSET('Raw Data'!$N$4,A172-2,0))</f>
        <v>23.8</v>
      </c>
    </row>
    <row r="173" spans="1:6" x14ac:dyDescent="0.25">
      <c r="A173" s="5">
        <v>171</v>
      </c>
      <c r="B173" s="29">
        <f>'Raw Data'!N174</f>
        <v>17.399999999999999</v>
      </c>
      <c r="C173" s="5" t="str">
        <f>HLOOKUP("PRICE",'Raw Data'!$A$2:$N$3,2,FALSE)</f>
        <v>Price ($000s)</v>
      </c>
      <c r="D173" s="5" cm="1">
        <f t="array" aca="1" ref="D173" ca="1">INDIRECT("'Raw Data'!N"&amp;(A173+3))</f>
        <v>17.399999999999999</v>
      </c>
      <c r="E173" s="5">
        <f ca="1">IF(A173=506,"End Of Data",OFFSET('Raw Data'!$N$4,A173,0))</f>
        <v>19.100000000000001</v>
      </c>
      <c r="F173" s="5">
        <f ca="1">IF(A173=1,"Start of Data",OFFSET('Raw Data'!$N$4,A173-2,0))</f>
        <v>22.3</v>
      </c>
    </row>
    <row r="174" spans="1:6" x14ac:dyDescent="0.25">
      <c r="A174" s="5">
        <v>172</v>
      </c>
      <c r="B174" s="29">
        <f>'Raw Data'!N175</f>
        <v>19.100000000000001</v>
      </c>
      <c r="C174" s="5" t="str">
        <f>HLOOKUP("PRICE",'Raw Data'!$A$2:$N$3,2,FALSE)</f>
        <v>Price ($000s)</v>
      </c>
      <c r="D174" s="5" cm="1">
        <f t="array" aca="1" ref="D174" ca="1">INDIRECT("'Raw Data'!N"&amp;(A174+3))</f>
        <v>19.100000000000001</v>
      </c>
      <c r="E174" s="5">
        <f ca="1">IF(A174=506,"End Of Data",OFFSET('Raw Data'!$N$4,A174,0))</f>
        <v>23.1</v>
      </c>
      <c r="F174" s="5">
        <f ca="1">IF(A174=1,"Start of Data",OFFSET('Raw Data'!$N$4,A174-2,0))</f>
        <v>17.399999999999999</v>
      </c>
    </row>
    <row r="175" spans="1:6" x14ac:dyDescent="0.25">
      <c r="A175" s="5">
        <v>173</v>
      </c>
      <c r="B175" s="29">
        <f>'Raw Data'!N176</f>
        <v>23.1</v>
      </c>
      <c r="C175" s="5" t="str">
        <f>HLOOKUP("PRICE",'Raw Data'!$A$2:$N$3,2,FALSE)</f>
        <v>Price ($000s)</v>
      </c>
      <c r="D175" s="5" cm="1">
        <f t="array" aca="1" ref="D175" ca="1">INDIRECT("'Raw Data'!N"&amp;(A175+3))</f>
        <v>23.1</v>
      </c>
      <c r="E175" s="5">
        <f ca="1">IF(A175=506,"End Of Data",OFFSET('Raw Data'!$N$4,A175,0))</f>
        <v>23.6</v>
      </c>
      <c r="F175" s="5">
        <f ca="1">IF(A175=1,"Start of Data",OFFSET('Raw Data'!$N$4,A175-2,0))</f>
        <v>19.100000000000001</v>
      </c>
    </row>
    <row r="176" spans="1:6" x14ac:dyDescent="0.25">
      <c r="A176" s="5">
        <v>174</v>
      </c>
      <c r="B176" s="29">
        <f>'Raw Data'!N177</f>
        <v>23.6</v>
      </c>
      <c r="C176" s="5" t="str">
        <f>HLOOKUP("PRICE",'Raw Data'!$A$2:$N$3,2,FALSE)</f>
        <v>Price ($000s)</v>
      </c>
      <c r="D176" s="5" cm="1">
        <f t="array" aca="1" ref="D176" ca="1">INDIRECT("'Raw Data'!N"&amp;(A176+3))</f>
        <v>23.6</v>
      </c>
      <c r="E176" s="5">
        <f ca="1">IF(A176=506,"End Of Data",OFFSET('Raw Data'!$N$4,A176,0))</f>
        <v>22.6</v>
      </c>
      <c r="F176" s="5">
        <f ca="1">IF(A176=1,"Start of Data",OFFSET('Raw Data'!$N$4,A176-2,0))</f>
        <v>23.1</v>
      </c>
    </row>
    <row r="177" spans="1:6" x14ac:dyDescent="0.25">
      <c r="A177" s="5">
        <v>175</v>
      </c>
      <c r="B177" s="29">
        <f>'Raw Data'!N178</f>
        <v>22.6</v>
      </c>
      <c r="C177" s="5" t="str">
        <f>HLOOKUP("PRICE",'Raw Data'!$A$2:$N$3,2,FALSE)</f>
        <v>Price ($000s)</v>
      </c>
      <c r="D177" s="5" cm="1">
        <f t="array" aca="1" ref="D177" ca="1">INDIRECT("'Raw Data'!N"&amp;(A177+3))</f>
        <v>22.6</v>
      </c>
      <c r="E177" s="5">
        <f ca="1">IF(A177=506,"End Of Data",OFFSET('Raw Data'!$N$4,A177,0))</f>
        <v>29.4</v>
      </c>
      <c r="F177" s="5">
        <f ca="1">IF(A177=1,"Start of Data",OFFSET('Raw Data'!$N$4,A177-2,0))</f>
        <v>23.6</v>
      </c>
    </row>
    <row r="178" spans="1:6" x14ac:dyDescent="0.25">
      <c r="A178" s="5">
        <v>176</v>
      </c>
      <c r="B178" s="29">
        <f>'Raw Data'!N179</f>
        <v>29.4</v>
      </c>
      <c r="C178" s="5" t="str">
        <f>HLOOKUP("PRICE",'Raw Data'!$A$2:$N$3,2,FALSE)</f>
        <v>Price ($000s)</v>
      </c>
      <c r="D178" s="5" cm="1">
        <f t="array" aca="1" ref="D178" ca="1">INDIRECT("'Raw Data'!N"&amp;(A178+3))</f>
        <v>29.4</v>
      </c>
      <c r="E178" s="5">
        <f ca="1">IF(A178=506,"End Of Data",OFFSET('Raw Data'!$N$4,A178,0))</f>
        <v>23.2</v>
      </c>
      <c r="F178" s="5">
        <f ca="1">IF(A178=1,"Start of Data",OFFSET('Raw Data'!$N$4,A178-2,0))</f>
        <v>22.6</v>
      </c>
    </row>
    <row r="179" spans="1:6" x14ac:dyDescent="0.25">
      <c r="A179" s="5">
        <v>177</v>
      </c>
      <c r="B179" s="29">
        <f>'Raw Data'!N180</f>
        <v>23.2</v>
      </c>
      <c r="C179" s="5" t="str">
        <f>HLOOKUP("PRICE",'Raw Data'!$A$2:$N$3,2,FALSE)</f>
        <v>Price ($000s)</v>
      </c>
      <c r="D179" s="5" cm="1">
        <f t="array" aca="1" ref="D179" ca="1">INDIRECT("'Raw Data'!N"&amp;(A179+3))</f>
        <v>23.2</v>
      </c>
      <c r="E179" s="5">
        <f ca="1">IF(A179=506,"End Of Data",OFFSET('Raw Data'!$N$4,A179,0))</f>
        <v>24.6</v>
      </c>
      <c r="F179" s="5">
        <f ca="1">IF(A179=1,"Start of Data",OFFSET('Raw Data'!$N$4,A179-2,0))</f>
        <v>29.4</v>
      </c>
    </row>
    <row r="180" spans="1:6" x14ac:dyDescent="0.25">
      <c r="A180" s="5">
        <v>178</v>
      </c>
      <c r="B180" s="29">
        <f>'Raw Data'!N181</f>
        <v>24.6</v>
      </c>
      <c r="C180" s="5" t="str">
        <f>HLOOKUP("PRICE",'Raw Data'!$A$2:$N$3,2,FALSE)</f>
        <v>Price ($000s)</v>
      </c>
      <c r="D180" s="5" cm="1">
        <f t="array" aca="1" ref="D180" ca="1">INDIRECT("'Raw Data'!N"&amp;(A180+3))</f>
        <v>24.6</v>
      </c>
      <c r="E180" s="5">
        <f ca="1">IF(A180=506,"End Of Data",OFFSET('Raw Data'!$N$4,A180,0))</f>
        <v>29.9</v>
      </c>
      <c r="F180" s="5">
        <f ca="1">IF(A180=1,"Start of Data",OFFSET('Raw Data'!$N$4,A180-2,0))</f>
        <v>23.2</v>
      </c>
    </row>
    <row r="181" spans="1:6" x14ac:dyDescent="0.25">
      <c r="A181" s="5">
        <v>179</v>
      </c>
      <c r="B181" s="29">
        <f>'Raw Data'!N182</f>
        <v>29.9</v>
      </c>
      <c r="C181" s="5" t="str">
        <f>HLOOKUP("PRICE",'Raw Data'!$A$2:$N$3,2,FALSE)</f>
        <v>Price ($000s)</v>
      </c>
      <c r="D181" s="5" cm="1">
        <f t="array" aca="1" ref="D181" ca="1">INDIRECT("'Raw Data'!N"&amp;(A181+3))</f>
        <v>29.9</v>
      </c>
      <c r="E181" s="5">
        <f ca="1">IF(A181=506,"End Of Data",OFFSET('Raw Data'!$N$4,A181,0))</f>
        <v>37.200000000000003</v>
      </c>
      <c r="F181" s="5">
        <f ca="1">IF(A181=1,"Start of Data",OFFSET('Raw Data'!$N$4,A181-2,0))</f>
        <v>24.6</v>
      </c>
    </row>
    <row r="182" spans="1:6" x14ac:dyDescent="0.25">
      <c r="A182" s="5">
        <v>180</v>
      </c>
      <c r="B182" s="29">
        <f>'Raw Data'!N183</f>
        <v>37.200000000000003</v>
      </c>
      <c r="C182" s="5" t="str">
        <f>HLOOKUP("PRICE",'Raw Data'!$A$2:$N$3,2,FALSE)</f>
        <v>Price ($000s)</v>
      </c>
      <c r="D182" s="5" cm="1">
        <f t="array" aca="1" ref="D182" ca="1">INDIRECT("'Raw Data'!N"&amp;(A182+3))</f>
        <v>37.200000000000003</v>
      </c>
      <c r="E182" s="5">
        <f ca="1">IF(A182=506,"End Of Data",OFFSET('Raw Data'!$N$4,A182,0))</f>
        <v>39.799999999999997</v>
      </c>
      <c r="F182" s="5">
        <f ca="1">IF(A182=1,"Start of Data",OFFSET('Raw Data'!$N$4,A182-2,0))</f>
        <v>29.9</v>
      </c>
    </row>
    <row r="183" spans="1:6" x14ac:dyDescent="0.25">
      <c r="A183" s="5">
        <v>181</v>
      </c>
      <c r="B183" s="29">
        <f>'Raw Data'!N184</f>
        <v>39.799999999999997</v>
      </c>
      <c r="C183" s="5" t="str">
        <f>HLOOKUP("PRICE",'Raw Data'!$A$2:$N$3,2,FALSE)</f>
        <v>Price ($000s)</v>
      </c>
      <c r="D183" s="5" cm="1">
        <f t="array" aca="1" ref="D183" ca="1">INDIRECT("'Raw Data'!N"&amp;(A183+3))</f>
        <v>39.799999999999997</v>
      </c>
      <c r="E183" s="5">
        <f ca="1">IF(A183=506,"End Of Data",OFFSET('Raw Data'!$N$4,A183,0))</f>
        <v>36.200000000000003</v>
      </c>
      <c r="F183" s="5">
        <f ca="1">IF(A183=1,"Start of Data",OFFSET('Raw Data'!$N$4,A183-2,0))</f>
        <v>37.200000000000003</v>
      </c>
    </row>
    <row r="184" spans="1:6" x14ac:dyDescent="0.25">
      <c r="A184" s="5">
        <v>182</v>
      </c>
      <c r="B184" s="29">
        <f>'Raw Data'!N185</f>
        <v>36.200000000000003</v>
      </c>
      <c r="C184" s="5" t="str">
        <f>HLOOKUP("PRICE",'Raw Data'!$A$2:$N$3,2,FALSE)</f>
        <v>Price ($000s)</v>
      </c>
      <c r="D184" s="5" cm="1">
        <f t="array" aca="1" ref="D184" ca="1">INDIRECT("'Raw Data'!N"&amp;(A184+3))</f>
        <v>36.200000000000003</v>
      </c>
      <c r="E184" s="5">
        <f ca="1">IF(A184=506,"End Of Data",OFFSET('Raw Data'!$N$4,A184,0))</f>
        <v>37.9</v>
      </c>
      <c r="F184" s="5">
        <f ca="1">IF(A184=1,"Start of Data",OFFSET('Raw Data'!$N$4,A184-2,0))</f>
        <v>39.799999999999997</v>
      </c>
    </row>
    <row r="185" spans="1:6" x14ac:dyDescent="0.25">
      <c r="A185" s="5">
        <v>183</v>
      </c>
      <c r="B185" s="29">
        <f>'Raw Data'!N186</f>
        <v>37.9</v>
      </c>
      <c r="C185" s="5" t="str">
        <f>HLOOKUP("PRICE",'Raw Data'!$A$2:$N$3,2,FALSE)</f>
        <v>Price ($000s)</v>
      </c>
      <c r="D185" s="5" cm="1">
        <f t="array" aca="1" ref="D185" ca="1">INDIRECT("'Raw Data'!N"&amp;(A185+3))</f>
        <v>37.9</v>
      </c>
      <c r="E185" s="5">
        <f ca="1">IF(A185=506,"End Of Data",OFFSET('Raw Data'!$N$4,A185,0))</f>
        <v>32.5</v>
      </c>
      <c r="F185" s="5">
        <f ca="1">IF(A185=1,"Start of Data",OFFSET('Raw Data'!$N$4,A185-2,0))</f>
        <v>36.200000000000003</v>
      </c>
    </row>
    <row r="186" spans="1:6" x14ac:dyDescent="0.25">
      <c r="A186" s="5">
        <v>184</v>
      </c>
      <c r="B186" s="29">
        <f>'Raw Data'!N187</f>
        <v>32.5</v>
      </c>
      <c r="C186" s="5" t="str">
        <f>HLOOKUP("PRICE",'Raw Data'!$A$2:$N$3,2,FALSE)</f>
        <v>Price ($000s)</v>
      </c>
      <c r="D186" s="5" cm="1">
        <f t="array" aca="1" ref="D186" ca="1">INDIRECT("'Raw Data'!N"&amp;(A186+3))</f>
        <v>32.5</v>
      </c>
      <c r="E186" s="5">
        <f ca="1">IF(A186=506,"End Of Data",OFFSET('Raw Data'!$N$4,A186,0))</f>
        <v>26.4</v>
      </c>
      <c r="F186" s="5">
        <f ca="1">IF(A186=1,"Start of Data",OFFSET('Raw Data'!$N$4,A186-2,0))</f>
        <v>37.9</v>
      </c>
    </row>
    <row r="187" spans="1:6" x14ac:dyDescent="0.25">
      <c r="A187" s="5">
        <v>185</v>
      </c>
      <c r="B187" s="29">
        <f>'Raw Data'!N188</f>
        <v>26.4</v>
      </c>
      <c r="C187" s="5" t="str">
        <f>HLOOKUP("PRICE",'Raw Data'!$A$2:$N$3,2,FALSE)</f>
        <v>Price ($000s)</v>
      </c>
      <c r="D187" s="5" cm="1">
        <f t="array" aca="1" ref="D187" ca="1">INDIRECT("'Raw Data'!N"&amp;(A187+3))</f>
        <v>26.4</v>
      </c>
      <c r="E187" s="5">
        <f ca="1">IF(A187=506,"End Of Data",OFFSET('Raw Data'!$N$4,A187,0))</f>
        <v>29.6</v>
      </c>
      <c r="F187" s="5">
        <f ca="1">IF(A187=1,"Start of Data",OFFSET('Raw Data'!$N$4,A187-2,0))</f>
        <v>32.5</v>
      </c>
    </row>
    <row r="188" spans="1:6" x14ac:dyDescent="0.25">
      <c r="A188" s="5">
        <v>186</v>
      </c>
      <c r="B188" s="29">
        <f>'Raw Data'!N189</f>
        <v>29.6</v>
      </c>
      <c r="C188" s="5" t="str">
        <f>HLOOKUP("PRICE",'Raw Data'!$A$2:$N$3,2,FALSE)</f>
        <v>Price ($000s)</v>
      </c>
      <c r="D188" s="5" cm="1">
        <f t="array" aca="1" ref="D188" ca="1">INDIRECT("'Raw Data'!N"&amp;(A188+3))</f>
        <v>29.6</v>
      </c>
      <c r="E188" s="5">
        <f ca="1">IF(A188=506,"End Of Data",OFFSET('Raw Data'!$N$4,A188,0))</f>
        <v>50</v>
      </c>
      <c r="F188" s="5">
        <f ca="1">IF(A188=1,"Start of Data",OFFSET('Raw Data'!$N$4,A188-2,0))</f>
        <v>26.4</v>
      </c>
    </row>
    <row r="189" spans="1:6" x14ac:dyDescent="0.25">
      <c r="A189" s="5">
        <v>187</v>
      </c>
      <c r="B189" s="29">
        <f>'Raw Data'!N190</f>
        <v>50</v>
      </c>
      <c r="C189" s="5" t="str">
        <f>HLOOKUP("PRICE",'Raw Data'!$A$2:$N$3,2,FALSE)</f>
        <v>Price ($000s)</v>
      </c>
      <c r="D189" s="5" cm="1">
        <f t="array" aca="1" ref="D189" ca="1">INDIRECT("'Raw Data'!N"&amp;(A189+3))</f>
        <v>50</v>
      </c>
      <c r="E189" s="5">
        <f ca="1">IF(A189=506,"End Of Data",OFFSET('Raw Data'!$N$4,A189,0))</f>
        <v>32</v>
      </c>
      <c r="F189" s="5">
        <f ca="1">IF(A189=1,"Start of Data",OFFSET('Raw Data'!$N$4,A189-2,0))</f>
        <v>29.6</v>
      </c>
    </row>
    <row r="190" spans="1:6" x14ac:dyDescent="0.25">
      <c r="A190" s="5">
        <v>188</v>
      </c>
      <c r="B190" s="29">
        <f>'Raw Data'!N191</f>
        <v>32</v>
      </c>
      <c r="C190" s="5" t="str">
        <f>HLOOKUP("PRICE",'Raw Data'!$A$2:$N$3,2,FALSE)</f>
        <v>Price ($000s)</v>
      </c>
      <c r="D190" s="5" cm="1">
        <f t="array" aca="1" ref="D190" ca="1">INDIRECT("'Raw Data'!N"&amp;(A190+3))</f>
        <v>32</v>
      </c>
      <c r="E190" s="5">
        <f ca="1">IF(A190=506,"End Of Data",OFFSET('Raw Data'!$N$4,A190,0))</f>
        <v>29.8</v>
      </c>
      <c r="F190" s="5">
        <f ca="1">IF(A190=1,"Start of Data",OFFSET('Raw Data'!$N$4,A190-2,0))</f>
        <v>50</v>
      </c>
    </row>
    <row r="191" spans="1:6" x14ac:dyDescent="0.25">
      <c r="A191" s="5">
        <v>189</v>
      </c>
      <c r="B191" s="29">
        <f>'Raw Data'!N192</f>
        <v>29.8</v>
      </c>
      <c r="C191" s="5" t="str">
        <f>HLOOKUP("PRICE",'Raw Data'!$A$2:$N$3,2,FALSE)</f>
        <v>Price ($000s)</v>
      </c>
      <c r="D191" s="5" cm="1">
        <f t="array" aca="1" ref="D191" ca="1">INDIRECT("'Raw Data'!N"&amp;(A191+3))</f>
        <v>29.8</v>
      </c>
      <c r="E191" s="5">
        <f ca="1">IF(A191=506,"End Of Data",OFFSET('Raw Data'!$N$4,A191,0))</f>
        <v>34.9</v>
      </c>
      <c r="F191" s="5">
        <f ca="1">IF(A191=1,"Start of Data",OFFSET('Raw Data'!$N$4,A191-2,0))</f>
        <v>32</v>
      </c>
    </row>
    <row r="192" spans="1:6" x14ac:dyDescent="0.25">
      <c r="A192" s="5">
        <v>190</v>
      </c>
      <c r="B192" s="29">
        <f>'Raw Data'!N193</f>
        <v>34.9</v>
      </c>
      <c r="C192" s="5" t="str">
        <f>HLOOKUP("PRICE",'Raw Data'!$A$2:$N$3,2,FALSE)</f>
        <v>Price ($000s)</v>
      </c>
      <c r="D192" s="5" cm="1">
        <f t="array" aca="1" ref="D192" ca="1">INDIRECT("'Raw Data'!N"&amp;(A192+3))</f>
        <v>34.9</v>
      </c>
      <c r="E192" s="5">
        <f ca="1">IF(A192=506,"End Of Data",OFFSET('Raw Data'!$N$4,A192,0))</f>
        <v>37</v>
      </c>
      <c r="F192" s="5">
        <f ca="1">IF(A192=1,"Start of Data",OFFSET('Raw Data'!$N$4,A192-2,0))</f>
        <v>29.8</v>
      </c>
    </row>
    <row r="193" spans="1:6" x14ac:dyDescent="0.25">
      <c r="A193" s="5">
        <v>191</v>
      </c>
      <c r="B193" s="29">
        <f>'Raw Data'!N194</f>
        <v>37</v>
      </c>
      <c r="C193" s="5" t="str">
        <f>HLOOKUP("PRICE",'Raw Data'!$A$2:$N$3,2,FALSE)</f>
        <v>Price ($000s)</v>
      </c>
      <c r="D193" s="5" cm="1">
        <f t="array" aca="1" ref="D193" ca="1">INDIRECT("'Raw Data'!N"&amp;(A193+3))</f>
        <v>37</v>
      </c>
      <c r="E193" s="5">
        <f ca="1">IF(A193=506,"End Of Data",OFFSET('Raw Data'!$N$4,A193,0))</f>
        <v>30.5</v>
      </c>
      <c r="F193" s="5">
        <f ca="1">IF(A193=1,"Start of Data",OFFSET('Raw Data'!$N$4,A193-2,0))</f>
        <v>34.9</v>
      </c>
    </row>
    <row r="194" spans="1:6" x14ac:dyDescent="0.25">
      <c r="A194" s="5">
        <v>192</v>
      </c>
      <c r="B194" s="29">
        <f>'Raw Data'!N195</f>
        <v>30.5</v>
      </c>
      <c r="C194" s="5" t="str">
        <f>HLOOKUP("PRICE",'Raw Data'!$A$2:$N$3,2,FALSE)</f>
        <v>Price ($000s)</v>
      </c>
      <c r="D194" s="5" cm="1">
        <f t="array" aca="1" ref="D194" ca="1">INDIRECT("'Raw Data'!N"&amp;(A194+3))</f>
        <v>30.5</v>
      </c>
      <c r="E194" s="5">
        <f ca="1">IF(A194=506,"End Of Data",OFFSET('Raw Data'!$N$4,A194,0))</f>
        <v>36.4</v>
      </c>
      <c r="F194" s="5">
        <f ca="1">IF(A194=1,"Start of Data",OFFSET('Raw Data'!$N$4,A194-2,0))</f>
        <v>37</v>
      </c>
    </row>
    <row r="195" spans="1:6" x14ac:dyDescent="0.25">
      <c r="A195" s="5">
        <v>193</v>
      </c>
      <c r="B195" s="29">
        <f>'Raw Data'!N196</f>
        <v>36.4</v>
      </c>
      <c r="C195" s="5" t="str">
        <f>HLOOKUP("PRICE",'Raw Data'!$A$2:$N$3,2,FALSE)</f>
        <v>Price ($000s)</v>
      </c>
      <c r="D195" s="5" cm="1">
        <f t="array" aca="1" ref="D195" ca="1">INDIRECT("'Raw Data'!N"&amp;(A195+3))</f>
        <v>36.4</v>
      </c>
      <c r="E195" s="5">
        <f ca="1">IF(A195=506,"End Of Data",OFFSET('Raw Data'!$N$4,A195,0))</f>
        <v>31.1</v>
      </c>
      <c r="F195" s="5">
        <f ca="1">IF(A195=1,"Start of Data",OFFSET('Raw Data'!$N$4,A195-2,0))</f>
        <v>30.5</v>
      </c>
    </row>
    <row r="196" spans="1:6" x14ac:dyDescent="0.25">
      <c r="A196" s="5">
        <v>194</v>
      </c>
      <c r="B196" s="29">
        <f>'Raw Data'!N197</f>
        <v>31.1</v>
      </c>
      <c r="C196" s="5" t="str">
        <f>HLOOKUP("PRICE",'Raw Data'!$A$2:$N$3,2,FALSE)</f>
        <v>Price ($000s)</v>
      </c>
      <c r="D196" s="5" cm="1">
        <f t="array" aca="1" ref="D196" ca="1">INDIRECT("'Raw Data'!N"&amp;(A196+3))</f>
        <v>31.1</v>
      </c>
      <c r="E196" s="5">
        <f ca="1">IF(A196=506,"End Of Data",OFFSET('Raw Data'!$N$4,A196,0))</f>
        <v>29.1</v>
      </c>
      <c r="F196" s="5">
        <f ca="1">IF(A196=1,"Start of Data",OFFSET('Raw Data'!$N$4,A196-2,0))</f>
        <v>36.4</v>
      </c>
    </row>
    <row r="197" spans="1:6" x14ac:dyDescent="0.25">
      <c r="A197" s="5">
        <v>195</v>
      </c>
      <c r="B197" s="29">
        <f>'Raw Data'!N198</f>
        <v>29.1</v>
      </c>
      <c r="C197" s="5" t="str">
        <f>HLOOKUP("PRICE",'Raw Data'!$A$2:$N$3,2,FALSE)</f>
        <v>Price ($000s)</v>
      </c>
      <c r="D197" s="5" cm="1">
        <f t="array" aca="1" ref="D197" ca="1">INDIRECT("'Raw Data'!N"&amp;(A197+3))</f>
        <v>29.1</v>
      </c>
      <c r="E197" s="5">
        <f ca="1">IF(A197=506,"End Of Data",OFFSET('Raw Data'!$N$4,A197,0))</f>
        <v>50</v>
      </c>
      <c r="F197" s="5">
        <f ca="1">IF(A197=1,"Start of Data",OFFSET('Raw Data'!$N$4,A197-2,0))</f>
        <v>31.1</v>
      </c>
    </row>
    <row r="198" spans="1:6" x14ac:dyDescent="0.25">
      <c r="A198" s="5">
        <v>196</v>
      </c>
      <c r="B198" s="29">
        <f>'Raw Data'!N199</f>
        <v>50</v>
      </c>
      <c r="C198" s="5" t="str">
        <f>HLOOKUP("PRICE",'Raw Data'!$A$2:$N$3,2,FALSE)</f>
        <v>Price ($000s)</v>
      </c>
      <c r="D198" s="5" cm="1">
        <f t="array" aca="1" ref="D198" ca="1">INDIRECT("'Raw Data'!N"&amp;(A198+3))</f>
        <v>50</v>
      </c>
      <c r="E198" s="5">
        <f ca="1">IF(A198=506,"End Of Data",OFFSET('Raw Data'!$N$4,A198,0))</f>
        <v>33.299999999999997</v>
      </c>
      <c r="F198" s="5">
        <f ca="1">IF(A198=1,"Start of Data",OFFSET('Raw Data'!$N$4,A198-2,0))</f>
        <v>29.1</v>
      </c>
    </row>
    <row r="199" spans="1:6" x14ac:dyDescent="0.25">
      <c r="A199" s="5">
        <v>197</v>
      </c>
      <c r="B199" s="29">
        <f>'Raw Data'!N200</f>
        <v>33.299999999999997</v>
      </c>
      <c r="C199" s="5" t="str">
        <f>HLOOKUP("PRICE",'Raw Data'!$A$2:$N$3,2,FALSE)</f>
        <v>Price ($000s)</v>
      </c>
      <c r="D199" s="5" cm="1">
        <f t="array" aca="1" ref="D199" ca="1">INDIRECT("'Raw Data'!N"&amp;(A199+3))</f>
        <v>33.299999999999997</v>
      </c>
      <c r="E199" s="5">
        <f ca="1">IF(A199=506,"End Of Data",OFFSET('Raw Data'!$N$4,A199,0))</f>
        <v>30.3</v>
      </c>
      <c r="F199" s="5">
        <f ca="1">IF(A199=1,"Start of Data",OFFSET('Raw Data'!$N$4,A199-2,0))</f>
        <v>50</v>
      </c>
    </row>
    <row r="200" spans="1:6" x14ac:dyDescent="0.25">
      <c r="A200" s="5">
        <v>198</v>
      </c>
      <c r="B200" s="29">
        <f>'Raw Data'!N201</f>
        <v>30.3</v>
      </c>
      <c r="C200" s="5" t="str">
        <f>HLOOKUP("PRICE",'Raw Data'!$A$2:$N$3,2,FALSE)</f>
        <v>Price ($000s)</v>
      </c>
      <c r="D200" s="5" cm="1">
        <f t="array" aca="1" ref="D200" ca="1">INDIRECT("'Raw Data'!N"&amp;(A200+3))</f>
        <v>30.3</v>
      </c>
      <c r="E200" s="5">
        <f ca="1">IF(A200=506,"End Of Data",OFFSET('Raw Data'!$N$4,A200,0))</f>
        <v>34.6</v>
      </c>
      <c r="F200" s="5">
        <f ca="1">IF(A200=1,"Start of Data",OFFSET('Raw Data'!$N$4,A200-2,0))</f>
        <v>33.299999999999997</v>
      </c>
    </row>
    <row r="201" spans="1:6" x14ac:dyDescent="0.25">
      <c r="A201" s="5">
        <v>199</v>
      </c>
      <c r="B201" s="29">
        <f>'Raw Data'!N202</f>
        <v>34.6</v>
      </c>
      <c r="C201" s="5" t="str">
        <f>HLOOKUP("PRICE",'Raw Data'!$A$2:$N$3,2,FALSE)</f>
        <v>Price ($000s)</v>
      </c>
      <c r="D201" s="5" cm="1">
        <f t="array" aca="1" ref="D201" ca="1">INDIRECT("'Raw Data'!N"&amp;(A201+3))</f>
        <v>34.6</v>
      </c>
      <c r="E201" s="5">
        <f ca="1">IF(A201=506,"End Of Data",OFFSET('Raw Data'!$N$4,A201,0))</f>
        <v>34.9</v>
      </c>
      <c r="F201" s="5">
        <f ca="1">IF(A201=1,"Start of Data",OFFSET('Raw Data'!$N$4,A201-2,0))</f>
        <v>30.3</v>
      </c>
    </row>
    <row r="202" spans="1:6" x14ac:dyDescent="0.25">
      <c r="A202" s="5">
        <v>200</v>
      </c>
      <c r="B202" s="29">
        <f>'Raw Data'!N203</f>
        <v>34.9</v>
      </c>
      <c r="C202" s="5" t="str">
        <f>HLOOKUP("PRICE",'Raw Data'!$A$2:$N$3,2,FALSE)</f>
        <v>Price ($000s)</v>
      </c>
      <c r="D202" s="5" cm="1">
        <f t="array" aca="1" ref="D202" ca="1">INDIRECT("'Raw Data'!N"&amp;(A202+3))</f>
        <v>34.9</v>
      </c>
      <c r="E202" s="5">
        <f ca="1">IF(A202=506,"End Of Data",OFFSET('Raw Data'!$N$4,A202,0))</f>
        <v>32.9</v>
      </c>
      <c r="F202" s="5">
        <f ca="1">IF(A202=1,"Start of Data",OFFSET('Raw Data'!$N$4,A202-2,0))</f>
        <v>34.6</v>
      </c>
    </row>
    <row r="203" spans="1:6" x14ac:dyDescent="0.25">
      <c r="A203" s="5">
        <v>201</v>
      </c>
      <c r="B203" s="29">
        <f>'Raw Data'!N204</f>
        <v>32.9</v>
      </c>
      <c r="C203" s="5" t="str">
        <f>HLOOKUP("PRICE",'Raw Data'!$A$2:$N$3,2,FALSE)</f>
        <v>Price ($000s)</v>
      </c>
      <c r="D203" s="5" cm="1">
        <f t="array" aca="1" ref="D203" ca="1">INDIRECT("'Raw Data'!N"&amp;(A203+3))</f>
        <v>32.9</v>
      </c>
      <c r="E203" s="5">
        <f ca="1">IF(A203=506,"End Of Data",OFFSET('Raw Data'!$N$4,A203,0))</f>
        <v>24.1</v>
      </c>
      <c r="F203" s="5">
        <f ca="1">IF(A203=1,"Start of Data",OFFSET('Raw Data'!$N$4,A203-2,0))</f>
        <v>34.9</v>
      </c>
    </row>
    <row r="204" spans="1:6" x14ac:dyDescent="0.25">
      <c r="A204" s="5">
        <v>202</v>
      </c>
      <c r="B204" s="29">
        <f>'Raw Data'!N205</f>
        <v>24.1</v>
      </c>
      <c r="C204" s="5" t="str">
        <f>HLOOKUP("PRICE",'Raw Data'!$A$2:$N$3,2,FALSE)</f>
        <v>Price ($000s)</v>
      </c>
      <c r="D204" s="5" cm="1">
        <f t="array" aca="1" ref="D204" ca="1">INDIRECT("'Raw Data'!N"&amp;(A204+3))</f>
        <v>24.1</v>
      </c>
      <c r="E204" s="5">
        <f ca="1">IF(A204=506,"End Of Data",OFFSET('Raw Data'!$N$4,A204,0))</f>
        <v>42.3</v>
      </c>
      <c r="F204" s="5">
        <f ca="1">IF(A204=1,"Start of Data",OFFSET('Raw Data'!$N$4,A204-2,0))</f>
        <v>32.9</v>
      </c>
    </row>
    <row r="205" spans="1:6" x14ac:dyDescent="0.25">
      <c r="A205" s="5">
        <v>203</v>
      </c>
      <c r="B205" s="29">
        <f>'Raw Data'!N206</f>
        <v>42.3</v>
      </c>
      <c r="C205" s="5" t="str">
        <f>HLOOKUP("PRICE",'Raw Data'!$A$2:$N$3,2,FALSE)</f>
        <v>Price ($000s)</v>
      </c>
      <c r="D205" s="5" cm="1">
        <f t="array" aca="1" ref="D205" ca="1">INDIRECT("'Raw Data'!N"&amp;(A205+3))</f>
        <v>42.3</v>
      </c>
      <c r="E205" s="5">
        <f ca="1">IF(A205=506,"End Of Data",OFFSET('Raw Data'!$N$4,A205,0))</f>
        <v>48.5</v>
      </c>
      <c r="F205" s="5">
        <f ca="1">IF(A205=1,"Start of Data",OFFSET('Raw Data'!$N$4,A205-2,0))</f>
        <v>24.1</v>
      </c>
    </row>
    <row r="206" spans="1:6" x14ac:dyDescent="0.25">
      <c r="A206" s="5">
        <v>204</v>
      </c>
      <c r="B206" s="29">
        <f>'Raw Data'!N207</f>
        <v>48.5</v>
      </c>
      <c r="C206" s="5" t="str">
        <f>HLOOKUP("PRICE",'Raw Data'!$A$2:$N$3,2,FALSE)</f>
        <v>Price ($000s)</v>
      </c>
      <c r="D206" s="5" cm="1">
        <f t="array" aca="1" ref="D206" ca="1">INDIRECT("'Raw Data'!N"&amp;(A206+3))</f>
        <v>48.5</v>
      </c>
      <c r="E206" s="5">
        <f ca="1">IF(A206=506,"End Of Data",OFFSET('Raw Data'!$N$4,A206,0))</f>
        <v>50</v>
      </c>
      <c r="F206" s="5">
        <f ca="1">IF(A206=1,"Start of Data",OFFSET('Raw Data'!$N$4,A206-2,0))</f>
        <v>42.3</v>
      </c>
    </row>
    <row r="207" spans="1:6" x14ac:dyDescent="0.25">
      <c r="A207" s="5">
        <v>205</v>
      </c>
      <c r="B207" s="29">
        <f>'Raw Data'!N208</f>
        <v>50</v>
      </c>
      <c r="C207" s="5" t="str">
        <f>HLOOKUP("PRICE",'Raw Data'!$A$2:$N$3,2,FALSE)</f>
        <v>Price ($000s)</v>
      </c>
      <c r="D207" s="5" cm="1">
        <f t="array" aca="1" ref="D207" ca="1">INDIRECT("'Raw Data'!N"&amp;(A207+3))</f>
        <v>50</v>
      </c>
      <c r="E207" s="5">
        <f ca="1">IF(A207=506,"End Of Data",OFFSET('Raw Data'!$N$4,A207,0))</f>
        <v>22.6</v>
      </c>
      <c r="F207" s="5">
        <f ca="1">IF(A207=1,"Start of Data",OFFSET('Raw Data'!$N$4,A207-2,0))</f>
        <v>48.5</v>
      </c>
    </row>
    <row r="208" spans="1:6" x14ac:dyDescent="0.25">
      <c r="A208" s="5">
        <v>206</v>
      </c>
      <c r="B208" s="29">
        <f>'Raw Data'!N209</f>
        <v>22.6</v>
      </c>
      <c r="C208" s="5" t="str">
        <f>HLOOKUP("PRICE",'Raw Data'!$A$2:$N$3,2,FALSE)</f>
        <v>Price ($000s)</v>
      </c>
      <c r="D208" s="5" cm="1">
        <f t="array" aca="1" ref="D208" ca="1">INDIRECT("'Raw Data'!N"&amp;(A208+3))</f>
        <v>22.6</v>
      </c>
      <c r="E208" s="5">
        <f ca="1">IF(A208=506,"End Of Data",OFFSET('Raw Data'!$N$4,A208,0))</f>
        <v>24.4</v>
      </c>
      <c r="F208" s="5">
        <f ca="1">IF(A208=1,"Start of Data",OFFSET('Raw Data'!$N$4,A208-2,0))</f>
        <v>50</v>
      </c>
    </row>
    <row r="209" spans="1:6" x14ac:dyDescent="0.25">
      <c r="A209" s="5">
        <v>207</v>
      </c>
      <c r="B209" s="29">
        <f>'Raw Data'!N210</f>
        <v>24.4</v>
      </c>
      <c r="C209" s="5" t="str">
        <f>HLOOKUP("PRICE",'Raw Data'!$A$2:$N$3,2,FALSE)</f>
        <v>Price ($000s)</v>
      </c>
      <c r="D209" s="5" cm="1">
        <f t="array" aca="1" ref="D209" ca="1">INDIRECT("'Raw Data'!N"&amp;(A209+3))</f>
        <v>24.4</v>
      </c>
      <c r="E209" s="5">
        <f ca="1">IF(A209=506,"End Of Data",OFFSET('Raw Data'!$N$4,A209,0))</f>
        <v>22.5</v>
      </c>
      <c r="F209" s="5">
        <f ca="1">IF(A209=1,"Start of Data",OFFSET('Raw Data'!$N$4,A209-2,0))</f>
        <v>22.6</v>
      </c>
    </row>
    <row r="210" spans="1:6" x14ac:dyDescent="0.25">
      <c r="A210" s="5">
        <v>208</v>
      </c>
      <c r="B210" s="29">
        <f>'Raw Data'!N211</f>
        <v>22.5</v>
      </c>
      <c r="C210" s="5" t="str">
        <f>HLOOKUP("PRICE",'Raw Data'!$A$2:$N$3,2,FALSE)</f>
        <v>Price ($000s)</v>
      </c>
      <c r="D210" s="5" cm="1">
        <f t="array" aca="1" ref="D210" ca="1">INDIRECT("'Raw Data'!N"&amp;(A210+3))</f>
        <v>22.5</v>
      </c>
      <c r="E210" s="5">
        <f ca="1">IF(A210=506,"End Of Data",OFFSET('Raw Data'!$N$4,A210,0))</f>
        <v>24.4</v>
      </c>
      <c r="F210" s="5">
        <f ca="1">IF(A210=1,"Start of Data",OFFSET('Raw Data'!$N$4,A210-2,0))</f>
        <v>24.4</v>
      </c>
    </row>
    <row r="211" spans="1:6" x14ac:dyDescent="0.25">
      <c r="A211" s="5">
        <v>209</v>
      </c>
      <c r="B211" s="29">
        <f>'Raw Data'!N212</f>
        <v>24.4</v>
      </c>
      <c r="C211" s="5" t="str">
        <f>HLOOKUP("PRICE",'Raw Data'!$A$2:$N$3,2,FALSE)</f>
        <v>Price ($000s)</v>
      </c>
      <c r="D211" s="5" cm="1">
        <f t="array" aca="1" ref="D211" ca="1">INDIRECT("'Raw Data'!N"&amp;(A211+3))</f>
        <v>24.4</v>
      </c>
      <c r="E211" s="5">
        <f ca="1">IF(A211=506,"End Of Data",OFFSET('Raw Data'!$N$4,A211,0))</f>
        <v>20</v>
      </c>
      <c r="F211" s="5">
        <f ca="1">IF(A211=1,"Start of Data",OFFSET('Raw Data'!$N$4,A211-2,0))</f>
        <v>22.5</v>
      </c>
    </row>
    <row r="212" spans="1:6" x14ac:dyDescent="0.25">
      <c r="A212" s="5">
        <v>210</v>
      </c>
      <c r="B212" s="29">
        <f>'Raw Data'!N213</f>
        <v>20</v>
      </c>
      <c r="C212" s="5" t="str">
        <f>HLOOKUP("PRICE",'Raw Data'!$A$2:$N$3,2,FALSE)</f>
        <v>Price ($000s)</v>
      </c>
      <c r="D212" s="5" cm="1">
        <f t="array" aca="1" ref="D212" ca="1">INDIRECT("'Raw Data'!N"&amp;(A212+3))</f>
        <v>20</v>
      </c>
      <c r="E212" s="5">
        <f ca="1">IF(A212=506,"End Of Data",OFFSET('Raw Data'!$N$4,A212,0))</f>
        <v>21.7</v>
      </c>
      <c r="F212" s="5">
        <f ca="1">IF(A212=1,"Start of Data",OFFSET('Raw Data'!$N$4,A212-2,0))</f>
        <v>24.4</v>
      </c>
    </row>
    <row r="213" spans="1:6" x14ac:dyDescent="0.25">
      <c r="A213" s="5">
        <v>211</v>
      </c>
      <c r="B213" s="29">
        <f>'Raw Data'!N214</f>
        <v>21.7</v>
      </c>
      <c r="C213" s="5" t="str">
        <f>HLOOKUP("PRICE",'Raw Data'!$A$2:$N$3,2,FALSE)</f>
        <v>Price ($000s)</v>
      </c>
      <c r="D213" s="5" cm="1">
        <f t="array" aca="1" ref="D213" ca="1">INDIRECT("'Raw Data'!N"&amp;(A213+3))</f>
        <v>21.7</v>
      </c>
      <c r="E213" s="5">
        <f ca="1">IF(A213=506,"End Of Data",OFFSET('Raw Data'!$N$4,A213,0))</f>
        <v>19.3</v>
      </c>
      <c r="F213" s="5">
        <f ca="1">IF(A213=1,"Start of Data",OFFSET('Raw Data'!$N$4,A213-2,0))</f>
        <v>20</v>
      </c>
    </row>
    <row r="214" spans="1:6" x14ac:dyDescent="0.25">
      <c r="A214" s="5">
        <v>212</v>
      </c>
      <c r="B214" s="29">
        <f>'Raw Data'!N215</f>
        <v>19.3</v>
      </c>
      <c r="C214" s="5" t="str">
        <f>HLOOKUP("PRICE",'Raw Data'!$A$2:$N$3,2,FALSE)</f>
        <v>Price ($000s)</v>
      </c>
      <c r="D214" s="5" cm="1">
        <f t="array" aca="1" ref="D214" ca="1">INDIRECT("'Raw Data'!N"&amp;(A214+3))</f>
        <v>19.3</v>
      </c>
      <c r="E214" s="5">
        <f ca="1">IF(A214=506,"End Of Data",OFFSET('Raw Data'!$N$4,A214,0))</f>
        <v>22.4</v>
      </c>
      <c r="F214" s="5">
        <f ca="1">IF(A214=1,"Start of Data",OFFSET('Raw Data'!$N$4,A214-2,0))</f>
        <v>21.7</v>
      </c>
    </row>
    <row r="215" spans="1:6" x14ac:dyDescent="0.25">
      <c r="A215" s="5">
        <v>213</v>
      </c>
      <c r="B215" s="29">
        <f>'Raw Data'!N216</f>
        <v>22.4</v>
      </c>
      <c r="C215" s="5" t="str">
        <f>HLOOKUP("PRICE",'Raw Data'!$A$2:$N$3,2,FALSE)</f>
        <v>Price ($000s)</v>
      </c>
      <c r="D215" s="5" cm="1">
        <f t="array" aca="1" ref="D215" ca="1">INDIRECT("'Raw Data'!N"&amp;(A215+3))</f>
        <v>22.4</v>
      </c>
      <c r="E215" s="5">
        <f ca="1">IF(A215=506,"End Of Data",OFFSET('Raw Data'!$N$4,A215,0))</f>
        <v>28.1</v>
      </c>
      <c r="F215" s="5">
        <f ca="1">IF(A215=1,"Start of Data",OFFSET('Raw Data'!$N$4,A215-2,0))</f>
        <v>19.3</v>
      </c>
    </row>
    <row r="216" spans="1:6" x14ac:dyDescent="0.25">
      <c r="A216" s="5">
        <v>214</v>
      </c>
      <c r="B216" s="29">
        <f>'Raw Data'!N217</f>
        <v>28.1</v>
      </c>
      <c r="C216" s="5" t="str">
        <f>HLOOKUP("PRICE",'Raw Data'!$A$2:$N$3,2,FALSE)</f>
        <v>Price ($000s)</v>
      </c>
      <c r="D216" s="5" cm="1">
        <f t="array" aca="1" ref="D216" ca="1">INDIRECT("'Raw Data'!N"&amp;(A216+3))</f>
        <v>28.1</v>
      </c>
      <c r="E216" s="5">
        <f ca="1">IF(A216=506,"End Of Data",OFFSET('Raw Data'!$N$4,A216,0))</f>
        <v>23.7</v>
      </c>
      <c r="F216" s="5">
        <f ca="1">IF(A216=1,"Start of Data",OFFSET('Raw Data'!$N$4,A216-2,0))</f>
        <v>22.4</v>
      </c>
    </row>
    <row r="217" spans="1:6" x14ac:dyDescent="0.25">
      <c r="A217" s="5">
        <v>215</v>
      </c>
      <c r="B217" s="29">
        <f>'Raw Data'!N218</f>
        <v>23.7</v>
      </c>
      <c r="C217" s="5" t="str">
        <f>HLOOKUP("PRICE",'Raw Data'!$A$2:$N$3,2,FALSE)</f>
        <v>Price ($000s)</v>
      </c>
      <c r="D217" s="5" cm="1">
        <f t="array" aca="1" ref="D217" ca="1">INDIRECT("'Raw Data'!N"&amp;(A217+3))</f>
        <v>23.7</v>
      </c>
      <c r="E217" s="5">
        <f ca="1">IF(A217=506,"End Of Data",OFFSET('Raw Data'!$N$4,A217,0))</f>
        <v>25</v>
      </c>
      <c r="F217" s="5">
        <f ca="1">IF(A217=1,"Start of Data",OFFSET('Raw Data'!$N$4,A217-2,0))</f>
        <v>28.1</v>
      </c>
    </row>
    <row r="218" spans="1:6" x14ac:dyDescent="0.25">
      <c r="A218" s="5">
        <v>216</v>
      </c>
      <c r="B218" s="29">
        <f>'Raw Data'!N219</f>
        <v>25</v>
      </c>
      <c r="C218" s="5" t="str">
        <f>HLOOKUP("PRICE",'Raw Data'!$A$2:$N$3,2,FALSE)</f>
        <v>Price ($000s)</v>
      </c>
      <c r="D218" s="5" cm="1">
        <f t="array" aca="1" ref="D218" ca="1">INDIRECT("'Raw Data'!N"&amp;(A218+3))</f>
        <v>25</v>
      </c>
      <c r="E218" s="5">
        <f ca="1">IF(A218=506,"End Of Data",OFFSET('Raw Data'!$N$4,A218,0))</f>
        <v>23.3</v>
      </c>
      <c r="F218" s="5">
        <f ca="1">IF(A218=1,"Start of Data",OFFSET('Raw Data'!$N$4,A218-2,0))</f>
        <v>23.7</v>
      </c>
    </row>
    <row r="219" spans="1:6" x14ac:dyDescent="0.25">
      <c r="A219" s="5">
        <v>217</v>
      </c>
      <c r="B219" s="29">
        <f>'Raw Data'!N220</f>
        <v>23.3</v>
      </c>
      <c r="C219" s="5" t="str">
        <f>HLOOKUP("PRICE",'Raw Data'!$A$2:$N$3,2,FALSE)</f>
        <v>Price ($000s)</v>
      </c>
      <c r="D219" s="5" cm="1">
        <f t="array" aca="1" ref="D219" ca="1">INDIRECT("'Raw Data'!N"&amp;(A219+3))</f>
        <v>23.3</v>
      </c>
      <c r="E219" s="5">
        <f ca="1">IF(A219=506,"End Of Data",OFFSET('Raw Data'!$N$4,A219,0))</f>
        <v>28.7</v>
      </c>
      <c r="F219" s="5">
        <f ca="1">IF(A219=1,"Start of Data",OFFSET('Raw Data'!$N$4,A219-2,0))</f>
        <v>25</v>
      </c>
    </row>
    <row r="220" spans="1:6" x14ac:dyDescent="0.25">
      <c r="A220" s="5">
        <v>218</v>
      </c>
      <c r="B220" s="29">
        <f>'Raw Data'!N221</f>
        <v>28.7</v>
      </c>
      <c r="C220" s="5" t="str">
        <f>HLOOKUP("PRICE",'Raw Data'!$A$2:$N$3,2,FALSE)</f>
        <v>Price ($000s)</v>
      </c>
      <c r="D220" s="5" cm="1">
        <f t="array" aca="1" ref="D220" ca="1">INDIRECT("'Raw Data'!N"&amp;(A220+3))</f>
        <v>28.7</v>
      </c>
      <c r="E220" s="5">
        <f ca="1">IF(A220=506,"End Of Data",OFFSET('Raw Data'!$N$4,A220,0))</f>
        <v>21.5</v>
      </c>
      <c r="F220" s="5">
        <f ca="1">IF(A220=1,"Start of Data",OFFSET('Raw Data'!$N$4,A220-2,0))</f>
        <v>23.3</v>
      </c>
    </row>
    <row r="221" spans="1:6" x14ac:dyDescent="0.25">
      <c r="A221" s="5">
        <v>219</v>
      </c>
      <c r="B221" s="29">
        <f>'Raw Data'!N222</f>
        <v>21.5</v>
      </c>
      <c r="C221" s="5" t="str">
        <f>HLOOKUP("PRICE",'Raw Data'!$A$2:$N$3,2,FALSE)</f>
        <v>Price ($000s)</v>
      </c>
      <c r="D221" s="5" cm="1">
        <f t="array" aca="1" ref="D221" ca="1">INDIRECT("'Raw Data'!N"&amp;(A221+3))</f>
        <v>21.5</v>
      </c>
      <c r="E221" s="5">
        <f ca="1">IF(A221=506,"End Of Data",OFFSET('Raw Data'!$N$4,A221,0))</f>
        <v>23</v>
      </c>
      <c r="F221" s="5">
        <f ca="1">IF(A221=1,"Start of Data",OFFSET('Raw Data'!$N$4,A221-2,0))</f>
        <v>28.7</v>
      </c>
    </row>
    <row r="222" spans="1:6" x14ac:dyDescent="0.25">
      <c r="A222" s="5">
        <v>220</v>
      </c>
      <c r="B222" s="29">
        <f>'Raw Data'!N223</f>
        <v>23</v>
      </c>
      <c r="C222" s="5" t="str">
        <f>HLOOKUP("PRICE",'Raw Data'!$A$2:$N$3,2,FALSE)</f>
        <v>Price ($000s)</v>
      </c>
      <c r="D222" s="5" cm="1">
        <f t="array" aca="1" ref="D222" ca="1">INDIRECT("'Raw Data'!N"&amp;(A222+3))</f>
        <v>23</v>
      </c>
      <c r="E222" s="5">
        <f ca="1">IF(A222=506,"End Of Data",OFFSET('Raw Data'!$N$4,A222,0))</f>
        <v>26.7</v>
      </c>
      <c r="F222" s="5">
        <f ca="1">IF(A222=1,"Start of Data",OFFSET('Raw Data'!$N$4,A222-2,0))</f>
        <v>21.5</v>
      </c>
    </row>
    <row r="223" spans="1:6" x14ac:dyDescent="0.25">
      <c r="A223" s="5">
        <v>221</v>
      </c>
      <c r="B223" s="29">
        <f>'Raw Data'!N224</f>
        <v>26.7</v>
      </c>
      <c r="C223" s="5" t="str">
        <f>HLOOKUP("PRICE",'Raw Data'!$A$2:$N$3,2,FALSE)</f>
        <v>Price ($000s)</v>
      </c>
      <c r="D223" s="5" cm="1">
        <f t="array" aca="1" ref="D223" ca="1">INDIRECT("'Raw Data'!N"&amp;(A223+3))</f>
        <v>26.7</v>
      </c>
      <c r="E223" s="5">
        <f ca="1">IF(A223=506,"End Of Data",OFFSET('Raw Data'!$N$4,A223,0))</f>
        <v>21.7</v>
      </c>
      <c r="F223" s="5">
        <f ca="1">IF(A223=1,"Start of Data",OFFSET('Raw Data'!$N$4,A223-2,0))</f>
        <v>23</v>
      </c>
    </row>
    <row r="224" spans="1:6" x14ac:dyDescent="0.25">
      <c r="A224" s="5">
        <v>222</v>
      </c>
      <c r="B224" s="29">
        <f>'Raw Data'!N225</f>
        <v>21.7</v>
      </c>
      <c r="C224" s="5" t="str">
        <f>HLOOKUP("PRICE",'Raw Data'!$A$2:$N$3,2,FALSE)</f>
        <v>Price ($000s)</v>
      </c>
      <c r="D224" s="5" cm="1">
        <f t="array" aca="1" ref="D224" ca="1">INDIRECT("'Raw Data'!N"&amp;(A224+3))</f>
        <v>21.7</v>
      </c>
      <c r="E224" s="5">
        <f ca="1">IF(A224=506,"End Of Data",OFFSET('Raw Data'!$N$4,A224,0))</f>
        <v>27.5</v>
      </c>
      <c r="F224" s="5">
        <f ca="1">IF(A224=1,"Start of Data",OFFSET('Raw Data'!$N$4,A224-2,0))</f>
        <v>26.7</v>
      </c>
    </row>
    <row r="225" spans="1:6" x14ac:dyDescent="0.25">
      <c r="A225" s="5">
        <v>223</v>
      </c>
      <c r="B225" s="29">
        <f>'Raw Data'!N226</f>
        <v>27.5</v>
      </c>
      <c r="C225" s="5" t="str">
        <f>HLOOKUP("PRICE",'Raw Data'!$A$2:$N$3,2,FALSE)</f>
        <v>Price ($000s)</v>
      </c>
      <c r="D225" s="5" cm="1">
        <f t="array" aca="1" ref="D225" ca="1">INDIRECT("'Raw Data'!N"&amp;(A225+3))</f>
        <v>27.5</v>
      </c>
      <c r="E225" s="5">
        <f ca="1">IF(A225=506,"End Of Data",OFFSET('Raw Data'!$N$4,A225,0))</f>
        <v>30.1</v>
      </c>
      <c r="F225" s="5">
        <f ca="1">IF(A225=1,"Start of Data",OFFSET('Raw Data'!$N$4,A225-2,0))</f>
        <v>21.7</v>
      </c>
    </row>
    <row r="226" spans="1:6" x14ac:dyDescent="0.25">
      <c r="A226" s="5">
        <v>224</v>
      </c>
      <c r="B226" s="29">
        <f>'Raw Data'!N227</f>
        <v>30.1</v>
      </c>
      <c r="C226" s="5" t="str">
        <f>HLOOKUP("PRICE",'Raw Data'!$A$2:$N$3,2,FALSE)</f>
        <v>Price ($000s)</v>
      </c>
      <c r="D226" s="5" cm="1">
        <f t="array" aca="1" ref="D226" ca="1">INDIRECT("'Raw Data'!N"&amp;(A226+3))</f>
        <v>30.1</v>
      </c>
      <c r="E226" s="5">
        <f ca="1">IF(A226=506,"End Of Data",OFFSET('Raw Data'!$N$4,A226,0))</f>
        <v>44.8</v>
      </c>
      <c r="F226" s="5">
        <f ca="1">IF(A226=1,"Start of Data",OFFSET('Raw Data'!$N$4,A226-2,0))</f>
        <v>27.5</v>
      </c>
    </row>
    <row r="227" spans="1:6" x14ac:dyDescent="0.25">
      <c r="A227" s="5">
        <v>225</v>
      </c>
      <c r="B227" s="29">
        <f>'Raw Data'!N228</f>
        <v>44.8</v>
      </c>
      <c r="C227" s="5" t="str">
        <f>HLOOKUP("PRICE",'Raw Data'!$A$2:$N$3,2,FALSE)</f>
        <v>Price ($000s)</v>
      </c>
      <c r="D227" s="5" cm="1">
        <f t="array" aca="1" ref="D227" ca="1">INDIRECT("'Raw Data'!N"&amp;(A227+3))</f>
        <v>44.8</v>
      </c>
      <c r="E227" s="5">
        <f ca="1">IF(A227=506,"End Of Data",OFFSET('Raw Data'!$N$4,A227,0))</f>
        <v>50</v>
      </c>
      <c r="F227" s="5">
        <f ca="1">IF(A227=1,"Start of Data",OFFSET('Raw Data'!$N$4,A227-2,0))</f>
        <v>30.1</v>
      </c>
    </row>
    <row r="228" spans="1:6" x14ac:dyDescent="0.25">
      <c r="A228" s="5">
        <v>226</v>
      </c>
      <c r="B228" s="29">
        <f>'Raw Data'!N229</f>
        <v>50</v>
      </c>
      <c r="C228" s="5" t="str">
        <f>HLOOKUP("PRICE",'Raw Data'!$A$2:$N$3,2,FALSE)</f>
        <v>Price ($000s)</v>
      </c>
      <c r="D228" s="5" cm="1">
        <f t="array" aca="1" ref="D228" ca="1">INDIRECT("'Raw Data'!N"&amp;(A228+3))</f>
        <v>50</v>
      </c>
      <c r="E228" s="5">
        <f ca="1">IF(A228=506,"End Of Data",OFFSET('Raw Data'!$N$4,A228,0))</f>
        <v>37.6</v>
      </c>
      <c r="F228" s="5">
        <f ca="1">IF(A228=1,"Start of Data",OFFSET('Raw Data'!$N$4,A228-2,0))</f>
        <v>44.8</v>
      </c>
    </row>
    <row r="229" spans="1:6" x14ac:dyDescent="0.25">
      <c r="A229" s="5">
        <v>227</v>
      </c>
      <c r="B229" s="29">
        <f>'Raw Data'!N230</f>
        <v>37.6</v>
      </c>
      <c r="C229" s="5" t="str">
        <f>HLOOKUP("PRICE",'Raw Data'!$A$2:$N$3,2,FALSE)</f>
        <v>Price ($000s)</v>
      </c>
      <c r="D229" s="5" cm="1">
        <f t="array" aca="1" ref="D229" ca="1">INDIRECT("'Raw Data'!N"&amp;(A229+3))</f>
        <v>37.6</v>
      </c>
      <c r="E229" s="5">
        <f ca="1">IF(A229=506,"End Of Data",OFFSET('Raw Data'!$N$4,A229,0))</f>
        <v>31.6</v>
      </c>
      <c r="F229" s="5">
        <f ca="1">IF(A229=1,"Start of Data",OFFSET('Raw Data'!$N$4,A229-2,0))</f>
        <v>50</v>
      </c>
    </row>
    <row r="230" spans="1:6" x14ac:dyDescent="0.25">
      <c r="A230" s="5">
        <v>228</v>
      </c>
      <c r="B230" s="29">
        <f>'Raw Data'!N231</f>
        <v>31.6</v>
      </c>
      <c r="C230" s="5" t="str">
        <f>HLOOKUP("PRICE",'Raw Data'!$A$2:$N$3,2,FALSE)</f>
        <v>Price ($000s)</v>
      </c>
      <c r="D230" s="5" cm="1">
        <f t="array" aca="1" ref="D230" ca="1">INDIRECT("'Raw Data'!N"&amp;(A230+3))</f>
        <v>31.6</v>
      </c>
      <c r="E230" s="5">
        <f ca="1">IF(A230=506,"End Of Data",OFFSET('Raw Data'!$N$4,A230,0))</f>
        <v>46.7</v>
      </c>
      <c r="F230" s="5">
        <f ca="1">IF(A230=1,"Start of Data",OFFSET('Raw Data'!$N$4,A230-2,0))</f>
        <v>37.6</v>
      </c>
    </row>
    <row r="231" spans="1:6" x14ac:dyDescent="0.25">
      <c r="A231" s="5">
        <v>229</v>
      </c>
      <c r="B231" s="29">
        <f>'Raw Data'!N232</f>
        <v>46.7</v>
      </c>
      <c r="C231" s="5" t="str">
        <f>HLOOKUP("PRICE",'Raw Data'!$A$2:$N$3,2,FALSE)</f>
        <v>Price ($000s)</v>
      </c>
      <c r="D231" s="5" cm="1">
        <f t="array" aca="1" ref="D231" ca="1">INDIRECT("'Raw Data'!N"&amp;(A231+3))</f>
        <v>46.7</v>
      </c>
      <c r="E231" s="5">
        <f ca="1">IF(A231=506,"End Of Data",OFFSET('Raw Data'!$N$4,A231,0))</f>
        <v>31.5</v>
      </c>
      <c r="F231" s="5">
        <f ca="1">IF(A231=1,"Start of Data",OFFSET('Raw Data'!$N$4,A231-2,0))</f>
        <v>31.6</v>
      </c>
    </row>
    <row r="232" spans="1:6" x14ac:dyDescent="0.25">
      <c r="A232" s="5">
        <v>230</v>
      </c>
      <c r="B232" s="29">
        <f>'Raw Data'!N233</f>
        <v>31.5</v>
      </c>
      <c r="C232" s="5" t="str">
        <f>HLOOKUP("PRICE",'Raw Data'!$A$2:$N$3,2,FALSE)</f>
        <v>Price ($000s)</v>
      </c>
      <c r="D232" s="5" cm="1">
        <f t="array" aca="1" ref="D232" ca="1">INDIRECT("'Raw Data'!N"&amp;(A232+3))</f>
        <v>31.5</v>
      </c>
      <c r="E232" s="5">
        <f ca="1">IF(A232=506,"End Of Data",OFFSET('Raw Data'!$N$4,A232,0))</f>
        <v>24.3</v>
      </c>
      <c r="F232" s="5">
        <f ca="1">IF(A232=1,"Start of Data",OFFSET('Raw Data'!$N$4,A232-2,0))</f>
        <v>46.7</v>
      </c>
    </row>
    <row r="233" spans="1:6" x14ac:dyDescent="0.25">
      <c r="A233" s="5">
        <v>231</v>
      </c>
      <c r="B233" s="29">
        <f>'Raw Data'!N234</f>
        <v>24.3</v>
      </c>
      <c r="C233" s="5" t="str">
        <f>HLOOKUP("PRICE",'Raw Data'!$A$2:$N$3,2,FALSE)</f>
        <v>Price ($000s)</v>
      </c>
      <c r="D233" s="5" cm="1">
        <f t="array" aca="1" ref="D233" ca="1">INDIRECT("'Raw Data'!N"&amp;(A233+3))</f>
        <v>24.3</v>
      </c>
      <c r="E233" s="5">
        <f ca="1">IF(A233=506,"End Of Data",OFFSET('Raw Data'!$N$4,A233,0))</f>
        <v>31.7</v>
      </c>
      <c r="F233" s="5">
        <f ca="1">IF(A233=1,"Start of Data",OFFSET('Raw Data'!$N$4,A233-2,0))</f>
        <v>31.5</v>
      </c>
    </row>
    <row r="234" spans="1:6" x14ac:dyDescent="0.25">
      <c r="A234" s="5">
        <v>232</v>
      </c>
      <c r="B234" s="29">
        <f>'Raw Data'!N235</f>
        <v>31.7</v>
      </c>
      <c r="C234" s="5" t="str">
        <f>HLOOKUP("PRICE",'Raw Data'!$A$2:$N$3,2,FALSE)</f>
        <v>Price ($000s)</v>
      </c>
      <c r="D234" s="5" cm="1">
        <f t="array" aca="1" ref="D234" ca="1">INDIRECT("'Raw Data'!N"&amp;(A234+3))</f>
        <v>31.7</v>
      </c>
      <c r="E234" s="5">
        <f ca="1">IF(A234=506,"End Of Data",OFFSET('Raw Data'!$N$4,A234,0))</f>
        <v>41.7</v>
      </c>
      <c r="F234" s="5">
        <f ca="1">IF(A234=1,"Start of Data",OFFSET('Raw Data'!$N$4,A234-2,0))</f>
        <v>24.3</v>
      </c>
    </row>
    <row r="235" spans="1:6" x14ac:dyDescent="0.25">
      <c r="A235" s="5">
        <v>233</v>
      </c>
      <c r="B235" s="29">
        <f>'Raw Data'!N236</f>
        <v>41.7</v>
      </c>
      <c r="C235" s="5" t="str">
        <f>HLOOKUP("PRICE",'Raw Data'!$A$2:$N$3,2,FALSE)</f>
        <v>Price ($000s)</v>
      </c>
      <c r="D235" s="5" cm="1">
        <f t="array" aca="1" ref="D235" ca="1">INDIRECT("'Raw Data'!N"&amp;(A235+3))</f>
        <v>41.7</v>
      </c>
      <c r="E235" s="5">
        <f ca="1">IF(A235=506,"End Of Data",OFFSET('Raw Data'!$N$4,A235,0))</f>
        <v>48.3</v>
      </c>
      <c r="F235" s="5">
        <f ca="1">IF(A235=1,"Start of Data",OFFSET('Raw Data'!$N$4,A235-2,0))</f>
        <v>31.7</v>
      </c>
    </row>
    <row r="236" spans="1:6" x14ac:dyDescent="0.25">
      <c r="A236" s="5">
        <v>234</v>
      </c>
      <c r="B236" s="29">
        <f>'Raw Data'!N237</f>
        <v>48.3</v>
      </c>
      <c r="C236" s="5" t="str">
        <f>HLOOKUP("PRICE",'Raw Data'!$A$2:$N$3,2,FALSE)</f>
        <v>Price ($000s)</v>
      </c>
      <c r="D236" s="5" cm="1">
        <f t="array" aca="1" ref="D236" ca="1">INDIRECT("'Raw Data'!N"&amp;(A236+3))</f>
        <v>48.3</v>
      </c>
      <c r="E236" s="5">
        <f ca="1">IF(A236=506,"End Of Data",OFFSET('Raw Data'!$N$4,A236,0))</f>
        <v>29</v>
      </c>
      <c r="F236" s="5">
        <f ca="1">IF(A236=1,"Start of Data",OFFSET('Raw Data'!$N$4,A236-2,0))</f>
        <v>41.7</v>
      </c>
    </row>
    <row r="237" spans="1:6" x14ac:dyDescent="0.25">
      <c r="A237" s="5">
        <v>235</v>
      </c>
      <c r="B237" s="29">
        <f>'Raw Data'!N238</f>
        <v>29</v>
      </c>
      <c r="C237" s="5" t="str">
        <f>HLOOKUP("PRICE",'Raw Data'!$A$2:$N$3,2,FALSE)</f>
        <v>Price ($000s)</v>
      </c>
      <c r="D237" s="5" cm="1">
        <f t="array" aca="1" ref="D237" ca="1">INDIRECT("'Raw Data'!N"&amp;(A237+3))</f>
        <v>29</v>
      </c>
      <c r="E237" s="5">
        <f ca="1">IF(A237=506,"End Of Data",OFFSET('Raw Data'!$N$4,A237,0))</f>
        <v>24</v>
      </c>
      <c r="F237" s="5">
        <f ca="1">IF(A237=1,"Start of Data",OFFSET('Raw Data'!$N$4,A237-2,0))</f>
        <v>48.3</v>
      </c>
    </row>
    <row r="238" spans="1:6" x14ac:dyDescent="0.25">
      <c r="A238" s="5">
        <v>236</v>
      </c>
      <c r="B238" s="29">
        <f>'Raw Data'!N239</f>
        <v>24</v>
      </c>
      <c r="C238" s="5" t="str">
        <f>HLOOKUP("PRICE",'Raw Data'!$A$2:$N$3,2,FALSE)</f>
        <v>Price ($000s)</v>
      </c>
      <c r="D238" s="5" cm="1">
        <f t="array" aca="1" ref="D238" ca="1">INDIRECT("'Raw Data'!N"&amp;(A238+3))</f>
        <v>24</v>
      </c>
      <c r="E238" s="5">
        <f ca="1">IF(A238=506,"End Of Data",OFFSET('Raw Data'!$N$4,A238,0))</f>
        <v>25.1</v>
      </c>
      <c r="F238" s="5">
        <f ca="1">IF(A238=1,"Start of Data",OFFSET('Raw Data'!$N$4,A238-2,0))</f>
        <v>29</v>
      </c>
    </row>
    <row r="239" spans="1:6" x14ac:dyDescent="0.25">
      <c r="A239" s="5">
        <v>237</v>
      </c>
      <c r="B239" s="29">
        <f>'Raw Data'!N240</f>
        <v>25.1</v>
      </c>
      <c r="C239" s="5" t="str">
        <f>HLOOKUP("PRICE",'Raw Data'!$A$2:$N$3,2,FALSE)</f>
        <v>Price ($000s)</v>
      </c>
      <c r="D239" s="5" cm="1">
        <f t="array" aca="1" ref="D239" ca="1">INDIRECT("'Raw Data'!N"&amp;(A239+3))</f>
        <v>25.1</v>
      </c>
      <c r="E239" s="5">
        <f ca="1">IF(A239=506,"End Of Data",OFFSET('Raw Data'!$N$4,A239,0))</f>
        <v>31.5</v>
      </c>
      <c r="F239" s="5">
        <f ca="1">IF(A239=1,"Start of Data",OFFSET('Raw Data'!$N$4,A239-2,0))</f>
        <v>24</v>
      </c>
    </row>
    <row r="240" spans="1:6" x14ac:dyDescent="0.25">
      <c r="A240" s="5">
        <v>238</v>
      </c>
      <c r="B240" s="29">
        <f>'Raw Data'!N241</f>
        <v>31.5</v>
      </c>
      <c r="C240" s="5" t="str">
        <f>HLOOKUP("PRICE",'Raw Data'!$A$2:$N$3,2,FALSE)</f>
        <v>Price ($000s)</v>
      </c>
      <c r="D240" s="5" cm="1">
        <f t="array" aca="1" ref="D240" ca="1">INDIRECT("'Raw Data'!N"&amp;(A240+3))</f>
        <v>31.5</v>
      </c>
      <c r="E240" s="5">
        <f ca="1">IF(A240=506,"End Of Data",OFFSET('Raw Data'!$N$4,A240,0))</f>
        <v>23.7</v>
      </c>
      <c r="F240" s="5">
        <f ca="1">IF(A240=1,"Start of Data",OFFSET('Raw Data'!$N$4,A240-2,0))</f>
        <v>25.1</v>
      </c>
    </row>
    <row r="241" spans="1:6" x14ac:dyDescent="0.25">
      <c r="A241" s="5">
        <v>239</v>
      </c>
      <c r="B241" s="29">
        <f>'Raw Data'!N242</f>
        <v>23.7</v>
      </c>
      <c r="C241" s="5" t="str">
        <f>HLOOKUP("PRICE",'Raw Data'!$A$2:$N$3,2,FALSE)</f>
        <v>Price ($000s)</v>
      </c>
      <c r="D241" s="5" cm="1">
        <f t="array" aca="1" ref="D241" ca="1">INDIRECT("'Raw Data'!N"&amp;(A241+3))</f>
        <v>23.7</v>
      </c>
      <c r="E241" s="5">
        <f ca="1">IF(A241=506,"End Of Data",OFFSET('Raw Data'!$N$4,A241,0))</f>
        <v>23.3</v>
      </c>
      <c r="F241" s="5">
        <f ca="1">IF(A241=1,"Start of Data",OFFSET('Raw Data'!$N$4,A241-2,0))</f>
        <v>31.5</v>
      </c>
    </row>
    <row r="242" spans="1:6" x14ac:dyDescent="0.25">
      <c r="A242" s="5">
        <v>240</v>
      </c>
      <c r="B242" s="29">
        <f>'Raw Data'!N243</f>
        <v>23.3</v>
      </c>
      <c r="C242" s="5" t="str">
        <f>HLOOKUP("PRICE",'Raw Data'!$A$2:$N$3,2,FALSE)</f>
        <v>Price ($000s)</v>
      </c>
      <c r="D242" s="5" cm="1">
        <f t="array" aca="1" ref="D242" ca="1">INDIRECT("'Raw Data'!N"&amp;(A242+3))</f>
        <v>23.3</v>
      </c>
      <c r="E242" s="5">
        <f ca="1">IF(A242=506,"End Of Data",OFFSET('Raw Data'!$N$4,A242,0))</f>
        <v>22</v>
      </c>
      <c r="F242" s="5">
        <f ca="1">IF(A242=1,"Start of Data",OFFSET('Raw Data'!$N$4,A242-2,0))</f>
        <v>23.7</v>
      </c>
    </row>
    <row r="243" spans="1:6" x14ac:dyDescent="0.25">
      <c r="A243" s="5">
        <v>241</v>
      </c>
      <c r="B243" s="29">
        <f>'Raw Data'!N244</f>
        <v>22</v>
      </c>
      <c r="C243" s="5" t="str">
        <f>HLOOKUP("PRICE",'Raw Data'!$A$2:$N$3,2,FALSE)</f>
        <v>Price ($000s)</v>
      </c>
      <c r="D243" s="5" cm="1">
        <f t="array" aca="1" ref="D243" ca="1">INDIRECT("'Raw Data'!N"&amp;(A243+3))</f>
        <v>22</v>
      </c>
      <c r="E243" s="5">
        <f ca="1">IF(A243=506,"End Of Data",OFFSET('Raw Data'!$N$4,A243,0))</f>
        <v>20.100000000000001</v>
      </c>
      <c r="F243" s="5">
        <f ca="1">IF(A243=1,"Start of Data",OFFSET('Raw Data'!$N$4,A243-2,0))</f>
        <v>23.3</v>
      </c>
    </row>
    <row r="244" spans="1:6" x14ac:dyDescent="0.25">
      <c r="A244" s="5">
        <v>242</v>
      </c>
      <c r="B244" s="29">
        <f>'Raw Data'!N245</f>
        <v>20.100000000000001</v>
      </c>
      <c r="C244" s="5" t="str">
        <f>HLOOKUP("PRICE",'Raw Data'!$A$2:$N$3,2,FALSE)</f>
        <v>Price ($000s)</v>
      </c>
      <c r="D244" s="5" cm="1">
        <f t="array" aca="1" ref="D244" ca="1">INDIRECT("'Raw Data'!N"&amp;(A244+3))</f>
        <v>20.100000000000001</v>
      </c>
      <c r="E244" s="5">
        <f ca="1">IF(A244=506,"End Of Data",OFFSET('Raw Data'!$N$4,A244,0))</f>
        <v>22.2</v>
      </c>
      <c r="F244" s="5">
        <f ca="1">IF(A244=1,"Start of Data",OFFSET('Raw Data'!$N$4,A244-2,0))</f>
        <v>22</v>
      </c>
    </row>
    <row r="245" spans="1:6" x14ac:dyDescent="0.25">
      <c r="A245" s="5">
        <v>243</v>
      </c>
      <c r="B245" s="29">
        <f>'Raw Data'!N246</f>
        <v>22.2</v>
      </c>
      <c r="C245" s="5" t="str">
        <f>HLOOKUP("PRICE",'Raw Data'!$A$2:$N$3,2,FALSE)</f>
        <v>Price ($000s)</v>
      </c>
      <c r="D245" s="5" cm="1">
        <f t="array" aca="1" ref="D245" ca="1">INDIRECT("'Raw Data'!N"&amp;(A245+3))</f>
        <v>22.2</v>
      </c>
      <c r="E245" s="5">
        <f ca="1">IF(A245=506,"End Of Data",OFFSET('Raw Data'!$N$4,A245,0))</f>
        <v>23.7</v>
      </c>
      <c r="F245" s="5">
        <f ca="1">IF(A245=1,"Start of Data",OFFSET('Raw Data'!$N$4,A245-2,0))</f>
        <v>20.100000000000001</v>
      </c>
    </row>
    <row r="246" spans="1:6" x14ac:dyDescent="0.25">
      <c r="A246" s="5">
        <v>244</v>
      </c>
      <c r="B246" s="29">
        <f>'Raw Data'!N247</f>
        <v>23.7</v>
      </c>
      <c r="C246" s="5" t="str">
        <f>HLOOKUP("PRICE",'Raw Data'!$A$2:$N$3,2,FALSE)</f>
        <v>Price ($000s)</v>
      </c>
      <c r="D246" s="5" cm="1">
        <f t="array" aca="1" ref="D246" ca="1">INDIRECT("'Raw Data'!N"&amp;(A246+3))</f>
        <v>23.7</v>
      </c>
      <c r="E246" s="5">
        <f ca="1">IF(A246=506,"End Of Data",OFFSET('Raw Data'!$N$4,A246,0))</f>
        <v>17.600000000000001</v>
      </c>
      <c r="F246" s="5">
        <f ca="1">IF(A246=1,"Start of Data",OFFSET('Raw Data'!$N$4,A246-2,0))</f>
        <v>22.2</v>
      </c>
    </row>
    <row r="247" spans="1:6" x14ac:dyDescent="0.25">
      <c r="A247" s="5">
        <v>245</v>
      </c>
      <c r="B247" s="29">
        <f>'Raw Data'!N248</f>
        <v>17.600000000000001</v>
      </c>
      <c r="C247" s="5" t="str">
        <f>HLOOKUP("PRICE",'Raw Data'!$A$2:$N$3,2,FALSE)</f>
        <v>Price ($000s)</v>
      </c>
      <c r="D247" s="5" cm="1">
        <f t="array" aca="1" ref="D247" ca="1">INDIRECT("'Raw Data'!N"&amp;(A247+3))</f>
        <v>17.600000000000001</v>
      </c>
      <c r="E247" s="5">
        <f ca="1">IF(A247=506,"End Of Data",OFFSET('Raw Data'!$N$4,A247,0))</f>
        <v>18.5</v>
      </c>
      <c r="F247" s="5">
        <f ca="1">IF(A247=1,"Start of Data",OFFSET('Raw Data'!$N$4,A247-2,0))</f>
        <v>23.7</v>
      </c>
    </row>
    <row r="248" spans="1:6" x14ac:dyDescent="0.25">
      <c r="A248" s="5">
        <v>246</v>
      </c>
      <c r="B248" s="29">
        <f>'Raw Data'!N249</f>
        <v>18.5</v>
      </c>
      <c r="C248" s="5" t="str">
        <f>HLOOKUP("PRICE",'Raw Data'!$A$2:$N$3,2,FALSE)</f>
        <v>Price ($000s)</v>
      </c>
      <c r="D248" s="5" cm="1">
        <f t="array" aca="1" ref="D248" ca="1">INDIRECT("'Raw Data'!N"&amp;(A248+3))</f>
        <v>18.5</v>
      </c>
      <c r="E248" s="5">
        <f ca="1">IF(A248=506,"End Of Data",OFFSET('Raw Data'!$N$4,A248,0))</f>
        <v>24.3</v>
      </c>
      <c r="F248" s="5">
        <f ca="1">IF(A248=1,"Start of Data",OFFSET('Raw Data'!$N$4,A248-2,0))</f>
        <v>17.600000000000001</v>
      </c>
    </row>
    <row r="249" spans="1:6" x14ac:dyDescent="0.25">
      <c r="A249" s="5">
        <v>247</v>
      </c>
      <c r="B249" s="29">
        <f>'Raw Data'!N250</f>
        <v>24.3</v>
      </c>
      <c r="C249" s="5" t="str">
        <f>HLOOKUP("PRICE",'Raw Data'!$A$2:$N$3,2,FALSE)</f>
        <v>Price ($000s)</v>
      </c>
      <c r="D249" s="5" cm="1">
        <f t="array" aca="1" ref="D249" ca="1">INDIRECT("'Raw Data'!N"&amp;(A249+3))</f>
        <v>24.3</v>
      </c>
      <c r="E249" s="5">
        <f ca="1">IF(A249=506,"End Of Data",OFFSET('Raw Data'!$N$4,A249,0))</f>
        <v>20.5</v>
      </c>
      <c r="F249" s="5">
        <f ca="1">IF(A249=1,"Start of Data",OFFSET('Raw Data'!$N$4,A249-2,0))</f>
        <v>18.5</v>
      </c>
    </row>
    <row r="250" spans="1:6" x14ac:dyDescent="0.25">
      <c r="A250" s="5">
        <v>248</v>
      </c>
      <c r="B250" s="29">
        <f>'Raw Data'!N251</f>
        <v>20.5</v>
      </c>
      <c r="C250" s="5" t="str">
        <f>HLOOKUP("PRICE",'Raw Data'!$A$2:$N$3,2,FALSE)</f>
        <v>Price ($000s)</v>
      </c>
      <c r="D250" s="5" cm="1">
        <f t="array" aca="1" ref="D250" ca="1">INDIRECT("'Raw Data'!N"&amp;(A250+3))</f>
        <v>20.5</v>
      </c>
      <c r="E250" s="5">
        <f ca="1">IF(A250=506,"End Of Data",OFFSET('Raw Data'!$N$4,A250,0))</f>
        <v>24.5</v>
      </c>
      <c r="F250" s="5">
        <f ca="1">IF(A250=1,"Start of Data",OFFSET('Raw Data'!$N$4,A250-2,0))</f>
        <v>24.3</v>
      </c>
    </row>
    <row r="251" spans="1:6" x14ac:dyDescent="0.25">
      <c r="A251" s="5">
        <v>249</v>
      </c>
      <c r="B251" s="29">
        <f>'Raw Data'!N252</f>
        <v>24.5</v>
      </c>
      <c r="C251" s="5" t="str">
        <f>HLOOKUP("PRICE",'Raw Data'!$A$2:$N$3,2,FALSE)</f>
        <v>Price ($000s)</v>
      </c>
      <c r="D251" s="5" cm="1">
        <f t="array" aca="1" ref="D251" ca="1">INDIRECT("'Raw Data'!N"&amp;(A251+3))</f>
        <v>24.5</v>
      </c>
      <c r="E251" s="5">
        <f ca="1">IF(A251=506,"End Of Data",OFFSET('Raw Data'!$N$4,A251,0))</f>
        <v>26.2</v>
      </c>
      <c r="F251" s="5">
        <f ca="1">IF(A251=1,"Start of Data",OFFSET('Raw Data'!$N$4,A251-2,0))</f>
        <v>20.5</v>
      </c>
    </row>
    <row r="252" spans="1:6" x14ac:dyDescent="0.25">
      <c r="A252" s="5">
        <v>250</v>
      </c>
      <c r="B252" s="29">
        <f>'Raw Data'!N253</f>
        <v>26.2</v>
      </c>
      <c r="C252" s="5" t="str">
        <f>HLOOKUP("PRICE",'Raw Data'!$A$2:$N$3,2,FALSE)</f>
        <v>Price ($000s)</v>
      </c>
      <c r="D252" s="5" cm="1">
        <f t="array" aca="1" ref="D252" ca="1">INDIRECT("'Raw Data'!N"&amp;(A252+3))</f>
        <v>26.2</v>
      </c>
      <c r="E252" s="5">
        <f ca="1">IF(A252=506,"End Of Data",OFFSET('Raw Data'!$N$4,A252,0))</f>
        <v>24.4</v>
      </c>
      <c r="F252" s="5">
        <f ca="1">IF(A252=1,"Start of Data",OFFSET('Raw Data'!$N$4,A252-2,0))</f>
        <v>24.5</v>
      </c>
    </row>
    <row r="253" spans="1:6" x14ac:dyDescent="0.25">
      <c r="A253" s="5">
        <v>251</v>
      </c>
      <c r="B253" s="29">
        <f>'Raw Data'!N254</f>
        <v>24.4</v>
      </c>
      <c r="C253" s="5" t="str">
        <f>HLOOKUP("PRICE",'Raw Data'!$A$2:$N$3,2,FALSE)</f>
        <v>Price ($000s)</v>
      </c>
      <c r="D253" s="5" cm="1">
        <f t="array" aca="1" ref="D253" ca="1">INDIRECT("'Raw Data'!N"&amp;(A253+3))</f>
        <v>24.4</v>
      </c>
      <c r="E253" s="5">
        <f ca="1">IF(A253=506,"End Of Data",OFFSET('Raw Data'!$N$4,A253,0))</f>
        <v>24.8</v>
      </c>
      <c r="F253" s="5">
        <f ca="1">IF(A253=1,"Start of Data",OFFSET('Raw Data'!$N$4,A253-2,0))</f>
        <v>26.2</v>
      </c>
    </row>
    <row r="254" spans="1:6" x14ac:dyDescent="0.25">
      <c r="A254" s="5">
        <v>252</v>
      </c>
      <c r="B254" s="29">
        <f>'Raw Data'!N255</f>
        <v>24.8</v>
      </c>
      <c r="C254" s="5" t="str">
        <f>HLOOKUP("PRICE",'Raw Data'!$A$2:$N$3,2,FALSE)</f>
        <v>Price ($000s)</v>
      </c>
      <c r="D254" s="5" cm="1">
        <f t="array" aca="1" ref="D254" ca="1">INDIRECT("'Raw Data'!N"&amp;(A254+3))</f>
        <v>24.8</v>
      </c>
      <c r="E254" s="5">
        <f ca="1">IF(A254=506,"End Of Data",OFFSET('Raw Data'!$N$4,A254,0))</f>
        <v>29.6</v>
      </c>
      <c r="F254" s="5">
        <f ca="1">IF(A254=1,"Start of Data",OFFSET('Raw Data'!$N$4,A254-2,0))</f>
        <v>24.4</v>
      </c>
    </row>
    <row r="255" spans="1:6" x14ac:dyDescent="0.25">
      <c r="A255" s="5">
        <v>253</v>
      </c>
      <c r="B255" s="29">
        <f>'Raw Data'!N256</f>
        <v>29.6</v>
      </c>
      <c r="C255" s="5" t="str">
        <f>HLOOKUP("PRICE",'Raw Data'!$A$2:$N$3,2,FALSE)</f>
        <v>Price ($000s)</v>
      </c>
      <c r="D255" s="5" cm="1">
        <f t="array" aca="1" ref="D255" ca="1">INDIRECT("'Raw Data'!N"&amp;(A255+3))</f>
        <v>29.6</v>
      </c>
      <c r="E255" s="5">
        <f ca="1">IF(A255=506,"End Of Data",OFFSET('Raw Data'!$N$4,A255,0))</f>
        <v>42.8</v>
      </c>
      <c r="F255" s="5">
        <f ca="1">IF(A255=1,"Start of Data",OFFSET('Raw Data'!$N$4,A255-2,0))</f>
        <v>24.8</v>
      </c>
    </row>
    <row r="256" spans="1:6" x14ac:dyDescent="0.25">
      <c r="A256" s="5">
        <v>254</v>
      </c>
      <c r="B256" s="29">
        <f>'Raw Data'!N257</f>
        <v>42.8</v>
      </c>
      <c r="C256" s="5" t="str">
        <f>HLOOKUP("PRICE",'Raw Data'!$A$2:$N$3,2,FALSE)</f>
        <v>Price ($000s)</v>
      </c>
      <c r="D256" s="5" cm="1">
        <f t="array" aca="1" ref="D256" ca="1">INDIRECT("'Raw Data'!N"&amp;(A256+3))</f>
        <v>42.8</v>
      </c>
      <c r="E256" s="5">
        <f ca="1">IF(A256=506,"End Of Data",OFFSET('Raw Data'!$N$4,A256,0))</f>
        <v>21.9</v>
      </c>
      <c r="F256" s="5">
        <f ca="1">IF(A256=1,"Start of Data",OFFSET('Raw Data'!$N$4,A256-2,0))</f>
        <v>29.6</v>
      </c>
    </row>
    <row r="257" spans="1:6" x14ac:dyDescent="0.25">
      <c r="A257" s="5">
        <v>255</v>
      </c>
      <c r="B257" s="29">
        <f>'Raw Data'!N258</f>
        <v>21.9</v>
      </c>
      <c r="C257" s="5" t="str">
        <f>HLOOKUP("PRICE",'Raw Data'!$A$2:$N$3,2,FALSE)</f>
        <v>Price ($000s)</v>
      </c>
      <c r="D257" s="5" cm="1">
        <f t="array" aca="1" ref="D257" ca="1">INDIRECT("'Raw Data'!N"&amp;(A257+3))</f>
        <v>21.9</v>
      </c>
      <c r="E257" s="5">
        <f ca="1">IF(A257=506,"End Of Data",OFFSET('Raw Data'!$N$4,A257,0))</f>
        <v>20.9</v>
      </c>
      <c r="F257" s="5">
        <f ca="1">IF(A257=1,"Start of Data",OFFSET('Raw Data'!$N$4,A257-2,0))</f>
        <v>42.8</v>
      </c>
    </row>
    <row r="258" spans="1:6" x14ac:dyDescent="0.25">
      <c r="A258" s="5">
        <v>256</v>
      </c>
      <c r="B258" s="29">
        <f>'Raw Data'!N259</f>
        <v>20.9</v>
      </c>
      <c r="C258" s="5" t="str">
        <f>HLOOKUP("PRICE",'Raw Data'!$A$2:$N$3,2,FALSE)</f>
        <v>Price ($000s)</v>
      </c>
      <c r="D258" s="5" cm="1">
        <f t="array" aca="1" ref="D258" ca="1">INDIRECT("'Raw Data'!N"&amp;(A258+3))</f>
        <v>20.9</v>
      </c>
      <c r="E258" s="5">
        <f ca="1">IF(A258=506,"End Of Data",OFFSET('Raw Data'!$N$4,A258,0))</f>
        <v>44</v>
      </c>
      <c r="F258" s="5">
        <f ca="1">IF(A258=1,"Start of Data",OFFSET('Raw Data'!$N$4,A258-2,0))</f>
        <v>21.9</v>
      </c>
    </row>
    <row r="259" spans="1:6" x14ac:dyDescent="0.25">
      <c r="A259" s="5">
        <v>257</v>
      </c>
      <c r="B259" s="29">
        <f>'Raw Data'!N260</f>
        <v>44</v>
      </c>
      <c r="C259" s="5" t="str">
        <f>HLOOKUP("PRICE",'Raw Data'!$A$2:$N$3,2,FALSE)</f>
        <v>Price ($000s)</v>
      </c>
      <c r="D259" s="5" cm="1">
        <f t="array" aca="1" ref="D259" ca="1">INDIRECT("'Raw Data'!N"&amp;(A259+3))</f>
        <v>44</v>
      </c>
      <c r="E259" s="5">
        <f ca="1">IF(A259=506,"End Of Data",OFFSET('Raw Data'!$N$4,A259,0))</f>
        <v>50</v>
      </c>
      <c r="F259" s="5">
        <f ca="1">IF(A259=1,"Start of Data",OFFSET('Raw Data'!$N$4,A259-2,0))</f>
        <v>20.9</v>
      </c>
    </row>
    <row r="260" spans="1:6" x14ac:dyDescent="0.25">
      <c r="A260" s="5">
        <v>258</v>
      </c>
      <c r="B260" s="29">
        <f>'Raw Data'!N261</f>
        <v>50</v>
      </c>
      <c r="C260" s="5" t="str">
        <f>HLOOKUP("PRICE",'Raw Data'!$A$2:$N$3,2,FALSE)</f>
        <v>Price ($000s)</v>
      </c>
      <c r="D260" s="5" cm="1">
        <f t="array" aca="1" ref="D260" ca="1">INDIRECT("'Raw Data'!N"&amp;(A260+3))</f>
        <v>50</v>
      </c>
      <c r="E260" s="5">
        <f ca="1">IF(A260=506,"End Of Data",OFFSET('Raw Data'!$N$4,A260,0))</f>
        <v>36</v>
      </c>
      <c r="F260" s="5">
        <f ca="1">IF(A260=1,"Start of Data",OFFSET('Raw Data'!$N$4,A260-2,0))</f>
        <v>44</v>
      </c>
    </row>
    <row r="261" spans="1:6" x14ac:dyDescent="0.25">
      <c r="A261" s="5">
        <v>259</v>
      </c>
      <c r="B261" s="29">
        <f>'Raw Data'!N262</f>
        <v>36</v>
      </c>
      <c r="C261" s="5" t="str">
        <f>HLOOKUP("PRICE",'Raw Data'!$A$2:$N$3,2,FALSE)</f>
        <v>Price ($000s)</v>
      </c>
      <c r="D261" s="5" cm="1">
        <f t="array" aca="1" ref="D261" ca="1">INDIRECT("'Raw Data'!N"&amp;(A261+3))</f>
        <v>36</v>
      </c>
      <c r="E261" s="5">
        <f ca="1">IF(A261=506,"End Of Data",OFFSET('Raw Data'!$N$4,A261,0))</f>
        <v>30.1</v>
      </c>
      <c r="F261" s="5">
        <f ca="1">IF(A261=1,"Start of Data",OFFSET('Raw Data'!$N$4,A261-2,0))</f>
        <v>50</v>
      </c>
    </row>
    <row r="262" spans="1:6" x14ac:dyDescent="0.25">
      <c r="A262" s="5">
        <v>260</v>
      </c>
      <c r="B262" s="29">
        <f>'Raw Data'!N263</f>
        <v>30.1</v>
      </c>
      <c r="C262" s="5" t="str">
        <f>HLOOKUP("PRICE",'Raw Data'!$A$2:$N$3,2,FALSE)</f>
        <v>Price ($000s)</v>
      </c>
      <c r="D262" s="5" cm="1">
        <f t="array" aca="1" ref="D262" ca="1">INDIRECT("'Raw Data'!N"&amp;(A262+3))</f>
        <v>30.1</v>
      </c>
      <c r="E262" s="5">
        <f ca="1">IF(A262=506,"End Of Data",OFFSET('Raw Data'!$N$4,A262,0))</f>
        <v>33.799999999999997</v>
      </c>
      <c r="F262" s="5">
        <f ca="1">IF(A262=1,"Start of Data",OFFSET('Raw Data'!$N$4,A262-2,0))</f>
        <v>36</v>
      </c>
    </row>
    <row r="263" spans="1:6" x14ac:dyDescent="0.25">
      <c r="A263" s="5">
        <v>261</v>
      </c>
      <c r="B263" s="29">
        <f>'Raw Data'!N264</f>
        <v>33.799999999999997</v>
      </c>
      <c r="C263" s="5" t="str">
        <f>HLOOKUP("PRICE",'Raw Data'!$A$2:$N$3,2,FALSE)</f>
        <v>Price ($000s)</v>
      </c>
      <c r="D263" s="5" cm="1">
        <f t="array" aca="1" ref="D263" ca="1">INDIRECT("'Raw Data'!N"&amp;(A263+3))</f>
        <v>33.799999999999997</v>
      </c>
      <c r="E263" s="5">
        <f ca="1">IF(A263=506,"End Of Data",OFFSET('Raw Data'!$N$4,A263,0))</f>
        <v>43.1</v>
      </c>
      <c r="F263" s="5">
        <f ca="1">IF(A263=1,"Start of Data",OFFSET('Raw Data'!$N$4,A263-2,0))</f>
        <v>30.1</v>
      </c>
    </row>
    <row r="264" spans="1:6" x14ac:dyDescent="0.25">
      <c r="A264" s="5">
        <v>262</v>
      </c>
      <c r="B264" s="29">
        <f>'Raw Data'!N265</f>
        <v>43.1</v>
      </c>
      <c r="C264" s="5" t="str">
        <f>HLOOKUP("PRICE",'Raw Data'!$A$2:$N$3,2,FALSE)</f>
        <v>Price ($000s)</v>
      </c>
      <c r="D264" s="5" cm="1">
        <f t="array" aca="1" ref="D264" ca="1">INDIRECT("'Raw Data'!N"&amp;(A264+3))</f>
        <v>43.1</v>
      </c>
      <c r="E264" s="5">
        <f ca="1">IF(A264=506,"End Of Data",OFFSET('Raw Data'!$N$4,A264,0))</f>
        <v>48.8</v>
      </c>
      <c r="F264" s="5">
        <f ca="1">IF(A264=1,"Start of Data",OFFSET('Raw Data'!$N$4,A264-2,0))</f>
        <v>33.799999999999997</v>
      </c>
    </row>
    <row r="265" spans="1:6" x14ac:dyDescent="0.25">
      <c r="A265" s="5">
        <v>263</v>
      </c>
      <c r="B265" s="29">
        <f>'Raw Data'!N266</f>
        <v>48.8</v>
      </c>
      <c r="C265" s="5" t="str">
        <f>HLOOKUP("PRICE",'Raw Data'!$A$2:$N$3,2,FALSE)</f>
        <v>Price ($000s)</v>
      </c>
      <c r="D265" s="5" cm="1">
        <f t="array" aca="1" ref="D265" ca="1">INDIRECT("'Raw Data'!N"&amp;(A265+3))</f>
        <v>48.8</v>
      </c>
      <c r="E265" s="5">
        <f ca="1">IF(A265=506,"End Of Data",OFFSET('Raw Data'!$N$4,A265,0))</f>
        <v>31</v>
      </c>
      <c r="F265" s="5">
        <f ca="1">IF(A265=1,"Start of Data",OFFSET('Raw Data'!$N$4,A265-2,0))</f>
        <v>43.1</v>
      </c>
    </row>
    <row r="266" spans="1:6" x14ac:dyDescent="0.25">
      <c r="A266" s="5">
        <v>264</v>
      </c>
      <c r="B266" s="29">
        <f>'Raw Data'!N267</f>
        <v>31</v>
      </c>
      <c r="C266" s="5" t="str">
        <f>HLOOKUP("PRICE",'Raw Data'!$A$2:$N$3,2,FALSE)</f>
        <v>Price ($000s)</v>
      </c>
      <c r="D266" s="5" cm="1">
        <f t="array" aca="1" ref="D266" ca="1">INDIRECT("'Raw Data'!N"&amp;(A266+3))</f>
        <v>31</v>
      </c>
      <c r="E266" s="5">
        <f ca="1">IF(A266=506,"End Of Data",OFFSET('Raw Data'!$N$4,A266,0))</f>
        <v>36.5</v>
      </c>
      <c r="F266" s="5">
        <f ca="1">IF(A266=1,"Start of Data",OFFSET('Raw Data'!$N$4,A266-2,0))</f>
        <v>48.8</v>
      </c>
    </row>
    <row r="267" spans="1:6" x14ac:dyDescent="0.25">
      <c r="A267" s="5">
        <v>265</v>
      </c>
      <c r="B267" s="29">
        <f>'Raw Data'!N268</f>
        <v>36.5</v>
      </c>
      <c r="C267" s="5" t="str">
        <f>HLOOKUP("PRICE",'Raw Data'!$A$2:$N$3,2,FALSE)</f>
        <v>Price ($000s)</v>
      </c>
      <c r="D267" s="5" cm="1">
        <f t="array" aca="1" ref="D267" ca="1">INDIRECT("'Raw Data'!N"&amp;(A267+3))</f>
        <v>36.5</v>
      </c>
      <c r="E267" s="5">
        <f ca="1">IF(A267=506,"End Of Data",OFFSET('Raw Data'!$N$4,A267,0))</f>
        <v>22.8</v>
      </c>
      <c r="F267" s="5">
        <f ca="1">IF(A267=1,"Start of Data",OFFSET('Raw Data'!$N$4,A267-2,0))</f>
        <v>31</v>
      </c>
    </row>
    <row r="268" spans="1:6" x14ac:dyDescent="0.25">
      <c r="A268" s="5">
        <v>266</v>
      </c>
      <c r="B268" s="29">
        <f>'Raw Data'!N269</f>
        <v>22.8</v>
      </c>
      <c r="C268" s="5" t="str">
        <f>HLOOKUP("PRICE",'Raw Data'!$A$2:$N$3,2,FALSE)</f>
        <v>Price ($000s)</v>
      </c>
      <c r="D268" s="5" cm="1">
        <f t="array" aca="1" ref="D268" ca="1">INDIRECT("'Raw Data'!N"&amp;(A268+3))</f>
        <v>22.8</v>
      </c>
      <c r="E268" s="5">
        <f ca="1">IF(A268=506,"End Of Data",OFFSET('Raw Data'!$N$4,A268,0))</f>
        <v>30.7</v>
      </c>
      <c r="F268" s="5">
        <f ca="1">IF(A268=1,"Start of Data",OFFSET('Raw Data'!$N$4,A268-2,0))</f>
        <v>36.5</v>
      </c>
    </row>
    <row r="269" spans="1:6" x14ac:dyDescent="0.25">
      <c r="A269" s="5">
        <v>267</v>
      </c>
      <c r="B269" s="29">
        <f>'Raw Data'!N270</f>
        <v>30.7</v>
      </c>
      <c r="C269" s="5" t="str">
        <f>HLOOKUP("PRICE",'Raw Data'!$A$2:$N$3,2,FALSE)</f>
        <v>Price ($000s)</v>
      </c>
      <c r="D269" s="5" cm="1">
        <f t="array" aca="1" ref="D269" ca="1">INDIRECT("'Raw Data'!N"&amp;(A269+3))</f>
        <v>30.7</v>
      </c>
      <c r="E269" s="5">
        <f ca="1">IF(A269=506,"End Of Data",OFFSET('Raw Data'!$N$4,A269,0))</f>
        <v>50</v>
      </c>
      <c r="F269" s="5">
        <f ca="1">IF(A269=1,"Start of Data",OFFSET('Raw Data'!$N$4,A269-2,0))</f>
        <v>22.8</v>
      </c>
    </row>
    <row r="270" spans="1:6" x14ac:dyDescent="0.25">
      <c r="A270" s="5">
        <v>268</v>
      </c>
      <c r="B270" s="29">
        <f>'Raw Data'!N271</f>
        <v>50</v>
      </c>
      <c r="C270" s="5" t="str">
        <f>HLOOKUP("PRICE",'Raw Data'!$A$2:$N$3,2,FALSE)</f>
        <v>Price ($000s)</v>
      </c>
      <c r="D270" s="5" cm="1">
        <f t="array" aca="1" ref="D270" ca="1">INDIRECT("'Raw Data'!N"&amp;(A270+3))</f>
        <v>50</v>
      </c>
      <c r="E270" s="5">
        <f ca="1">IF(A270=506,"End Of Data",OFFSET('Raw Data'!$N$4,A270,0))</f>
        <v>43.5</v>
      </c>
      <c r="F270" s="5">
        <f ca="1">IF(A270=1,"Start of Data",OFFSET('Raw Data'!$N$4,A270-2,0))</f>
        <v>30.7</v>
      </c>
    </row>
    <row r="271" spans="1:6" x14ac:dyDescent="0.25">
      <c r="A271" s="5">
        <v>269</v>
      </c>
      <c r="B271" s="29">
        <f>'Raw Data'!N272</f>
        <v>43.5</v>
      </c>
      <c r="C271" s="5" t="str">
        <f>HLOOKUP("PRICE",'Raw Data'!$A$2:$N$3,2,FALSE)</f>
        <v>Price ($000s)</v>
      </c>
      <c r="D271" s="5" cm="1">
        <f t="array" aca="1" ref="D271" ca="1">INDIRECT("'Raw Data'!N"&amp;(A271+3))</f>
        <v>43.5</v>
      </c>
      <c r="E271" s="5">
        <f ca="1">IF(A271=506,"End Of Data",OFFSET('Raw Data'!$N$4,A271,0))</f>
        <v>20.7</v>
      </c>
      <c r="F271" s="5">
        <f ca="1">IF(A271=1,"Start of Data",OFFSET('Raw Data'!$N$4,A271-2,0))</f>
        <v>50</v>
      </c>
    </row>
    <row r="272" spans="1:6" x14ac:dyDescent="0.25">
      <c r="A272" s="5">
        <v>270</v>
      </c>
      <c r="B272" s="29">
        <f>'Raw Data'!N273</f>
        <v>20.7</v>
      </c>
      <c r="C272" s="5" t="str">
        <f>HLOOKUP("PRICE",'Raw Data'!$A$2:$N$3,2,FALSE)</f>
        <v>Price ($000s)</v>
      </c>
      <c r="D272" s="5" cm="1">
        <f t="array" aca="1" ref="D272" ca="1">INDIRECT("'Raw Data'!N"&amp;(A272+3))</f>
        <v>20.7</v>
      </c>
      <c r="E272" s="5">
        <f ca="1">IF(A272=506,"End Of Data",OFFSET('Raw Data'!$N$4,A272,0))</f>
        <v>21.1</v>
      </c>
      <c r="F272" s="5">
        <f ca="1">IF(A272=1,"Start of Data",OFFSET('Raw Data'!$N$4,A272-2,0))</f>
        <v>43.5</v>
      </c>
    </row>
    <row r="273" spans="1:6" x14ac:dyDescent="0.25">
      <c r="A273" s="5">
        <v>271</v>
      </c>
      <c r="B273" s="29">
        <f>'Raw Data'!N274</f>
        <v>21.1</v>
      </c>
      <c r="C273" s="5" t="str">
        <f>HLOOKUP("PRICE",'Raw Data'!$A$2:$N$3,2,FALSE)</f>
        <v>Price ($000s)</v>
      </c>
      <c r="D273" s="5" cm="1">
        <f t="array" aca="1" ref="D273" ca="1">INDIRECT("'Raw Data'!N"&amp;(A273+3))</f>
        <v>21.1</v>
      </c>
      <c r="E273" s="5">
        <f ca="1">IF(A273=506,"End Of Data",OFFSET('Raw Data'!$N$4,A273,0))</f>
        <v>25.2</v>
      </c>
      <c r="F273" s="5">
        <f ca="1">IF(A273=1,"Start of Data",OFFSET('Raw Data'!$N$4,A273-2,0))</f>
        <v>20.7</v>
      </c>
    </row>
    <row r="274" spans="1:6" x14ac:dyDescent="0.25">
      <c r="A274" s="5">
        <v>272</v>
      </c>
      <c r="B274" s="29">
        <f>'Raw Data'!N275</f>
        <v>25.2</v>
      </c>
      <c r="C274" s="5" t="str">
        <f>HLOOKUP("PRICE",'Raw Data'!$A$2:$N$3,2,FALSE)</f>
        <v>Price ($000s)</v>
      </c>
      <c r="D274" s="5" cm="1">
        <f t="array" aca="1" ref="D274" ca="1">INDIRECT("'Raw Data'!N"&amp;(A274+3))</f>
        <v>25.2</v>
      </c>
      <c r="E274" s="5">
        <f ca="1">IF(A274=506,"End Of Data",OFFSET('Raw Data'!$N$4,A274,0))</f>
        <v>24.4</v>
      </c>
      <c r="F274" s="5">
        <f ca="1">IF(A274=1,"Start of Data",OFFSET('Raw Data'!$N$4,A274-2,0))</f>
        <v>21.1</v>
      </c>
    </row>
    <row r="275" spans="1:6" x14ac:dyDescent="0.25">
      <c r="A275" s="5">
        <v>273</v>
      </c>
      <c r="B275" s="29">
        <f>'Raw Data'!N276</f>
        <v>24.4</v>
      </c>
      <c r="C275" s="5" t="str">
        <f>HLOOKUP("PRICE",'Raw Data'!$A$2:$N$3,2,FALSE)</f>
        <v>Price ($000s)</v>
      </c>
      <c r="D275" s="5" cm="1">
        <f t="array" aca="1" ref="D275" ca="1">INDIRECT("'Raw Data'!N"&amp;(A275+3))</f>
        <v>24.4</v>
      </c>
      <c r="E275" s="5">
        <f ca="1">IF(A275=506,"End Of Data",OFFSET('Raw Data'!$N$4,A275,0))</f>
        <v>35.200000000000003</v>
      </c>
      <c r="F275" s="5">
        <f ca="1">IF(A275=1,"Start of Data",OFFSET('Raw Data'!$N$4,A275-2,0))</f>
        <v>25.2</v>
      </c>
    </row>
    <row r="276" spans="1:6" x14ac:dyDescent="0.25">
      <c r="A276" s="5">
        <v>274</v>
      </c>
      <c r="B276" s="29">
        <f>'Raw Data'!N277</f>
        <v>35.200000000000003</v>
      </c>
      <c r="C276" s="5" t="str">
        <f>HLOOKUP("PRICE",'Raw Data'!$A$2:$N$3,2,FALSE)</f>
        <v>Price ($000s)</v>
      </c>
      <c r="D276" s="5" cm="1">
        <f t="array" aca="1" ref="D276" ca="1">INDIRECT("'Raw Data'!N"&amp;(A276+3))</f>
        <v>35.200000000000003</v>
      </c>
      <c r="E276" s="5">
        <f ca="1">IF(A276=506,"End Of Data",OFFSET('Raw Data'!$N$4,A276,0))</f>
        <v>32.4</v>
      </c>
      <c r="F276" s="5">
        <f ca="1">IF(A276=1,"Start of Data",OFFSET('Raw Data'!$N$4,A276-2,0))</f>
        <v>24.4</v>
      </c>
    </row>
    <row r="277" spans="1:6" x14ac:dyDescent="0.25">
      <c r="A277" s="5">
        <v>275</v>
      </c>
      <c r="B277" s="29">
        <f>'Raw Data'!N278</f>
        <v>32.4</v>
      </c>
      <c r="C277" s="5" t="str">
        <f>HLOOKUP("PRICE",'Raw Data'!$A$2:$N$3,2,FALSE)</f>
        <v>Price ($000s)</v>
      </c>
      <c r="D277" s="5" cm="1">
        <f t="array" aca="1" ref="D277" ca="1">INDIRECT("'Raw Data'!N"&amp;(A277+3))</f>
        <v>32.4</v>
      </c>
      <c r="E277" s="5">
        <f ca="1">IF(A277=506,"End Of Data",OFFSET('Raw Data'!$N$4,A277,0))</f>
        <v>32</v>
      </c>
      <c r="F277" s="5">
        <f ca="1">IF(A277=1,"Start of Data",OFFSET('Raw Data'!$N$4,A277-2,0))</f>
        <v>35.200000000000003</v>
      </c>
    </row>
    <row r="278" spans="1:6" x14ac:dyDescent="0.25">
      <c r="A278" s="5">
        <v>276</v>
      </c>
      <c r="B278" s="29">
        <f>'Raw Data'!N279</f>
        <v>32</v>
      </c>
      <c r="C278" s="5" t="str">
        <f>HLOOKUP("PRICE",'Raw Data'!$A$2:$N$3,2,FALSE)</f>
        <v>Price ($000s)</v>
      </c>
      <c r="D278" s="5" cm="1">
        <f t="array" aca="1" ref="D278" ca="1">INDIRECT("'Raw Data'!N"&amp;(A278+3))</f>
        <v>32</v>
      </c>
      <c r="E278" s="5">
        <f ca="1">IF(A278=506,"End Of Data",OFFSET('Raw Data'!$N$4,A278,0))</f>
        <v>33.200000000000003</v>
      </c>
      <c r="F278" s="5">
        <f ca="1">IF(A278=1,"Start of Data",OFFSET('Raw Data'!$N$4,A278-2,0))</f>
        <v>32.4</v>
      </c>
    </row>
    <row r="279" spans="1:6" x14ac:dyDescent="0.25">
      <c r="A279" s="5">
        <v>277</v>
      </c>
      <c r="B279" s="29">
        <f>'Raw Data'!N280</f>
        <v>33.200000000000003</v>
      </c>
      <c r="C279" s="5" t="str">
        <f>HLOOKUP("PRICE",'Raw Data'!$A$2:$N$3,2,FALSE)</f>
        <v>Price ($000s)</v>
      </c>
      <c r="D279" s="5" cm="1">
        <f t="array" aca="1" ref="D279" ca="1">INDIRECT("'Raw Data'!N"&amp;(A279+3))</f>
        <v>33.200000000000003</v>
      </c>
      <c r="E279" s="5">
        <f ca="1">IF(A279=506,"End Of Data",OFFSET('Raw Data'!$N$4,A279,0))</f>
        <v>33.1</v>
      </c>
      <c r="F279" s="5">
        <f ca="1">IF(A279=1,"Start of Data",OFFSET('Raw Data'!$N$4,A279-2,0))</f>
        <v>32</v>
      </c>
    </row>
    <row r="280" spans="1:6" x14ac:dyDescent="0.25">
      <c r="A280" s="5">
        <v>278</v>
      </c>
      <c r="B280" s="29">
        <f>'Raw Data'!N281</f>
        <v>33.1</v>
      </c>
      <c r="C280" s="5" t="str">
        <f>HLOOKUP("PRICE",'Raw Data'!$A$2:$N$3,2,FALSE)</f>
        <v>Price ($000s)</v>
      </c>
      <c r="D280" s="5" cm="1">
        <f t="array" aca="1" ref="D280" ca="1">INDIRECT("'Raw Data'!N"&amp;(A280+3))</f>
        <v>33.1</v>
      </c>
      <c r="E280" s="5">
        <f ca="1">IF(A280=506,"End Of Data",OFFSET('Raw Data'!$N$4,A280,0))</f>
        <v>29.1</v>
      </c>
      <c r="F280" s="5">
        <f ca="1">IF(A280=1,"Start of Data",OFFSET('Raw Data'!$N$4,A280-2,0))</f>
        <v>33.200000000000003</v>
      </c>
    </row>
    <row r="281" spans="1:6" x14ac:dyDescent="0.25">
      <c r="A281" s="5">
        <v>279</v>
      </c>
      <c r="B281" s="29">
        <f>'Raw Data'!N282</f>
        <v>29.1</v>
      </c>
      <c r="C281" s="5" t="str">
        <f>HLOOKUP("PRICE",'Raw Data'!$A$2:$N$3,2,FALSE)</f>
        <v>Price ($000s)</v>
      </c>
      <c r="D281" s="5" cm="1">
        <f t="array" aca="1" ref="D281" ca="1">INDIRECT("'Raw Data'!N"&amp;(A281+3))</f>
        <v>29.1</v>
      </c>
      <c r="E281" s="5">
        <f ca="1">IF(A281=506,"End Of Data",OFFSET('Raw Data'!$N$4,A281,0))</f>
        <v>35.1</v>
      </c>
      <c r="F281" s="5">
        <f ca="1">IF(A281=1,"Start of Data",OFFSET('Raw Data'!$N$4,A281-2,0))</f>
        <v>33.1</v>
      </c>
    </row>
    <row r="282" spans="1:6" x14ac:dyDescent="0.25">
      <c r="A282" s="5">
        <v>280</v>
      </c>
      <c r="B282" s="29">
        <f>'Raw Data'!N283</f>
        <v>35.1</v>
      </c>
      <c r="C282" s="5" t="str">
        <f>HLOOKUP("PRICE",'Raw Data'!$A$2:$N$3,2,FALSE)</f>
        <v>Price ($000s)</v>
      </c>
      <c r="D282" s="5" cm="1">
        <f t="array" aca="1" ref="D282" ca="1">INDIRECT("'Raw Data'!N"&amp;(A282+3))</f>
        <v>35.1</v>
      </c>
      <c r="E282" s="5">
        <f ca="1">IF(A282=506,"End Of Data",OFFSET('Raw Data'!$N$4,A282,0))</f>
        <v>45.4</v>
      </c>
      <c r="F282" s="5">
        <f ca="1">IF(A282=1,"Start of Data",OFFSET('Raw Data'!$N$4,A282-2,0))</f>
        <v>29.1</v>
      </c>
    </row>
    <row r="283" spans="1:6" x14ac:dyDescent="0.25">
      <c r="A283" s="5">
        <v>281</v>
      </c>
      <c r="B283" s="29">
        <f>'Raw Data'!N284</f>
        <v>45.4</v>
      </c>
      <c r="C283" s="5" t="str">
        <f>HLOOKUP("PRICE",'Raw Data'!$A$2:$N$3,2,FALSE)</f>
        <v>Price ($000s)</v>
      </c>
      <c r="D283" s="5" cm="1">
        <f t="array" aca="1" ref="D283" ca="1">INDIRECT("'Raw Data'!N"&amp;(A283+3))</f>
        <v>45.4</v>
      </c>
      <c r="E283" s="5">
        <f ca="1">IF(A283=506,"End Of Data",OFFSET('Raw Data'!$N$4,A283,0))</f>
        <v>35.4</v>
      </c>
      <c r="F283" s="5">
        <f ca="1">IF(A283=1,"Start of Data",OFFSET('Raw Data'!$N$4,A283-2,0))</f>
        <v>35.1</v>
      </c>
    </row>
    <row r="284" spans="1:6" x14ac:dyDescent="0.25">
      <c r="A284" s="5">
        <v>282</v>
      </c>
      <c r="B284" s="29">
        <f>'Raw Data'!N285</f>
        <v>35.4</v>
      </c>
      <c r="C284" s="5" t="str">
        <f>HLOOKUP("PRICE",'Raw Data'!$A$2:$N$3,2,FALSE)</f>
        <v>Price ($000s)</v>
      </c>
      <c r="D284" s="5" cm="1">
        <f t="array" aca="1" ref="D284" ca="1">INDIRECT("'Raw Data'!N"&amp;(A284+3))</f>
        <v>35.4</v>
      </c>
      <c r="E284" s="5">
        <f ca="1">IF(A284=506,"End Of Data",OFFSET('Raw Data'!$N$4,A284,0))</f>
        <v>46</v>
      </c>
      <c r="F284" s="5">
        <f ca="1">IF(A284=1,"Start of Data",OFFSET('Raw Data'!$N$4,A284-2,0))</f>
        <v>45.4</v>
      </c>
    </row>
    <row r="285" spans="1:6" x14ac:dyDescent="0.25">
      <c r="A285" s="5">
        <v>283</v>
      </c>
      <c r="B285" s="29">
        <f>'Raw Data'!N286</f>
        <v>46</v>
      </c>
      <c r="C285" s="5" t="str">
        <f>HLOOKUP("PRICE",'Raw Data'!$A$2:$N$3,2,FALSE)</f>
        <v>Price ($000s)</v>
      </c>
      <c r="D285" s="5" cm="1">
        <f t="array" aca="1" ref="D285" ca="1">INDIRECT("'Raw Data'!N"&amp;(A285+3))</f>
        <v>46</v>
      </c>
      <c r="E285" s="5">
        <f ca="1">IF(A285=506,"End Of Data",OFFSET('Raw Data'!$N$4,A285,0))</f>
        <v>50</v>
      </c>
      <c r="F285" s="5">
        <f ca="1">IF(A285=1,"Start of Data",OFFSET('Raw Data'!$N$4,A285-2,0))</f>
        <v>35.4</v>
      </c>
    </row>
    <row r="286" spans="1:6" x14ac:dyDescent="0.25">
      <c r="A286" s="5">
        <v>284</v>
      </c>
      <c r="B286" s="29">
        <f>'Raw Data'!N287</f>
        <v>50</v>
      </c>
      <c r="C286" s="5" t="str">
        <f>HLOOKUP("PRICE",'Raw Data'!$A$2:$N$3,2,FALSE)</f>
        <v>Price ($000s)</v>
      </c>
      <c r="D286" s="5" cm="1">
        <f t="array" aca="1" ref="D286" ca="1">INDIRECT("'Raw Data'!N"&amp;(A286+3))</f>
        <v>50</v>
      </c>
      <c r="E286" s="5">
        <f ca="1">IF(A286=506,"End Of Data",OFFSET('Raw Data'!$N$4,A286,0))</f>
        <v>32.200000000000003</v>
      </c>
      <c r="F286" s="5">
        <f ca="1">IF(A286=1,"Start of Data",OFFSET('Raw Data'!$N$4,A286-2,0))</f>
        <v>46</v>
      </c>
    </row>
    <row r="287" spans="1:6" x14ac:dyDescent="0.25">
      <c r="A287" s="5">
        <v>285</v>
      </c>
      <c r="B287" s="29">
        <f>'Raw Data'!N288</f>
        <v>32.200000000000003</v>
      </c>
      <c r="C287" s="5" t="str">
        <f>HLOOKUP("PRICE",'Raw Data'!$A$2:$N$3,2,FALSE)</f>
        <v>Price ($000s)</v>
      </c>
      <c r="D287" s="5" cm="1">
        <f t="array" aca="1" ref="D287" ca="1">INDIRECT("'Raw Data'!N"&amp;(A287+3))</f>
        <v>32.200000000000003</v>
      </c>
      <c r="E287" s="5">
        <f ca="1">IF(A287=506,"End Of Data",OFFSET('Raw Data'!$N$4,A287,0))</f>
        <v>22</v>
      </c>
      <c r="F287" s="5">
        <f ca="1">IF(A287=1,"Start of Data",OFFSET('Raw Data'!$N$4,A287-2,0))</f>
        <v>50</v>
      </c>
    </row>
    <row r="288" spans="1:6" x14ac:dyDescent="0.25">
      <c r="A288" s="5">
        <v>286</v>
      </c>
      <c r="B288" s="29">
        <f>'Raw Data'!N289</f>
        <v>22</v>
      </c>
      <c r="C288" s="5" t="str">
        <f>HLOOKUP("PRICE",'Raw Data'!$A$2:$N$3,2,FALSE)</f>
        <v>Price ($000s)</v>
      </c>
      <c r="D288" s="5" cm="1">
        <f t="array" aca="1" ref="D288" ca="1">INDIRECT("'Raw Data'!N"&amp;(A288+3))</f>
        <v>22</v>
      </c>
      <c r="E288" s="5">
        <f ca="1">IF(A288=506,"End Of Data",OFFSET('Raw Data'!$N$4,A288,0))</f>
        <v>20.100000000000001</v>
      </c>
      <c r="F288" s="5">
        <f ca="1">IF(A288=1,"Start of Data",OFFSET('Raw Data'!$N$4,A288-2,0))</f>
        <v>32.200000000000003</v>
      </c>
    </row>
    <row r="289" spans="1:6" x14ac:dyDescent="0.25">
      <c r="A289" s="5">
        <v>287</v>
      </c>
      <c r="B289" s="29">
        <f>'Raw Data'!N290</f>
        <v>20.100000000000001</v>
      </c>
      <c r="C289" s="5" t="str">
        <f>HLOOKUP("PRICE",'Raw Data'!$A$2:$N$3,2,FALSE)</f>
        <v>Price ($000s)</v>
      </c>
      <c r="D289" s="5" cm="1">
        <f t="array" aca="1" ref="D289" ca="1">INDIRECT("'Raw Data'!N"&amp;(A289+3))</f>
        <v>20.100000000000001</v>
      </c>
      <c r="E289" s="5">
        <f ca="1">IF(A289=506,"End Of Data",OFFSET('Raw Data'!$N$4,A289,0))</f>
        <v>23.2</v>
      </c>
      <c r="F289" s="5">
        <f ca="1">IF(A289=1,"Start of Data",OFFSET('Raw Data'!$N$4,A289-2,0))</f>
        <v>22</v>
      </c>
    </row>
    <row r="290" spans="1:6" x14ac:dyDescent="0.25">
      <c r="A290" s="5">
        <v>288</v>
      </c>
      <c r="B290" s="29">
        <f>'Raw Data'!N291</f>
        <v>23.2</v>
      </c>
      <c r="C290" s="5" t="str">
        <f>HLOOKUP("PRICE",'Raw Data'!$A$2:$N$3,2,FALSE)</f>
        <v>Price ($000s)</v>
      </c>
      <c r="D290" s="5" cm="1">
        <f t="array" aca="1" ref="D290" ca="1">INDIRECT("'Raw Data'!N"&amp;(A290+3))</f>
        <v>23.2</v>
      </c>
      <c r="E290" s="5">
        <f ca="1">IF(A290=506,"End Of Data",OFFSET('Raw Data'!$N$4,A290,0))</f>
        <v>22.3</v>
      </c>
      <c r="F290" s="5">
        <f ca="1">IF(A290=1,"Start of Data",OFFSET('Raw Data'!$N$4,A290-2,0))</f>
        <v>20.100000000000001</v>
      </c>
    </row>
    <row r="291" spans="1:6" x14ac:dyDescent="0.25">
      <c r="A291" s="5">
        <v>289</v>
      </c>
      <c r="B291" s="29">
        <f>'Raw Data'!N292</f>
        <v>22.3</v>
      </c>
      <c r="C291" s="5" t="str">
        <f>HLOOKUP("PRICE",'Raw Data'!$A$2:$N$3,2,FALSE)</f>
        <v>Price ($000s)</v>
      </c>
      <c r="D291" s="5" cm="1">
        <f t="array" aca="1" ref="D291" ca="1">INDIRECT("'Raw Data'!N"&amp;(A291+3))</f>
        <v>22.3</v>
      </c>
      <c r="E291" s="5">
        <f ca="1">IF(A291=506,"End Of Data",OFFSET('Raw Data'!$N$4,A291,0))</f>
        <v>24.8</v>
      </c>
      <c r="F291" s="5">
        <f ca="1">IF(A291=1,"Start of Data",OFFSET('Raw Data'!$N$4,A291-2,0))</f>
        <v>23.2</v>
      </c>
    </row>
    <row r="292" spans="1:6" x14ac:dyDescent="0.25">
      <c r="A292" s="5">
        <v>290</v>
      </c>
      <c r="B292" s="29">
        <f>'Raw Data'!N293</f>
        <v>24.8</v>
      </c>
      <c r="C292" s="5" t="str">
        <f>HLOOKUP("PRICE",'Raw Data'!$A$2:$N$3,2,FALSE)</f>
        <v>Price ($000s)</v>
      </c>
      <c r="D292" s="5" cm="1">
        <f t="array" aca="1" ref="D292" ca="1">INDIRECT("'Raw Data'!N"&amp;(A292+3))</f>
        <v>24.8</v>
      </c>
      <c r="E292" s="5">
        <f ca="1">IF(A292=506,"End Of Data",OFFSET('Raw Data'!$N$4,A292,0))</f>
        <v>28.5</v>
      </c>
      <c r="F292" s="5">
        <f ca="1">IF(A292=1,"Start of Data",OFFSET('Raw Data'!$N$4,A292-2,0))</f>
        <v>22.3</v>
      </c>
    </row>
    <row r="293" spans="1:6" x14ac:dyDescent="0.25">
      <c r="A293" s="5">
        <v>291</v>
      </c>
      <c r="B293" s="29">
        <f>'Raw Data'!N294</f>
        <v>28.5</v>
      </c>
      <c r="C293" s="5" t="str">
        <f>HLOOKUP("PRICE",'Raw Data'!$A$2:$N$3,2,FALSE)</f>
        <v>Price ($000s)</v>
      </c>
      <c r="D293" s="5" cm="1">
        <f t="array" aca="1" ref="D293" ca="1">INDIRECT("'Raw Data'!N"&amp;(A293+3))</f>
        <v>28.5</v>
      </c>
      <c r="E293" s="5">
        <f ca="1">IF(A293=506,"End Of Data",OFFSET('Raw Data'!$N$4,A293,0))</f>
        <v>37.299999999999997</v>
      </c>
      <c r="F293" s="5">
        <f ca="1">IF(A293=1,"Start of Data",OFFSET('Raw Data'!$N$4,A293-2,0))</f>
        <v>24.8</v>
      </c>
    </row>
    <row r="294" spans="1:6" x14ac:dyDescent="0.25">
      <c r="A294" s="5">
        <v>292</v>
      </c>
      <c r="B294" s="29">
        <f>'Raw Data'!N295</f>
        <v>37.299999999999997</v>
      </c>
      <c r="C294" s="5" t="str">
        <f>HLOOKUP("PRICE",'Raw Data'!$A$2:$N$3,2,FALSE)</f>
        <v>Price ($000s)</v>
      </c>
      <c r="D294" s="5" cm="1">
        <f t="array" aca="1" ref="D294" ca="1">INDIRECT("'Raw Data'!N"&amp;(A294+3))</f>
        <v>37.299999999999997</v>
      </c>
      <c r="E294" s="5">
        <f ca="1">IF(A294=506,"End Of Data",OFFSET('Raw Data'!$N$4,A294,0))</f>
        <v>27.9</v>
      </c>
      <c r="F294" s="5">
        <f ca="1">IF(A294=1,"Start of Data",OFFSET('Raw Data'!$N$4,A294-2,0))</f>
        <v>28.5</v>
      </c>
    </row>
    <row r="295" spans="1:6" x14ac:dyDescent="0.25">
      <c r="A295" s="5">
        <v>293</v>
      </c>
      <c r="B295" s="29">
        <f>'Raw Data'!N296</f>
        <v>27.9</v>
      </c>
      <c r="C295" s="5" t="str">
        <f>HLOOKUP("PRICE",'Raw Data'!$A$2:$N$3,2,FALSE)</f>
        <v>Price ($000s)</v>
      </c>
      <c r="D295" s="5" cm="1">
        <f t="array" aca="1" ref="D295" ca="1">INDIRECT("'Raw Data'!N"&amp;(A295+3))</f>
        <v>27.9</v>
      </c>
      <c r="E295" s="5">
        <f ca="1">IF(A295=506,"End Of Data",OFFSET('Raw Data'!$N$4,A295,0))</f>
        <v>23.9</v>
      </c>
      <c r="F295" s="5">
        <f ca="1">IF(A295=1,"Start of Data",OFFSET('Raw Data'!$N$4,A295-2,0))</f>
        <v>37.299999999999997</v>
      </c>
    </row>
    <row r="296" spans="1:6" x14ac:dyDescent="0.25">
      <c r="A296" s="5">
        <v>294</v>
      </c>
      <c r="B296" s="29">
        <f>'Raw Data'!N297</f>
        <v>23.9</v>
      </c>
      <c r="C296" s="5" t="str">
        <f>HLOOKUP("PRICE",'Raw Data'!$A$2:$N$3,2,FALSE)</f>
        <v>Price ($000s)</v>
      </c>
      <c r="D296" s="5" cm="1">
        <f t="array" aca="1" ref="D296" ca="1">INDIRECT("'Raw Data'!N"&amp;(A296+3))</f>
        <v>23.9</v>
      </c>
      <c r="E296" s="5">
        <f ca="1">IF(A296=506,"End Of Data",OFFSET('Raw Data'!$N$4,A296,0))</f>
        <v>21.7</v>
      </c>
      <c r="F296" s="5">
        <f ca="1">IF(A296=1,"Start of Data",OFFSET('Raw Data'!$N$4,A296-2,0))</f>
        <v>27.9</v>
      </c>
    </row>
    <row r="297" spans="1:6" x14ac:dyDescent="0.25">
      <c r="A297" s="5">
        <v>295</v>
      </c>
      <c r="B297" s="29">
        <f>'Raw Data'!N298</f>
        <v>21.7</v>
      </c>
      <c r="C297" s="5" t="str">
        <f>HLOOKUP("PRICE",'Raw Data'!$A$2:$N$3,2,FALSE)</f>
        <v>Price ($000s)</v>
      </c>
      <c r="D297" s="5" cm="1">
        <f t="array" aca="1" ref="D297" ca="1">INDIRECT("'Raw Data'!N"&amp;(A297+3))</f>
        <v>21.7</v>
      </c>
      <c r="E297" s="5">
        <f ca="1">IF(A297=506,"End Of Data",OFFSET('Raw Data'!$N$4,A297,0))</f>
        <v>28.6</v>
      </c>
      <c r="F297" s="5">
        <f ca="1">IF(A297=1,"Start of Data",OFFSET('Raw Data'!$N$4,A297-2,0))</f>
        <v>23.9</v>
      </c>
    </row>
    <row r="298" spans="1:6" x14ac:dyDescent="0.25">
      <c r="A298" s="5">
        <v>296</v>
      </c>
      <c r="B298" s="29">
        <f>'Raw Data'!N299</f>
        <v>28.6</v>
      </c>
      <c r="C298" s="5" t="str">
        <f>HLOOKUP("PRICE",'Raw Data'!$A$2:$N$3,2,FALSE)</f>
        <v>Price ($000s)</v>
      </c>
      <c r="D298" s="5" cm="1">
        <f t="array" aca="1" ref="D298" ca="1">INDIRECT("'Raw Data'!N"&amp;(A298+3))</f>
        <v>28.6</v>
      </c>
      <c r="E298" s="5">
        <f ca="1">IF(A298=506,"End Of Data",OFFSET('Raw Data'!$N$4,A298,0))</f>
        <v>27.1</v>
      </c>
      <c r="F298" s="5">
        <f ca="1">IF(A298=1,"Start of Data",OFFSET('Raw Data'!$N$4,A298-2,0))</f>
        <v>21.7</v>
      </c>
    </row>
    <row r="299" spans="1:6" x14ac:dyDescent="0.25">
      <c r="A299" s="5">
        <v>297</v>
      </c>
      <c r="B299" s="29">
        <f>'Raw Data'!N300</f>
        <v>27.1</v>
      </c>
      <c r="C299" s="5" t="str">
        <f>HLOOKUP("PRICE",'Raw Data'!$A$2:$N$3,2,FALSE)</f>
        <v>Price ($000s)</v>
      </c>
      <c r="D299" s="5" cm="1">
        <f t="array" aca="1" ref="D299" ca="1">INDIRECT("'Raw Data'!N"&amp;(A299+3))</f>
        <v>27.1</v>
      </c>
      <c r="E299" s="5">
        <f ca="1">IF(A299=506,"End Of Data",OFFSET('Raw Data'!$N$4,A299,0))</f>
        <v>20.3</v>
      </c>
      <c r="F299" s="5">
        <f ca="1">IF(A299=1,"Start of Data",OFFSET('Raw Data'!$N$4,A299-2,0))</f>
        <v>28.6</v>
      </c>
    </row>
    <row r="300" spans="1:6" x14ac:dyDescent="0.25">
      <c r="A300" s="5">
        <v>298</v>
      </c>
      <c r="B300" s="29">
        <f>'Raw Data'!N301</f>
        <v>20.3</v>
      </c>
      <c r="C300" s="5" t="str">
        <f>HLOOKUP("PRICE",'Raw Data'!$A$2:$N$3,2,FALSE)</f>
        <v>Price ($000s)</v>
      </c>
      <c r="D300" s="5" cm="1">
        <f t="array" aca="1" ref="D300" ca="1">INDIRECT("'Raw Data'!N"&amp;(A300+3))</f>
        <v>20.3</v>
      </c>
      <c r="E300" s="5">
        <f ca="1">IF(A300=506,"End Of Data",OFFSET('Raw Data'!$N$4,A300,0))</f>
        <v>22.5</v>
      </c>
      <c r="F300" s="5">
        <f ca="1">IF(A300=1,"Start of Data",OFFSET('Raw Data'!$N$4,A300-2,0))</f>
        <v>27.1</v>
      </c>
    </row>
    <row r="301" spans="1:6" x14ac:dyDescent="0.25">
      <c r="A301" s="5">
        <v>299</v>
      </c>
      <c r="B301" s="29">
        <f>'Raw Data'!N302</f>
        <v>22.5</v>
      </c>
      <c r="C301" s="5" t="str">
        <f>HLOOKUP("PRICE",'Raw Data'!$A$2:$N$3,2,FALSE)</f>
        <v>Price ($000s)</v>
      </c>
      <c r="D301" s="5" cm="1">
        <f t="array" aca="1" ref="D301" ca="1">INDIRECT("'Raw Data'!N"&amp;(A301+3))</f>
        <v>22.5</v>
      </c>
      <c r="E301" s="5">
        <f ca="1">IF(A301=506,"End Of Data",OFFSET('Raw Data'!$N$4,A301,0))</f>
        <v>29</v>
      </c>
      <c r="F301" s="5">
        <f ca="1">IF(A301=1,"Start of Data",OFFSET('Raw Data'!$N$4,A301-2,0))</f>
        <v>20.3</v>
      </c>
    </row>
    <row r="302" spans="1:6" x14ac:dyDescent="0.25">
      <c r="A302" s="5">
        <v>300</v>
      </c>
      <c r="B302" s="29">
        <f>'Raw Data'!N303</f>
        <v>29</v>
      </c>
      <c r="C302" s="5" t="str">
        <f>HLOOKUP("PRICE",'Raw Data'!$A$2:$N$3,2,FALSE)</f>
        <v>Price ($000s)</v>
      </c>
      <c r="D302" s="5" cm="1">
        <f t="array" aca="1" ref="D302" ca="1">INDIRECT("'Raw Data'!N"&amp;(A302+3))</f>
        <v>29</v>
      </c>
      <c r="E302" s="5">
        <f ca="1">IF(A302=506,"End Of Data",OFFSET('Raw Data'!$N$4,A302,0))</f>
        <v>24.8</v>
      </c>
      <c r="F302" s="5">
        <f ca="1">IF(A302=1,"Start of Data",OFFSET('Raw Data'!$N$4,A302-2,0))</f>
        <v>22.5</v>
      </c>
    </row>
    <row r="303" spans="1:6" x14ac:dyDescent="0.25">
      <c r="A303" s="5">
        <v>301</v>
      </c>
      <c r="B303" s="29">
        <f>'Raw Data'!N304</f>
        <v>24.8</v>
      </c>
      <c r="C303" s="5" t="str">
        <f>HLOOKUP("PRICE",'Raw Data'!$A$2:$N$3,2,FALSE)</f>
        <v>Price ($000s)</v>
      </c>
      <c r="D303" s="5" cm="1">
        <f t="array" aca="1" ref="D303" ca="1">INDIRECT("'Raw Data'!N"&amp;(A303+3))</f>
        <v>24.8</v>
      </c>
      <c r="E303" s="5">
        <f ca="1">IF(A303=506,"End Of Data",OFFSET('Raw Data'!$N$4,A303,0))</f>
        <v>22</v>
      </c>
      <c r="F303" s="5">
        <f ca="1">IF(A303=1,"Start of Data",OFFSET('Raw Data'!$N$4,A303-2,0))</f>
        <v>29</v>
      </c>
    </row>
    <row r="304" spans="1:6" x14ac:dyDescent="0.25">
      <c r="A304" s="5">
        <v>302</v>
      </c>
      <c r="B304" s="29">
        <f>'Raw Data'!N305</f>
        <v>22</v>
      </c>
      <c r="C304" s="5" t="str">
        <f>HLOOKUP("PRICE",'Raw Data'!$A$2:$N$3,2,FALSE)</f>
        <v>Price ($000s)</v>
      </c>
      <c r="D304" s="5" cm="1">
        <f t="array" aca="1" ref="D304" ca="1">INDIRECT("'Raw Data'!N"&amp;(A304+3))</f>
        <v>22</v>
      </c>
      <c r="E304" s="5">
        <f ca="1">IF(A304=506,"End Of Data",OFFSET('Raw Data'!$N$4,A304,0))</f>
        <v>26.4</v>
      </c>
      <c r="F304" s="5">
        <f ca="1">IF(A304=1,"Start of Data",OFFSET('Raw Data'!$N$4,A304-2,0))</f>
        <v>24.8</v>
      </c>
    </row>
    <row r="305" spans="1:6" x14ac:dyDescent="0.25">
      <c r="A305" s="5">
        <v>303</v>
      </c>
      <c r="B305" s="29">
        <f>'Raw Data'!N306</f>
        <v>26.4</v>
      </c>
      <c r="C305" s="5" t="str">
        <f>HLOOKUP("PRICE",'Raw Data'!$A$2:$N$3,2,FALSE)</f>
        <v>Price ($000s)</v>
      </c>
      <c r="D305" s="5" cm="1">
        <f t="array" aca="1" ref="D305" ca="1">INDIRECT("'Raw Data'!N"&amp;(A305+3))</f>
        <v>26.4</v>
      </c>
      <c r="E305" s="5">
        <f ca="1">IF(A305=506,"End Of Data",OFFSET('Raw Data'!$N$4,A305,0))</f>
        <v>33.1</v>
      </c>
      <c r="F305" s="5">
        <f ca="1">IF(A305=1,"Start of Data",OFFSET('Raw Data'!$N$4,A305-2,0))</f>
        <v>22</v>
      </c>
    </row>
    <row r="306" spans="1:6" x14ac:dyDescent="0.25">
      <c r="A306" s="5">
        <v>304</v>
      </c>
      <c r="B306" s="29">
        <f>'Raw Data'!N307</f>
        <v>33.1</v>
      </c>
      <c r="C306" s="5" t="str">
        <f>HLOOKUP("PRICE",'Raw Data'!$A$2:$N$3,2,FALSE)</f>
        <v>Price ($000s)</v>
      </c>
      <c r="D306" s="5" cm="1">
        <f t="array" aca="1" ref="D306" ca="1">INDIRECT("'Raw Data'!N"&amp;(A306+3))</f>
        <v>33.1</v>
      </c>
      <c r="E306" s="5">
        <f ca="1">IF(A306=506,"End Of Data",OFFSET('Raw Data'!$N$4,A306,0))</f>
        <v>36.1</v>
      </c>
      <c r="F306" s="5">
        <f ca="1">IF(A306=1,"Start of Data",OFFSET('Raw Data'!$N$4,A306-2,0))</f>
        <v>26.4</v>
      </c>
    </row>
    <row r="307" spans="1:6" x14ac:dyDescent="0.25">
      <c r="A307" s="5">
        <v>305</v>
      </c>
      <c r="B307" s="29">
        <f>'Raw Data'!N308</f>
        <v>36.1</v>
      </c>
      <c r="C307" s="5" t="str">
        <f>HLOOKUP("PRICE",'Raw Data'!$A$2:$N$3,2,FALSE)</f>
        <v>Price ($000s)</v>
      </c>
      <c r="D307" s="5" cm="1">
        <f t="array" aca="1" ref="D307" ca="1">INDIRECT("'Raw Data'!N"&amp;(A307+3))</f>
        <v>36.1</v>
      </c>
      <c r="E307" s="5">
        <f ca="1">IF(A307=506,"End Of Data",OFFSET('Raw Data'!$N$4,A307,0))</f>
        <v>28.4</v>
      </c>
      <c r="F307" s="5">
        <f ca="1">IF(A307=1,"Start of Data",OFFSET('Raw Data'!$N$4,A307-2,0))</f>
        <v>33.1</v>
      </c>
    </row>
    <row r="308" spans="1:6" x14ac:dyDescent="0.25">
      <c r="A308" s="5">
        <v>306</v>
      </c>
      <c r="B308" s="29">
        <f>'Raw Data'!N309</f>
        <v>28.4</v>
      </c>
      <c r="C308" s="5" t="str">
        <f>HLOOKUP("PRICE",'Raw Data'!$A$2:$N$3,2,FALSE)</f>
        <v>Price ($000s)</v>
      </c>
      <c r="D308" s="5" cm="1">
        <f t="array" aca="1" ref="D308" ca="1">INDIRECT("'Raw Data'!N"&amp;(A308+3))</f>
        <v>28.4</v>
      </c>
      <c r="E308" s="5">
        <f ca="1">IF(A308=506,"End Of Data",OFFSET('Raw Data'!$N$4,A308,0))</f>
        <v>33.4</v>
      </c>
      <c r="F308" s="5">
        <f ca="1">IF(A308=1,"Start of Data",OFFSET('Raw Data'!$N$4,A308-2,0))</f>
        <v>36.1</v>
      </c>
    </row>
    <row r="309" spans="1:6" x14ac:dyDescent="0.25">
      <c r="A309" s="5">
        <v>307</v>
      </c>
      <c r="B309" s="29">
        <f>'Raw Data'!N310</f>
        <v>33.4</v>
      </c>
      <c r="C309" s="5" t="str">
        <f>HLOOKUP("PRICE",'Raw Data'!$A$2:$N$3,2,FALSE)</f>
        <v>Price ($000s)</v>
      </c>
      <c r="D309" s="5" cm="1">
        <f t="array" aca="1" ref="D309" ca="1">INDIRECT("'Raw Data'!N"&amp;(A309+3))</f>
        <v>33.4</v>
      </c>
      <c r="E309" s="5">
        <f ca="1">IF(A309=506,"End Of Data",OFFSET('Raw Data'!$N$4,A309,0))</f>
        <v>28.2</v>
      </c>
      <c r="F309" s="5">
        <f ca="1">IF(A309=1,"Start of Data",OFFSET('Raw Data'!$N$4,A309-2,0))</f>
        <v>28.4</v>
      </c>
    </row>
    <row r="310" spans="1:6" x14ac:dyDescent="0.25">
      <c r="A310" s="5">
        <v>308</v>
      </c>
      <c r="B310" s="29">
        <f>'Raw Data'!N311</f>
        <v>28.2</v>
      </c>
      <c r="C310" s="5" t="str">
        <f>HLOOKUP("PRICE",'Raw Data'!$A$2:$N$3,2,FALSE)</f>
        <v>Price ($000s)</v>
      </c>
      <c r="D310" s="5" cm="1">
        <f t="array" aca="1" ref="D310" ca="1">INDIRECT("'Raw Data'!N"&amp;(A310+3))</f>
        <v>28.2</v>
      </c>
      <c r="E310" s="5">
        <f ca="1">IF(A310=506,"End Of Data",OFFSET('Raw Data'!$N$4,A310,0))</f>
        <v>22.8</v>
      </c>
      <c r="F310" s="5">
        <f ca="1">IF(A310=1,"Start of Data",OFFSET('Raw Data'!$N$4,A310-2,0))</f>
        <v>33.4</v>
      </c>
    </row>
    <row r="311" spans="1:6" x14ac:dyDescent="0.25">
      <c r="A311" s="5">
        <v>309</v>
      </c>
      <c r="B311" s="29">
        <f>'Raw Data'!N312</f>
        <v>22.8</v>
      </c>
      <c r="C311" s="5" t="str">
        <f>HLOOKUP("PRICE",'Raw Data'!$A$2:$N$3,2,FALSE)</f>
        <v>Price ($000s)</v>
      </c>
      <c r="D311" s="5" cm="1">
        <f t="array" aca="1" ref="D311" ca="1">INDIRECT("'Raw Data'!N"&amp;(A311+3))</f>
        <v>22.8</v>
      </c>
      <c r="E311" s="5">
        <f ca="1">IF(A311=506,"End Of Data",OFFSET('Raw Data'!$N$4,A311,0))</f>
        <v>20.3</v>
      </c>
      <c r="F311" s="5">
        <f ca="1">IF(A311=1,"Start of Data",OFFSET('Raw Data'!$N$4,A311-2,0))</f>
        <v>28.2</v>
      </c>
    </row>
    <row r="312" spans="1:6" x14ac:dyDescent="0.25">
      <c r="A312" s="5">
        <v>310</v>
      </c>
      <c r="B312" s="29">
        <f>'Raw Data'!N313</f>
        <v>20.3</v>
      </c>
      <c r="C312" s="5" t="str">
        <f>HLOOKUP("PRICE",'Raw Data'!$A$2:$N$3,2,FALSE)</f>
        <v>Price ($000s)</v>
      </c>
      <c r="D312" s="5" cm="1">
        <f t="array" aca="1" ref="D312" ca="1">INDIRECT("'Raw Data'!N"&amp;(A312+3))</f>
        <v>20.3</v>
      </c>
      <c r="E312" s="5">
        <f ca="1">IF(A312=506,"End Of Data",OFFSET('Raw Data'!$N$4,A312,0))</f>
        <v>16.100000000000001</v>
      </c>
      <c r="F312" s="5">
        <f ca="1">IF(A312=1,"Start of Data",OFFSET('Raw Data'!$N$4,A312-2,0))</f>
        <v>22.8</v>
      </c>
    </row>
    <row r="313" spans="1:6" x14ac:dyDescent="0.25">
      <c r="A313" s="5">
        <v>311</v>
      </c>
      <c r="B313" s="29">
        <f>'Raw Data'!N314</f>
        <v>16.100000000000001</v>
      </c>
      <c r="C313" s="5" t="str">
        <f>HLOOKUP("PRICE",'Raw Data'!$A$2:$N$3,2,FALSE)</f>
        <v>Price ($000s)</v>
      </c>
      <c r="D313" s="5" cm="1">
        <f t="array" aca="1" ref="D313" ca="1">INDIRECT("'Raw Data'!N"&amp;(A313+3))</f>
        <v>16.100000000000001</v>
      </c>
      <c r="E313" s="5">
        <f ca="1">IF(A313=506,"End Of Data",OFFSET('Raw Data'!$N$4,A313,0))</f>
        <v>22.1</v>
      </c>
      <c r="F313" s="5">
        <f ca="1">IF(A313=1,"Start of Data",OFFSET('Raw Data'!$N$4,A313-2,0))</f>
        <v>20.3</v>
      </c>
    </row>
    <row r="314" spans="1:6" x14ac:dyDescent="0.25">
      <c r="A314" s="5">
        <v>312</v>
      </c>
      <c r="B314" s="29">
        <f>'Raw Data'!N315</f>
        <v>22.1</v>
      </c>
      <c r="C314" s="5" t="str">
        <f>HLOOKUP("PRICE",'Raw Data'!$A$2:$N$3,2,FALSE)</f>
        <v>Price ($000s)</v>
      </c>
      <c r="D314" s="5" cm="1">
        <f t="array" aca="1" ref="D314" ca="1">INDIRECT("'Raw Data'!N"&amp;(A314+3))</f>
        <v>22.1</v>
      </c>
      <c r="E314" s="5">
        <f ca="1">IF(A314=506,"End Of Data",OFFSET('Raw Data'!$N$4,A314,0))</f>
        <v>19.399999999999999</v>
      </c>
      <c r="F314" s="5">
        <f ca="1">IF(A314=1,"Start of Data",OFFSET('Raw Data'!$N$4,A314-2,0))</f>
        <v>16.100000000000001</v>
      </c>
    </row>
    <row r="315" spans="1:6" x14ac:dyDescent="0.25">
      <c r="A315" s="5">
        <v>313</v>
      </c>
      <c r="B315" s="29">
        <f>'Raw Data'!N316</f>
        <v>19.399999999999999</v>
      </c>
      <c r="C315" s="5" t="str">
        <f>HLOOKUP("PRICE",'Raw Data'!$A$2:$N$3,2,FALSE)</f>
        <v>Price ($000s)</v>
      </c>
      <c r="D315" s="5" cm="1">
        <f t="array" aca="1" ref="D315" ca="1">INDIRECT("'Raw Data'!N"&amp;(A315+3))</f>
        <v>19.399999999999999</v>
      </c>
      <c r="E315" s="5">
        <f ca="1">IF(A315=506,"End Of Data",OFFSET('Raw Data'!$N$4,A315,0))</f>
        <v>21.6</v>
      </c>
      <c r="F315" s="5">
        <f ca="1">IF(A315=1,"Start of Data",OFFSET('Raw Data'!$N$4,A315-2,0))</f>
        <v>22.1</v>
      </c>
    </row>
    <row r="316" spans="1:6" x14ac:dyDescent="0.25">
      <c r="A316" s="5">
        <v>314</v>
      </c>
      <c r="B316" s="29">
        <f>'Raw Data'!N317</f>
        <v>21.6</v>
      </c>
      <c r="C316" s="5" t="str">
        <f>HLOOKUP("PRICE",'Raw Data'!$A$2:$N$3,2,FALSE)</f>
        <v>Price ($000s)</v>
      </c>
      <c r="D316" s="5" cm="1">
        <f t="array" aca="1" ref="D316" ca="1">INDIRECT("'Raw Data'!N"&amp;(A316+3))</f>
        <v>21.6</v>
      </c>
      <c r="E316" s="5">
        <f ca="1">IF(A316=506,"End Of Data",OFFSET('Raw Data'!$N$4,A316,0))</f>
        <v>23.8</v>
      </c>
      <c r="F316" s="5">
        <f ca="1">IF(A316=1,"Start of Data",OFFSET('Raw Data'!$N$4,A316-2,0))</f>
        <v>19.399999999999999</v>
      </c>
    </row>
    <row r="317" spans="1:6" x14ac:dyDescent="0.25">
      <c r="A317" s="5">
        <v>315</v>
      </c>
      <c r="B317" s="29">
        <f>'Raw Data'!N318</f>
        <v>23.8</v>
      </c>
      <c r="C317" s="5" t="str">
        <f>HLOOKUP("PRICE",'Raw Data'!$A$2:$N$3,2,FALSE)</f>
        <v>Price ($000s)</v>
      </c>
      <c r="D317" s="5" cm="1">
        <f t="array" aca="1" ref="D317" ca="1">INDIRECT("'Raw Data'!N"&amp;(A317+3))</f>
        <v>23.8</v>
      </c>
      <c r="E317" s="5">
        <f ca="1">IF(A317=506,"End Of Data",OFFSET('Raw Data'!$N$4,A317,0))</f>
        <v>16.2</v>
      </c>
      <c r="F317" s="5">
        <f ca="1">IF(A317=1,"Start of Data",OFFSET('Raw Data'!$N$4,A317-2,0))</f>
        <v>21.6</v>
      </c>
    </row>
    <row r="318" spans="1:6" x14ac:dyDescent="0.25">
      <c r="A318" s="5">
        <v>316</v>
      </c>
      <c r="B318" s="29">
        <f>'Raw Data'!N319</f>
        <v>16.2</v>
      </c>
      <c r="C318" s="5" t="str">
        <f>HLOOKUP("PRICE",'Raw Data'!$A$2:$N$3,2,FALSE)</f>
        <v>Price ($000s)</v>
      </c>
      <c r="D318" s="5" cm="1">
        <f t="array" aca="1" ref="D318" ca="1">INDIRECT("'Raw Data'!N"&amp;(A318+3))</f>
        <v>16.2</v>
      </c>
      <c r="E318" s="5">
        <f ca="1">IF(A318=506,"End Of Data",OFFSET('Raw Data'!$N$4,A318,0))</f>
        <v>17.8</v>
      </c>
      <c r="F318" s="5">
        <f ca="1">IF(A318=1,"Start of Data",OFFSET('Raw Data'!$N$4,A318-2,0))</f>
        <v>23.8</v>
      </c>
    </row>
    <row r="319" spans="1:6" x14ac:dyDescent="0.25">
      <c r="A319" s="5">
        <v>317</v>
      </c>
      <c r="B319" s="29">
        <f>'Raw Data'!N320</f>
        <v>17.8</v>
      </c>
      <c r="C319" s="5" t="str">
        <f>HLOOKUP("PRICE",'Raw Data'!$A$2:$N$3,2,FALSE)</f>
        <v>Price ($000s)</v>
      </c>
      <c r="D319" s="5" cm="1">
        <f t="array" aca="1" ref="D319" ca="1">INDIRECT("'Raw Data'!N"&amp;(A319+3))</f>
        <v>17.8</v>
      </c>
      <c r="E319" s="5">
        <f ca="1">IF(A319=506,"End Of Data",OFFSET('Raw Data'!$N$4,A319,0))</f>
        <v>19.8</v>
      </c>
      <c r="F319" s="5">
        <f ca="1">IF(A319=1,"Start of Data",OFFSET('Raw Data'!$N$4,A319-2,0))</f>
        <v>16.2</v>
      </c>
    </row>
    <row r="320" spans="1:6" x14ac:dyDescent="0.25">
      <c r="A320" s="5">
        <v>318</v>
      </c>
      <c r="B320" s="29">
        <f>'Raw Data'!N321</f>
        <v>19.8</v>
      </c>
      <c r="C320" s="5" t="str">
        <f>HLOOKUP("PRICE",'Raw Data'!$A$2:$N$3,2,FALSE)</f>
        <v>Price ($000s)</v>
      </c>
      <c r="D320" s="5" cm="1">
        <f t="array" aca="1" ref="D320" ca="1">INDIRECT("'Raw Data'!N"&amp;(A320+3))</f>
        <v>19.8</v>
      </c>
      <c r="E320" s="5">
        <f ca="1">IF(A320=506,"End Of Data",OFFSET('Raw Data'!$N$4,A320,0))</f>
        <v>23.1</v>
      </c>
      <c r="F320" s="5">
        <f ca="1">IF(A320=1,"Start of Data",OFFSET('Raw Data'!$N$4,A320-2,0))</f>
        <v>17.8</v>
      </c>
    </row>
    <row r="321" spans="1:6" x14ac:dyDescent="0.25">
      <c r="A321" s="5">
        <v>319</v>
      </c>
      <c r="B321" s="29">
        <f>'Raw Data'!N322</f>
        <v>23.1</v>
      </c>
      <c r="C321" s="5" t="str">
        <f>HLOOKUP("PRICE",'Raw Data'!$A$2:$N$3,2,FALSE)</f>
        <v>Price ($000s)</v>
      </c>
      <c r="D321" s="5" cm="1">
        <f t="array" aca="1" ref="D321" ca="1">INDIRECT("'Raw Data'!N"&amp;(A321+3))</f>
        <v>23.1</v>
      </c>
      <c r="E321" s="5">
        <f ca="1">IF(A321=506,"End Of Data",OFFSET('Raw Data'!$N$4,A321,0))</f>
        <v>21</v>
      </c>
      <c r="F321" s="5">
        <f ca="1">IF(A321=1,"Start of Data",OFFSET('Raw Data'!$N$4,A321-2,0))</f>
        <v>19.8</v>
      </c>
    </row>
    <row r="322" spans="1:6" x14ac:dyDescent="0.25">
      <c r="A322" s="5">
        <v>320</v>
      </c>
      <c r="B322" s="29">
        <f>'Raw Data'!N323</f>
        <v>21</v>
      </c>
      <c r="C322" s="5" t="str">
        <f>HLOOKUP("PRICE",'Raw Data'!$A$2:$N$3,2,FALSE)</f>
        <v>Price ($000s)</v>
      </c>
      <c r="D322" s="5" cm="1">
        <f t="array" aca="1" ref="D322" ca="1">INDIRECT("'Raw Data'!N"&amp;(A322+3))</f>
        <v>21</v>
      </c>
      <c r="E322" s="5">
        <f ca="1">IF(A322=506,"End Of Data",OFFSET('Raw Data'!$N$4,A322,0))</f>
        <v>23.8</v>
      </c>
      <c r="F322" s="5">
        <f ca="1">IF(A322=1,"Start of Data",OFFSET('Raw Data'!$N$4,A322-2,0))</f>
        <v>23.1</v>
      </c>
    </row>
    <row r="323" spans="1:6" x14ac:dyDescent="0.25">
      <c r="A323" s="5">
        <v>321</v>
      </c>
      <c r="B323" s="29">
        <f>'Raw Data'!N324</f>
        <v>23.8</v>
      </c>
      <c r="C323" s="5" t="str">
        <f>HLOOKUP("PRICE",'Raw Data'!$A$2:$N$3,2,FALSE)</f>
        <v>Price ($000s)</v>
      </c>
      <c r="D323" s="5" cm="1">
        <f t="array" aca="1" ref="D323" ca="1">INDIRECT("'Raw Data'!N"&amp;(A323+3))</f>
        <v>23.8</v>
      </c>
      <c r="E323" s="5">
        <f ca="1">IF(A323=506,"End Of Data",OFFSET('Raw Data'!$N$4,A323,0))</f>
        <v>23.1</v>
      </c>
      <c r="F323" s="5">
        <f ca="1">IF(A323=1,"Start of Data",OFFSET('Raw Data'!$N$4,A323-2,0))</f>
        <v>21</v>
      </c>
    </row>
    <row r="324" spans="1:6" x14ac:dyDescent="0.25">
      <c r="A324" s="5">
        <v>322</v>
      </c>
      <c r="B324" s="29">
        <f>'Raw Data'!N325</f>
        <v>23.1</v>
      </c>
      <c r="C324" s="5" t="str">
        <f>HLOOKUP("PRICE",'Raw Data'!$A$2:$N$3,2,FALSE)</f>
        <v>Price ($000s)</v>
      </c>
      <c r="D324" s="5" cm="1">
        <f t="array" aca="1" ref="D324" ca="1">INDIRECT("'Raw Data'!N"&amp;(A324+3))</f>
        <v>23.1</v>
      </c>
      <c r="E324" s="5">
        <f ca="1">IF(A324=506,"End Of Data",OFFSET('Raw Data'!$N$4,A324,0))</f>
        <v>20.399999999999999</v>
      </c>
      <c r="F324" s="5">
        <f ca="1">IF(A324=1,"Start of Data",OFFSET('Raw Data'!$N$4,A324-2,0))</f>
        <v>23.8</v>
      </c>
    </row>
    <row r="325" spans="1:6" x14ac:dyDescent="0.25">
      <c r="A325" s="5">
        <v>323</v>
      </c>
      <c r="B325" s="29">
        <f>'Raw Data'!N326</f>
        <v>20.399999999999999</v>
      </c>
      <c r="C325" s="5" t="str">
        <f>HLOOKUP("PRICE",'Raw Data'!$A$2:$N$3,2,FALSE)</f>
        <v>Price ($000s)</v>
      </c>
      <c r="D325" s="5" cm="1">
        <f t="array" aca="1" ref="D325" ca="1">INDIRECT("'Raw Data'!N"&amp;(A325+3))</f>
        <v>20.399999999999999</v>
      </c>
      <c r="E325" s="5">
        <f ca="1">IF(A325=506,"End Of Data",OFFSET('Raw Data'!$N$4,A325,0))</f>
        <v>18.5</v>
      </c>
      <c r="F325" s="5">
        <f ca="1">IF(A325=1,"Start of Data",OFFSET('Raw Data'!$N$4,A325-2,0))</f>
        <v>23.1</v>
      </c>
    </row>
    <row r="326" spans="1:6" x14ac:dyDescent="0.25">
      <c r="A326" s="5">
        <v>324</v>
      </c>
      <c r="B326" s="29">
        <f>'Raw Data'!N327</f>
        <v>18.5</v>
      </c>
      <c r="C326" s="5" t="str">
        <f>HLOOKUP("PRICE",'Raw Data'!$A$2:$N$3,2,FALSE)</f>
        <v>Price ($000s)</v>
      </c>
      <c r="D326" s="5" cm="1">
        <f t="array" aca="1" ref="D326" ca="1">INDIRECT("'Raw Data'!N"&amp;(A326+3))</f>
        <v>18.5</v>
      </c>
      <c r="E326" s="5">
        <f ca="1">IF(A326=506,"End Of Data",OFFSET('Raw Data'!$N$4,A326,0))</f>
        <v>25</v>
      </c>
      <c r="F326" s="5">
        <f ca="1">IF(A326=1,"Start of Data",OFFSET('Raw Data'!$N$4,A326-2,0))</f>
        <v>20.399999999999999</v>
      </c>
    </row>
    <row r="327" spans="1:6" x14ac:dyDescent="0.25">
      <c r="A327" s="5">
        <v>325</v>
      </c>
      <c r="B327" s="29">
        <f>'Raw Data'!N328</f>
        <v>25</v>
      </c>
      <c r="C327" s="5" t="str">
        <f>HLOOKUP("PRICE",'Raw Data'!$A$2:$N$3,2,FALSE)</f>
        <v>Price ($000s)</v>
      </c>
      <c r="D327" s="5" cm="1">
        <f t="array" aca="1" ref="D327" ca="1">INDIRECT("'Raw Data'!N"&amp;(A327+3))</f>
        <v>25</v>
      </c>
      <c r="E327" s="5">
        <f ca="1">IF(A327=506,"End Of Data",OFFSET('Raw Data'!$N$4,A327,0))</f>
        <v>24.6</v>
      </c>
      <c r="F327" s="5">
        <f ca="1">IF(A327=1,"Start of Data",OFFSET('Raw Data'!$N$4,A327-2,0))</f>
        <v>18.5</v>
      </c>
    </row>
    <row r="328" spans="1:6" x14ac:dyDescent="0.25">
      <c r="A328" s="5">
        <v>326</v>
      </c>
      <c r="B328" s="29">
        <f>'Raw Data'!N329</f>
        <v>24.6</v>
      </c>
      <c r="C328" s="5" t="str">
        <f>HLOOKUP("PRICE",'Raw Data'!$A$2:$N$3,2,FALSE)</f>
        <v>Price ($000s)</v>
      </c>
      <c r="D328" s="5" cm="1">
        <f t="array" aca="1" ref="D328" ca="1">INDIRECT("'Raw Data'!N"&amp;(A328+3))</f>
        <v>24.6</v>
      </c>
      <c r="E328" s="5">
        <f ca="1">IF(A328=506,"End Of Data",OFFSET('Raw Data'!$N$4,A328,0))</f>
        <v>23</v>
      </c>
      <c r="F328" s="5">
        <f ca="1">IF(A328=1,"Start of Data",OFFSET('Raw Data'!$N$4,A328-2,0))</f>
        <v>25</v>
      </c>
    </row>
    <row r="329" spans="1:6" x14ac:dyDescent="0.25">
      <c r="A329" s="5">
        <v>327</v>
      </c>
      <c r="B329" s="29">
        <f>'Raw Data'!N330</f>
        <v>23</v>
      </c>
      <c r="C329" s="5" t="str">
        <f>HLOOKUP("PRICE",'Raw Data'!$A$2:$N$3,2,FALSE)</f>
        <v>Price ($000s)</v>
      </c>
      <c r="D329" s="5" cm="1">
        <f t="array" aca="1" ref="D329" ca="1">INDIRECT("'Raw Data'!N"&amp;(A329+3))</f>
        <v>23</v>
      </c>
      <c r="E329" s="5">
        <f ca="1">IF(A329=506,"End Of Data",OFFSET('Raw Data'!$N$4,A329,0))</f>
        <v>22.2</v>
      </c>
      <c r="F329" s="5">
        <f ca="1">IF(A329=1,"Start of Data",OFFSET('Raw Data'!$N$4,A329-2,0))</f>
        <v>24.6</v>
      </c>
    </row>
    <row r="330" spans="1:6" x14ac:dyDescent="0.25">
      <c r="A330" s="5">
        <v>328</v>
      </c>
      <c r="B330" s="29">
        <f>'Raw Data'!N331</f>
        <v>22.2</v>
      </c>
      <c r="C330" s="5" t="str">
        <f>HLOOKUP("PRICE",'Raw Data'!$A$2:$N$3,2,FALSE)</f>
        <v>Price ($000s)</v>
      </c>
      <c r="D330" s="5" cm="1">
        <f t="array" aca="1" ref="D330" ca="1">INDIRECT("'Raw Data'!N"&amp;(A330+3))</f>
        <v>22.2</v>
      </c>
      <c r="E330" s="5">
        <f ca="1">IF(A330=506,"End Of Data",OFFSET('Raw Data'!$N$4,A330,0))</f>
        <v>19.3</v>
      </c>
      <c r="F330" s="5">
        <f ca="1">IF(A330=1,"Start of Data",OFFSET('Raw Data'!$N$4,A330-2,0))</f>
        <v>23</v>
      </c>
    </row>
    <row r="331" spans="1:6" x14ac:dyDescent="0.25">
      <c r="A331" s="5">
        <v>329</v>
      </c>
      <c r="B331" s="29">
        <f>'Raw Data'!N332</f>
        <v>19.3</v>
      </c>
      <c r="C331" s="5" t="str">
        <f>HLOOKUP("PRICE",'Raw Data'!$A$2:$N$3,2,FALSE)</f>
        <v>Price ($000s)</v>
      </c>
      <c r="D331" s="5" cm="1">
        <f t="array" aca="1" ref="D331" ca="1">INDIRECT("'Raw Data'!N"&amp;(A331+3))</f>
        <v>19.3</v>
      </c>
      <c r="E331" s="5">
        <f ca="1">IF(A331=506,"End Of Data",OFFSET('Raw Data'!$N$4,A331,0))</f>
        <v>22.6</v>
      </c>
      <c r="F331" s="5">
        <f ca="1">IF(A331=1,"Start of Data",OFFSET('Raw Data'!$N$4,A331-2,0))</f>
        <v>22.2</v>
      </c>
    </row>
    <row r="332" spans="1:6" x14ac:dyDescent="0.25">
      <c r="A332" s="5">
        <v>330</v>
      </c>
      <c r="B332" s="29">
        <f>'Raw Data'!N333</f>
        <v>22.6</v>
      </c>
      <c r="C332" s="5" t="str">
        <f>HLOOKUP("PRICE",'Raw Data'!$A$2:$N$3,2,FALSE)</f>
        <v>Price ($000s)</v>
      </c>
      <c r="D332" s="5" cm="1">
        <f t="array" aca="1" ref="D332" ca="1">INDIRECT("'Raw Data'!N"&amp;(A332+3))</f>
        <v>22.6</v>
      </c>
      <c r="E332" s="5">
        <f ca="1">IF(A332=506,"End Of Data",OFFSET('Raw Data'!$N$4,A332,0))</f>
        <v>19.8</v>
      </c>
      <c r="F332" s="5">
        <f ca="1">IF(A332=1,"Start of Data",OFFSET('Raw Data'!$N$4,A332-2,0))</f>
        <v>19.3</v>
      </c>
    </row>
    <row r="333" spans="1:6" x14ac:dyDescent="0.25">
      <c r="A333" s="5">
        <v>331</v>
      </c>
      <c r="B333" s="29">
        <f>'Raw Data'!N334</f>
        <v>19.8</v>
      </c>
      <c r="C333" s="5" t="str">
        <f>HLOOKUP("PRICE",'Raw Data'!$A$2:$N$3,2,FALSE)</f>
        <v>Price ($000s)</v>
      </c>
      <c r="D333" s="5" cm="1">
        <f t="array" aca="1" ref="D333" ca="1">INDIRECT("'Raw Data'!N"&amp;(A333+3))</f>
        <v>19.8</v>
      </c>
      <c r="E333" s="5">
        <f ca="1">IF(A333=506,"End Of Data",OFFSET('Raw Data'!$N$4,A333,0))</f>
        <v>17.100000000000001</v>
      </c>
      <c r="F333" s="5">
        <f ca="1">IF(A333=1,"Start of Data",OFFSET('Raw Data'!$N$4,A333-2,0))</f>
        <v>22.6</v>
      </c>
    </row>
    <row r="334" spans="1:6" x14ac:dyDescent="0.25">
      <c r="A334" s="5">
        <v>332</v>
      </c>
      <c r="B334" s="29">
        <f>'Raw Data'!N335</f>
        <v>17.100000000000001</v>
      </c>
      <c r="C334" s="5" t="str">
        <f>HLOOKUP("PRICE",'Raw Data'!$A$2:$N$3,2,FALSE)</f>
        <v>Price ($000s)</v>
      </c>
      <c r="D334" s="5" cm="1">
        <f t="array" aca="1" ref="D334" ca="1">INDIRECT("'Raw Data'!N"&amp;(A334+3))</f>
        <v>17.100000000000001</v>
      </c>
      <c r="E334" s="5">
        <f ca="1">IF(A334=506,"End Of Data",OFFSET('Raw Data'!$N$4,A334,0))</f>
        <v>19.399999999999999</v>
      </c>
      <c r="F334" s="5">
        <f ca="1">IF(A334=1,"Start of Data",OFFSET('Raw Data'!$N$4,A334-2,0))</f>
        <v>19.8</v>
      </c>
    </row>
    <row r="335" spans="1:6" x14ac:dyDescent="0.25">
      <c r="A335" s="5">
        <v>333</v>
      </c>
      <c r="B335" s="29">
        <f>'Raw Data'!N336</f>
        <v>19.399999999999999</v>
      </c>
      <c r="C335" s="5" t="str">
        <f>HLOOKUP("PRICE",'Raw Data'!$A$2:$N$3,2,FALSE)</f>
        <v>Price ($000s)</v>
      </c>
      <c r="D335" s="5" cm="1">
        <f t="array" aca="1" ref="D335" ca="1">INDIRECT("'Raw Data'!N"&amp;(A335+3))</f>
        <v>19.399999999999999</v>
      </c>
      <c r="E335" s="5">
        <f ca="1">IF(A335=506,"End Of Data",OFFSET('Raw Data'!$N$4,A335,0))</f>
        <v>22.2</v>
      </c>
      <c r="F335" s="5">
        <f ca="1">IF(A335=1,"Start of Data",OFFSET('Raw Data'!$N$4,A335-2,0))</f>
        <v>17.100000000000001</v>
      </c>
    </row>
    <row r="336" spans="1:6" x14ac:dyDescent="0.25">
      <c r="A336" s="5">
        <v>334</v>
      </c>
      <c r="B336" s="29">
        <f>'Raw Data'!N337</f>
        <v>22.2</v>
      </c>
      <c r="C336" s="5" t="str">
        <f>HLOOKUP("PRICE",'Raw Data'!$A$2:$N$3,2,FALSE)</f>
        <v>Price ($000s)</v>
      </c>
      <c r="D336" s="5" cm="1">
        <f t="array" aca="1" ref="D336" ca="1">INDIRECT("'Raw Data'!N"&amp;(A336+3))</f>
        <v>22.2</v>
      </c>
      <c r="E336" s="5">
        <f ca="1">IF(A336=506,"End Of Data",OFFSET('Raw Data'!$N$4,A336,0))</f>
        <v>20.7</v>
      </c>
      <c r="F336" s="5">
        <f ca="1">IF(A336=1,"Start of Data",OFFSET('Raw Data'!$N$4,A336-2,0))</f>
        <v>19.399999999999999</v>
      </c>
    </row>
    <row r="337" spans="1:6" x14ac:dyDescent="0.25">
      <c r="A337" s="5">
        <v>335</v>
      </c>
      <c r="B337" s="29">
        <f>'Raw Data'!N338</f>
        <v>20.7</v>
      </c>
      <c r="C337" s="5" t="str">
        <f>HLOOKUP("PRICE",'Raw Data'!$A$2:$N$3,2,FALSE)</f>
        <v>Price ($000s)</v>
      </c>
      <c r="D337" s="5" cm="1">
        <f t="array" aca="1" ref="D337" ca="1">INDIRECT("'Raw Data'!N"&amp;(A337+3))</f>
        <v>20.7</v>
      </c>
      <c r="E337" s="5">
        <f ca="1">IF(A337=506,"End Of Data",OFFSET('Raw Data'!$N$4,A337,0))</f>
        <v>21.1</v>
      </c>
      <c r="F337" s="5">
        <f ca="1">IF(A337=1,"Start of Data",OFFSET('Raw Data'!$N$4,A337-2,0))</f>
        <v>22.2</v>
      </c>
    </row>
    <row r="338" spans="1:6" x14ac:dyDescent="0.25">
      <c r="A338" s="5">
        <v>336</v>
      </c>
      <c r="B338" s="29">
        <f>'Raw Data'!N339</f>
        <v>21.1</v>
      </c>
      <c r="C338" s="5" t="str">
        <f>HLOOKUP("PRICE",'Raw Data'!$A$2:$N$3,2,FALSE)</f>
        <v>Price ($000s)</v>
      </c>
      <c r="D338" s="5" cm="1">
        <f t="array" aca="1" ref="D338" ca="1">INDIRECT("'Raw Data'!N"&amp;(A338+3))</f>
        <v>21.1</v>
      </c>
      <c r="E338" s="5">
        <f ca="1">IF(A338=506,"End Of Data",OFFSET('Raw Data'!$N$4,A338,0))</f>
        <v>19.5</v>
      </c>
      <c r="F338" s="5">
        <f ca="1">IF(A338=1,"Start of Data",OFFSET('Raw Data'!$N$4,A338-2,0))</f>
        <v>20.7</v>
      </c>
    </row>
    <row r="339" spans="1:6" x14ac:dyDescent="0.25">
      <c r="A339" s="5">
        <v>337</v>
      </c>
      <c r="B339" s="29">
        <f>'Raw Data'!N340</f>
        <v>19.5</v>
      </c>
      <c r="C339" s="5" t="str">
        <f>HLOOKUP("PRICE",'Raw Data'!$A$2:$N$3,2,FALSE)</f>
        <v>Price ($000s)</v>
      </c>
      <c r="D339" s="5" cm="1">
        <f t="array" aca="1" ref="D339" ca="1">INDIRECT("'Raw Data'!N"&amp;(A339+3))</f>
        <v>19.5</v>
      </c>
      <c r="E339" s="5">
        <f ca="1">IF(A339=506,"End Of Data",OFFSET('Raw Data'!$N$4,A339,0))</f>
        <v>18.5</v>
      </c>
      <c r="F339" s="5">
        <f ca="1">IF(A339=1,"Start of Data",OFFSET('Raw Data'!$N$4,A339-2,0))</f>
        <v>21.1</v>
      </c>
    </row>
    <row r="340" spans="1:6" x14ac:dyDescent="0.25">
      <c r="A340" s="5">
        <v>338</v>
      </c>
      <c r="B340" s="29">
        <f>'Raw Data'!N341</f>
        <v>18.5</v>
      </c>
      <c r="C340" s="5" t="str">
        <f>HLOOKUP("PRICE",'Raw Data'!$A$2:$N$3,2,FALSE)</f>
        <v>Price ($000s)</v>
      </c>
      <c r="D340" s="5" cm="1">
        <f t="array" aca="1" ref="D340" ca="1">INDIRECT("'Raw Data'!N"&amp;(A340+3))</f>
        <v>18.5</v>
      </c>
      <c r="E340" s="5">
        <f ca="1">IF(A340=506,"End Of Data",OFFSET('Raw Data'!$N$4,A340,0))</f>
        <v>20.6</v>
      </c>
      <c r="F340" s="5">
        <f ca="1">IF(A340=1,"Start of Data",OFFSET('Raw Data'!$N$4,A340-2,0))</f>
        <v>19.5</v>
      </c>
    </row>
    <row r="341" spans="1:6" x14ac:dyDescent="0.25">
      <c r="A341" s="5">
        <v>339</v>
      </c>
      <c r="B341" s="29">
        <f>'Raw Data'!N342</f>
        <v>20.6</v>
      </c>
      <c r="C341" s="5" t="str">
        <f>HLOOKUP("PRICE",'Raw Data'!$A$2:$N$3,2,FALSE)</f>
        <v>Price ($000s)</v>
      </c>
      <c r="D341" s="5" cm="1">
        <f t="array" aca="1" ref="D341" ca="1">INDIRECT("'Raw Data'!N"&amp;(A341+3))</f>
        <v>20.6</v>
      </c>
      <c r="E341" s="5">
        <f ca="1">IF(A341=506,"End Of Data",OFFSET('Raw Data'!$N$4,A341,0))</f>
        <v>19</v>
      </c>
      <c r="F341" s="5">
        <f ca="1">IF(A341=1,"Start of Data",OFFSET('Raw Data'!$N$4,A341-2,0))</f>
        <v>18.5</v>
      </c>
    </row>
    <row r="342" spans="1:6" x14ac:dyDescent="0.25">
      <c r="A342" s="5">
        <v>340</v>
      </c>
      <c r="B342" s="29">
        <f>'Raw Data'!N343</f>
        <v>19</v>
      </c>
      <c r="C342" s="5" t="str">
        <f>HLOOKUP("PRICE",'Raw Data'!$A$2:$N$3,2,FALSE)</f>
        <v>Price ($000s)</v>
      </c>
      <c r="D342" s="5" cm="1">
        <f t="array" aca="1" ref="D342" ca="1">INDIRECT("'Raw Data'!N"&amp;(A342+3))</f>
        <v>19</v>
      </c>
      <c r="E342" s="5">
        <f ca="1">IF(A342=506,"End Of Data",OFFSET('Raw Data'!$N$4,A342,0))</f>
        <v>18.7</v>
      </c>
      <c r="F342" s="5">
        <f ca="1">IF(A342=1,"Start of Data",OFFSET('Raw Data'!$N$4,A342-2,0))</f>
        <v>20.6</v>
      </c>
    </row>
    <row r="343" spans="1:6" x14ac:dyDescent="0.25">
      <c r="A343" s="5">
        <v>341</v>
      </c>
      <c r="B343" s="29">
        <f>'Raw Data'!N344</f>
        <v>18.7</v>
      </c>
      <c r="C343" s="5" t="str">
        <f>HLOOKUP("PRICE",'Raw Data'!$A$2:$N$3,2,FALSE)</f>
        <v>Price ($000s)</v>
      </c>
      <c r="D343" s="5" cm="1">
        <f t="array" aca="1" ref="D343" ca="1">INDIRECT("'Raw Data'!N"&amp;(A343+3))</f>
        <v>18.7</v>
      </c>
      <c r="E343" s="5">
        <f ca="1">IF(A343=506,"End Of Data",OFFSET('Raw Data'!$N$4,A343,0))</f>
        <v>32.700000000000003</v>
      </c>
      <c r="F343" s="5">
        <f ca="1">IF(A343=1,"Start of Data",OFFSET('Raw Data'!$N$4,A343-2,0))</f>
        <v>19</v>
      </c>
    </row>
    <row r="344" spans="1:6" x14ac:dyDescent="0.25">
      <c r="A344" s="5">
        <v>342</v>
      </c>
      <c r="B344" s="29">
        <f>'Raw Data'!N345</f>
        <v>32.700000000000003</v>
      </c>
      <c r="C344" s="5" t="str">
        <f>HLOOKUP("PRICE",'Raw Data'!$A$2:$N$3,2,FALSE)</f>
        <v>Price ($000s)</v>
      </c>
      <c r="D344" s="5" cm="1">
        <f t="array" aca="1" ref="D344" ca="1">INDIRECT("'Raw Data'!N"&amp;(A344+3))</f>
        <v>32.700000000000003</v>
      </c>
      <c r="E344" s="5">
        <f ca="1">IF(A344=506,"End Of Data",OFFSET('Raw Data'!$N$4,A344,0))</f>
        <v>16.5</v>
      </c>
      <c r="F344" s="5">
        <f ca="1">IF(A344=1,"Start of Data",OFFSET('Raw Data'!$N$4,A344-2,0))</f>
        <v>18.7</v>
      </c>
    </row>
    <row r="345" spans="1:6" x14ac:dyDescent="0.25">
      <c r="A345" s="5">
        <v>343</v>
      </c>
      <c r="B345" s="29">
        <f>'Raw Data'!N346</f>
        <v>16.5</v>
      </c>
      <c r="C345" s="5" t="str">
        <f>HLOOKUP("PRICE",'Raw Data'!$A$2:$N$3,2,FALSE)</f>
        <v>Price ($000s)</v>
      </c>
      <c r="D345" s="5" cm="1">
        <f t="array" aca="1" ref="D345" ca="1">INDIRECT("'Raw Data'!N"&amp;(A345+3))</f>
        <v>16.5</v>
      </c>
      <c r="E345" s="5">
        <f ca="1">IF(A345=506,"End Of Data",OFFSET('Raw Data'!$N$4,A345,0))</f>
        <v>23.9</v>
      </c>
      <c r="F345" s="5">
        <f ca="1">IF(A345=1,"Start of Data",OFFSET('Raw Data'!$N$4,A345-2,0))</f>
        <v>32.700000000000003</v>
      </c>
    </row>
    <row r="346" spans="1:6" x14ac:dyDescent="0.25">
      <c r="A346" s="5">
        <v>344</v>
      </c>
      <c r="B346" s="29">
        <f>'Raw Data'!N347</f>
        <v>23.9</v>
      </c>
      <c r="C346" s="5" t="str">
        <f>HLOOKUP("PRICE",'Raw Data'!$A$2:$N$3,2,FALSE)</f>
        <v>Price ($000s)</v>
      </c>
      <c r="D346" s="5" cm="1">
        <f t="array" aca="1" ref="D346" ca="1">INDIRECT("'Raw Data'!N"&amp;(A346+3))</f>
        <v>23.9</v>
      </c>
      <c r="E346" s="5">
        <f ca="1">IF(A346=506,"End Of Data",OFFSET('Raw Data'!$N$4,A346,0))</f>
        <v>31.2</v>
      </c>
      <c r="F346" s="5">
        <f ca="1">IF(A346=1,"Start of Data",OFFSET('Raw Data'!$N$4,A346-2,0))</f>
        <v>16.5</v>
      </c>
    </row>
    <row r="347" spans="1:6" x14ac:dyDescent="0.25">
      <c r="A347" s="5">
        <v>345</v>
      </c>
      <c r="B347" s="29">
        <f>'Raw Data'!N348</f>
        <v>31.2</v>
      </c>
      <c r="C347" s="5" t="str">
        <f>HLOOKUP("PRICE",'Raw Data'!$A$2:$N$3,2,FALSE)</f>
        <v>Price ($000s)</v>
      </c>
      <c r="D347" s="5" cm="1">
        <f t="array" aca="1" ref="D347" ca="1">INDIRECT("'Raw Data'!N"&amp;(A347+3))</f>
        <v>31.2</v>
      </c>
      <c r="E347" s="5">
        <f ca="1">IF(A347=506,"End Of Data",OFFSET('Raw Data'!$N$4,A347,0))</f>
        <v>17.5</v>
      </c>
      <c r="F347" s="5">
        <f ca="1">IF(A347=1,"Start of Data",OFFSET('Raw Data'!$N$4,A347-2,0))</f>
        <v>23.9</v>
      </c>
    </row>
    <row r="348" spans="1:6" x14ac:dyDescent="0.25">
      <c r="A348" s="5">
        <v>346</v>
      </c>
      <c r="B348" s="29">
        <f>'Raw Data'!N349</f>
        <v>17.5</v>
      </c>
      <c r="C348" s="5" t="str">
        <f>HLOOKUP("PRICE",'Raw Data'!$A$2:$N$3,2,FALSE)</f>
        <v>Price ($000s)</v>
      </c>
      <c r="D348" s="5" cm="1">
        <f t="array" aca="1" ref="D348" ca="1">INDIRECT("'Raw Data'!N"&amp;(A348+3))</f>
        <v>17.5</v>
      </c>
      <c r="E348" s="5">
        <f ca="1">IF(A348=506,"End Of Data",OFFSET('Raw Data'!$N$4,A348,0))</f>
        <v>17.2</v>
      </c>
      <c r="F348" s="5">
        <f ca="1">IF(A348=1,"Start of Data",OFFSET('Raw Data'!$N$4,A348-2,0))</f>
        <v>31.2</v>
      </c>
    </row>
    <row r="349" spans="1:6" x14ac:dyDescent="0.25">
      <c r="A349" s="5">
        <v>347</v>
      </c>
      <c r="B349" s="29">
        <f>'Raw Data'!N350</f>
        <v>17.2</v>
      </c>
      <c r="C349" s="5" t="str">
        <f>HLOOKUP("PRICE",'Raw Data'!$A$2:$N$3,2,FALSE)</f>
        <v>Price ($000s)</v>
      </c>
      <c r="D349" s="5" cm="1">
        <f t="array" aca="1" ref="D349" ca="1">INDIRECT("'Raw Data'!N"&amp;(A349+3))</f>
        <v>17.2</v>
      </c>
      <c r="E349" s="5">
        <f ca="1">IF(A349=506,"End Of Data",OFFSET('Raw Data'!$N$4,A349,0))</f>
        <v>23.1</v>
      </c>
      <c r="F349" s="5">
        <f ca="1">IF(A349=1,"Start of Data",OFFSET('Raw Data'!$N$4,A349-2,0))</f>
        <v>17.5</v>
      </c>
    </row>
    <row r="350" spans="1:6" x14ac:dyDescent="0.25">
      <c r="A350" s="5">
        <v>348</v>
      </c>
      <c r="B350" s="29">
        <f>'Raw Data'!N351</f>
        <v>23.1</v>
      </c>
      <c r="C350" s="5" t="str">
        <f>HLOOKUP("PRICE",'Raw Data'!$A$2:$N$3,2,FALSE)</f>
        <v>Price ($000s)</v>
      </c>
      <c r="D350" s="5" cm="1">
        <f t="array" aca="1" ref="D350" ca="1">INDIRECT("'Raw Data'!N"&amp;(A350+3))</f>
        <v>23.1</v>
      </c>
      <c r="E350" s="5">
        <f ca="1">IF(A350=506,"End Of Data",OFFSET('Raw Data'!$N$4,A350,0))</f>
        <v>24.5</v>
      </c>
      <c r="F350" s="5">
        <f ca="1">IF(A350=1,"Start of Data",OFFSET('Raw Data'!$N$4,A350-2,0))</f>
        <v>17.2</v>
      </c>
    </row>
    <row r="351" spans="1:6" x14ac:dyDescent="0.25">
      <c r="A351" s="5">
        <v>349</v>
      </c>
      <c r="B351" s="29">
        <f>'Raw Data'!N352</f>
        <v>24.5</v>
      </c>
      <c r="C351" s="5" t="str">
        <f>HLOOKUP("PRICE",'Raw Data'!$A$2:$N$3,2,FALSE)</f>
        <v>Price ($000s)</v>
      </c>
      <c r="D351" s="5" cm="1">
        <f t="array" aca="1" ref="D351" ca="1">INDIRECT("'Raw Data'!N"&amp;(A351+3))</f>
        <v>24.5</v>
      </c>
      <c r="E351" s="5">
        <f ca="1">IF(A351=506,"End Of Data",OFFSET('Raw Data'!$N$4,A351,0))</f>
        <v>26.6</v>
      </c>
      <c r="F351" s="5">
        <f ca="1">IF(A351=1,"Start of Data",OFFSET('Raw Data'!$N$4,A351-2,0))</f>
        <v>23.1</v>
      </c>
    </row>
    <row r="352" spans="1:6" x14ac:dyDescent="0.25">
      <c r="A352" s="5">
        <v>350</v>
      </c>
      <c r="B352" s="29">
        <f>'Raw Data'!N353</f>
        <v>26.6</v>
      </c>
      <c r="C352" s="5" t="str">
        <f>HLOOKUP("PRICE",'Raw Data'!$A$2:$N$3,2,FALSE)</f>
        <v>Price ($000s)</v>
      </c>
      <c r="D352" s="5" cm="1">
        <f t="array" aca="1" ref="D352" ca="1">INDIRECT("'Raw Data'!N"&amp;(A352+3))</f>
        <v>26.6</v>
      </c>
      <c r="E352" s="5">
        <f ca="1">IF(A352=506,"End Of Data",OFFSET('Raw Data'!$N$4,A352,0))</f>
        <v>22.9</v>
      </c>
      <c r="F352" s="5">
        <f ca="1">IF(A352=1,"Start of Data",OFFSET('Raw Data'!$N$4,A352-2,0))</f>
        <v>24.5</v>
      </c>
    </row>
    <row r="353" spans="1:6" x14ac:dyDescent="0.25">
      <c r="A353" s="5">
        <v>351</v>
      </c>
      <c r="B353" s="29">
        <f>'Raw Data'!N354</f>
        <v>22.9</v>
      </c>
      <c r="C353" s="5" t="str">
        <f>HLOOKUP("PRICE",'Raw Data'!$A$2:$N$3,2,FALSE)</f>
        <v>Price ($000s)</v>
      </c>
      <c r="D353" s="5" cm="1">
        <f t="array" aca="1" ref="D353" ca="1">INDIRECT("'Raw Data'!N"&amp;(A353+3))</f>
        <v>22.9</v>
      </c>
      <c r="E353" s="5">
        <f ca="1">IF(A353=506,"End Of Data",OFFSET('Raw Data'!$N$4,A353,0))</f>
        <v>24.1</v>
      </c>
      <c r="F353" s="5">
        <f ca="1">IF(A353=1,"Start of Data",OFFSET('Raw Data'!$N$4,A353-2,0))</f>
        <v>26.6</v>
      </c>
    </row>
    <row r="354" spans="1:6" x14ac:dyDescent="0.25">
      <c r="A354" s="5">
        <v>352</v>
      </c>
      <c r="B354" s="29">
        <f>'Raw Data'!N355</f>
        <v>24.1</v>
      </c>
      <c r="C354" s="5" t="str">
        <f>HLOOKUP("PRICE",'Raw Data'!$A$2:$N$3,2,FALSE)</f>
        <v>Price ($000s)</v>
      </c>
      <c r="D354" s="5" cm="1">
        <f t="array" aca="1" ref="D354" ca="1">INDIRECT("'Raw Data'!N"&amp;(A354+3))</f>
        <v>24.1</v>
      </c>
      <c r="E354" s="5">
        <f ca="1">IF(A354=506,"End Of Data",OFFSET('Raw Data'!$N$4,A354,0))</f>
        <v>18.600000000000001</v>
      </c>
      <c r="F354" s="5">
        <f ca="1">IF(A354=1,"Start of Data",OFFSET('Raw Data'!$N$4,A354-2,0))</f>
        <v>22.9</v>
      </c>
    </row>
    <row r="355" spans="1:6" x14ac:dyDescent="0.25">
      <c r="A355" s="5">
        <v>353</v>
      </c>
      <c r="B355" s="29">
        <f>'Raw Data'!N356</f>
        <v>18.600000000000001</v>
      </c>
      <c r="C355" s="5" t="str">
        <f>HLOOKUP("PRICE",'Raw Data'!$A$2:$N$3,2,FALSE)</f>
        <v>Price ($000s)</v>
      </c>
      <c r="D355" s="5" cm="1">
        <f t="array" aca="1" ref="D355" ca="1">INDIRECT("'Raw Data'!N"&amp;(A355+3))</f>
        <v>18.600000000000001</v>
      </c>
      <c r="E355" s="5">
        <f ca="1">IF(A355=506,"End Of Data",OFFSET('Raw Data'!$N$4,A355,0))</f>
        <v>30.1</v>
      </c>
      <c r="F355" s="5">
        <f ca="1">IF(A355=1,"Start of Data",OFFSET('Raw Data'!$N$4,A355-2,0))</f>
        <v>24.1</v>
      </c>
    </row>
    <row r="356" spans="1:6" x14ac:dyDescent="0.25">
      <c r="A356" s="5">
        <v>354</v>
      </c>
      <c r="B356" s="29">
        <f>'Raw Data'!N357</f>
        <v>30.1</v>
      </c>
      <c r="C356" s="5" t="str">
        <f>HLOOKUP("PRICE",'Raw Data'!$A$2:$N$3,2,FALSE)</f>
        <v>Price ($000s)</v>
      </c>
      <c r="D356" s="5" cm="1">
        <f t="array" aca="1" ref="D356" ca="1">INDIRECT("'Raw Data'!N"&amp;(A356+3))</f>
        <v>30.1</v>
      </c>
      <c r="E356" s="5">
        <f ca="1">IF(A356=506,"End Of Data",OFFSET('Raw Data'!$N$4,A356,0))</f>
        <v>18.2</v>
      </c>
      <c r="F356" s="5">
        <f ca="1">IF(A356=1,"Start of Data",OFFSET('Raw Data'!$N$4,A356-2,0))</f>
        <v>18.600000000000001</v>
      </c>
    </row>
    <row r="357" spans="1:6" x14ac:dyDescent="0.25">
      <c r="A357" s="5">
        <v>355</v>
      </c>
      <c r="B357" s="29">
        <f>'Raw Data'!N358</f>
        <v>18.2</v>
      </c>
      <c r="C357" s="5" t="str">
        <f>HLOOKUP("PRICE",'Raw Data'!$A$2:$N$3,2,FALSE)</f>
        <v>Price ($000s)</v>
      </c>
      <c r="D357" s="5" cm="1">
        <f t="array" aca="1" ref="D357" ca="1">INDIRECT("'Raw Data'!N"&amp;(A357+3))</f>
        <v>18.2</v>
      </c>
      <c r="E357" s="5">
        <f ca="1">IF(A357=506,"End Of Data",OFFSET('Raw Data'!$N$4,A357,0))</f>
        <v>20.6</v>
      </c>
      <c r="F357" s="5">
        <f ca="1">IF(A357=1,"Start of Data",OFFSET('Raw Data'!$N$4,A357-2,0))</f>
        <v>30.1</v>
      </c>
    </row>
    <row r="358" spans="1:6" x14ac:dyDescent="0.25">
      <c r="A358" s="5">
        <v>356</v>
      </c>
      <c r="B358" s="29">
        <f>'Raw Data'!N359</f>
        <v>20.6</v>
      </c>
      <c r="C358" s="5" t="str">
        <f>HLOOKUP("PRICE",'Raw Data'!$A$2:$N$3,2,FALSE)</f>
        <v>Price ($000s)</v>
      </c>
      <c r="D358" s="5" cm="1">
        <f t="array" aca="1" ref="D358" ca="1">INDIRECT("'Raw Data'!N"&amp;(A358+3))</f>
        <v>20.6</v>
      </c>
      <c r="E358" s="5">
        <f ca="1">IF(A358=506,"End Of Data",OFFSET('Raw Data'!$N$4,A358,0))</f>
        <v>17.8</v>
      </c>
      <c r="F358" s="5">
        <f ca="1">IF(A358=1,"Start of Data",OFFSET('Raw Data'!$N$4,A358-2,0))</f>
        <v>18.2</v>
      </c>
    </row>
    <row r="359" spans="1:6" x14ac:dyDescent="0.25">
      <c r="A359" s="5">
        <v>357</v>
      </c>
      <c r="B359" s="29">
        <f>'Raw Data'!N360</f>
        <v>17.8</v>
      </c>
      <c r="C359" s="5" t="str">
        <f>HLOOKUP("PRICE",'Raw Data'!$A$2:$N$3,2,FALSE)</f>
        <v>Price ($000s)</v>
      </c>
      <c r="D359" s="5" cm="1">
        <f t="array" aca="1" ref="D359" ca="1">INDIRECT("'Raw Data'!N"&amp;(A359+3))</f>
        <v>17.8</v>
      </c>
      <c r="E359" s="5">
        <f ca="1">IF(A359=506,"End Of Data",OFFSET('Raw Data'!$N$4,A359,0))</f>
        <v>21.7</v>
      </c>
      <c r="F359" s="5">
        <f ca="1">IF(A359=1,"Start of Data",OFFSET('Raw Data'!$N$4,A359-2,0))</f>
        <v>20.6</v>
      </c>
    </row>
    <row r="360" spans="1:6" x14ac:dyDescent="0.25">
      <c r="A360" s="5">
        <v>358</v>
      </c>
      <c r="B360" s="29">
        <f>'Raw Data'!N361</f>
        <v>21.7</v>
      </c>
      <c r="C360" s="5" t="str">
        <f>HLOOKUP("PRICE",'Raw Data'!$A$2:$N$3,2,FALSE)</f>
        <v>Price ($000s)</v>
      </c>
      <c r="D360" s="5" cm="1">
        <f t="array" aca="1" ref="D360" ca="1">INDIRECT("'Raw Data'!N"&amp;(A360+3))</f>
        <v>21.7</v>
      </c>
      <c r="E360" s="5">
        <f ca="1">IF(A360=506,"End Of Data",OFFSET('Raw Data'!$N$4,A360,0))</f>
        <v>22.7</v>
      </c>
      <c r="F360" s="5">
        <f ca="1">IF(A360=1,"Start of Data",OFFSET('Raw Data'!$N$4,A360-2,0))</f>
        <v>17.8</v>
      </c>
    </row>
    <row r="361" spans="1:6" x14ac:dyDescent="0.25">
      <c r="A361" s="5">
        <v>359</v>
      </c>
      <c r="B361" s="29">
        <f>'Raw Data'!N362</f>
        <v>22.7</v>
      </c>
      <c r="C361" s="5" t="str">
        <f>HLOOKUP("PRICE",'Raw Data'!$A$2:$N$3,2,FALSE)</f>
        <v>Price ($000s)</v>
      </c>
      <c r="D361" s="5" cm="1">
        <f t="array" aca="1" ref="D361" ca="1">INDIRECT("'Raw Data'!N"&amp;(A361+3))</f>
        <v>22.7</v>
      </c>
      <c r="E361" s="5">
        <f ca="1">IF(A361=506,"End Of Data",OFFSET('Raw Data'!$N$4,A361,0))</f>
        <v>22.6</v>
      </c>
      <c r="F361" s="5">
        <f ca="1">IF(A361=1,"Start of Data",OFFSET('Raw Data'!$N$4,A361-2,0))</f>
        <v>21.7</v>
      </c>
    </row>
    <row r="362" spans="1:6" x14ac:dyDescent="0.25">
      <c r="A362" s="5">
        <v>360</v>
      </c>
      <c r="B362" s="29">
        <f>'Raw Data'!N363</f>
        <v>22.6</v>
      </c>
      <c r="C362" s="5" t="str">
        <f>HLOOKUP("PRICE",'Raw Data'!$A$2:$N$3,2,FALSE)</f>
        <v>Price ($000s)</v>
      </c>
      <c r="D362" s="5" cm="1">
        <f t="array" aca="1" ref="D362" ca="1">INDIRECT("'Raw Data'!N"&amp;(A362+3))</f>
        <v>22.6</v>
      </c>
      <c r="E362" s="5">
        <f ca="1">IF(A362=506,"End Of Data",OFFSET('Raw Data'!$N$4,A362,0))</f>
        <v>25</v>
      </c>
      <c r="F362" s="5">
        <f ca="1">IF(A362=1,"Start of Data",OFFSET('Raw Data'!$N$4,A362-2,0))</f>
        <v>22.7</v>
      </c>
    </row>
    <row r="363" spans="1:6" x14ac:dyDescent="0.25">
      <c r="A363" s="5">
        <v>361</v>
      </c>
      <c r="B363" s="29">
        <f>'Raw Data'!N364</f>
        <v>25</v>
      </c>
      <c r="C363" s="5" t="str">
        <f>HLOOKUP("PRICE",'Raw Data'!$A$2:$N$3,2,FALSE)</f>
        <v>Price ($000s)</v>
      </c>
      <c r="D363" s="5" cm="1">
        <f t="array" aca="1" ref="D363" ca="1">INDIRECT("'Raw Data'!N"&amp;(A363+3))</f>
        <v>25</v>
      </c>
      <c r="E363" s="5">
        <f ca="1">IF(A363=506,"End Of Data",OFFSET('Raw Data'!$N$4,A363,0))</f>
        <v>19.899999999999999</v>
      </c>
      <c r="F363" s="5">
        <f ca="1">IF(A363=1,"Start of Data",OFFSET('Raw Data'!$N$4,A363-2,0))</f>
        <v>22.6</v>
      </c>
    </row>
    <row r="364" spans="1:6" x14ac:dyDescent="0.25">
      <c r="A364" s="5">
        <v>362</v>
      </c>
      <c r="B364" s="29">
        <f>'Raw Data'!N365</f>
        <v>19.899999999999999</v>
      </c>
      <c r="C364" s="5" t="str">
        <f>HLOOKUP("PRICE",'Raw Data'!$A$2:$N$3,2,FALSE)</f>
        <v>Price ($000s)</v>
      </c>
      <c r="D364" s="5" cm="1">
        <f t="array" aca="1" ref="D364" ca="1">INDIRECT("'Raw Data'!N"&amp;(A364+3))</f>
        <v>19.899999999999999</v>
      </c>
      <c r="E364" s="5">
        <f ca="1">IF(A364=506,"End Of Data",OFFSET('Raw Data'!$N$4,A364,0))</f>
        <v>20.8</v>
      </c>
      <c r="F364" s="5">
        <f ca="1">IF(A364=1,"Start of Data",OFFSET('Raw Data'!$N$4,A364-2,0))</f>
        <v>25</v>
      </c>
    </row>
    <row r="365" spans="1:6" x14ac:dyDescent="0.25">
      <c r="A365" s="5">
        <v>363</v>
      </c>
      <c r="B365" s="29">
        <f>'Raw Data'!N366</f>
        <v>20.8</v>
      </c>
      <c r="C365" s="5" t="str">
        <f>HLOOKUP("PRICE",'Raw Data'!$A$2:$N$3,2,FALSE)</f>
        <v>Price ($000s)</v>
      </c>
      <c r="D365" s="5" cm="1">
        <f t="array" aca="1" ref="D365" ca="1">INDIRECT("'Raw Data'!N"&amp;(A365+3))</f>
        <v>20.8</v>
      </c>
      <c r="E365" s="5">
        <f ca="1">IF(A365=506,"End Of Data",OFFSET('Raw Data'!$N$4,A365,0))</f>
        <v>16.8</v>
      </c>
      <c r="F365" s="5">
        <f ca="1">IF(A365=1,"Start of Data",OFFSET('Raw Data'!$N$4,A365-2,0))</f>
        <v>19.899999999999999</v>
      </c>
    </row>
    <row r="366" spans="1:6" x14ac:dyDescent="0.25">
      <c r="A366" s="5">
        <v>364</v>
      </c>
      <c r="B366" s="29">
        <f>'Raw Data'!N367</f>
        <v>16.8</v>
      </c>
      <c r="C366" s="5" t="str">
        <f>HLOOKUP("PRICE",'Raw Data'!$A$2:$N$3,2,FALSE)</f>
        <v>Price ($000s)</v>
      </c>
      <c r="D366" s="5" cm="1">
        <f t="array" aca="1" ref="D366" ca="1">INDIRECT("'Raw Data'!N"&amp;(A366+3))</f>
        <v>16.8</v>
      </c>
      <c r="E366" s="5">
        <f ca="1">IF(A366=506,"End Of Data",OFFSET('Raw Data'!$N$4,A366,0))</f>
        <v>21.9</v>
      </c>
      <c r="F366" s="5">
        <f ca="1">IF(A366=1,"Start of Data",OFFSET('Raw Data'!$N$4,A366-2,0))</f>
        <v>20.8</v>
      </c>
    </row>
    <row r="367" spans="1:6" x14ac:dyDescent="0.25">
      <c r="A367" s="5">
        <v>365</v>
      </c>
      <c r="B367" s="29">
        <f>'Raw Data'!N368</f>
        <v>21.9</v>
      </c>
      <c r="C367" s="5" t="str">
        <f>HLOOKUP("PRICE",'Raw Data'!$A$2:$N$3,2,FALSE)</f>
        <v>Price ($000s)</v>
      </c>
      <c r="D367" s="5" cm="1">
        <f t="array" aca="1" ref="D367" ca="1">INDIRECT("'Raw Data'!N"&amp;(A367+3))</f>
        <v>21.9</v>
      </c>
      <c r="E367" s="5">
        <f ca="1">IF(A367=506,"End Of Data",OFFSET('Raw Data'!$N$4,A367,0))</f>
        <v>27.5</v>
      </c>
      <c r="F367" s="5">
        <f ca="1">IF(A367=1,"Start of Data",OFFSET('Raw Data'!$N$4,A367-2,0))</f>
        <v>16.8</v>
      </c>
    </row>
    <row r="368" spans="1:6" x14ac:dyDescent="0.25">
      <c r="A368" s="5">
        <v>366</v>
      </c>
      <c r="B368" s="29">
        <f>'Raw Data'!N369</f>
        <v>27.5</v>
      </c>
      <c r="C368" s="5" t="str">
        <f>HLOOKUP("PRICE",'Raw Data'!$A$2:$N$3,2,FALSE)</f>
        <v>Price ($000s)</v>
      </c>
      <c r="D368" s="5" cm="1">
        <f t="array" aca="1" ref="D368" ca="1">INDIRECT("'Raw Data'!N"&amp;(A368+3))</f>
        <v>27.5</v>
      </c>
      <c r="E368" s="5">
        <f ca="1">IF(A368=506,"End Of Data",OFFSET('Raw Data'!$N$4,A368,0))</f>
        <v>21.9</v>
      </c>
      <c r="F368" s="5">
        <f ca="1">IF(A368=1,"Start of Data",OFFSET('Raw Data'!$N$4,A368-2,0))</f>
        <v>21.9</v>
      </c>
    </row>
    <row r="369" spans="1:6" x14ac:dyDescent="0.25">
      <c r="A369" s="5">
        <v>367</v>
      </c>
      <c r="B369" s="29">
        <f>'Raw Data'!N370</f>
        <v>21.9</v>
      </c>
      <c r="C369" s="5" t="str">
        <f>HLOOKUP("PRICE",'Raw Data'!$A$2:$N$3,2,FALSE)</f>
        <v>Price ($000s)</v>
      </c>
      <c r="D369" s="5" cm="1">
        <f t="array" aca="1" ref="D369" ca="1">INDIRECT("'Raw Data'!N"&amp;(A369+3))</f>
        <v>21.9</v>
      </c>
      <c r="E369" s="5">
        <f ca="1">IF(A369=506,"End Of Data",OFFSET('Raw Data'!$N$4,A369,0))</f>
        <v>0</v>
      </c>
      <c r="F369" s="5">
        <f ca="1">IF(A369=1,"Start of Data",OFFSET('Raw Data'!$N$4,A369-2,0))</f>
        <v>27.5</v>
      </c>
    </row>
    <row r="370" spans="1:6" x14ac:dyDescent="0.25">
      <c r="A370" s="5">
        <v>368</v>
      </c>
      <c r="B370" s="29">
        <f>'Raw Data'!N371</f>
        <v>0</v>
      </c>
      <c r="C370" s="5" t="str">
        <f>HLOOKUP("PRICE",'Raw Data'!$A$2:$N$3,2,FALSE)</f>
        <v>Price ($000s)</v>
      </c>
      <c r="D370" s="5" cm="1">
        <f t="array" aca="1" ref="D370" ca="1">INDIRECT("'Raw Data'!N"&amp;(A370+3))</f>
        <v>0</v>
      </c>
      <c r="E370" s="5">
        <f ca="1">IF(A370=506,"End Of Data",OFFSET('Raw Data'!$N$4,A370,0))</f>
        <v>50</v>
      </c>
      <c r="F370" s="5">
        <f ca="1">IF(A370=1,"Start of Data",OFFSET('Raw Data'!$N$4,A370-2,0))</f>
        <v>21.9</v>
      </c>
    </row>
    <row r="371" spans="1:6" x14ac:dyDescent="0.25">
      <c r="A371" s="5">
        <v>369</v>
      </c>
      <c r="B371" s="29">
        <f>'Raw Data'!N372</f>
        <v>50</v>
      </c>
      <c r="C371" s="5" t="str">
        <f>HLOOKUP("PRICE",'Raw Data'!$A$2:$N$3,2,FALSE)</f>
        <v>Price ($000s)</v>
      </c>
      <c r="D371" s="5" cm="1">
        <f t="array" aca="1" ref="D371" ca="1">INDIRECT("'Raw Data'!N"&amp;(A371+3))</f>
        <v>50</v>
      </c>
      <c r="E371" s="5">
        <f ca="1">IF(A371=506,"End Of Data",OFFSET('Raw Data'!$N$4,A371,0))</f>
        <v>50</v>
      </c>
      <c r="F371" s="5">
        <f ca="1">IF(A371=1,"Start of Data",OFFSET('Raw Data'!$N$4,A371-2,0))</f>
        <v>0</v>
      </c>
    </row>
    <row r="372" spans="1:6" x14ac:dyDescent="0.25">
      <c r="A372" s="5">
        <v>370</v>
      </c>
      <c r="B372" s="29">
        <f>'Raw Data'!N373</f>
        <v>50</v>
      </c>
      <c r="C372" s="5" t="str">
        <f>HLOOKUP("PRICE",'Raw Data'!$A$2:$N$3,2,FALSE)</f>
        <v>Price ($000s)</v>
      </c>
      <c r="D372" s="5" cm="1">
        <f t="array" aca="1" ref="D372" ca="1">INDIRECT("'Raw Data'!N"&amp;(A372+3))</f>
        <v>50</v>
      </c>
      <c r="E372" s="5">
        <f ca="1">IF(A372=506,"End Of Data",OFFSET('Raw Data'!$N$4,A372,0))</f>
        <v>50</v>
      </c>
      <c r="F372" s="5">
        <f ca="1">IF(A372=1,"Start of Data",OFFSET('Raw Data'!$N$4,A372-2,0))</f>
        <v>50</v>
      </c>
    </row>
    <row r="373" spans="1:6" x14ac:dyDescent="0.25">
      <c r="A373" s="5">
        <v>371</v>
      </c>
      <c r="B373" s="29">
        <f>'Raw Data'!N374</f>
        <v>50</v>
      </c>
      <c r="C373" s="5" t="str">
        <f>HLOOKUP("PRICE",'Raw Data'!$A$2:$N$3,2,FALSE)</f>
        <v>Price ($000s)</v>
      </c>
      <c r="D373" s="5" cm="1">
        <f t="array" aca="1" ref="D373" ca="1">INDIRECT("'Raw Data'!N"&amp;(A373+3))</f>
        <v>50</v>
      </c>
      <c r="E373" s="5">
        <f ca="1">IF(A373=506,"End Of Data",OFFSET('Raw Data'!$N$4,A373,0))</f>
        <v>50</v>
      </c>
      <c r="F373" s="5">
        <f ca="1">IF(A373=1,"Start of Data",OFFSET('Raw Data'!$N$4,A373-2,0))</f>
        <v>50</v>
      </c>
    </row>
    <row r="374" spans="1:6" x14ac:dyDescent="0.25">
      <c r="A374" s="5">
        <v>372</v>
      </c>
      <c r="B374" s="29">
        <f>'Raw Data'!N375</f>
        <v>50</v>
      </c>
      <c r="C374" s="5" t="str">
        <f>HLOOKUP("PRICE",'Raw Data'!$A$2:$N$3,2,FALSE)</f>
        <v>Price ($000s)</v>
      </c>
      <c r="D374" s="5" cm="1">
        <f t="array" aca="1" ref="D374" ca="1">INDIRECT("'Raw Data'!N"&amp;(A374+3))</f>
        <v>50</v>
      </c>
      <c r="E374" s="5">
        <f ca="1">IF(A374=506,"End Of Data",OFFSET('Raw Data'!$N$4,A374,0))</f>
        <v>50</v>
      </c>
      <c r="F374" s="5">
        <f ca="1">IF(A374=1,"Start of Data",OFFSET('Raw Data'!$N$4,A374-2,0))</f>
        <v>50</v>
      </c>
    </row>
    <row r="375" spans="1:6" x14ac:dyDescent="0.25">
      <c r="A375" s="5">
        <v>373</v>
      </c>
      <c r="B375" s="29">
        <f>'Raw Data'!N376</f>
        <v>50</v>
      </c>
      <c r="C375" s="5" t="str">
        <f>HLOOKUP("PRICE",'Raw Data'!$A$2:$N$3,2,FALSE)</f>
        <v>Price ($000s)</v>
      </c>
      <c r="D375" s="5" cm="1">
        <f t="array" aca="1" ref="D375" ca="1">INDIRECT("'Raw Data'!N"&amp;(A375+3))</f>
        <v>50</v>
      </c>
      <c r="E375" s="5">
        <f ca="1">IF(A375=506,"End Of Data",OFFSET('Raw Data'!$N$4,A375,0))</f>
        <v>0</v>
      </c>
      <c r="F375" s="5">
        <f ca="1">IF(A375=1,"Start of Data",OFFSET('Raw Data'!$N$4,A375-2,0))</f>
        <v>50</v>
      </c>
    </row>
    <row r="376" spans="1:6" x14ac:dyDescent="0.25">
      <c r="A376" s="5">
        <v>374</v>
      </c>
      <c r="B376" s="29">
        <f>'Raw Data'!N377</f>
        <v>0</v>
      </c>
      <c r="C376" s="5" t="str">
        <f>HLOOKUP("PRICE",'Raw Data'!$A$2:$N$3,2,FALSE)</f>
        <v>Price ($000s)</v>
      </c>
      <c r="D376" s="5" cm="1">
        <f t="array" aca="1" ref="D376" ca="1">INDIRECT("'Raw Data'!N"&amp;(A376+3))</f>
        <v>0</v>
      </c>
      <c r="E376" s="5">
        <f ca="1">IF(A376=506,"End Of Data",OFFSET('Raw Data'!$N$4,A376,0))</f>
        <v>0</v>
      </c>
      <c r="F376" s="5">
        <f ca="1">IF(A376=1,"Start of Data",OFFSET('Raw Data'!$N$4,A376-2,0))</f>
        <v>50</v>
      </c>
    </row>
    <row r="377" spans="1:6" x14ac:dyDescent="0.25">
      <c r="A377" s="5">
        <v>375</v>
      </c>
      <c r="B377" s="29">
        <f>'Raw Data'!N378</f>
        <v>0</v>
      </c>
      <c r="C377" s="5" t="str">
        <f>HLOOKUP("PRICE",'Raw Data'!$A$2:$N$3,2,FALSE)</f>
        <v>Price ($000s)</v>
      </c>
      <c r="D377" s="5" cm="1">
        <f t="array" aca="1" ref="D377" ca="1">INDIRECT("'Raw Data'!N"&amp;(A377+3))</f>
        <v>0</v>
      </c>
      <c r="E377" s="5">
        <f ca="1">IF(A377=506,"End Of Data",OFFSET('Raw Data'!$N$4,A377,0))</f>
        <v>0</v>
      </c>
      <c r="F377" s="5">
        <f ca="1">IF(A377=1,"Start of Data",OFFSET('Raw Data'!$N$4,A377-2,0))</f>
        <v>0</v>
      </c>
    </row>
    <row r="378" spans="1:6" x14ac:dyDescent="0.25">
      <c r="A378" s="5">
        <v>376</v>
      </c>
      <c r="B378" s="29">
        <f>'Raw Data'!N379</f>
        <v>0</v>
      </c>
      <c r="C378" s="5" t="str">
        <f>HLOOKUP("PRICE",'Raw Data'!$A$2:$N$3,2,FALSE)</f>
        <v>Price ($000s)</v>
      </c>
      <c r="D378" s="5" cm="1">
        <f t="array" aca="1" ref="D378" ca="1">INDIRECT("'Raw Data'!N"&amp;(A378+3))</f>
        <v>0</v>
      </c>
      <c r="E378" s="5">
        <f ca="1">IF(A378=506,"End Of Data",OFFSET('Raw Data'!$N$4,A378,0))</f>
        <v>0</v>
      </c>
      <c r="F378" s="5">
        <f ca="1">IF(A378=1,"Start of Data",OFFSET('Raw Data'!$N$4,A378-2,0))</f>
        <v>0</v>
      </c>
    </row>
    <row r="379" spans="1:6" x14ac:dyDescent="0.25">
      <c r="A379" s="5">
        <v>377</v>
      </c>
      <c r="B379" s="29">
        <f>'Raw Data'!N380</f>
        <v>0</v>
      </c>
      <c r="C379" s="5" t="str">
        <f>HLOOKUP("PRICE",'Raw Data'!$A$2:$N$3,2,FALSE)</f>
        <v>Price ($000s)</v>
      </c>
      <c r="D379" s="5" cm="1">
        <f t="array" aca="1" ref="D379" ca="1">INDIRECT("'Raw Data'!N"&amp;(A379+3))</f>
        <v>0</v>
      </c>
      <c r="E379" s="5">
        <f ca="1">IF(A379=506,"End Of Data",OFFSET('Raw Data'!$N$4,A379,0))</f>
        <v>13.3</v>
      </c>
      <c r="F379" s="5">
        <f ca="1">IF(A379=1,"Start of Data",OFFSET('Raw Data'!$N$4,A379-2,0))</f>
        <v>0</v>
      </c>
    </row>
    <row r="380" spans="1:6" x14ac:dyDescent="0.25">
      <c r="A380" s="5">
        <v>378</v>
      </c>
      <c r="B380" s="29">
        <f>'Raw Data'!N381</f>
        <v>13.3</v>
      </c>
      <c r="C380" s="5" t="str">
        <f>HLOOKUP("PRICE",'Raw Data'!$A$2:$N$3,2,FALSE)</f>
        <v>Price ($000s)</v>
      </c>
      <c r="D380" s="5" cm="1">
        <f t="array" aca="1" ref="D380" ca="1">INDIRECT("'Raw Data'!N"&amp;(A380+3))</f>
        <v>13.3</v>
      </c>
      <c r="E380" s="5">
        <f ca="1">IF(A380=506,"End Of Data",OFFSET('Raw Data'!$N$4,A380,0))</f>
        <v>0</v>
      </c>
      <c r="F380" s="5">
        <f ca="1">IF(A380=1,"Start of Data",OFFSET('Raw Data'!$N$4,A380-2,0))</f>
        <v>0</v>
      </c>
    </row>
    <row r="381" spans="1:6" x14ac:dyDescent="0.25">
      <c r="A381" s="5">
        <v>379</v>
      </c>
      <c r="B381" s="29">
        <f>'Raw Data'!N382</f>
        <v>0</v>
      </c>
      <c r="C381" s="5" t="str">
        <f>HLOOKUP("PRICE",'Raw Data'!$A$2:$N$3,2,FALSE)</f>
        <v>Price ($000s)</v>
      </c>
      <c r="D381" s="5" cm="1">
        <f t="array" aca="1" ref="D381" ca="1">INDIRECT("'Raw Data'!N"&amp;(A381+3))</f>
        <v>0</v>
      </c>
      <c r="E381" s="5">
        <f ca="1">IF(A381=506,"End Of Data",OFFSET('Raw Data'!$N$4,A381,0))</f>
        <v>0</v>
      </c>
      <c r="F381" s="5">
        <f ca="1">IF(A381=1,"Start of Data",OFFSET('Raw Data'!$N$4,A381-2,0))</f>
        <v>13.3</v>
      </c>
    </row>
    <row r="382" spans="1:6" x14ac:dyDescent="0.25">
      <c r="A382" s="5">
        <v>380</v>
      </c>
      <c r="B382" s="29">
        <f>'Raw Data'!N383</f>
        <v>0</v>
      </c>
      <c r="C382" s="5" t="str">
        <f>HLOOKUP("PRICE",'Raw Data'!$A$2:$N$3,2,FALSE)</f>
        <v>Price ($000s)</v>
      </c>
      <c r="D382" s="5" cm="1">
        <f t="array" aca="1" ref="D382" ca="1">INDIRECT("'Raw Data'!N"&amp;(A382+3))</f>
        <v>0</v>
      </c>
      <c r="E382" s="5">
        <f ca="1">IF(A382=506,"End Of Data",OFFSET('Raw Data'!$N$4,A382,0))</f>
        <v>0</v>
      </c>
      <c r="F382" s="5">
        <f ca="1">IF(A382=1,"Start of Data",OFFSET('Raw Data'!$N$4,A382-2,0))</f>
        <v>0</v>
      </c>
    </row>
    <row r="383" spans="1:6" x14ac:dyDescent="0.25">
      <c r="A383" s="5">
        <v>381</v>
      </c>
      <c r="B383" s="29">
        <f>'Raw Data'!N384</f>
        <v>0</v>
      </c>
      <c r="C383" s="5" t="str">
        <f>HLOOKUP("PRICE",'Raw Data'!$A$2:$N$3,2,FALSE)</f>
        <v>Price ($000s)</v>
      </c>
      <c r="D383" s="5" cm="1">
        <f t="array" aca="1" ref="D383" ca="1">INDIRECT("'Raw Data'!N"&amp;(A383+3))</f>
        <v>0</v>
      </c>
      <c r="E383" s="5">
        <f ca="1">IF(A383=506,"End Of Data",OFFSET('Raw Data'!$N$4,A383,0))</f>
        <v>0</v>
      </c>
      <c r="F383" s="5">
        <f ca="1">IF(A383=1,"Start of Data",OFFSET('Raw Data'!$N$4,A383-2,0))</f>
        <v>0</v>
      </c>
    </row>
    <row r="384" spans="1:6" x14ac:dyDescent="0.25">
      <c r="A384" s="5">
        <v>382</v>
      </c>
      <c r="B384" s="29">
        <f>'Raw Data'!N385</f>
        <v>0</v>
      </c>
      <c r="C384" s="5" t="str">
        <f>HLOOKUP("PRICE",'Raw Data'!$A$2:$N$3,2,FALSE)</f>
        <v>Price ($000s)</v>
      </c>
      <c r="D384" s="5" cm="1">
        <f t="array" aca="1" ref="D384" ca="1">INDIRECT("'Raw Data'!N"&amp;(A384+3))</f>
        <v>0</v>
      </c>
      <c r="E384" s="5">
        <f ca="1">IF(A384=506,"End Of Data",OFFSET('Raw Data'!$N$4,A384,0))</f>
        <v>11.3</v>
      </c>
      <c r="F384" s="5">
        <f ca="1">IF(A384=1,"Start of Data",OFFSET('Raw Data'!$N$4,A384-2,0))</f>
        <v>0</v>
      </c>
    </row>
    <row r="385" spans="1:6" x14ac:dyDescent="0.25">
      <c r="A385" s="5">
        <v>383</v>
      </c>
      <c r="B385" s="29">
        <f>'Raw Data'!N386</f>
        <v>11.3</v>
      </c>
      <c r="C385" s="5" t="str">
        <f>HLOOKUP("PRICE",'Raw Data'!$A$2:$N$3,2,FALSE)</f>
        <v>Price ($000s)</v>
      </c>
      <c r="D385" s="5" cm="1">
        <f t="array" aca="1" ref="D385" ca="1">INDIRECT("'Raw Data'!N"&amp;(A385+3))</f>
        <v>11.3</v>
      </c>
      <c r="E385" s="5">
        <f ca="1">IF(A385=506,"End Of Data",OFFSET('Raw Data'!$N$4,A385,0))</f>
        <v>12.3</v>
      </c>
      <c r="F385" s="5">
        <f ca="1">IF(A385=1,"Start of Data",OFFSET('Raw Data'!$N$4,A385-2,0))</f>
        <v>0</v>
      </c>
    </row>
    <row r="386" spans="1:6" x14ac:dyDescent="0.25">
      <c r="A386" s="5">
        <v>384</v>
      </c>
      <c r="B386" s="29">
        <f>'Raw Data'!N387</f>
        <v>12.3</v>
      </c>
      <c r="C386" s="5" t="str">
        <f>HLOOKUP("PRICE",'Raw Data'!$A$2:$N$3,2,FALSE)</f>
        <v>Price ($000s)</v>
      </c>
      <c r="D386" s="5" cm="1">
        <f t="array" aca="1" ref="D386" ca="1">INDIRECT("'Raw Data'!N"&amp;(A386+3))</f>
        <v>12.3</v>
      </c>
      <c r="E386" s="5">
        <f ca="1">IF(A386=506,"End Of Data",OFFSET('Raw Data'!$N$4,A386,0))</f>
        <v>0</v>
      </c>
      <c r="F386" s="5">
        <f ca="1">IF(A386=1,"Start of Data",OFFSET('Raw Data'!$N$4,A386-2,0))</f>
        <v>11.3</v>
      </c>
    </row>
    <row r="387" spans="1:6" x14ac:dyDescent="0.25">
      <c r="A387" s="5">
        <v>385</v>
      </c>
      <c r="B387" s="29">
        <f>'Raw Data'!N388</f>
        <v>0</v>
      </c>
      <c r="C387" s="5" t="str">
        <f>HLOOKUP("PRICE",'Raw Data'!$A$2:$N$3,2,FALSE)</f>
        <v>Price ($000s)</v>
      </c>
      <c r="D387" s="5" cm="1">
        <f t="array" aca="1" ref="D387" ca="1">INDIRECT("'Raw Data'!N"&amp;(A387+3))</f>
        <v>0</v>
      </c>
      <c r="E387" s="5">
        <f ca="1">IF(A387=506,"End Of Data",OFFSET('Raw Data'!$N$4,A387,0))</f>
        <v>0</v>
      </c>
      <c r="F387" s="5">
        <f ca="1">IF(A387=1,"Start of Data",OFFSET('Raw Data'!$N$4,A387-2,0))</f>
        <v>12.3</v>
      </c>
    </row>
    <row r="388" spans="1:6" x14ac:dyDescent="0.25">
      <c r="A388" s="5">
        <v>386</v>
      </c>
      <c r="B388" s="29">
        <f>'Raw Data'!N389</f>
        <v>0</v>
      </c>
      <c r="C388" s="5" t="str">
        <f>HLOOKUP("PRICE",'Raw Data'!$A$2:$N$3,2,FALSE)</f>
        <v>Price ($000s)</v>
      </c>
      <c r="D388" s="5" cm="1">
        <f t="array" aca="1" ref="D388" ca="1">INDIRECT("'Raw Data'!N"&amp;(A388+3))</f>
        <v>0</v>
      </c>
      <c r="E388" s="5">
        <f ca="1">IF(A388=506,"End Of Data",OFFSET('Raw Data'!$N$4,A388,0))</f>
        <v>0</v>
      </c>
      <c r="F388" s="5">
        <f ca="1">IF(A388=1,"Start of Data",OFFSET('Raw Data'!$N$4,A388-2,0))</f>
        <v>0</v>
      </c>
    </row>
    <row r="389" spans="1:6" x14ac:dyDescent="0.25">
      <c r="A389" s="5">
        <v>387</v>
      </c>
      <c r="B389" s="29">
        <f>'Raw Data'!N390</f>
        <v>0</v>
      </c>
      <c r="C389" s="5" t="str">
        <f>HLOOKUP("PRICE",'Raw Data'!$A$2:$N$3,2,FALSE)</f>
        <v>Price ($000s)</v>
      </c>
      <c r="D389" s="5" cm="1">
        <f t="array" aca="1" ref="D389" ca="1">INDIRECT("'Raw Data'!N"&amp;(A389+3))</f>
        <v>0</v>
      </c>
      <c r="E389" s="5">
        <f ca="1">IF(A389=506,"End Of Data",OFFSET('Raw Data'!$N$4,A389,0))</f>
        <v>0</v>
      </c>
      <c r="F389" s="5">
        <f ca="1">IF(A389=1,"Start of Data",OFFSET('Raw Data'!$N$4,A389-2,0))</f>
        <v>0</v>
      </c>
    </row>
    <row r="390" spans="1:6" x14ac:dyDescent="0.25">
      <c r="A390" s="5">
        <v>388</v>
      </c>
      <c r="B390" s="29">
        <f>'Raw Data'!N391</f>
        <v>0</v>
      </c>
      <c r="C390" s="5" t="str">
        <f>HLOOKUP("PRICE",'Raw Data'!$A$2:$N$3,2,FALSE)</f>
        <v>Price ($000s)</v>
      </c>
      <c r="D390" s="5" cm="1">
        <f t="array" aca="1" ref="D390" ca="1">INDIRECT("'Raw Data'!N"&amp;(A390+3))</f>
        <v>0</v>
      </c>
      <c r="E390" s="5">
        <f ca="1">IF(A390=506,"End Of Data",OFFSET('Raw Data'!$N$4,A390,0))</f>
        <v>0</v>
      </c>
      <c r="F390" s="5">
        <f ca="1">IF(A390=1,"Start of Data",OFFSET('Raw Data'!$N$4,A390-2,0))</f>
        <v>0</v>
      </c>
    </row>
    <row r="391" spans="1:6" x14ac:dyDescent="0.25">
      <c r="A391" s="5">
        <v>389</v>
      </c>
      <c r="B391" s="29">
        <f>'Raw Data'!N392</f>
        <v>0</v>
      </c>
      <c r="C391" s="5" t="str">
        <f>HLOOKUP("PRICE",'Raw Data'!$A$2:$N$3,2,FALSE)</f>
        <v>Price ($000s)</v>
      </c>
      <c r="D391" s="5" cm="1">
        <f t="array" aca="1" ref="D391" ca="1">INDIRECT("'Raw Data'!N"&amp;(A391+3))</f>
        <v>0</v>
      </c>
      <c r="E391" s="5">
        <f ca="1">IF(A391=506,"End Of Data",OFFSET('Raw Data'!$N$4,A391,0))</f>
        <v>11.5</v>
      </c>
      <c r="F391" s="5">
        <f ca="1">IF(A391=1,"Start of Data",OFFSET('Raw Data'!$N$4,A391-2,0))</f>
        <v>0</v>
      </c>
    </row>
    <row r="392" spans="1:6" x14ac:dyDescent="0.25">
      <c r="A392" s="5">
        <v>390</v>
      </c>
      <c r="B392" s="29">
        <f>'Raw Data'!N393</f>
        <v>11.5</v>
      </c>
      <c r="C392" s="5" t="str">
        <f>HLOOKUP("PRICE",'Raw Data'!$A$2:$N$3,2,FALSE)</f>
        <v>Price ($000s)</v>
      </c>
      <c r="D392" s="5" cm="1">
        <f t="array" aca="1" ref="D392" ca="1">INDIRECT("'Raw Data'!N"&amp;(A392+3))</f>
        <v>11.5</v>
      </c>
      <c r="E392" s="5">
        <f ca="1">IF(A392=506,"End Of Data",OFFSET('Raw Data'!$N$4,A392,0))</f>
        <v>15.1</v>
      </c>
      <c r="F392" s="5">
        <f ca="1">IF(A392=1,"Start of Data",OFFSET('Raw Data'!$N$4,A392-2,0))</f>
        <v>0</v>
      </c>
    </row>
    <row r="393" spans="1:6" x14ac:dyDescent="0.25">
      <c r="A393" s="5">
        <v>391</v>
      </c>
      <c r="B393" s="29">
        <f>'Raw Data'!N394</f>
        <v>15.1</v>
      </c>
      <c r="C393" s="5" t="str">
        <f>HLOOKUP("PRICE",'Raw Data'!$A$2:$N$3,2,FALSE)</f>
        <v>Price ($000s)</v>
      </c>
      <c r="D393" s="5" cm="1">
        <f t="array" aca="1" ref="D393" ca="1">INDIRECT("'Raw Data'!N"&amp;(A393+3))</f>
        <v>15.1</v>
      </c>
      <c r="E393" s="5">
        <f ca="1">IF(A393=506,"End Of Data",OFFSET('Raw Data'!$N$4,A393,0))</f>
        <v>23.2</v>
      </c>
      <c r="F393" s="5">
        <f ca="1">IF(A393=1,"Start of Data",OFFSET('Raw Data'!$N$4,A393-2,0))</f>
        <v>11.5</v>
      </c>
    </row>
    <row r="394" spans="1:6" x14ac:dyDescent="0.25">
      <c r="A394" s="5">
        <v>392</v>
      </c>
      <c r="B394" s="29">
        <f>'Raw Data'!N395</f>
        <v>23.2</v>
      </c>
      <c r="C394" s="5" t="str">
        <f>HLOOKUP("PRICE",'Raw Data'!$A$2:$N$3,2,FALSE)</f>
        <v>Price ($000s)</v>
      </c>
      <c r="D394" s="5" cm="1">
        <f t="array" aca="1" ref="D394" ca="1">INDIRECT("'Raw Data'!N"&amp;(A394+3))</f>
        <v>23.2</v>
      </c>
      <c r="E394" s="5">
        <f ca="1">IF(A394=506,"End Of Data",OFFSET('Raw Data'!$N$4,A394,0))</f>
        <v>0</v>
      </c>
      <c r="F394" s="5">
        <f ca="1">IF(A394=1,"Start of Data",OFFSET('Raw Data'!$N$4,A394-2,0))</f>
        <v>15.1</v>
      </c>
    </row>
    <row r="395" spans="1:6" x14ac:dyDescent="0.25">
      <c r="A395" s="5">
        <v>393</v>
      </c>
      <c r="B395" s="29">
        <f>'Raw Data'!N396</f>
        <v>0</v>
      </c>
      <c r="C395" s="5" t="str">
        <f>HLOOKUP("PRICE",'Raw Data'!$A$2:$N$3,2,FALSE)</f>
        <v>Price ($000s)</v>
      </c>
      <c r="D395" s="5" cm="1">
        <f t="array" aca="1" ref="D395" ca="1">INDIRECT("'Raw Data'!N"&amp;(A395+3))</f>
        <v>0</v>
      </c>
      <c r="E395" s="5">
        <f ca="1">IF(A395=506,"End Of Data",OFFSET('Raw Data'!$N$4,A395,0))</f>
        <v>13.8</v>
      </c>
      <c r="F395" s="5">
        <f ca="1">IF(A395=1,"Start of Data",OFFSET('Raw Data'!$N$4,A395-2,0))</f>
        <v>23.2</v>
      </c>
    </row>
    <row r="396" spans="1:6" x14ac:dyDescent="0.25">
      <c r="A396" s="5">
        <v>394</v>
      </c>
      <c r="B396" s="29">
        <f>'Raw Data'!N397</f>
        <v>13.8</v>
      </c>
      <c r="C396" s="5" t="str">
        <f>HLOOKUP("PRICE",'Raw Data'!$A$2:$N$3,2,FALSE)</f>
        <v>Price ($000s)</v>
      </c>
      <c r="D396" s="5" cm="1">
        <f t="array" aca="1" ref="D396" ca="1">INDIRECT("'Raw Data'!N"&amp;(A396+3))</f>
        <v>13.8</v>
      </c>
      <c r="E396" s="5">
        <f ca="1">IF(A396=506,"End Of Data",OFFSET('Raw Data'!$N$4,A396,0))</f>
        <v>0</v>
      </c>
      <c r="F396" s="5">
        <f ca="1">IF(A396=1,"Start of Data",OFFSET('Raw Data'!$N$4,A396-2,0))</f>
        <v>0</v>
      </c>
    </row>
    <row r="397" spans="1:6" x14ac:dyDescent="0.25">
      <c r="A397" s="5">
        <v>395</v>
      </c>
      <c r="B397" s="29">
        <f>'Raw Data'!N398</f>
        <v>0</v>
      </c>
      <c r="C397" s="5" t="str">
        <f>HLOOKUP("PRICE",'Raw Data'!$A$2:$N$3,2,FALSE)</f>
        <v>Price ($000s)</v>
      </c>
      <c r="D397" s="5" cm="1">
        <f t="array" aca="1" ref="D397" ca="1">INDIRECT("'Raw Data'!N"&amp;(A397+3))</f>
        <v>0</v>
      </c>
      <c r="E397" s="5">
        <f ca="1">IF(A397=506,"End Of Data",OFFSET('Raw Data'!$N$4,A397,0))</f>
        <v>13.1</v>
      </c>
      <c r="F397" s="5">
        <f ca="1">IF(A397=1,"Start of Data",OFFSET('Raw Data'!$N$4,A397-2,0))</f>
        <v>13.8</v>
      </c>
    </row>
    <row r="398" spans="1:6" x14ac:dyDescent="0.25">
      <c r="A398" s="5">
        <v>396</v>
      </c>
      <c r="B398" s="29">
        <f>'Raw Data'!N399</f>
        <v>13.1</v>
      </c>
      <c r="C398" s="5" t="str">
        <f>HLOOKUP("PRICE",'Raw Data'!$A$2:$N$3,2,FALSE)</f>
        <v>Price ($000s)</v>
      </c>
      <c r="D398" s="5" cm="1">
        <f t="array" aca="1" ref="D398" ca="1">INDIRECT("'Raw Data'!N"&amp;(A398+3))</f>
        <v>13.1</v>
      </c>
      <c r="E398" s="5">
        <f ca="1">IF(A398=506,"End Of Data",OFFSET('Raw Data'!$N$4,A398,0))</f>
        <v>12.5</v>
      </c>
      <c r="F398" s="5">
        <f ca="1">IF(A398=1,"Start of Data",OFFSET('Raw Data'!$N$4,A398-2,0))</f>
        <v>0</v>
      </c>
    </row>
    <row r="399" spans="1:6" x14ac:dyDescent="0.25">
      <c r="A399" s="5">
        <v>397</v>
      </c>
      <c r="B399" s="29">
        <f>'Raw Data'!N400</f>
        <v>12.5</v>
      </c>
      <c r="C399" s="5" t="str">
        <f>HLOOKUP("PRICE",'Raw Data'!$A$2:$N$3,2,FALSE)</f>
        <v>Price ($000s)</v>
      </c>
      <c r="D399" s="5" cm="1">
        <f t="array" aca="1" ref="D399" ca="1">INDIRECT("'Raw Data'!N"&amp;(A399+3))</f>
        <v>12.5</v>
      </c>
      <c r="E399" s="5">
        <f ca="1">IF(A399=506,"End Of Data",OFFSET('Raw Data'!$N$4,A399,0))</f>
        <v>8.5</v>
      </c>
      <c r="F399" s="5">
        <f ca="1">IF(A399=1,"Start of Data",OFFSET('Raw Data'!$N$4,A399-2,0))</f>
        <v>13.1</v>
      </c>
    </row>
    <row r="400" spans="1:6" x14ac:dyDescent="0.25">
      <c r="A400" s="5">
        <v>398</v>
      </c>
      <c r="B400" s="29">
        <f>'Raw Data'!N401</f>
        <v>8.5</v>
      </c>
      <c r="C400" s="5" t="str">
        <f>HLOOKUP("PRICE",'Raw Data'!$A$2:$N$3,2,FALSE)</f>
        <v>Price ($000s)</v>
      </c>
      <c r="D400" s="5" cm="1">
        <f t="array" aca="1" ref="D400" ca="1">INDIRECT("'Raw Data'!N"&amp;(A400+3))</f>
        <v>8.5</v>
      </c>
      <c r="E400" s="5">
        <f ca="1">IF(A400=506,"End Of Data",OFFSET('Raw Data'!$N$4,A400,0))</f>
        <v>0</v>
      </c>
      <c r="F400" s="5">
        <f ca="1">IF(A400=1,"Start of Data",OFFSET('Raw Data'!$N$4,A400-2,0))</f>
        <v>12.5</v>
      </c>
    </row>
    <row r="401" spans="1:6" x14ac:dyDescent="0.25">
      <c r="A401" s="5">
        <v>399</v>
      </c>
      <c r="B401" s="29">
        <f>'Raw Data'!N402</f>
        <v>0</v>
      </c>
      <c r="C401" s="5" t="str">
        <f>HLOOKUP("PRICE",'Raw Data'!$A$2:$N$3,2,FALSE)</f>
        <v>Price ($000s)</v>
      </c>
      <c r="D401" s="5" cm="1">
        <f t="array" aca="1" ref="D401" ca="1">INDIRECT("'Raw Data'!N"&amp;(A401+3))</f>
        <v>0</v>
      </c>
      <c r="E401" s="5">
        <f ca="1">IF(A401=506,"End Of Data",OFFSET('Raw Data'!$N$4,A401,0))</f>
        <v>6.3</v>
      </c>
      <c r="F401" s="5">
        <f ca="1">IF(A401=1,"Start of Data",OFFSET('Raw Data'!$N$4,A401-2,0))</f>
        <v>8.5</v>
      </c>
    </row>
    <row r="402" spans="1:6" x14ac:dyDescent="0.25">
      <c r="A402" s="5">
        <v>400</v>
      </c>
      <c r="B402" s="29">
        <f>'Raw Data'!N403</f>
        <v>6.3</v>
      </c>
      <c r="C402" s="5" t="str">
        <f>HLOOKUP("PRICE",'Raw Data'!$A$2:$N$3,2,FALSE)</f>
        <v>Price ($000s)</v>
      </c>
      <c r="D402" s="5" cm="1">
        <f t="array" aca="1" ref="D402" ca="1">INDIRECT("'Raw Data'!N"&amp;(A402+3))</f>
        <v>6.3</v>
      </c>
      <c r="E402" s="5">
        <f ca="1">IF(A402=506,"End Of Data",OFFSET('Raw Data'!$N$4,A402,0))</f>
        <v>0</v>
      </c>
      <c r="F402" s="5">
        <f ca="1">IF(A402=1,"Start of Data",OFFSET('Raw Data'!$N$4,A402-2,0))</f>
        <v>0</v>
      </c>
    </row>
    <row r="403" spans="1:6" x14ac:dyDescent="0.25">
      <c r="A403" s="5">
        <v>401</v>
      </c>
      <c r="B403" s="29">
        <f>'Raw Data'!N404</f>
        <v>0</v>
      </c>
      <c r="C403" s="5" t="str">
        <f>HLOOKUP("PRICE",'Raw Data'!$A$2:$N$3,2,FALSE)</f>
        <v>Price ($000s)</v>
      </c>
      <c r="D403" s="5" cm="1">
        <f t="array" aca="1" ref="D403" ca="1">INDIRECT("'Raw Data'!N"&amp;(A403+3))</f>
        <v>0</v>
      </c>
      <c r="E403" s="5">
        <f ca="1">IF(A403=506,"End Of Data",OFFSET('Raw Data'!$N$4,A403,0))</f>
        <v>0</v>
      </c>
      <c r="F403" s="5">
        <f ca="1">IF(A403=1,"Start of Data",OFFSET('Raw Data'!$N$4,A403-2,0))</f>
        <v>6.3</v>
      </c>
    </row>
    <row r="404" spans="1:6" x14ac:dyDescent="0.25">
      <c r="A404" s="5">
        <v>402</v>
      </c>
      <c r="B404" s="29">
        <f>'Raw Data'!N405</f>
        <v>0</v>
      </c>
      <c r="C404" s="5" t="str">
        <f>HLOOKUP("PRICE",'Raw Data'!$A$2:$N$3,2,FALSE)</f>
        <v>Price ($000s)</v>
      </c>
      <c r="D404" s="5" cm="1">
        <f t="array" aca="1" ref="D404" ca="1">INDIRECT("'Raw Data'!N"&amp;(A404+3))</f>
        <v>0</v>
      </c>
      <c r="E404" s="5">
        <f ca="1">IF(A404=506,"End Of Data",OFFSET('Raw Data'!$N$4,A404,0))</f>
        <v>12.1</v>
      </c>
      <c r="F404" s="5">
        <f ca="1">IF(A404=1,"Start of Data",OFFSET('Raw Data'!$N$4,A404-2,0))</f>
        <v>0</v>
      </c>
    </row>
    <row r="405" spans="1:6" x14ac:dyDescent="0.25">
      <c r="A405" s="5">
        <v>403</v>
      </c>
      <c r="B405" s="29">
        <f>'Raw Data'!N406</f>
        <v>12.1</v>
      </c>
      <c r="C405" s="5" t="str">
        <f>HLOOKUP("PRICE",'Raw Data'!$A$2:$N$3,2,FALSE)</f>
        <v>Price ($000s)</v>
      </c>
      <c r="D405" s="5" cm="1">
        <f t="array" aca="1" ref="D405" ca="1">INDIRECT("'Raw Data'!N"&amp;(A405+3))</f>
        <v>12.1</v>
      </c>
      <c r="E405" s="5">
        <f ca="1">IF(A405=506,"End Of Data",OFFSET('Raw Data'!$N$4,A405,0))</f>
        <v>0</v>
      </c>
      <c r="F405" s="5">
        <f ca="1">IF(A405=1,"Start of Data",OFFSET('Raw Data'!$N$4,A405-2,0))</f>
        <v>0</v>
      </c>
    </row>
    <row r="406" spans="1:6" x14ac:dyDescent="0.25">
      <c r="A406" s="5">
        <v>404</v>
      </c>
      <c r="B406" s="29">
        <f>'Raw Data'!N407</f>
        <v>0</v>
      </c>
      <c r="C406" s="5" t="str">
        <f>HLOOKUP("PRICE",'Raw Data'!$A$2:$N$3,2,FALSE)</f>
        <v>Price ($000s)</v>
      </c>
      <c r="D406" s="5" cm="1">
        <f t="array" aca="1" ref="D406" ca="1">INDIRECT("'Raw Data'!N"&amp;(A406+3))</f>
        <v>0</v>
      </c>
      <c r="E406" s="5">
        <f ca="1">IF(A406=506,"End Of Data",OFFSET('Raw Data'!$N$4,A406,0))</f>
        <v>0</v>
      </c>
      <c r="F406" s="5">
        <f ca="1">IF(A406=1,"Start of Data",OFFSET('Raw Data'!$N$4,A406-2,0))</f>
        <v>12.1</v>
      </c>
    </row>
    <row r="407" spans="1:6" x14ac:dyDescent="0.25">
      <c r="A407" s="5">
        <v>405</v>
      </c>
      <c r="B407" s="29">
        <f>'Raw Data'!N408</f>
        <v>0</v>
      </c>
      <c r="C407" s="5" t="str">
        <f>HLOOKUP("PRICE",'Raw Data'!$A$2:$N$3,2,FALSE)</f>
        <v>Price ($000s)</v>
      </c>
      <c r="D407" s="5" cm="1">
        <f t="array" aca="1" ref="D407" ca="1">INDIRECT("'Raw Data'!N"&amp;(A407+3))</f>
        <v>0</v>
      </c>
      <c r="E407" s="5">
        <f ca="1">IF(A407=506,"End Of Data",OFFSET('Raw Data'!$N$4,A407,0))</f>
        <v>0</v>
      </c>
      <c r="F407" s="5">
        <f ca="1">IF(A407=1,"Start of Data",OFFSET('Raw Data'!$N$4,A407-2,0))</f>
        <v>0</v>
      </c>
    </row>
    <row r="408" spans="1:6" x14ac:dyDescent="0.25">
      <c r="A408" s="5">
        <v>406</v>
      </c>
      <c r="B408" s="29">
        <f>'Raw Data'!N409</f>
        <v>0</v>
      </c>
      <c r="C408" s="5" t="str">
        <f>HLOOKUP("PRICE",'Raw Data'!$A$2:$N$3,2,FALSE)</f>
        <v>Price ($000s)</v>
      </c>
      <c r="D408" s="5" cm="1">
        <f t="array" aca="1" ref="D408" ca="1">INDIRECT("'Raw Data'!N"&amp;(A408+3))</f>
        <v>0</v>
      </c>
      <c r="E408" s="5">
        <f ca="1">IF(A408=506,"End Of Data",OFFSET('Raw Data'!$N$4,A408,0))</f>
        <v>0</v>
      </c>
      <c r="F408" s="5">
        <f ca="1">IF(A408=1,"Start of Data",OFFSET('Raw Data'!$N$4,A408-2,0))</f>
        <v>0</v>
      </c>
    </row>
    <row r="409" spans="1:6" x14ac:dyDescent="0.25">
      <c r="A409" s="5">
        <v>407</v>
      </c>
      <c r="B409" s="29">
        <f>'Raw Data'!N410</f>
        <v>0</v>
      </c>
      <c r="C409" s="5" t="str">
        <f>HLOOKUP("PRICE",'Raw Data'!$A$2:$N$3,2,FALSE)</f>
        <v>Price ($000s)</v>
      </c>
      <c r="D409" s="5" cm="1">
        <f t="array" aca="1" ref="D409" ca="1">INDIRECT("'Raw Data'!N"&amp;(A409+3))</f>
        <v>0</v>
      </c>
      <c r="E409" s="5">
        <f ca="1">IF(A409=506,"End Of Data",OFFSET('Raw Data'!$N$4,A409,0))</f>
        <v>0</v>
      </c>
      <c r="F409" s="5">
        <f ca="1">IF(A409=1,"Start of Data",OFFSET('Raw Data'!$N$4,A409-2,0))</f>
        <v>0</v>
      </c>
    </row>
    <row r="410" spans="1:6" x14ac:dyDescent="0.25">
      <c r="A410" s="5">
        <v>408</v>
      </c>
      <c r="B410" s="29">
        <f>'Raw Data'!N411</f>
        <v>0</v>
      </c>
      <c r="C410" s="5" t="str">
        <f>HLOOKUP("PRICE",'Raw Data'!$A$2:$N$3,2,FALSE)</f>
        <v>Price ($000s)</v>
      </c>
      <c r="D410" s="5" cm="1">
        <f t="array" aca="1" ref="D410" ca="1">INDIRECT("'Raw Data'!N"&amp;(A410+3))</f>
        <v>0</v>
      </c>
      <c r="E410" s="5">
        <f ca="1">IF(A410=506,"End Of Data",OFFSET('Raw Data'!$N$4,A410,0))</f>
        <v>17.2</v>
      </c>
      <c r="F410" s="5">
        <f ca="1">IF(A410=1,"Start of Data",OFFSET('Raw Data'!$N$4,A410-2,0))</f>
        <v>0</v>
      </c>
    </row>
    <row r="411" spans="1:6" x14ac:dyDescent="0.25">
      <c r="A411" s="5">
        <v>409</v>
      </c>
      <c r="B411" s="29">
        <f>'Raw Data'!N412</f>
        <v>17.2</v>
      </c>
      <c r="C411" s="5" t="str">
        <f>HLOOKUP("PRICE",'Raw Data'!$A$2:$N$3,2,FALSE)</f>
        <v>Price ($000s)</v>
      </c>
      <c r="D411" s="5" cm="1">
        <f t="array" aca="1" ref="D411" ca="1">INDIRECT("'Raw Data'!N"&amp;(A411+3))</f>
        <v>17.2</v>
      </c>
      <c r="E411" s="5">
        <f ca="1">IF(A411=506,"End Of Data",OFFSET('Raw Data'!$N$4,A411,0))</f>
        <v>0</v>
      </c>
      <c r="F411" s="5">
        <f ca="1">IF(A411=1,"Start of Data",OFFSET('Raw Data'!$N$4,A411-2,0))</f>
        <v>0</v>
      </c>
    </row>
    <row r="412" spans="1:6" x14ac:dyDescent="0.25">
      <c r="A412" s="5">
        <v>410</v>
      </c>
      <c r="B412" s="29">
        <f>'Raw Data'!N413</f>
        <v>0</v>
      </c>
      <c r="C412" s="5" t="str">
        <f>HLOOKUP("PRICE",'Raw Data'!$A$2:$N$3,2,FALSE)</f>
        <v>Price ($000s)</v>
      </c>
      <c r="D412" s="5" cm="1">
        <f t="array" aca="1" ref="D412" ca="1">INDIRECT("'Raw Data'!N"&amp;(A412+3))</f>
        <v>0</v>
      </c>
      <c r="E412" s="5">
        <f ca="1">IF(A412=506,"End Of Data",OFFSET('Raw Data'!$N$4,A412,0))</f>
        <v>0</v>
      </c>
      <c r="F412" s="5">
        <f ca="1">IF(A412=1,"Start of Data",OFFSET('Raw Data'!$N$4,A412-2,0))</f>
        <v>17.2</v>
      </c>
    </row>
    <row r="413" spans="1:6" x14ac:dyDescent="0.25">
      <c r="A413" s="5">
        <v>411</v>
      </c>
      <c r="B413" s="29">
        <f>'Raw Data'!N414</f>
        <v>0</v>
      </c>
      <c r="C413" s="5" t="str">
        <f>HLOOKUP("PRICE",'Raw Data'!$A$2:$N$3,2,FALSE)</f>
        <v>Price ($000s)</v>
      </c>
      <c r="D413" s="5" cm="1">
        <f t="array" aca="1" ref="D413" ca="1">INDIRECT("'Raw Data'!N"&amp;(A413+3))</f>
        <v>0</v>
      </c>
      <c r="E413" s="5">
        <f ca="1">IF(A413=506,"End Of Data",OFFSET('Raw Data'!$N$4,A413,0))</f>
        <v>0</v>
      </c>
      <c r="F413" s="5">
        <f ca="1">IF(A413=1,"Start of Data",OFFSET('Raw Data'!$N$4,A413-2,0))</f>
        <v>0</v>
      </c>
    </row>
    <row r="414" spans="1:6" x14ac:dyDescent="0.25">
      <c r="A414" s="5">
        <v>412</v>
      </c>
      <c r="B414" s="29">
        <f>'Raw Data'!N415</f>
        <v>0</v>
      </c>
      <c r="C414" s="5" t="str">
        <f>HLOOKUP("PRICE",'Raw Data'!$A$2:$N$3,2,FALSE)</f>
        <v>Price ($000s)</v>
      </c>
      <c r="D414" s="5" cm="1">
        <f t="array" aca="1" ref="D414" ca="1">INDIRECT("'Raw Data'!N"&amp;(A414+3))</f>
        <v>0</v>
      </c>
      <c r="E414" s="5">
        <f ca="1">IF(A414=506,"End Of Data",OFFSET('Raw Data'!$N$4,A414,0))</f>
        <v>0</v>
      </c>
      <c r="F414" s="5">
        <f ca="1">IF(A414=1,"Start of Data",OFFSET('Raw Data'!$N$4,A414-2,0))</f>
        <v>0</v>
      </c>
    </row>
    <row r="415" spans="1:6" x14ac:dyDescent="0.25">
      <c r="A415" s="5">
        <v>413</v>
      </c>
      <c r="B415" s="29">
        <f>'Raw Data'!N416</f>
        <v>0</v>
      </c>
      <c r="C415" s="5" t="str">
        <f>HLOOKUP("PRICE",'Raw Data'!$A$2:$N$3,2,FALSE)</f>
        <v>Price ($000s)</v>
      </c>
      <c r="D415" s="5" cm="1">
        <f t="array" aca="1" ref="D415" ca="1">INDIRECT("'Raw Data'!N"&amp;(A415+3))</f>
        <v>0</v>
      </c>
      <c r="E415" s="5">
        <f ca="1">IF(A415=506,"End Of Data",OFFSET('Raw Data'!$N$4,A415,0))</f>
        <v>0</v>
      </c>
      <c r="F415" s="5">
        <f ca="1">IF(A415=1,"Start of Data",OFFSET('Raw Data'!$N$4,A415-2,0))</f>
        <v>0</v>
      </c>
    </row>
    <row r="416" spans="1:6" x14ac:dyDescent="0.25">
      <c r="A416" s="5">
        <v>414</v>
      </c>
      <c r="B416" s="29">
        <f>'Raw Data'!N417</f>
        <v>0</v>
      </c>
      <c r="C416" s="5" t="str">
        <f>HLOOKUP("PRICE",'Raw Data'!$A$2:$N$3,2,FALSE)</f>
        <v>Price ($000s)</v>
      </c>
      <c r="D416" s="5" cm="1">
        <f t="array" aca="1" ref="D416" ca="1">INDIRECT("'Raw Data'!N"&amp;(A416+3))</f>
        <v>0</v>
      </c>
      <c r="E416" s="5">
        <f ca="1">IF(A416=506,"End Of Data",OFFSET('Raw Data'!$N$4,A416,0))</f>
        <v>0</v>
      </c>
      <c r="F416" s="5">
        <f ca="1">IF(A416=1,"Start of Data",OFFSET('Raw Data'!$N$4,A416-2,0))</f>
        <v>0</v>
      </c>
    </row>
    <row r="417" spans="1:6" x14ac:dyDescent="0.25">
      <c r="A417" s="5">
        <v>415</v>
      </c>
      <c r="B417" s="29">
        <f>'Raw Data'!N418</f>
        <v>0</v>
      </c>
      <c r="C417" s="5" t="str">
        <f>HLOOKUP("PRICE",'Raw Data'!$A$2:$N$3,2,FALSE)</f>
        <v>Price ($000s)</v>
      </c>
      <c r="D417" s="5" cm="1">
        <f t="array" aca="1" ref="D417" ca="1">INDIRECT("'Raw Data'!N"&amp;(A417+3))</f>
        <v>0</v>
      </c>
      <c r="E417" s="5">
        <f ca="1">IF(A417=506,"End Of Data",OFFSET('Raw Data'!$N$4,A417,0))</f>
        <v>0</v>
      </c>
      <c r="F417" s="5">
        <f ca="1">IF(A417=1,"Start of Data",OFFSET('Raw Data'!$N$4,A417-2,0))</f>
        <v>0</v>
      </c>
    </row>
    <row r="418" spans="1:6" x14ac:dyDescent="0.25">
      <c r="A418" s="5">
        <v>416</v>
      </c>
      <c r="B418" s="29">
        <f>'Raw Data'!N419</f>
        <v>0</v>
      </c>
      <c r="C418" s="5" t="str">
        <f>HLOOKUP("PRICE",'Raw Data'!$A$2:$N$3,2,FALSE)</f>
        <v>Price ($000s)</v>
      </c>
      <c r="D418" s="5" cm="1">
        <f t="array" aca="1" ref="D418" ca="1">INDIRECT("'Raw Data'!N"&amp;(A418+3))</f>
        <v>0</v>
      </c>
      <c r="E418" s="5">
        <f ca="1">IF(A418=506,"End Of Data",OFFSET('Raw Data'!$N$4,A418,0))</f>
        <v>0</v>
      </c>
      <c r="F418" s="5">
        <f ca="1">IF(A418=1,"Start of Data",OFFSET('Raw Data'!$N$4,A418-2,0))</f>
        <v>0</v>
      </c>
    </row>
    <row r="419" spans="1:6" x14ac:dyDescent="0.25">
      <c r="A419" s="5">
        <v>417</v>
      </c>
      <c r="B419" s="29">
        <f>'Raw Data'!N420</f>
        <v>0</v>
      </c>
      <c r="C419" s="5" t="str">
        <f>HLOOKUP("PRICE",'Raw Data'!$A$2:$N$3,2,FALSE)</f>
        <v>Price ($000s)</v>
      </c>
      <c r="D419" s="5" cm="1">
        <f t="array" aca="1" ref="D419" ca="1">INDIRECT("'Raw Data'!N"&amp;(A419+3))</f>
        <v>0</v>
      </c>
      <c r="E419" s="5">
        <f ca="1">IF(A419=506,"End Of Data",OFFSET('Raw Data'!$N$4,A419,0))</f>
        <v>0</v>
      </c>
      <c r="F419" s="5">
        <f ca="1">IF(A419=1,"Start of Data",OFFSET('Raw Data'!$N$4,A419-2,0))</f>
        <v>0</v>
      </c>
    </row>
    <row r="420" spans="1:6" x14ac:dyDescent="0.25">
      <c r="A420" s="5">
        <v>418</v>
      </c>
      <c r="B420" s="29">
        <f>'Raw Data'!N421</f>
        <v>0</v>
      </c>
      <c r="C420" s="5" t="str">
        <f>HLOOKUP("PRICE",'Raw Data'!$A$2:$N$3,2,FALSE)</f>
        <v>Price ($000s)</v>
      </c>
      <c r="D420" s="5" cm="1">
        <f t="array" aca="1" ref="D420" ca="1">INDIRECT("'Raw Data'!N"&amp;(A420+3))</f>
        <v>0</v>
      </c>
      <c r="E420" s="5">
        <f ca="1">IF(A420=506,"End Of Data",OFFSET('Raw Data'!$N$4,A420,0))</f>
        <v>0</v>
      </c>
      <c r="F420" s="5">
        <f ca="1">IF(A420=1,"Start of Data",OFFSET('Raw Data'!$N$4,A420-2,0))</f>
        <v>0</v>
      </c>
    </row>
    <row r="421" spans="1:6" x14ac:dyDescent="0.25">
      <c r="A421" s="5">
        <v>419</v>
      </c>
      <c r="B421" s="29">
        <f>'Raw Data'!N422</f>
        <v>0</v>
      </c>
      <c r="C421" s="5" t="str">
        <f>HLOOKUP("PRICE",'Raw Data'!$A$2:$N$3,2,FALSE)</f>
        <v>Price ($000s)</v>
      </c>
      <c r="D421" s="5" cm="1">
        <f t="array" aca="1" ref="D421" ca="1">INDIRECT("'Raw Data'!N"&amp;(A421+3))</f>
        <v>0</v>
      </c>
      <c r="E421" s="5">
        <f ca="1">IF(A421=506,"End Of Data",OFFSET('Raw Data'!$N$4,A421,0))</f>
        <v>0</v>
      </c>
      <c r="F421" s="5">
        <f ca="1">IF(A421=1,"Start of Data",OFFSET('Raw Data'!$N$4,A421-2,0))</f>
        <v>0</v>
      </c>
    </row>
    <row r="422" spans="1:6" x14ac:dyDescent="0.25">
      <c r="A422" s="5">
        <v>420</v>
      </c>
      <c r="B422" s="29">
        <f>'Raw Data'!N423</f>
        <v>0</v>
      </c>
      <c r="C422" s="5" t="str">
        <f>HLOOKUP("PRICE",'Raw Data'!$A$2:$N$3,2,FALSE)</f>
        <v>Price ($000s)</v>
      </c>
      <c r="D422" s="5" cm="1">
        <f t="array" aca="1" ref="D422" ca="1">INDIRECT("'Raw Data'!N"&amp;(A422+3))</f>
        <v>0</v>
      </c>
      <c r="E422" s="5">
        <f ca="1">IF(A422=506,"End Of Data",OFFSET('Raw Data'!$N$4,A422,0))</f>
        <v>0</v>
      </c>
      <c r="F422" s="5">
        <f ca="1">IF(A422=1,"Start of Data",OFFSET('Raw Data'!$N$4,A422-2,0))</f>
        <v>0</v>
      </c>
    </row>
    <row r="423" spans="1:6" x14ac:dyDescent="0.25">
      <c r="A423" s="5">
        <v>421</v>
      </c>
      <c r="B423" s="29">
        <f>'Raw Data'!N424</f>
        <v>0</v>
      </c>
      <c r="C423" s="5" t="str">
        <f>HLOOKUP("PRICE",'Raw Data'!$A$2:$N$3,2,FALSE)</f>
        <v>Price ($000s)</v>
      </c>
      <c r="D423" s="5" cm="1">
        <f t="array" aca="1" ref="D423" ca="1">INDIRECT("'Raw Data'!N"&amp;(A423+3))</f>
        <v>0</v>
      </c>
      <c r="E423" s="5">
        <f ca="1">IF(A423=506,"End Of Data",OFFSET('Raw Data'!$N$4,A423,0))</f>
        <v>14.2</v>
      </c>
      <c r="F423" s="5">
        <f ca="1">IF(A423=1,"Start of Data",OFFSET('Raw Data'!$N$4,A423-2,0))</f>
        <v>0</v>
      </c>
    </row>
    <row r="424" spans="1:6" x14ac:dyDescent="0.25">
      <c r="A424" s="5">
        <v>422</v>
      </c>
      <c r="B424" s="29">
        <f>'Raw Data'!N425</f>
        <v>14.2</v>
      </c>
      <c r="C424" s="5" t="str">
        <f>HLOOKUP("PRICE",'Raw Data'!$A$2:$N$3,2,FALSE)</f>
        <v>Price ($000s)</v>
      </c>
      <c r="D424" s="5" cm="1">
        <f t="array" aca="1" ref="D424" ca="1">INDIRECT("'Raw Data'!N"&amp;(A424+3))</f>
        <v>14.2</v>
      </c>
      <c r="E424" s="5">
        <f ca="1">IF(A424=506,"End Of Data",OFFSET('Raw Data'!$N$4,A424,0))</f>
        <v>0</v>
      </c>
      <c r="F424" s="5">
        <f ca="1">IF(A424=1,"Start of Data",OFFSET('Raw Data'!$N$4,A424-2,0))</f>
        <v>0</v>
      </c>
    </row>
    <row r="425" spans="1:6" x14ac:dyDescent="0.25">
      <c r="A425" s="5">
        <v>423</v>
      </c>
      <c r="B425" s="29">
        <f>'Raw Data'!N426</f>
        <v>0</v>
      </c>
      <c r="C425" s="5" t="str">
        <f>HLOOKUP("PRICE",'Raw Data'!$A$2:$N$3,2,FALSE)</f>
        <v>Price ($000s)</v>
      </c>
      <c r="D425" s="5" cm="1">
        <f t="array" aca="1" ref="D425" ca="1">INDIRECT("'Raw Data'!N"&amp;(A425+3))</f>
        <v>0</v>
      </c>
      <c r="E425" s="5">
        <f ca="1">IF(A425=506,"End Of Data",OFFSET('Raw Data'!$N$4,A425,0))</f>
        <v>13.4</v>
      </c>
      <c r="F425" s="5">
        <f ca="1">IF(A425=1,"Start of Data",OFFSET('Raw Data'!$N$4,A425-2,0))</f>
        <v>14.2</v>
      </c>
    </row>
    <row r="426" spans="1:6" x14ac:dyDescent="0.25">
      <c r="A426" s="5">
        <v>424</v>
      </c>
      <c r="B426" s="29">
        <f>'Raw Data'!N427</f>
        <v>13.4</v>
      </c>
      <c r="C426" s="5" t="str">
        <f>HLOOKUP("PRICE",'Raw Data'!$A$2:$N$3,2,FALSE)</f>
        <v>Price ($000s)</v>
      </c>
      <c r="D426" s="5" cm="1">
        <f t="array" aca="1" ref="D426" ca="1">INDIRECT("'Raw Data'!N"&amp;(A426+3))</f>
        <v>13.4</v>
      </c>
      <c r="E426" s="5">
        <f ca="1">IF(A426=506,"End Of Data",OFFSET('Raw Data'!$N$4,A426,0))</f>
        <v>11.7</v>
      </c>
      <c r="F426" s="5">
        <f ca="1">IF(A426=1,"Start of Data",OFFSET('Raw Data'!$N$4,A426-2,0))</f>
        <v>0</v>
      </c>
    </row>
    <row r="427" spans="1:6" x14ac:dyDescent="0.25">
      <c r="A427" s="5">
        <v>425</v>
      </c>
      <c r="B427" s="29">
        <f>'Raw Data'!N428</f>
        <v>11.7</v>
      </c>
      <c r="C427" s="5" t="str">
        <f>HLOOKUP("PRICE",'Raw Data'!$A$2:$N$3,2,FALSE)</f>
        <v>Price ($000s)</v>
      </c>
      <c r="D427" s="5" cm="1">
        <f t="array" aca="1" ref="D427" ca="1">INDIRECT("'Raw Data'!N"&amp;(A427+3))</f>
        <v>11.7</v>
      </c>
      <c r="E427" s="5">
        <f ca="1">IF(A427=506,"End Of Data",OFFSET('Raw Data'!$N$4,A427,0))</f>
        <v>0</v>
      </c>
      <c r="F427" s="5">
        <f ca="1">IF(A427=1,"Start of Data",OFFSET('Raw Data'!$N$4,A427-2,0))</f>
        <v>13.4</v>
      </c>
    </row>
    <row r="428" spans="1:6" x14ac:dyDescent="0.25">
      <c r="A428" s="5">
        <v>426</v>
      </c>
      <c r="B428" s="29">
        <f>'Raw Data'!N429</f>
        <v>0</v>
      </c>
      <c r="C428" s="5" t="str">
        <f>HLOOKUP("PRICE",'Raw Data'!$A$2:$N$3,2,FALSE)</f>
        <v>Price ($000s)</v>
      </c>
      <c r="D428" s="5" cm="1">
        <f t="array" aca="1" ref="D428" ca="1">INDIRECT("'Raw Data'!N"&amp;(A428+3))</f>
        <v>0</v>
      </c>
      <c r="E428" s="5">
        <f ca="1">IF(A428=506,"End Of Data",OFFSET('Raw Data'!$N$4,A428,0))</f>
        <v>0</v>
      </c>
      <c r="F428" s="5">
        <f ca="1">IF(A428=1,"Start of Data",OFFSET('Raw Data'!$N$4,A428-2,0))</f>
        <v>11.7</v>
      </c>
    </row>
    <row r="429" spans="1:6" x14ac:dyDescent="0.25">
      <c r="A429" s="5">
        <v>427</v>
      </c>
      <c r="B429" s="29">
        <f>'Raw Data'!N430</f>
        <v>0</v>
      </c>
      <c r="C429" s="5" t="str">
        <f>HLOOKUP("PRICE",'Raw Data'!$A$2:$N$3,2,FALSE)</f>
        <v>Price ($000s)</v>
      </c>
      <c r="D429" s="5" cm="1">
        <f t="array" aca="1" ref="D429" ca="1">INDIRECT("'Raw Data'!N"&amp;(A429+3))</f>
        <v>0</v>
      </c>
      <c r="E429" s="5">
        <f ca="1">IF(A429=506,"End Of Data",OFFSET('Raw Data'!$N$4,A429,0))</f>
        <v>0</v>
      </c>
      <c r="F429" s="5">
        <f ca="1">IF(A429=1,"Start of Data",OFFSET('Raw Data'!$N$4,A429-2,0))</f>
        <v>0</v>
      </c>
    </row>
    <row r="430" spans="1:6" x14ac:dyDescent="0.25">
      <c r="A430" s="5">
        <v>428</v>
      </c>
      <c r="B430" s="29">
        <f>'Raw Data'!N431</f>
        <v>0</v>
      </c>
      <c r="C430" s="5" t="str">
        <f>HLOOKUP("PRICE",'Raw Data'!$A$2:$N$3,2,FALSE)</f>
        <v>Price ($000s)</v>
      </c>
      <c r="D430" s="5" cm="1">
        <f t="array" aca="1" ref="D430" ca="1">INDIRECT("'Raw Data'!N"&amp;(A430+3))</f>
        <v>0</v>
      </c>
      <c r="E430" s="5">
        <f ca="1">IF(A430=506,"End Of Data",OFFSET('Raw Data'!$N$4,A430,0))</f>
        <v>11</v>
      </c>
      <c r="F430" s="5">
        <f ca="1">IF(A430=1,"Start of Data",OFFSET('Raw Data'!$N$4,A430-2,0))</f>
        <v>0</v>
      </c>
    </row>
    <row r="431" spans="1:6" x14ac:dyDescent="0.25">
      <c r="A431" s="5">
        <v>429</v>
      </c>
      <c r="B431" s="29">
        <f>'Raw Data'!N432</f>
        <v>11</v>
      </c>
      <c r="C431" s="5" t="str">
        <f>HLOOKUP("PRICE",'Raw Data'!$A$2:$N$3,2,FALSE)</f>
        <v>Price ($000s)</v>
      </c>
      <c r="D431" s="5" cm="1">
        <f t="array" aca="1" ref="D431" ca="1">INDIRECT("'Raw Data'!N"&amp;(A431+3))</f>
        <v>11</v>
      </c>
      <c r="E431" s="5">
        <f ca="1">IF(A431=506,"End Of Data",OFFSET('Raw Data'!$N$4,A431,0))</f>
        <v>9.5</v>
      </c>
      <c r="F431" s="5">
        <f ca="1">IF(A431=1,"Start of Data",OFFSET('Raw Data'!$N$4,A431-2,0))</f>
        <v>0</v>
      </c>
    </row>
    <row r="432" spans="1:6" x14ac:dyDescent="0.25">
      <c r="A432" s="5">
        <v>430</v>
      </c>
      <c r="B432" s="29">
        <f>'Raw Data'!N433</f>
        <v>9.5</v>
      </c>
      <c r="C432" s="5" t="str">
        <f>HLOOKUP("PRICE",'Raw Data'!$A$2:$N$3,2,FALSE)</f>
        <v>Price ($000s)</v>
      </c>
      <c r="D432" s="5" cm="1">
        <f t="array" aca="1" ref="D432" ca="1">INDIRECT("'Raw Data'!N"&amp;(A432+3))</f>
        <v>9.5</v>
      </c>
      <c r="E432" s="5">
        <f ca="1">IF(A432=506,"End Of Data",OFFSET('Raw Data'!$N$4,A432,0))</f>
        <v>14.5</v>
      </c>
      <c r="F432" s="5">
        <f ca="1">IF(A432=1,"Start of Data",OFFSET('Raw Data'!$N$4,A432-2,0))</f>
        <v>11</v>
      </c>
    </row>
    <row r="433" spans="1:6" x14ac:dyDescent="0.25">
      <c r="A433" s="5">
        <v>431</v>
      </c>
      <c r="B433" s="29">
        <f>'Raw Data'!N434</f>
        <v>14.5</v>
      </c>
      <c r="C433" s="5" t="str">
        <f>HLOOKUP("PRICE",'Raw Data'!$A$2:$N$3,2,FALSE)</f>
        <v>Price ($000s)</v>
      </c>
      <c r="D433" s="5" cm="1">
        <f t="array" aca="1" ref="D433" ca="1">INDIRECT("'Raw Data'!N"&amp;(A433+3))</f>
        <v>14.5</v>
      </c>
      <c r="E433" s="5">
        <f ca="1">IF(A433=506,"End Of Data",OFFSET('Raw Data'!$N$4,A433,0))</f>
        <v>0</v>
      </c>
      <c r="F433" s="5">
        <f ca="1">IF(A433=1,"Start of Data",OFFSET('Raw Data'!$N$4,A433-2,0))</f>
        <v>9.5</v>
      </c>
    </row>
    <row r="434" spans="1:6" x14ac:dyDescent="0.25">
      <c r="A434" s="5">
        <v>432</v>
      </c>
      <c r="B434" s="29">
        <f>'Raw Data'!N435</f>
        <v>0</v>
      </c>
      <c r="C434" s="5" t="str">
        <f>HLOOKUP("PRICE",'Raw Data'!$A$2:$N$3,2,FALSE)</f>
        <v>Price ($000s)</v>
      </c>
      <c r="D434" s="5" cm="1">
        <f t="array" aca="1" ref="D434" ca="1">INDIRECT("'Raw Data'!N"&amp;(A434+3))</f>
        <v>0</v>
      </c>
      <c r="E434" s="5">
        <f ca="1">IF(A434=506,"End Of Data",OFFSET('Raw Data'!$N$4,A434,0))</f>
        <v>16.100000000000001</v>
      </c>
      <c r="F434" s="5">
        <f ca="1">IF(A434=1,"Start of Data",OFFSET('Raw Data'!$N$4,A434-2,0))</f>
        <v>14.5</v>
      </c>
    </row>
    <row r="435" spans="1:6" x14ac:dyDescent="0.25">
      <c r="A435" s="5">
        <v>433</v>
      </c>
      <c r="B435" s="29">
        <f>'Raw Data'!N436</f>
        <v>16.100000000000001</v>
      </c>
      <c r="C435" s="5" t="str">
        <f>HLOOKUP("PRICE",'Raw Data'!$A$2:$N$3,2,FALSE)</f>
        <v>Price ($000s)</v>
      </c>
      <c r="D435" s="5" cm="1">
        <f t="array" aca="1" ref="D435" ca="1">INDIRECT("'Raw Data'!N"&amp;(A435+3))</f>
        <v>16.100000000000001</v>
      </c>
      <c r="E435" s="5">
        <f ca="1">IF(A435=506,"End Of Data",OFFSET('Raw Data'!$N$4,A435,0))</f>
        <v>14.3</v>
      </c>
      <c r="F435" s="5">
        <f ca="1">IF(A435=1,"Start of Data",OFFSET('Raw Data'!$N$4,A435-2,0))</f>
        <v>0</v>
      </c>
    </row>
    <row r="436" spans="1:6" x14ac:dyDescent="0.25">
      <c r="A436" s="5">
        <v>434</v>
      </c>
      <c r="B436" s="29">
        <f>'Raw Data'!N437</f>
        <v>14.3</v>
      </c>
      <c r="C436" s="5" t="str">
        <f>HLOOKUP("PRICE",'Raw Data'!$A$2:$N$3,2,FALSE)</f>
        <v>Price ($000s)</v>
      </c>
      <c r="D436" s="5" cm="1">
        <f t="array" aca="1" ref="D436" ca="1">INDIRECT("'Raw Data'!N"&amp;(A436+3))</f>
        <v>14.3</v>
      </c>
      <c r="E436" s="5">
        <f ca="1">IF(A436=506,"End Of Data",OFFSET('Raw Data'!$N$4,A436,0))</f>
        <v>0</v>
      </c>
      <c r="F436" s="5">
        <f ca="1">IF(A436=1,"Start of Data",OFFSET('Raw Data'!$N$4,A436-2,0))</f>
        <v>16.100000000000001</v>
      </c>
    </row>
    <row r="437" spans="1:6" x14ac:dyDescent="0.25">
      <c r="A437" s="5">
        <v>435</v>
      </c>
      <c r="B437" s="29">
        <f>'Raw Data'!N438</f>
        <v>0</v>
      </c>
      <c r="C437" s="5" t="str">
        <f>HLOOKUP("PRICE",'Raw Data'!$A$2:$N$3,2,FALSE)</f>
        <v>Price ($000s)</v>
      </c>
      <c r="D437" s="5" cm="1">
        <f t="array" aca="1" ref="D437" ca="1">INDIRECT("'Raw Data'!N"&amp;(A437+3))</f>
        <v>0</v>
      </c>
      <c r="E437" s="5">
        <f ca="1">IF(A437=506,"End Of Data",OFFSET('Raw Data'!$N$4,A437,0))</f>
        <v>0</v>
      </c>
      <c r="F437" s="5">
        <f ca="1">IF(A437=1,"Start of Data",OFFSET('Raw Data'!$N$4,A437-2,0))</f>
        <v>14.3</v>
      </c>
    </row>
    <row r="438" spans="1:6" x14ac:dyDescent="0.25">
      <c r="A438" s="5">
        <v>436</v>
      </c>
      <c r="B438" s="29">
        <f>'Raw Data'!N439</f>
        <v>0</v>
      </c>
      <c r="C438" s="5" t="str">
        <f>HLOOKUP("PRICE",'Raw Data'!$A$2:$N$3,2,FALSE)</f>
        <v>Price ($000s)</v>
      </c>
      <c r="D438" s="5" cm="1">
        <f t="array" aca="1" ref="D438" ca="1">INDIRECT("'Raw Data'!N"&amp;(A438+3))</f>
        <v>0</v>
      </c>
      <c r="E438" s="5">
        <f ca="1">IF(A438=506,"End Of Data",OFFSET('Raw Data'!$N$4,A438,0))</f>
        <v>0</v>
      </c>
      <c r="F438" s="5">
        <f ca="1">IF(A438=1,"Start of Data",OFFSET('Raw Data'!$N$4,A438-2,0))</f>
        <v>0</v>
      </c>
    </row>
    <row r="439" spans="1:6" x14ac:dyDescent="0.25">
      <c r="A439" s="5">
        <v>437</v>
      </c>
      <c r="B439" s="29">
        <f>'Raw Data'!N440</f>
        <v>0</v>
      </c>
      <c r="C439" s="5" t="str">
        <f>HLOOKUP("PRICE",'Raw Data'!$A$2:$N$3,2,FALSE)</f>
        <v>Price ($000s)</v>
      </c>
      <c r="D439" s="5" cm="1">
        <f t="array" aca="1" ref="D439" ca="1">INDIRECT("'Raw Data'!N"&amp;(A439+3))</f>
        <v>0</v>
      </c>
      <c r="E439" s="5">
        <f ca="1">IF(A439=506,"End Of Data",OFFSET('Raw Data'!$N$4,A439,0))</f>
        <v>0</v>
      </c>
      <c r="F439" s="5">
        <f ca="1">IF(A439=1,"Start of Data",OFFSET('Raw Data'!$N$4,A439-2,0))</f>
        <v>0</v>
      </c>
    </row>
    <row r="440" spans="1:6" x14ac:dyDescent="0.25">
      <c r="A440" s="5">
        <v>438</v>
      </c>
      <c r="B440" s="29">
        <f>'Raw Data'!N441</f>
        <v>0</v>
      </c>
      <c r="C440" s="5" t="str">
        <f>HLOOKUP("PRICE",'Raw Data'!$A$2:$N$3,2,FALSE)</f>
        <v>Price ($000s)</v>
      </c>
      <c r="D440" s="5" cm="1">
        <f t="array" aca="1" ref="D440" ca="1">INDIRECT("'Raw Data'!N"&amp;(A440+3))</f>
        <v>0</v>
      </c>
      <c r="E440" s="5">
        <f ca="1">IF(A440=506,"End Of Data",OFFSET('Raw Data'!$N$4,A440,0))</f>
        <v>0</v>
      </c>
      <c r="F440" s="5">
        <f ca="1">IF(A440=1,"Start of Data",OFFSET('Raw Data'!$N$4,A440-2,0))</f>
        <v>0</v>
      </c>
    </row>
    <row r="441" spans="1:6" x14ac:dyDescent="0.25">
      <c r="A441" s="5">
        <v>439</v>
      </c>
      <c r="B441" s="29">
        <f>'Raw Data'!N442</f>
        <v>0</v>
      </c>
      <c r="C441" s="5" t="str">
        <f>HLOOKUP("PRICE",'Raw Data'!$A$2:$N$3,2,FALSE)</f>
        <v>Price ($000s)</v>
      </c>
      <c r="D441" s="5" cm="1">
        <f t="array" aca="1" ref="D441" ca="1">INDIRECT("'Raw Data'!N"&amp;(A441+3))</f>
        <v>0</v>
      </c>
      <c r="E441" s="5">
        <f ca="1">IF(A441=506,"End Of Data",OFFSET('Raw Data'!$N$4,A441,0))</f>
        <v>12.8</v>
      </c>
      <c r="F441" s="5">
        <f ca="1">IF(A441=1,"Start of Data",OFFSET('Raw Data'!$N$4,A441-2,0))</f>
        <v>0</v>
      </c>
    </row>
    <row r="442" spans="1:6" x14ac:dyDescent="0.25">
      <c r="A442" s="5">
        <v>440</v>
      </c>
      <c r="B442" s="29">
        <f>'Raw Data'!N443</f>
        <v>12.8</v>
      </c>
      <c r="C442" s="5" t="str">
        <f>HLOOKUP("PRICE",'Raw Data'!$A$2:$N$3,2,FALSE)</f>
        <v>Price ($000s)</v>
      </c>
      <c r="D442" s="5" cm="1">
        <f t="array" aca="1" ref="D442" ca="1">INDIRECT("'Raw Data'!N"&amp;(A442+3))</f>
        <v>12.8</v>
      </c>
      <c r="E442" s="5">
        <f ca="1">IF(A442=506,"End Of Data",OFFSET('Raw Data'!$N$4,A442,0))</f>
        <v>0</v>
      </c>
      <c r="F442" s="5">
        <f ca="1">IF(A442=1,"Start of Data",OFFSET('Raw Data'!$N$4,A442-2,0))</f>
        <v>0</v>
      </c>
    </row>
    <row r="443" spans="1:6" x14ac:dyDescent="0.25">
      <c r="A443" s="5">
        <v>441</v>
      </c>
      <c r="B443" s="29">
        <f>'Raw Data'!N444</f>
        <v>0</v>
      </c>
      <c r="C443" s="5" t="str">
        <f>HLOOKUP("PRICE",'Raw Data'!$A$2:$N$3,2,FALSE)</f>
        <v>Price ($000s)</v>
      </c>
      <c r="D443" s="5" cm="1">
        <f t="array" aca="1" ref="D443" ca="1">INDIRECT("'Raw Data'!N"&amp;(A443+3))</f>
        <v>0</v>
      </c>
      <c r="E443" s="5">
        <f ca="1">IF(A443=506,"End Of Data",OFFSET('Raw Data'!$N$4,A443,0))</f>
        <v>17.100000000000001</v>
      </c>
      <c r="F443" s="5">
        <f ca="1">IF(A443=1,"Start of Data",OFFSET('Raw Data'!$N$4,A443-2,0))</f>
        <v>12.8</v>
      </c>
    </row>
    <row r="444" spans="1:6" x14ac:dyDescent="0.25">
      <c r="A444" s="5">
        <v>442</v>
      </c>
      <c r="B444" s="29">
        <f>'Raw Data'!N445</f>
        <v>17.100000000000001</v>
      </c>
      <c r="C444" s="5" t="str">
        <f>HLOOKUP("PRICE",'Raw Data'!$A$2:$N$3,2,FALSE)</f>
        <v>Price ($000s)</v>
      </c>
      <c r="D444" s="5" cm="1">
        <f t="array" aca="1" ref="D444" ca="1">INDIRECT("'Raw Data'!N"&amp;(A444+3))</f>
        <v>17.100000000000001</v>
      </c>
      <c r="E444" s="5">
        <f ca="1">IF(A444=506,"End Of Data",OFFSET('Raw Data'!$N$4,A444,0))</f>
        <v>18.399999999999999</v>
      </c>
      <c r="F444" s="5">
        <f ca="1">IF(A444=1,"Start of Data",OFFSET('Raw Data'!$N$4,A444-2,0))</f>
        <v>0</v>
      </c>
    </row>
    <row r="445" spans="1:6" x14ac:dyDescent="0.25">
      <c r="A445" s="5">
        <v>443</v>
      </c>
      <c r="B445" s="29">
        <f>'Raw Data'!N446</f>
        <v>18.399999999999999</v>
      </c>
      <c r="C445" s="5" t="str">
        <f>HLOOKUP("PRICE",'Raw Data'!$A$2:$N$3,2,FALSE)</f>
        <v>Price ($000s)</v>
      </c>
      <c r="D445" s="5" cm="1">
        <f t="array" aca="1" ref="D445" ca="1">INDIRECT("'Raw Data'!N"&amp;(A445+3))</f>
        <v>18.399999999999999</v>
      </c>
      <c r="E445" s="5">
        <f ca="1">IF(A445=506,"End Of Data",OFFSET('Raw Data'!$N$4,A445,0))</f>
        <v>15.4</v>
      </c>
      <c r="F445" s="5">
        <f ca="1">IF(A445=1,"Start of Data",OFFSET('Raw Data'!$N$4,A445-2,0))</f>
        <v>17.100000000000001</v>
      </c>
    </row>
    <row r="446" spans="1:6" x14ac:dyDescent="0.25">
      <c r="A446" s="5">
        <v>444</v>
      </c>
      <c r="B446" s="29">
        <f>'Raw Data'!N447</f>
        <v>15.4</v>
      </c>
      <c r="C446" s="5" t="str">
        <f>HLOOKUP("PRICE",'Raw Data'!$A$2:$N$3,2,FALSE)</f>
        <v>Price ($000s)</v>
      </c>
      <c r="D446" s="5" cm="1">
        <f t="array" aca="1" ref="D446" ca="1">INDIRECT("'Raw Data'!N"&amp;(A446+3))</f>
        <v>15.4</v>
      </c>
      <c r="E446" s="5">
        <f ca="1">IF(A446=506,"End Of Data",OFFSET('Raw Data'!$N$4,A446,0))</f>
        <v>0</v>
      </c>
      <c r="F446" s="5">
        <f ca="1">IF(A446=1,"Start of Data",OFFSET('Raw Data'!$N$4,A446-2,0))</f>
        <v>18.399999999999999</v>
      </c>
    </row>
    <row r="447" spans="1:6" x14ac:dyDescent="0.25">
      <c r="A447" s="5">
        <v>445</v>
      </c>
      <c r="B447" s="29">
        <f>'Raw Data'!N448</f>
        <v>0</v>
      </c>
      <c r="C447" s="5" t="str">
        <f>HLOOKUP("PRICE",'Raw Data'!$A$2:$N$3,2,FALSE)</f>
        <v>Price ($000s)</v>
      </c>
      <c r="D447" s="5" cm="1">
        <f t="array" aca="1" ref="D447" ca="1">INDIRECT("'Raw Data'!N"&amp;(A447+3))</f>
        <v>0</v>
      </c>
      <c r="E447" s="5">
        <f ca="1">IF(A447=506,"End Of Data",OFFSET('Raw Data'!$N$4,A447,0))</f>
        <v>0</v>
      </c>
      <c r="F447" s="5">
        <f ca="1">IF(A447=1,"Start of Data",OFFSET('Raw Data'!$N$4,A447-2,0))</f>
        <v>15.4</v>
      </c>
    </row>
    <row r="448" spans="1:6" x14ac:dyDescent="0.25">
      <c r="A448" s="5">
        <v>446</v>
      </c>
      <c r="B448" s="29">
        <f>'Raw Data'!N449</f>
        <v>0</v>
      </c>
      <c r="C448" s="5" t="str">
        <f>HLOOKUP("PRICE",'Raw Data'!$A$2:$N$3,2,FALSE)</f>
        <v>Price ($000s)</v>
      </c>
      <c r="D448" s="5" cm="1">
        <f t="array" aca="1" ref="D448" ca="1">INDIRECT("'Raw Data'!N"&amp;(A448+3))</f>
        <v>0</v>
      </c>
      <c r="E448" s="5">
        <f ca="1">IF(A448=506,"End Of Data",OFFSET('Raw Data'!$N$4,A448,0))</f>
        <v>14.9</v>
      </c>
      <c r="F448" s="5">
        <f ca="1">IF(A448=1,"Start of Data",OFFSET('Raw Data'!$N$4,A448-2,0))</f>
        <v>0</v>
      </c>
    </row>
    <row r="449" spans="1:6" x14ac:dyDescent="0.25">
      <c r="A449" s="5">
        <v>447</v>
      </c>
      <c r="B449" s="29">
        <f>'Raw Data'!N450</f>
        <v>14.9</v>
      </c>
      <c r="C449" s="5" t="str">
        <f>HLOOKUP("PRICE",'Raw Data'!$A$2:$N$3,2,FALSE)</f>
        <v>Price ($000s)</v>
      </c>
      <c r="D449" s="5" cm="1">
        <f t="array" aca="1" ref="D449" ca="1">INDIRECT("'Raw Data'!N"&amp;(A449+3))</f>
        <v>14.9</v>
      </c>
      <c r="E449" s="5">
        <f ca="1">IF(A449=506,"End Of Data",OFFSET('Raw Data'!$N$4,A449,0))</f>
        <v>12.6</v>
      </c>
      <c r="F449" s="5">
        <f ca="1">IF(A449=1,"Start of Data",OFFSET('Raw Data'!$N$4,A449-2,0))</f>
        <v>0</v>
      </c>
    </row>
    <row r="450" spans="1:6" x14ac:dyDescent="0.25">
      <c r="A450" s="5">
        <v>448</v>
      </c>
      <c r="B450" s="29">
        <f>'Raw Data'!N451</f>
        <v>12.6</v>
      </c>
      <c r="C450" s="5" t="str">
        <f>HLOOKUP("PRICE",'Raw Data'!$A$2:$N$3,2,FALSE)</f>
        <v>Price ($000s)</v>
      </c>
      <c r="D450" s="5" cm="1">
        <f t="array" aca="1" ref="D450" ca="1">INDIRECT("'Raw Data'!N"&amp;(A450+3))</f>
        <v>12.6</v>
      </c>
      <c r="E450" s="5">
        <f ca="1">IF(A450=506,"End Of Data",OFFSET('Raw Data'!$N$4,A450,0))</f>
        <v>14.1</v>
      </c>
      <c r="F450" s="5">
        <f ca="1">IF(A450=1,"Start of Data",OFFSET('Raw Data'!$N$4,A450-2,0))</f>
        <v>14.9</v>
      </c>
    </row>
    <row r="451" spans="1:6" x14ac:dyDescent="0.25">
      <c r="A451" s="5">
        <v>449</v>
      </c>
      <c r="B451" s="29">
        <f>'Raw Data'!N452</f>
        <v>14.1</v>
      </c>
      <c r="C451" s="5" t="str">
        <f>HLOOKUP("PRICE",'Raw Data'!$A$2:$N$3,2,FALSE)</f>
        <v>Price ($000s)</v>
      </c>
      <c r="D451" s="5" cm="1">
        <f t="array" aca="1" ref="D451" ca="1">INDIRECT("'Raw Data'!N"&amp;(A451+3))</f>
        <v>14.1</v>
      </c>
      <c r="E451" s="5">
        <f ca="1">IF(A451=506,"End Of Data",OFFSET('Raw Data'!$N$4,A451,0))</f>
        <v>13</v>
      </c>
      <c r="F451" s="5">
        <f ca="1">IF(A451=1,"Start of Data",OFFSET('Raw Data'!$N$4,A451-2,0))</f>
        <v>12.6</v>
      </c>
    </row>
    <row r="452" spans="1:6" x14ac:dyDescent="0.25">
      <c r="A452" s="5">
        <v>450</v>
      </c>
      <c r="B452" s="29">
        <f>'Raw Data'!N453</f>
        <v>13</v>
      </c>
      <c r="C452" s="5" t="str">
        <f>HLOOKUP("PRICE",'Raw Data'!$A$2:$N$3,2,FALSE)</f>
        <v>Price ($000s)</v>
      </c>
      <c r="D452" s="5" cm="1">
        <f t="array" aca="1" ref="D452" ca="1">INDIRECT("'Raw Data'!N"&amp;(A452+3))</f>
        <v>13</v>
      </c>
      <c r="E452" s="5">
        <f ca="1">IF(A452=506,"End Of Data",OFFSET('Raw Data'!$N$4,A452,0))</f>
        <v>13.4</v>
      </c>
      <c r="F452" s="5">
        <f ca="1">IF(A452=1,"Start of Data",OFFSET('Raw Data'!$N$4,A452-2,0))</f>
        <v>14.1</v>
      </c>
    </row>
    <row r="453" spans="1:6" x14ac:dyDescent="0.25">
      <c r="A453" s="5">
        <v>451</v>
      </c>
      <c r="B453" s="29">
        <f>'Raw Data'!N454</f>
        <v>13.4</v>
      </c>
      <c r="C453" s="5" t="str">
        <f>HLOOKUP("PRICE",'Raw Data'!$A$2:$N$3,2,FALSE)</f>
        <v>Price ($000s)</v>
      </c>
      <c r="D453" s="5" cm="1">
        <f t="array" aca="1" ref="D453" ca="1">INDIRECT("'Raw Data'!N"&amp;(A453+3))</f>
        <v>13.4</v>
      </c>
      <c r="E453" s="5">
        <f ca="1">IF(A453=506,"End Of Data",OFFSET('Raw Data'!$N$4,A453,0))</f>
        <v>15.2</v>
      </c>
      <c r="F453" s="5">
        <f ca="1">IF(A453=1,"Start of Data",OFFSET('Raw Data'!$N$4,A453-2,0))</f>
        <v>13</v>
      </c>
    </row>
    <row r="454" spans="1:6" x14ac:dyDescent="0.25">
      <c r="A454" s="5">
        <v>452</v>
      </c>
      <c r="B454" s="29">
        <f>'Raw Data'!N455</f>
        <v>15.2</v>
      </c>
      <c r="C454" s="5" t="str">
        <f>HLOOKUP("PRICE",'Raw Data'!$A$2:$N$3,2,FALSE)</f>
        <v>Price ($000s)</v>
      </c>
      <c r="D454" s="5" cm="1">
        <f t="array" aca="1" ref="D454" ca="1">INDIRECT("'Raw Data'!N"&amp;(A454+3))</f>
        <v>15.2</v>
      </c>
      <c r="E454" s="5">
        <f ca="1">IF(A454=506,"End Of Data",OFFSET('Raw Data'!$N$4,A454,0))</f>
        <v>16.100000000000001</v>
      </c>
      <c r="F454" s="5">
        <f ca="1">IF(A454=1,"Start of Data",OFFSET('Raw Data'!$N$4,A454-2,0))</f>
        <v>13.4</v>
      </c>
    </row>
    <row r="455" spans="1:6" x14ac:dyDescent="0.25">
      <c r="A455" s="5">
        <v>453</v>
      </c>
      <c r="B455" s="29">
        <f>'Raw Data'!N456</f>
        <v>16.100000000000001</v>
      </c>
      <c r="C455" s="5" t="str">
        <f>HLOOKUP("PRICE",'Raw Data'!$A$2:$N$3,2,FALSE)</f>
        <v>Price ($000s)</v>
      </c>
      <c r="D455" s="5" cm="1">
        <f t="array" aca="1" ref="D455" ca="1">INDIRECT("'Raw Data'!N"&amp;(A455+3))</f>
        <v>16.100000000000001</v>
      </c>
      <c r="E455" s="5">
        <f ca="1">IF(A455=506,"End Of Data",OFFSET('Raw Data'!$N$4,A455,0))</f>
        <v>17.8</v>
      </c>
      <c r="F455" s="5">
        <f ca="1">IF(A455=1,"Start of Data",OFFSET('Raw Data'!$N$4,A455-2,0))</f>
        <v>15.2</v>
      </c>
    </row>
    <row r="456" spans="1:6" x14ac:dyDescent="0.25">
      <c r="A456" s="5">
        <v>454</v>
      </c>
      <c r="B456" s="29">
        <f>'Raw Data'!N457</f>
        <v>17.8</v>
      </c>
      <c r="C456" s="5" t="str">
        <f>HLOOKUP("PRICE",'Raw Data'!$A$2:$N$3,2,FALSE)</f>
        <v>Price ($000s)</v>
      </c>
      <c r="D456" s="5" cm="1">
        <f t="array" aca="1" ref="D456" ca="1">INDIRECT("'Raw Data'!N"&amp;(A456+3))</f>
        <v>17.8</v>
      </c>
      <c r="E456" s="5">
        <f ca="1">IF(A456=506,"End Of Data",OFFSET('Raw Data'!$N$4,A456,0))</f>
        <v>14.9</v>
      </c>
      <c r="F456" s="5">
        <f ca="1">IF(A456=1,"Start of Data",OFFSET('Raw Data'!$N$4,A456-2,0))</f>
        <v>16.100000000000001</v>
      </c>
    </row>
    <row r="457" spans="1:6" x14ac:dyDescent="0.25">
      <c r="A457" s="5">
        <v>455</v>
      </c>
      <c r="B457" s="29">
        <f>'Raw Data'!N458</f>
        <v>14.9</v>
      </c>
      <c r="C457" s="5" t="str">
        <f>HLOOKUP("PRICE",'Raw Data'!$A$2:$N$3,2,FALSE)</f>
        <v>Price ($000s)</v>
      </c>
      <c r="D457" s="5" cm="1">
        <f t="array" aca="1" ref="D457" ca="1">INDIRECT("'Raw Data'!N"&amp;(A457+3))</f>
        <v>14.9</v>
      </c>
      <c r="E457" s="5">
        <f ca="1">IF(A457=506,"End Of Data",OFFSET('Raw Data'!$N$4,A457,0))</f>
        <v>14.1</v>
      </c>
      <c r="F457" s="5">
        <f ca="1">IF(A457=1,"Start of Data",OFFSET('Raw Data'!$N$4,A457-2,0))</f>
        <v>17.8</v>
      </c>
    </row>
    <row r="458" spans="1:6" x14ac:dyDescent="0.25">
      <c r="A458" s="5">
        <v>456</v>
      </c>
      <c r="B458" s="29">
        <f>'Raw Data'!N459</f>
        <v>14.1</v>
      </c>
      <c r="C458" s="5" t="str">
        <f>HLOOKUP("PRICE",'Raw Data'!$A$2:$N$3,2,FALSE)</f>
        <v>Price ($000s)</v>
      </c>
      <c r="D458" s="5" cm="1">
        <f t="array" aca="1" ref="D458" ca="1">INDIRECT("'Raw Data'!N"&amp;(A458+3))</f>
        <v>14.1</v>
      </c>
      <c r="E458" s="5">
        <f ca="1">IF(A458=506,"End Of Data",OFFSET('Raw Data'!$N$4,A458,0))</f>
        <v>12.7</v>
      </c>
      <c r="F458" s="5">
        <f ca="1">IF(A458=1,"Start of Data",OFFSET('Raw Data'!$N$4,A458-2,0))</f>
        <v>14.9</v>
      </c>
    </row>
    <row r="459" spans="1:6" x14ac:dyDescent="0.25">
      <c r="A459" s="5">
        <v>457</v>
      </c>
      <c r="B459" s="29">
        <f>'Raw Data'!N460</f>
        <v>12.7</v>
      </c>
      <c r="C459" s="5" t="str">
        <f>HLOOKUP("PRICE",'Raw Data'!$A$2:$N$3,2,FALSE)</f>
        <v>Price ($000s)</v>
      </c>
      <c r="D459" s="5" cm="1">
        <f t="array" aca="1" ref="D459" ca="1">INDIRECT("'Raw Data'!N"&amp;(A459+3))</f>
        <v>12.7</v>
      </c>
      <c r="E459" s="5">
        <f ca="1">IF(A459=506,"End Of Data",OFFSET('Raw Data'!$N$4,A459,0))</f>
        <v>13.5</v>
      </c>
      <c r="F459" s="5">
        <f ca="1">IF(A459=1,"Start of Data",OFFSET('Raw Data'!$N$4,A459-2,0))</f>
        <v>14.1</v>
      </c>
    </row>
    <row r="460" spans="1:6" x14ac:dyDescent="0.25">
      <c r="A460" s="5">
        <v>458</v>
      </c>
      <c r="B460" s="29">
        <f>'Raw Data'!N461</f>
        <v>13.5</v>
      </c>
      <c r="C460" s="5" t="str">
        <f>HLOOKUP("PRICE",'Raw Data'!$A$2:$N$3,2,FALSE)</f>
        <v>Price ($000s)</v>
      </c>
      <c r="D460" s="5" cm="1">
        <f t="array" aca="1" ref="D460" ca="1">INDIRECT("'Raw Data'!N"&amp;(A460+3))</f>
        <v>13.5</v>
      </c>
      <c r="E460" s="5">
        <f ca="1">IF(A460=506,"End Of Data",OFFSET('Raw Data'!$N$4,A460,0))</f>
        <v>14.9</v>
      </c>
      <c r="F460" s="5">
        <f ca="1">IF(A460=1,"Start of Data",OFFSET('Raw Data'!$N$4,A460-2,0))</f>
        <v>12.7</v>
      </c>
    </row>
    <row r="461" spans="1:6" x14ac:dyDescent="0.25">
      <c r="A461" s="5">
        <v>459</v>
      </c>
      <c r="B461" s="29">
        <f>'Raw Data'!N462</f>
        <v>14.9</v>
      </c>
      <c r="C461" s="5" t="str">
        <f>HLOOKUP("PRICE",'Raw Data'!$A$2:$N$3,2,FALSE)</f>
        <v>Price ($000s)</v>
      </c>
      <c r="D461" s="5" cm="1">
        <f t="array" aca="1" ref="D461" ca="1">INDIRECT("'Raw Data'!N"&amp;(A461+3))</f>
        <v>14.9</v>
      </c>
      <c r="E461" s="5">
        <f ca="1">IF(A461=506,"End Of Data",OFFSET('Raw Data'!$N$4,A461,0))</f>
        <v>20</v>
      </c>
      <c r="F461" s="5">
        <f ca="1">IF(A461=1,"Start of Data",OFFSET('Raw Data'!$N$4,A461-2,0))</f>
        <v>13.5</v>
      </c>
    </row>
    <row r="462" spans="1:6" x14ac:dyDescent="0.25">
      <c r="A462" s="5">
        <v>460</v>
      </c>
      <c r="B462" s="29">
        <f>'Raw Data'!N463</f>
        <v>20</v>
      </c>
      <c r="C462" s="5" t="str">
        <f>HLOOKUP("PRICE",'Raw Data'!$A$2:$N$3,2,FALSE)</f>
        <v>Price ($000s)</v>
      </c>
      <c r="D462" s="5" cm="1">
        <f t="array" aca="1" ref="D462" ca="1">INDIRECT("'Raw Data'!N"&amp;(A462+3))</f>
        <v>20</v>
      </c>
      <c r="E462" s="5">
        <f ca="1">IF(A462=506,"End Of Data",OFFSET('Raw Data'!$N$4,A462,0))</f>
        <v>16.399999999999999</v>
      </c>
      <c r="F462" s="5">
        <f ca="1">IF(A462=1,"Start of Data",OFFSET('Raw Data'!$N$4,A462-2,0))</f>
        <v>14.9</v>
      </c>
    </row>
    <row r="463" spans="1:6" x14ac:dyDescent="0.25">
      <c r="A463" s="5">
        <v>461</v>
      </c>
      <c r="B463" s="29">
        <f>'Raw Data'!N464</f>
        <v>16.399999999999999</v>
      </c>
      <c r="C463" s="5" t="str">
        <f>HLOOKUP("PRICE",'Raw Data'!$A$2:$N$3,2,FALSE)</f>
        <v>Price ($000s)</v>
      </c>
      <c r="D463" s="5" cm="1">
        <f t="array" aca="1" ref="D463" ca="1">INDIRECT("'Raw Data'!N"&amp;(A463+3))</f>
        <v>16.399999999999999</v>
      </c>
      <c r="E463" s="5">
        <f ca="1">IF(A463=506,"End Of Data",OFFSET('Raw Data'!$N$4,A463,0))</f>
        <v>17.7</v>
      </c>
      <c r="F463" s="5">
        <f ca="1">IF(A463=1,"Start of Data",OFFSET('Raw Data'!$N$4,A463-2,0))</f>
        <v>20</v>
      </c>
    </row>
    <row r="464" spans="1:6" x14ac:dyDescent="0.25">
      <c r="A464" s="5">
        <v>462</v>
      </c>
      <c r="B464" s="29">
        <f>'Raw Data'!N465</f>
        <v>17.7</v>
      </c>
      <c r="C464" s="5" t="str">
        <f>HLOOKUP("PRICE",'Raw Data'!$A$2:$N$3,2,FALSE)</f>
        <v>Price ($000s)</v>
      </c>
      <c r="D464" s="5" cm="1">
        <f t="array" aca="1" ref="D464" ca="1">INDIRECT("'Raw Data'!N"&amp;(A464+3))</f>
        <v>17.7</v>
      </c>
      <c r="E464" s="5">
        <f ca="1">IF(A464=506,"End Of Data",OFFSET('Raw Data'!$N$4,A464,0))</f>
        <v>19.5</v>
      </c>
      <c r="F464" s="5">
        <f ca="1">IF(A464=1,"Start of Data",OFFSET('Raw Data'!$N$4,A464-2,0))</f>
        <v>16.399999999999999</v>
      </c>
    </row>
    <row r="465" spans="1:6" x14ac:dyDescent="0.25">
      <c r="A465" s="5">
        <v>463</v>
      </c>
      <c r="B465" s="29">
        <f>'Raw Data'!N466</f>
        <v>19.5</v>
      </c>
      <c r="C465" s="5" t="str">
        <f>HLOOKUP("PRICE",'Raw Data'!$A$2:$N$3,2,FALSE)</f>
        <v>Price ($000s)</v>
      </c>
      <c r="D465" s="5" cm="1">
        <f t="array" aca="1" ref="D465" ca="1">INDIRECT("'Raw Data'!N"&amp;(A465+3))</f>
        <v>19.5</v>
      </c>
      <c r="E465" s="5">
        <f ca="1">IF(A465=506,"End Of Data",OFFSET('Raw Data'!$N$4,A465,0))</f>
        <v>20.2</v>
      </c>
      <c r="F465" s="5">
        <f ca="1">IF(A465=1,"Start of Data",OFFSET('Raw Data'!$N$4,A465-2,0))</f>
        <v>17.7</v>
      </c>
    </row>
    <row r="466" spans="1:6" x14ac:dyDescent="0.25">
      <c r="A466" s="5">
        <v>464</v>
      </c>
      <c r="B466" s="29">
        <f>'Raw Data'!N467</f>
        <v>20.2</v>
      </c>
      <c r="C466" s="5" t="str">
        <f>HLOOKUP("PRICE",'Raw Data'!$A$2:$N$3,2,FALSE)</f>
        <v>Price ($000s)</v>
      </c>
      <c r="D466" s="5" cm="1">
        <f t="array" aca="1" ref="D466" ca="1">INDIRECT("'Raw Data'!N"&amp;(A466+3))</f>
        <v>20.2</v>
      </c>
      <c r="E466" s="5">
        <f ca="1">IF(A466=506,"End Of Data",OFFSET('Raw Data'!$N$4,A466,0))</f>
        <v>21.4</v>
      </c>
      <c r="F466" s="5">
        <f ca="1">IF(A466=1,"Start of Data",OFFSET('Raw Data'!$N$4,A466-2,0))</f>
        <v>19.5</v>
      </c>
    </row>
    <row r="467" spans="1:6" x14ac:dyDescent="0.25">
      <c r="A467" s="5">
        <v>465</v>
      </c>
      <c r="B467" s="29">
        <f>'Raw Data'!N468</f>
        <v>21.4</v>
      </c>
      <c r="C467" s="5" t="str">
        <f>HLOOKUP("PRICE",'Raw Data'!$A$2:$N$3,2,FALSE)</f>
        <v>Price ($000s)</v>
      </c>
      <c r="D467" s="5" cm="1">
        <f t="array" aca="1" ref="D467" ca="1">INDIRECT("'Raw Data'!N"&amp;(A467+3))</f>
        <v>21.4</v>
      </c>
      <c r="E467" s="5">
        <f ca="1">IF(A467=506,"End Of Data",OFFSET('Raw Data'!$N$4,A467,0))</f>
        <v>19.899999999999999</v>
      </c>
      <c r="F467" s="5">
        <f ca="1">IF(A467=1,"Start of Data",OFFSET('Raw Data'!$N$4,A467-2,0))</f>
        <v>20.2</v>
      </c>
    </row>
    <row r="468" spans="1:6" x14ac:dyDescent="0.25">
      <c r="A468" s="5">
        <v>466</v>
      </c>
      <c r="B468" s="29">
        <f>'Raw Data'!N469</f>
        <v>19.899999999999999</v>
      </c>
      <c r="C468" s="5" t="str">
        <f>HLOOKUP("PRICE",'Raw Data'!$A$2:$N$3,2,FALSE)</f>
        <v>Price ($000s)</v>
      </c>
      <c r="D468" s="5" cm="1">
        <f t="array" aca="1" ref="D468" ca="1">INDIRECT("'Raw Data'!N"&amp;(A468+3))</f>
        <v>19.899999999999999</v>
      </c>
      <c r="E468" s="5">
        <f ca="1">IF(A468=506,"End Of Data",OFFSET('Raw Data'!$N$4,A468,0))</f>
        <v>19</v>
      </c>
      <c r="F468" s="5">
        <f ca="1">IF(A468=1,"Start of Data",OFFSET('Raw Data'!$N$4,A468-2,0))</f>
        <v>21.4</v>
      </c>
    </row>
    <row r="469" spans="1:6" x14ac:dyDescent="0.25">
      <c r="A469" s="5">
        <v>467</v>
      </c>
      <c r="B469" s="29">
        <f>'Raw Data'!N470</f>
        <v>19</v>
      </c>
      <c r="C469" s="5" t="str">
        <f>HLOOKUP("PRICE",'Raw Data'!$A$2:$N$3,2,FALSE)</f>
        <v>Price ($000s)</v>
      </c>
      <c r="D469" s="5" cm="1">
        <f t="array" aca="1" ref="D469" ca="1">INDIRECT("'Raw Data'!N"&amp;(A469+3))</f>
        <v>19</v>
      </c>
      <c r="E469" s="5">
        <f ca="1">IF(A469=506,"End Of Data",OFFSET('Raw Data'!$N$4,A469,0))</f>
        <v>19.100000000000001</v>
      </c>
      <c r="F469" s="5">
        <f ca="1">IF(A469=1,"Start of Data",OFFSET('Raw Data'!$N$4,A469-2,0))</f>
        <v>19.899999999999999</v>
      </c>
    </row>
    <row r="470" spans="1:6" x14ac:dyDescent="0.25">
      <c r="A470" s="5">
        <v>468</v>
      </c>
      <c r="B470" s="29">
        <f>'Raw Data'!N471</f>
        <v>19.100000000000001</v>
      </c>
      <c r="C470" s="5" t="str">
        <f>HLOOKUP("PRICE",'Raw Data'!$A$2:$N$3,2,FALSE)</f>
        <v>Price ($000s)</v>
      </c>
      <c r="D470" s="5" cm="1">
        <f t="array" aca="1" ref="D470" ca="1">INDIRECT("'Raw Data'!N"&amp;(A470+3))</f>
        <v>19.100000000000001</v>
      </c>
      <c r="E470" s="5">
        <f ca="1">IF(A470=506,"End Of Data",OFFSET('Raw Data'!$N$4,A470,0))</f>
        <v>0</v>
      </c>
      <c r="F470" s="5">
        <f ca="1">IF(A470=1,"Start of Data",OFFSET('Raw Data'!$N$4,A470-2,0))</f>
        <v>19</v>
      </c>
    </row>
    <row r="471" spans="1:6" x14ac:dyDescent="0.25">
      <c r="A471" s="5">
        <v>469</v>
      </c>
      <c r="B471" s="29">
        <f>'Raw Data'!N472</f>
        <v>0</v>
      </c>
      <c r="C471" s="5" t="str">
        <f>HLOOKUP("PRICE",'Raw Data'!$A$2:$N$3,2,FALSE)</f>
        <v>Price ($000s)</v>
      </c>
      <c r="D471" s="5" cm="1">
        <f t="array" aca="1" ref="D471" ca="1">INDIRECT("'Raw Data'!N"&amp;(A471+3))</f>
        <v>0</v>
      </c>
      <c r="E471" s="5">
        <f ca="1">IF(A471=506,"End Of Data",OFFSET('Raw Data'!$N$4,A471,0))</f>
        <v>0</v>
      </c>
      <c r="F471" s="5">
        <f ca="1">IF(A471=1,"Start of Data",OFFSET('Raw Data'!$N$4,A471-2,0))</f>
        <v>19.100000000000001</v>
      </c>
    </row>
    <row r="472" spans="1:6" x14ac:dyDescent="0.25">
      <c r="A472" s="5">
        <v>470</v>
      </c>
      <c r="B472" s="29">
        <f>'Raw Data'!N473</f>
        <v>0</v>
      </c>
      <c r="C472" s="5" t="str">
        <f>HLOOKUP("PRICE",'Raw Data'!$A$2:$N$3,2,FALSE)</f>
        <v>Price ($000s)</v>
      </c>
      <c r="D472" s="5" cm="1">
        <f t="array" aca="1" ref="D472" ca="1">INDIRECT("'Raw Data'!N"&amp;(A472+3))</f>
        <v>0</v>
      </c>
      <c r="E472" s="5">
        <f ca="1">IF(A472=506,"End Of Data",OFFSET('Raw Data'!$N$4,A472,0))</f>
        <v>19.899999999999999</v>
      </c>
      <c r="F472" s="5">
        <f ca="1">IF(A472=1,"Start of Data",OFFSET('Raw Data'!$N$4,A472-2,0))</f>
        <v>0</v>
      </c>
    </row>
    <row r="473" spans="1:6" x14ac:dyDescent="0.25">
      <c r="A473" s="5">
        <v>471</v>
      </c>
      <c r="B473" s="29">
        <f>'Raw Data'!N474</f>
        <v>19.899999999999999</v>
      </c>
      <c r="C473" s="5" t="str">
        <f>HLOOKUP("PRICE",'Raw Data'!$A$2:$N$3,2,FALSE)</f>
        <v>Price ($000s)</v>
      </c>
      <c r="D473" s="5" cm="1">
        <f t="array" aca="1" ref="D473" ca="1">INDIRECT("'Raw Data'!N"&amp;(A473+3))</f>
        <v>19.899999999999999</v>
      </c>
      <c r="E473" s="5">
        <f ca="1">IF(A473=506,"End Of Data",OFFSET('Raw Data'!$N$4,A473,0))</f>
        <v>19.600000000000001</v>
      </c>
      <c r="F473" s="5">
        <f ca="1">IF(A473=1,"Start of Data",OFFSET('Raw Data'!$N$4,A473-2,0))</f>
        <v>0</v>
      </c>
    </row>
    <row r="474" spans="1:6" x14ac:dyDescent="0.25">
      <c r="A474" s="5">
        <v>472</v>
      </c>
      <c r="B474" s="29">
        <f>'Raw Data'!N475</f>
        <v>19.600000000000001</v>
      </c>
      <c r="C474" s="5" t="str">
        <f>HLOOKUP("PRICE",'Raw Data'!$A$2:$N$3,2,FALSE)</f>
        <v>Price ($000s)</v>
      </c>
      <c r="D474" s="5" cm="1">
        <f t="array" aca="1" ref="D474" ca="1">INDIRECT("'Raw Data'!N"&amp;(A474+3))</f>
        <v>19.600000000000001</v>
      </c>
      <c r="E474" s="5">
        <f ca="1">IF(A474=506,"End Of Data",OFFSET('Raw Data'!$N$4,A474,0))</f>
        <v>23.2</v>
      </c>
      <c r="F474" s="5">
        <f ca="1">IF(A474=1,"Start of Data",OFFSET('Raw Data'!$N$4,A474-2,0))</f>
        <v>19.899999999999999</v>
      </c>
    </row>
    <row r="475" spans="1:6" x14ac:dyDescent="0.25">
      <c r="A475" s="5">
        <v>473</v>
      </c>
      <c r="B475" s="29">
        <f>'Raw Data'!N476</f>
        <v>23.2</v>
      </c>
      <c r="C475" s="5" t="str">
        <f>HLOOKUP("PRICE",'Raw Data'!$A$2:$N$3,2,FALSE)</f>
        <v>Price ($000s)</v>
      </c>
      <c r="D475" s="5" cm="1">
        <f t="array" aca="1" ref="D475" ca="1">INDIRECT("'Raw Data'!N"&amp;(A475+3))</f>
        <v>23.2</v>
      </c>
      <c r="E475" s="5">
        <f ca="1">IF(A475=506,"End Of Data",OFFSET('Raw Data'!$N$4,A475,0))</f>
        <v>29.8</v>
      </c>
      <c r="F475" s="5">
        <f ca="1">IF(A475=1,"Start of Data",OFFSET('Raw Data'!$N$4,A475-2,0))</f>
        <v>19.600000000000001</v>
      </c>
    </row>
    <row r="476" spans="1:6" x14ac:dyDescent="0.25">
      <c r="A476" s="5">
        <v>474</v>
      </c>
      <c r="B476" s="29">
        <f>'Raw Data'!N477</f>
        <v>29.8</v>
      </c>
      <c r="C476" s="5" t="str">
        <f>HLOOKUP("PRICE",'Raw Data'!$A$2:$N$3,2,FALSE)</f>
        <v>Price ($000s)</v>
      </c>
      <c r="D476" s="5" cm="1">
        <f t="array" aca="1" ref="D476" ca="1">INDIRECT("'Raw Data'!N"&amp;(A476+3))</f>
        <v>29.8</v>
      </c>
      <c r="E476" s="5">
        <f ca="1">IF(A476=506,"End Of Data",OFFSET('Raw Data'!$N$4,A476,0))</f>
        <v>13.8</v>
      </c>
      <c r="F476" s="5">
        <f ca="1">IF(A476=1,"Start of Data",OFFSET('Raw Data'!$N$4,A476-2,0))</f>
        <v>23.2</v>
      </c>
    </row>
    <row r="477" spans="1:6" x14ac:dyDescent="0.25">
      <c r="A477" s="5">
        <v>475</v>
      </c>
      <c r="B477" s="29">
        <f>'Raw Data'!N478</f>
        <v>13.8</v>
      </c>
      <c r="C477" s="5" t="str">
        <f>HLOOKUP("PRICE",'Raw Data'!$A$2:$N$3,2,FALSE)</f>
        <v>Price ($000s)</v>
      </c>
      <c r="D477" s="5" cm="1">
        <f t="array" aca="1" ref="D477" ca="1">INDIRECT("'Raw Data'!N"&amp;(A477+3))</f>
        <v>13.8</v>
      </c>
      <c r="E477" s="5">
        <f ca="1">IF(A477=506,"End Of Data",OFFSET('Raw Data'!$N$4,A477,0))</f>
        <v>13.3</v>
      </c>
      <c r="F477" s="5">
        <f ca="1">IF(A477=1,"Start of Data",OFFSET('Raw Data'!$N$4,A477-2,0))</f>
        <v>29.8</v>
      </c>
    </row>
    <row r="478" spans="1:6" x14ac:dyDescent="0.25">
      <c r="A478" s="5">
        <v>476</v>
      </c>
      <c r="B478" s="29">
        <f>'Raw Data'!N479</f>
        <v>13.3</v>
      </c>
      <c r="C478" s="5" t="str">
        <f>HLOOKUP("PRICE",'Raw Data'!$A$2:$N$3,2,FALSE)</f>
        <v>Price ($000s)</v>
      </c>
      <c r="D478" s="5" cm="1">
        <f t="array" aca="1" ref="D478" ca="1">INDIRECT("'Raw Data'!N"&amp;(A478+3))</f>
        <v>13.3</v>
      </c>
      <c r="E478" s="5">
        <f ca="1">IF(A478=506,"End Of Data",OFFSET('Raw Data'!$N$4,A478,0))</f>
        <v>16.7</v>
      </c>
      <c r="F478" s="5">
        <f ca="1">IF(A478=1,"Start of Data",OFFSET('Raw Data'!$N$4,A478-2,0))</f>
        <v>13.8</v>
      </c>
    </row>
    <row r="479" spans="1:6" x14ac:dyDescent="0.25">
      <c r="A479" s="5">
        <v>477</v>
      </c>
      <c r="B479" s="29">
        <f>'Raw Data'!N480</f>
        <v>16.7</v>
      </c>
      <c r="C479" s="5" t="str">
        <f>HLOOKUP("PRICE",'Raw Data'!$A$2:$N$3,2,FALSE)</f>
        <v>Price ($000s)</v>
      </c>
      <c r="D479" s="5" cm="1">
        <f t="array" aca="1" ref="D479" ca="1">INDIRECT("'Raw Data'!N"&amp;(A479+3))</f>
        <v>16.7</v>
      </c>
      <c r="E479" s="5">
        <f ca="1">IF(A479=506,"End Of Data",OFFSET('Raw Data'!$N$4,A479,0))</f>
        <v>0</v>
      </c>
      <c r="F479" s="5">
        <f ca="1">IF(A479=1,"Start of Data",OFFSET('Raw Data'!$N$4,A479-2,0))</f>
        <v>13.3</v>
      </c>
    </row>
    <row r="480" spans="1:6" x14ac:dyDescent="0.25">
      <c r="A480" s="5">
        <v>478</v>
      </c>
      <c r="B480" s="29">
        <f>'Raw Data'!N481</f>
        <v>0</v>
      </c>
      <c r="C480" s="5" t="str">
        <f>HLOOKUP("PRICE",'Raw Data'!$A$2:$N$3,2,FALSE)</f>
        <v>Price ($000s)</v>
      </c>
      <c r="D480" s="5" cm="1">
        <f t="array" aca="1" ref="D480" ca="1">INDIRECT("'Raw Data'!N"&amp;(A480+3))</f>
        <v>0</v>
      </c>
      <c r="E480" s="5">
        <f ca="1">IF(A480=506,"End Of Data",OFFSET('Raw Data'!$N$4,A480,0))</f>
        <v>0</v>
      </c>
      <c r="F480" s="5">
        <f ca="1">IF(A480=1,"Start of Data",OFFSET('Raw Data'!$N$4,A480-2,0))</f>
        <v>16.7</v>
      </c>
    </row>
    <row r="481" spans="1:6" x14ac:dyDescent="0.25">
      <c r="A481" s="5">
        <v>479</v>
      </c>
      <c r="B481" s="29">
        <f>'Raw Data'!N482</f>
        <v>0</v>
      </c>
      <c r="C481" s="5" t="str">
        <f>HLOOKUP("PRICE",'Raw Data'!$A$2:$N$3,2,FALSE)</f>
        <v>Price ($000s)</v>
      </c>
      <c r="D481" s="5" cm="1">
        <f t="array" aca="1" ref="D481" ca="1">INDIRECT("'Raw Data'!N"&amp;(A481+3))</f>
        <v>0</v>
      </c>
      <c r="E481" s="5">
        <f ca="1">IF(A481=506,"End Of Data",OFFSET('Raw Data'!$N$4,A481,0))</f>
        <v>0</v>
      </c>
      <c r="F481" s="5">
        <f ca="1">IF(A481=1,"Start of Data",OFFSET('Raw Data'!$N$4,A481-2,0))</f>
        <v>0</v>
      </c>
    </row>
    <row r="482" spans="1:6" x14ac:dyDescent="0.25">
      <c r="A482" s="5">
        <v>480</v>
      </c>
      <c r="B482" s="29">
        <f>'Raw Data'!N483</f>
        <v>0</v>
      </c>
      <c r="C482" s="5" t="str">
        <f>HLOOKUP("PRICE",'Raw Data'!$A$2:$N$3,2,FALSE)</f>
        <v>Price ($000s)</v>
      </c>
      <c r="D482" s="5" cm="1">
        <f t="array" aca="1" ref="D482" ca="1">INDIRECT("'Raw Data'!N"&amp;(A482+3))</f>
        <v>0</v>
      </c>
      <c r="E482" s="5">
        <f ca="1">IF(A482=506,"End Of Data",OFFSET('Raw Data'!$N$4,A482,0))</f>
        <v>23</v>
      </c>
      <c r="F482" s="5">
        <f ca="1">IF(A482=1,"Start of Data",OFFSET('Raw Data'!$N$4,A482-2,0))</f>
        <v>0</v>
      </c>
    </row>
    <row r="483" spans="1:6" x14ac:dyDescent="0.25">
      <c r="A483" s="5">
        <v>481</v>
      </c>
      <c r="B483" s="29">
        <f>'Raw Data'!N484</f>
        <v>23</v>
      </c>
      <c r="C483" s="5" t="str">
        <f>HLOOKUP("PRICE",'Raw Data'!$A$2:$N$3,2,FALSE)</f>
        <v>Price ($000s)</v>
      </c>
      <c r="D483" s="5" cm="1">
        <f t="array" aca="1" ref="D483" ca="1">INDIRECT("'Raw Data'!N"&amp;(A483+3))</f>
        <v>23</v>
      </c>
      <c r="E483" s="5">
        <f ca="1">IF(A483=506,"End Of Data",OFFSET('Raw Data'!$N$4,A483,0))</f>
        <v>23.7</v>
      </c>
      <c r="F483" s="5">
        <f ca="1">IF(A483=1,"Start of Data",OFFSET('Raw Data'!$N$4,A483-2,0))</f>
        <v>0</v>
      </c>
    </row>
    <row r="484" spans="1:6" x14ac:dyDescent="0.25">
      <c r="A484" s="5">
        <v>482</v>
      </c>
      <c r="B484" s="29">
        <f>'Raw Data'!N485</f>
        <v>23.7</v>
      </c>
      <c r="C484" s="5" t="str">
        <f>HLOOKUP("PRICE",'Raw Data'!$A$2:$N$3,2,FALSE)</f>
        <v>Price ($000s)</v>
      </c>
      <c r="D484" s="5" cm="1">
        <f t="array" aca="1" ref="D484" ca="1">INDIRECT("'Raw Data'!N"&amp;(A484+3))</f>
        <v>23.7</v>
      </c>
      <c r="E484" s="5">
        <f ca="1">IF(A484=506,"End Of Data",OFFSET('Raw Data'!$N$4,A484,0))</f>
        <v>25</v>
      </c>
      <c r="F484" s="5">
        <f ca="1">IF(A484=1,"Start of Data",OFFSET('Raw Data'!$N$4,A484-2,0))</f>
        <v>23</v>
      </c>
    </row>
    <row r="485" spans="1:6" x14ac:dyDescent="0.25">
      <c r="A485" s="5">
        <v>483</v>
      </c>
      <c r="B485" s="29">
        <f>'Raw Data'!N486</f>
        <v>25</v>
      </c>
      <c r="C485" s="5" t="str">
        <f>HLOOKUP("PRICE",'Raw Data'!$A$2:$N$3,2,FALSE)</f>
        <v>Price ($000s)</v>
      </c>
      <c r="D485" s="5" cm="1">
        <f t="array" aca="1" ref="D485" ca="1">INDIRECT("'Raw Data'!N"&amp;(A485+3))</f>
        <v>25</v>
      </c>
      <c r="E485" s="5">
        <f ca="1">IF(A485=506,"End Of Data",OFFSET('Raw Data'!$N$4,A485,0))</f>
        <v>21.8</v>
      </c>
      <c r="F485" s="5">
        <f ca="1">IF(A485=1,"Start of Data",OFFSET('Raw Data'!$N$4,A485-2,0))</f>
        <v>23.7</v>
      </c>
    </row>
    <row r="486" spans="1:6" x14ac:dyDescent="0.25">
      <c r="A486" s="5">
        <v>484</v>
      </c>
      <c r="B486" s="29">
        <f>'Raw Data'!N487</f>
        <v>21.8</v>
      </c>
      <c r="C486" s="5" t="str">
        <f>HLOOKUP("PRICE",'Raw Data'!$A$2:$N$3,2,FALSE)</f>
        <v>Price ($000s)</v>
      </c>
      <c r="D486" s="5" cm="1">
        <f t="array" aca="1" ref="D486" ca="1">INDIRECT("'Raw Data'!N"&amp;(A486+3))</f>
        <v>21.8</v>
      </c>
      <c r="E486" s="5">
        <f ca="1">IF(A486=506,"End Of Data",OFFSET('Raw Data'!$N$4,A486,0))</f>
        <v>20.6</v>
      </c>
      <c r="F486" s="5">
        <f ca="1">IF(A486=1,"Start of Data",OFFSET('Raw Data'!$N$4,A486-2,0))</f>
        <v>25</v>
      </c>
    </row>
    <row r="487" spans="1:6" x14ac:dyDescent="0.25">
      <c r="A487" s="5">
        <v>485</v>
      </c>
      <c r="B487" s="29">
        <f>'Raw Data'!N488</f>
        <v>20.6</v>
      </c>
      <c r="C487" s="5" t="str">
        <f>HLOOKUP("PRICE",'Raw Data'!$A$2:$N$3,2,FALSE)</f>
        <v>Price ($000s)</v>
      </c>
      <c r="D487" s="5" cm="1">
        <f t="array" aca="1" ref="D487" ca="1">INDIRECT("'Raw Data'!N"&amp;(A487+3))</f>
        <v>20.6</v>
      </c>
      <c r="E487" s="5">
        <f ca="1">IF(A487=506,"End Of Data",OFFSET('Raw Data'!$N$4,A487,0))</f>
        <v>21.2</v>
      </c>
      <c r="F487" s="5">
        <f ca="1">IF(A487=1,"Start of Data",OFFSET('Raw Data'!$N$4,A487-2,0))</f>
        <v>21.8</v>
      </c>
    </row>
    <row r="488" spans="1:6" x14ac:dyDescent="0.25">
      <c r="A488" s="5">
        <v>486</v>
      </c>
      <c r="B488" s="29">
        <f>'Raw Data'!N489</f>
        <v>21.2</v>
      </c>
      <c r="C488" s="5" t="str">
        <f>HLOOKUP("PRICE",'Raw Data'!$A$2:$N$3,2,FALSE)</f>
        <v>Price ($000s)</v>
      </c>
      <c r="D488" s="5" cm="1">
        <f t="array" aca="1" ref="D488" ca="1">INDIRECT("'Raw Data'!N"&amp;(A488+3))</f>
        <v>21.2</v>
      </c>
      <c r="E488" s="5">
        <f ca="1">IF(A488=506,"End Of Data",OFFSET('Raw Data'!$N$4,A488,0))</f>
        <v>19.100000000000001</v>
      </c>
      <c r="F488" s="5">
        <f ca="1">IF(A488=1,"Start of Data",OFFSET('Raw Data'!$N$4,A488-2,0))</f>
        <v>20.6</v>
      </c>
    </row>
    <row r="489" spans="1:6" x14ac:dyDescent="0.25">
      <c r="A489" s="5">
        <v>487</v>
      </c>
      <c r="B489" s="29">
        <f>'Raw Data'!N490</f>
        <v>19.100000000000001</v>
      </c>
      <c r="C489" s="5" t="str">
        <f>HLOOKUP("PRICE",'Raw Data'!$A$2:$N$3,2,FALSE)</f>
        <v>Price ($000s)</v>
      </c>
      <c r="D489" s="5" cm="1">
        <f t="array" aca="1" ref="D489" ca="1">INDIRECT("'Raw Data'!N"&amp;(A489+3))</f>
        <v>19.100000000000001</v>
      </c>
      <c r="E489" s="5">
        <f ca="1">IF(A489=506,"End Of Data",OFFSET('Raw Data'!$N$4,A489,0))</f>
        <v>20.6</v>
      </c>
      <c r="F489" s="5">
        <f ca="1">IF(A489=1,"Start of Data",OFFSET('Raw Data'!$N$4,A489-2,0))</f>
        <v>21.2</v>
      </c>
    </row>
    <row r="490" spans="1:6" x14ac:dyDescent="0.25">
      <c r="A490" s="5">
        <v>488</v>
      </c>
      <c r="B490" s="29">
        <f>'Raw Data'!N491</f>
        <v>20.6</v>
      </c>
      <c r="C490" s="5" t="str">
        <f>HLOOKUP("PRICE",'Raw Data'!$A$2:$N$3,2,FALSE)</f>
        <v>Price ($000s)</v>
      </c>
      <c r="D490" s="5" cm="1">
        <f t="array" aca="1" ref="D490" ca="1">INDIRECT("'Raw Data'!N"&amp;(A490+3))</f>
        <v>20.6</v>
      </c>
      <c r="E490" s="5">
        <f ca="1">IF(A490=506,"End Of Data",OFFSET('Raw Data'!$N$4,A490,0))</f>
        <v>15.2</v>
      </c>
      <c r="F490" s="5">
        <f ca="1">IF(A490=1,"Start of Data",OFFSET('Raw Data'!$N$4,A490-2,0))</f>
        <v>19.100000000000001</v>
      </c>
    </row>
    <row r="491" spans="1:6" x14ac:dyDescent="0.25">
      <c r="A491" s="5">
        <v>489</v>
      </c>
      <c r="B491" s="29">
        <f>'Raw Data'!N492</f>
        <v>15.2</v>
      </c>
      <c r="C491" s="5" t="str">
        <f>HLOOKUP("PRICE",'Raw Data'!$A$2:$N$3,2,FALSE)</f>
        <v>Price ($000s)</v>
      </c>
      <c r="D491" s="5" cm="1">
        <f t="array" aca="1" ref="D491" ca="1">INDIRECT("'Raw Data'!N"&amp;(A491+3))</f>
        <v>15.2</v>
      </c>
      <c r="E491" s="5">
        <f ca="1">IF(A491=506,"End Of Data",OFFSET('Raw Data'!$N$4,A491,0))</f>
        <v>7</v>
      </c>
      <c r="F491" s="5">
        <f ca="1">IF(A491=1,"Start of Data",OFFSET('Raw Data'!$N$4,A491-2,0))</f>
        <v>20.6</v>
      </c>
    </row>
    <row r="492" spans="1:6" x14ac:dyDescent="0.25">
      <c r="A492" s="5">
        <v>490</v>
      </c>
      <c r="B492" s="29">
        <f>'Raw Data'!N493</f>
        <v>7</v>
      </c>
      <c r="C492" s="5" t="str">
        <f>HLOOKUP("PRICE",'Raw Data'!$A$2:$N$3,2,FALSE)</f>
        <v>Price ($000s)</v>
      </c>
      <c r="D492" s="5" cm="1">
        <f t="array" aca="1" ref="D492" ca="1">INDIRECT("'Raw Data'!N"&amp;(A492+3))</f>
        <v>7</v>
      </c>
      <c r="E492" s="5">
        <f ca="1">IF(A492=506,"End Of Data",OFFSET('Raw Data'!$N$4,A492,0))</f>
        <v>8.1</v>
      </c>
      <c r="F492" s="5">
        <f ca="1">IF(A492=1,"Start of Data",OFFSET('Raw Data'!$N$4,A492-2,0))</f>
        <v>15.2</v>
      </c>
    </row>
    <row r="493" spans="1:6" x14ac:dyDescent="0.25">
      <c r="A493" s="5">
        <v>491</v>
      </c>
      <c r="B493" s="29">
        <f>'Raw Data'!N494</f>
        <v>8.1</v>
      </c>
      <c r="C493" s="5" t="str">
        <f>HLOOKUP("PRICE",'Raw Data'!$A$2:$N$3,2,FALSE)</f>
        <v>Price ($000s)</v>
      </c>
      <c r="D493" s="5" cm="1">
        <f t="array" aca="1" ref="D493" ca="1">INDIRECT("'Raw Data'!N"&amp;(A493+3))</f>
        <v>8.1</v>
      </c>
      <c r="E493" s="5">
        <f ca="1">IF(A493=506,"End Of Data",OFFSET('Raw Data'!$N$4,A493,0))</f>
        <v>13.6</v>
      </c>
      <c r="F493" s="5">
        <f ca="1">IF(A493=1,"Start of Data",OFFSET('Raw Data'!$N$4,A493-2,0))</f>
        <v>7</v>
      </c>
    </row>
    <row r="494" spans="1:6" x14ac:dyDescent="0.25">
      <c r="A494" s="5">
        <v>492</v>
      </c>
      <c r="B494" s="29">
        <f>'Raw Data'!N495</f>
        <v>13.6</v>
      </c>
      <c r="C494" s="5" t="str">
        <f>HLOOKUP("PRICE",'Raw Data'!$A$2:$N$3,2,FALSE)</f>
        <v>Price ($000s)</v>
      </c>
      <c r="D494" s="5" cm="1">
        <f t="array" aca="1" ref="D494" ca="1">INDIRECT("'Raw Data'!N"&amp;(A494+3))</f>
        <v>13.6</v>
      </c>
      <c r="E494" s="5">
        <f ca="1">IF(A494=506,"End Of Data",OFFSET('Raw Data'!$N$4,A494,0))</f>
        <v>20.100000000000001</v>
      </c>
      <c r="F494" s="5">
        <f ca="1">IF(A494=1,"Start of Data",OFFSET('Raw Data'!$N$4,A494-2,0))</f>
        <v>8.1</v>
      </c>
    </row>
    <row r="495" spans="1:6" x14ac:dyDescent="0.25">
      <c r="A495" s="5">
        <v>493</v>
      </c>
      <c r="B495" s="29">
        <f>'Raw Data'!N496</f>
        <v>20.100000000000001</v>
      </c>
      <c r="C495" s="5" t="str">
        <f>HLOOKUP("PRICE",'Raw Data'!$A$2:$N$3,2,FALSE)</f>
        <v>Price ($000s)</v>
      </c>
      <c r="D495" s="5" cm="1">
        <f t="array" aca="1" ref="D495" ca="1">INDIRECT("'Raw Data'!N"&amp;(A495+3))</f>
        <v>20.100000000000001</v>
      </c>
      <c r="E495" s="5">
        <f ca="1">IF(A495=506,"End Of Data",OFFSET('Raw Data'!$N$4,A495,0))</f>
        <v>21.8</v>
      </c>
      <c r="F495" s="5">
        <f ca="1">IF(A495=1,"Start of Data",OFFSET('Raw Data'!$N$4,A495-2,0))</f>
        <v>13.6</v>
      </c>
    </row>
    <row r="496" spans="1:6" x14ac:dyDescent="0.25">
      <c r="A496" s="5">
        <v>494</v>
      </c>
      <c r="B496" s="29">
        <f>'Raw Data'!N497</f>
        <v>21.8</v>
      </c>
      <c r="C496" s="5" t="str">
        <f>HLOOKUP("PRICE",'Raw Data'!$A$2:$N$3,2,FALSE)</f>
        <v>Price ($000s)</v>
      </c>
      <c r="D496" s="5" cm="1">
        <f t="array" aca="1" ref="D496" ca="1">INDIRECT("'Raw Data'!N"&amp;(A496+3))</f>
        <v>21.8</v>
      </c>
      <c r="E496" s="5">
        <f ca="1">IF(A496=506,"End Of Data",OFFSET('Raw Data'!$N$4,A496,0))</f>
        <v>24.5</v>
      </c>
      <c r="F496" s="5">
        <f ca="1">IF(A496=1,"Start of Data",OFFSET('Raw Data'!$N$4,A496-2,0))</f>
        <v>20.100000000000001</v>
      </c>
    </row>
    <row r="497" spans="1:6" x14ac:dyDescent="0.25">
      <c r="A497" s="5">
        <v>495</v>
      </c>
      <c r="B497" s="29">
        <f>'Raw Data'!N498</f>
        <v>24.5</v>
      </c>
      <c r="C497" s="5" t="str">
        <f>HLOOKUP("PRICE",'Raw Data'!$A$2:$N$3,2,FALSE)</f>
        <v>Price ($000s)</v>
      </c>
      <c r="D497" s="5" cm="1">
        <f t="array" aca="1" ref="D497" ca="1">INDIRECT("'Raw Data'!N"&amp;(A497+3))</f>
        <v>24.5</v>
      </c>
      <c r="E497" s="5">
        <f ca="1">IF(A497=506,"End Of Data",OFFSET('Raw Data'!$N$4,A497,0))</f>
        <v>23.1</v>
      </c>
      <c r="F497" s="5">
        <f ca="1">IF(A497=1,"Start of Data",OFFSET('Raw Data'!$N$4,A497-2,0))</f>
        <v>21.8</v>
      </c>
    </row>
    <row r="498" spans="1:6" x14ac:dyDescent="0.25">
      <c r="A498" s="5">
        <v>496</v>
      </c>
      <c r="B498" s="29">
        <f>'Raw Data'!N499</f>
        <v>23.1</v>
      </c>
      <c r="C498" s="5" t="str">
        <f>HLOOKUP("PRICE",'Raw Data'!$A$2:$N$3,2,FALSE)</f>
        <v>Price ($000s)</v>
      </c>
      <c r="D498" s="5" cm="1">
        <f t="array" aca="1" ref="D498" ca="1">INDIRECT("'Raw Data'!N"&amp;(A498+3))</f>
        <v>23.1</v>
      </c>
      <c r="E498" s="5">
        <f ca="1">IF(A498=506,"End Of Data",OFFSET('Raw Data'!$N$4,A498,0))</f>
        <v>19.7</v>
      </c>
      <c r="F498" s="5">
        <f ca="1">IF(A498=1,"Start of Data",OFFSET('Raw Data'!$N$4,A498-2,0))</f>
        <v>24.5</v>
      </c>
    </row>
    <row r="499" spans="1:6" x14ac:dyDescent="0.25">
      <c r="A499" s="5">
        <v>497</v>
      </c>
      <c r="B499" s="29">
        <f>'Raw Data'!N500</f>
        <v>19.7</v>
      </c>
      <c r="C499" s="5" t="str">
        <f>HLOOKUP("PRICE",'Raw Data'!$A$2:$N$3,2,FALSE)</f>
        <v>Price ($000s)</v>
      </c>
      <c r="D499" s="5" cm="1">
        <f t="array" aca="1" ref="D499" ca="1">INDIRECT("'Raw Data'!N"&amp;(A499+3))</f>
        <v>19.7</v>
      </c>
      <c r="E499" s="5">
        <f ca="1">IF(A499=506,"End Of Data",OFFSET('Raw Data'!$N$4,A499,0))</f>
        <v>18.3</v>
      </c>
      <c r="F499" s="5">
        <f ca="1">IF(A499=1,"Start of Data",OFFSET('Raw Data'!$N$4,A499-2,0))</f>
        <v>23.1</v>
      </c>
    </row>
    <row r="500" spans="1:6" x14ac:dyDescent="0.25">
      <c r="A500" s="5">
        <v>498</v>
      </c>
      <c r="B500" s="29">
        <f>'Raw Data'!N501</f>
        <v>18.3</v>
      </c>
      <c r="C500" s="5" t="str">
        <f>HLOOKUP("PRICE",'Raw Data'!$A$2:$N$3,2,FALSE)</f>
        <v>Price ($000s)</v>
      </c>
      <c r="D500" s="5" cm="1">
        <f t="array" aca="1" ref="D500" ca="1">INDIRECT("'Raw Data'!N"&amp;(A500+3))</f>
        <v>18.3</v>
      </c>
      <c r="E500" s="5">
        <f ca="1">IF(A500=506,"End Of Data",OFFSET('Raw Data'!$N$4,A500,0))</f>
        <v>21.2</v>
      </c>
      <c r="F500" s="5">
        <f ca="1">IF(A500=1,"Start of Data",OFFSET('Raw Data'!$N$4,A500-2,0))</f>
        <v>19.7</v>
      </c>
    </row>
    <row r="501" spans="1:6" x14ac:dyDescent="0.25">
      <c r="A501" s="5">
        <v>499</v>
      </c>
      <c r="B501" s="29">
        <f>'Raw Data'!N502</f>
        <v>21.2</v>
      </c>
      <c r="C501" s="5" t="str">
        <f>HLOOKUP("PRICE",'Raw Data'!$A$2:$N$3,2,FALSE)</f>
        <v>Price ($000s)</v>
      </c>
      <c r="D501" s="5" cm="1">
        <f t="array" aca="1" ref="D501" ca="1">INDIRECT("'Raw Data'!N"&amp;(A501+3))</f>
        <v>21.2</v>
      </c>
      <c r="E501" s="5">
        <f ca="1">IF(A501=506,"End Of Data",OFFSET('Raw Data'!$N$4,A501,0))</f>
        <v>17.5</v>
      </c>
      <c r="F501" s="5">
        <f ca="1">IF(A501=1,"Start of Data",OFFSET('Raw Data'!$N$4,A501-2,0))</f>
        <v>18.3</v>
      </c>
    </row>
    <row r="502" spans="1:6" x14ac:dyDescent="0.25">
      <c r="A502" s="5">
        <v>500</v>
      </c>
      <c r="B502" s="29">
        <f>'Raw Data'!N503</f>
        <v>17.5</v>
      </c>
      <c r="C502" s="5" t="str">
        <f>HLOOKUP("PRICE",'Raw Data'!$A$2:$N$3,2,FALSE)</f>
        <v>Price ($000s)</v>
      </c>
      <c r="D502" s="5" cm="1">
        <f t="array" aca="1" ref="D502" ca="1">INDIRECT("'Raw Data'!N"&amp;(A502+3))</f>
        <v>17.5</v>
      </c>
      <c r="E502" s="5">
        <f ca="1">IF(A502=506,"End Of Data",OFFSET('Raw Data'!$N$4,A502,0))</f>
        <v>16.8</v>
      </c>
      <c r="F502" s="5">
        <f ca="1">IF(A502=1,"Start of Data",OFFSET('Raw Data'!$N$4,A502-2,0))</f>
        <v>21.2</v>
      </c>
    </row>
    <row r="503" spans="1:6" x14ac:dyDescent="0.25">
      <c r="A503" s="5">
        <v>501</v>
      </c>
      <c r="B503" s="29">
        <f>'Raw Data'!N504</f>
        <v>16.8</v>
      </c>
      <c r="C503" s="5" t="str">
        <f>HLOOKUP("PRICE",'Raw Data'!$A$2:$N$3,2,FALSE)</f>
        <v>Price ($000s)</v>
      </c>
      <c r="D503" s="5" cm="1">
        <f t="array" aca="1" ref="D503" ca="1">INDIRECT("'Raw Data'!N"&amp;(A503+3))</f>
        <v>16.8</v>
      </c>
      <c r="E503" s="5">
        <f ca="1">IF(A503=506,"End Of Data",OFFSET('Raw Data'!$N$4,A503,0))</f>
        <v>22.4</v>
      </c>
      <c r="F503" s="5">
        <f ca="1">IF(A503=1,"Start of Data",OFFSET('Raw Data'!$N$4,A503-2,0))</f>
        <v>17.5</v>
      </c>
    </row>
    <row r="504" spans="1:6" x14ac:dyDescent="0.25">
      <c r="A504" s="5">
        <v>502</v>
      </c>
      <c r="B504" s="29">
        <f>'Raw Data'!N505</f>
        <v>22.4</v>
      </c>
      <c r="C504" s="5" t="str">
        <f>HLOOKUP("PRICE",'Raw Data'!$A$2:$N$3,2,FALSE)</f>
        <v>Price ($000s)</v>
      </c>
      <c r="D504" s="5" cm="1">
        <f t="array" aca="1" ref="D504" ca="1">INDIRECT("'Raw Data'!N"&amp;(A504+3))</f>
        <v>22.4</v>
      </c>
      <c r="E504" s="5">
        <f ca="1">IF(A504=506,"End Of Data",OFFSET('Raw Data'!$N$4,A504,0))</f>
        <v>20.6</v>
      </c>
      <c r="F504" s="5">
        <f ca="1">IF(A504=1,"Start of Data",OFFSET('Raw Data'!$N$4,A504-2,0))</f>
        <v>16.8</v>
      </c>
    </row>
    <row r="505" spans="1:6" x14ac:dyDescent="0.25">
      <c r="A505" s="5">
        <v>503</v>
      </c>
      <c r="B505" s="29">
        <f>'Raw Data'!N506</f>
        <v>20.6</v>
      </c>
      <c r="C505" s="5" t="str">
        <f>HLOOKUP("PRICE",'Raw Data'!$A$2:$N$3,2,FALSE)</f>
        <v>Price ($000s)</v>
      </c>
      <c r="D505" s="5" cm="1">
        <f t="array" aca="1" ref="D505" ca="1">INDIRECT("'Raw Data'!N"&amp;(A505+3))</f>
        <v>20.6</v>
      </c>
      <c r="E505" s="5">
        <f ca="1">IF(A505=506,"End Of Data",OFFSET('Raw Data'!$N$4,A505,0))</f>
        <v>23.9</v>
      </c>
      <c r="F505" s="5">
        <f ca="1">IF(A505=1,"Start of Data",OFFSET('Raw Data'!$N$4,A505-2,0))</f>
        <v>22.4</v>
      </c>
    </row>
    <row r="506" spans="1:6" x14ac:dyDescent="0.25">
      <c r="A506" s="5">
        <v>504</v>
      </c>
      <c r="B506" s="29">
        <f>'Raw Data'!N507</f>
        <v>23.9</v>
      </c>
      <c r="C506" s="5" t="str">
        <f>HLOOKUP("PRICE",'Raw Data'!$A$2:$N$3,2,FALSE)</f>
        <v>Price ($000s)</v>
      </c>
      <c r="D506" s="5" cm="1">
        <f t="array" aca="1" ref="D506" ca="1">INDIRECT("'Raw Data'!N"&amp;(A506+3))</f>
        <v>23.9</v>
      </c>
      <c r="E506" s="5">
        <f ca="1">IF(A506=506,"End Of Data",OFFSET('Raw Data'!$N$4,A506,0))</f>
        <v>22</v>
      </c>
      <c r="F506" s="5">
        <f ca="1">IF(A506=1,"Start of Data",OFFSET('Raw Data'!$N$4,A506-2,0))</f>
        <v>20.6</v>
      </c>
    </row>
    <row r="507" spans="1:6" x14ac:dyDescent="0.25">
      <c r="A507" s="5">
        <v>505</v>
      </c>
      <c r="B507" s="29">
        <f>'Raw Data'!N508</f>
        <v>22</v>
      </c>
      <c r="C507" s="5" t="str">
        <f>HLOOKUP("PRICE",'Raw Data'!$A$2:$N$3,2,FALSE)</f>
        <v>Price ($000s)</v>
      </c>
      <c r="D507" s="5" cm="1">
        <f t="array" aca="1" ref="D507" ca="1">INDIRECT("'Raw Data'!N"&amp;(A507+3))</f>
        <v>22</v>
      </c>
      <c r="E507" s="5">
        <f ca="1">IF(A507=506,"End Of Data",OFFSET('Raw Data'!$N$4,A507,0))</f>
        <v>11.9</v>
      </c>
      <c r="F507" s="5">
        <f ca="1">IF(A507=1,"Start of Data",OFFSET('Raw Data'!$N$4,A507-2,0))</f>
        <v>23.9</v>
      </c>
    </row>
    <row r="508" spans="1:6" x14ac:dyDescent="0.25">
      <c r="A508" s="5">
        <v>506</v>
      </c>
      <c r="B508" s="29">
        <f>'Raw Data'!N509</f>
        <v>11.9</v>
      </c>
      <c r="C508" s="5" t="str">
        <f>HLOOKUP("PRICE",'Raw Data'!$A$2:$N$3,2,FALSE)</f>
        <v>Price ($000s)</v>
      </c>
      <c r="D508" s="5" cm="1">
        <f t="array" aca="1" ref="D508" ca="1">INDIRECT("'Raw Data'!N"&amp;(A508+3))</f>
        <v>11.9</v>
      </c>
      <c r="E508" s="5" t="str">
        <f ca="1">IF(A508=506,"End Of Data",OFFSET('Raw Data'!$N$4,A508,0))</f>
        <v>End Of Data</v>
      </c>
      <c r="F508" s="5">
        <f ca="1">IF(A508=1,"Start of Data",OFFSET('Raw Data'!$N$4,A508-2,0))</f>
        <v>22</v>
      </c>
    </row>
    <row r="509" spans="1:6" x14ac:dyDescent="0.25">
      <c r="B509" s="28"/>
    </row>
  </sheetData>
  <mergeCells count="1">
    <mergeCell ref="A1:F1"/>
  </mergeCells>
  <conditionalFormatting sqref="A3:F508">
    <cfRule type="expression" dxfId="1" priority="1">
      <formula>MOD(ROW(),2)=0</formula>
    </cfRule>
    <cfRule type="expression" dxfId="0" priority="2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02E7-6C03-4810-B6B1-62C54C114C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DCAA-3408-493C-9A7F-1F3EDA0B451F}">
  <dimension ref="A1:C30"/>
  <sheetViews>
    <sheetView tabSelected="1" topLeftCell="A17" workbookViewId="0">
      <selection activeCell="C30" sqref="C30"/>
    </sheetView>
  </sheetViews>
  <sheetFormatPr defaultRowHeight="15" x14ac:dyDescent="0.25"/>
  <cols>
    <col min="1" max="1" width="22.7109375" customWidth="1"/>
    <col min="2" max="2" width="58.7109375" customWidth="1"/>
    <col min="3" max="3" width="55.7109375" customWidth="1"/>
  </cols>
  <sheetData>
    <row r="1" spans="1:3" ht="18.75" x14ac:dyDescent="0.3">
      <c r="A1" s="23" t="s">
        <v>45</v>
      </c>
      <c r="B1" s="23"/>
      <c r="C1" s="23"/>
    </row>
    <row r="2" spans="1:3" x14ac:dyDescent="0.25">
      <c r="A2" s="11" t="s">
        <v>46</v>
      </c>
      <c r="B2" s="11" t="s">
        <v>47</v>
      </c>
      <c r="C2" s="11" t="s">
        <v>48</v>
      </c>
    </row>
    <row r="3" spans="1:3" ht="24.95" customHeight="1" x14ac:dyDescent="0.25">
      <c r="A3" s="12" t="s">
        <v>49</v>
      </c>
      <c r="B3" s="13" t="s">
        <v>50</v>
      </c>
      <c r="C3" s="13" t="s">
        <v>51</v>
      </c>
    </row>
    <row r="4" spans="1:3" ht="24.95" customHeight="1" x14ac:dyDescent="0.25">
      <c r="A4" s="14" t="s">
        <v>52</v>
      </c>
      <c r="B4" s="15" t="s">
        <v>53</v>
      </c>
      <c r="C4" s="15" t="s">
        <v>54</v>
      </c>
    </row>
    <row r="5" spans="1:3" ht="24.95" customHeight="1" x14ac:dyDescent="0.25">
      <c r="A5" s="12" t="s">
        <v>55</v>
      </c>
      <c r="B5" s="13" t="s">
        <v>56</v>
      </c>
      <c r="C5" s="13" t="s">
        <v>57</v>
      </c>
    </row>
    <row r="6" spans="1:3" ht="24.95" customHeight="1" x14ac:dyDescent="0.25">
      <c r="A6" s="14" t="s">
        <v>58</v>
      </c>
      <c r="B6" s="15" t="s">
        <v>59</v>
      </c>
      <c r="C6" s="15" t="s">
        <v>60</v>
      </c>
    </row>
    <row r="7" spans="1:3" ht="24.95" customHeight="1" x14ac:dyDescent="0.25">
      <c r="A7" s="12" t="s">
        <v>61</v>
      </c>
      <c r="B7" s="13" t="s">
        <v>62</v>
      </c>
      <c r="C7" s="13" t="s">
        <v>63</v>
      </c>
    </row>
    <row r="8" spans="1:3" ht="24.95" customHeight="1" x14ac:dyDescent="0.25">
      <c r="A8" s="14" t="s">
        <v>64</v>
      </c>
      <c r="B8" s="15" t="s">
        <v>65</v>
      </c>
      <c r="C8" s="15" t="s">
        <v>66</v>
      </c>
    </row>
    <row r="9" spans="1:3" ht="24.95" customHeight="1" x14ac:dyDescent="0.25">
      <c r="A9" s="12" t="s">
        <v>67</v>
      </c>
      <c r="B9" s="13" t="s">
        <v>68</v>
      </c>
      <c r="C9" s="13" t="s">
        <v>69</v>
      </c>
    </row>
    <row r="10" spans="1:3" ht="24.95" customHeight="1" x14ac:dyDescent="0.25">
      <c r="A10" s="14" t="s">
        <v>70</v>
      </c>
      <c r="B10" s="15" t="s">
        <v>71</v>
      </c>
      <c r="C10" s="15" t="s">
        <v>72</v>
      </c>
    </row>
    <row r="11" spans="1:3" ht="24.95" customHeight="1" x14ac:dyDescent="0.25">
      <c r="A11" s="12" t="s">
        <v>73</v>
      </c>
      <c r="B11" s="13" t="s">
        <v>74</v>
      </c>
      <c r="C11" s="13" t="s">
        <v>75</v>
      </c>
    </row>
    <row r="12" spans="1:3" ht="24.95" customHeight="1" x14ac:dyDescent="0.25">
      <c r="A12" s="14" t="s">
        <v>76</v>
      </c>
      <c r="B12" s="15" t="s">
        <v>77</v>
      </c>
      <c r="C12" s="15" t="s">
        <v>78</v>
      </c>
    </row>
    <row r="13" spans="1:3" ht="24.95" customHeight="1" x14ac:dyDescent="0.25">
      <c r="A13" s="12" t="s">
        <v>79</v>
      </c>
      <c r="B13" s="13" t="s">
        <v>80</v>
      </c>
      <c r="C13" s="13" t="s">
        <v>81</v>
      </c>
    </row>
    <row r="15" spans="1:3" x14ac:dyDescent="0.25">
      <c r="A15" s="24" t="s">
        <v>82</v>
      </c>
      <c r="B15" s="24"/>
      <c r="C15" s="24"/>
    </row>
    <row r="18" spans="1:3" ht="18.75" x14ac:dyDescent="0.3">
      <c r="A18" s="23" t="s">
        <v>93</v>
      </c>
      <c r="B18" s="23"/>
      <c r="C18" s="23"/>
    </row>
    <row r="19" spans="1:3" ht="30" customHeight="1" x14ac:dyDescent="0.25">
      <c r="A19" s="11" t="s">
        <v>46</v>
      </c>
      <c r="B19" s="11" t="s">
        <v>47</v>
      </c>
      <c r="C19" s="11" t="s">
        <v>48</v>
      </c>
    </row>
    <row r="20" spans="1:3" ht="30" customHeight="1" x14ac:dyDescent="0.25">
      <c r="A20" s="12" t="s">
        <v>94</v>
      </c>
      <c r="B20" s="30" t="s">
        <v>95</v>
      </c>
      <c r="C20" s="13" t="s">
        <v>96</v>
      </c>
    </row>
    <row r="21" spans="1:3" ht="30" customHeight="1" x14ac:dyDescent="0.25">
      <c r="A21" s="14" t="s">
        <v>97</v>
      </c>
      <c r="B21" s="31" t="s">
        <v>98</v>
      </c>
      <c r="C21" s="15" t="s">
        <v>99</v>
      </c>
    </row>
    <row r="22" spans="1:3" ht="30" customHeight="1" x14ac:dyDescent="0.25">
      <c r="A22" s="12" t="s">
        <v>100</v>
      </c>
      <c r="B22" s="30" t="s">
        <v>101</v>
      </c>
      <c r="C22" s="13" t="s">
        <v>102</v>
      </c>
    </row>
    <row r="23" spans="1:3" ht="30" customHeight="1" x14ac:dyDescent="0.25">
      <c r="A23" s="14" t="s">
        <v>103</v>
      </c>
      <c r="B23" s="31" t="s">
        <v>104</v>
      </c>
      <c r="C23" s="15" t="s">
        <v>105</v>
      </c>
    </row>
    <row r="24" spans="1:3" ht="30" customHeight="1" x14ac:dyDescent="0.25">
      <c r="A24" s="12" t="s">
        <v>106</v>
      </c>
      <c r="B24" s="30" t="s">
        <v>107</v>
      </c>
      <c r="C24" s="13" t="s">
        <v>108</v>
      </c>
    </row>
    <row r="25" spans="1:3" ht="30" customHeight="1" x14ac:dyDescent="0.25">
      <c r="A25" s="14" t="s">
        <v>109</v>
      </c>
      <c r="B25" s="31" t="s">
        <v>110</v>
      </c>
      <c r="C25" s="15" t="s">
        <v>111</v>
      </c>
    </row>
    <row r="26" spans="1:3" ht="30" customHeight="1" x14ac:dyDescent="0.25">
      <c r="A26" s="12" t="s">
        <v>114</v>
      </c>
      <c r="B26" s="30" t="s">
        <v>112</v>
      </c>
      <c r="C26" s="13" t="s">
        <v>113</v>
      </c>
    </row>
    <row r="27" spans="1:3" ht="30" customHeight="1" x14ac:dyDescent="0.25">
      <c r="A27" s="12" t="s">
        <v>115</v>
      </c>
      <c r="B27" s="31" t="s">
        <v>116</v>
      </c>
      <c r="C27" s="15" t="s">
        <v>117</v>
      </c>
    </row>
    <row r="28" spans="1:3" ht="30" customHeight="1" x14ac:dyDescent="0.25"/>
    <row r="29" spans="1:3" ht="30" customHeight="1" x14ac:dyDescent="0.25">
      <c r="A29" s="24" t="s">
        <v>118</v>
      </c>
      <c r="B29" s="24"/>
      <c r="C29" s="24"/>
    </row>
    <row r="30" spans="1:3" ht="30" customHeight="1" x14ac:dyDescent="0.25"/>
  </sheetData>
  <mergeCells count="4">
    <mergeCell ref="A1:C1"/>
    <mergeCell ref="A15:C15"/>
    <mergeCell ref="A18:C18"/>
    <mergeCell ref="A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Task 1 - Logical Functions</vt:lpstr>
      <vt:lpstr>Task 1 - Error &amp; Special Funcs</vt:lpstr>
      <vt:lpstr>Task 2 - Lookup Functions</vt:lpstr>
      <vt:lpstr>Task 2 - Dynamic Reference</vt:lpstr>
      <vt:lpstr>Sheet1</vt:lpstr>
      <vt:lpstr>Summary &amp;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 mfalme</dc:creator>
  <cp:lastModifiedBy>Duke mfalme</cp:lastModifiedBy>
  <dcterms:created xsi:type="dcterms:W3CDTF">2026-05-29T20:45:21Z</dcterms:created>
  <dcterms:modified xsi:type="dcterms:W3CDTF">2026-06-02T16:30:07Z</dcterms:modified>
</cp:coreProperties>
</file>