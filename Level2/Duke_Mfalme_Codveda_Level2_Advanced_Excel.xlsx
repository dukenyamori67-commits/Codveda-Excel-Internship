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074f3b1ed3f2b272/Desktop/Codveda Internship/My solutions/"/>
    </mc:Choice>
  </mc:AlternateContent>
  <xr:revisionPtr revIDLastSave="8" documentId="8_{B67C3C7E-FD68-4045-9040-C9E5E0705DFE}" xr6:coauthVersionLast="47" xr6:coauthVersionMax="47" xr10:uidLastSave="{C662BA8C-548E-4B4F-8B29-4D06243F8138}"/>
  <bookViews>
    <workbookView xWindow="20370" yWindow="-120" windowWidth="19440" windowHeight="14880" tabRatio="654" firstSheet="4" activeTab="5" xr2:uid="{F7AD0785-C7EC-4D6D-B4B8-0920A32ACF48}"/>
  </bookViews>
  <sheets>
    <sheet name="Raw Data" sheetId="6" r:id="rId1"/>
    <sheet name="L2 T1 - Cleaned Data" sheetId="2" r:id="rId2"/>
    <sheet name="L2 T1 - Text Functions" sheetId="3" r:id="rId3"/>
    <sheet name="L2 T1 - Flash Fill" sheetId="4" r:id="rId4"/>
    <sheet name="Summary" sheetId="5" r:id="rId5"/>
    <sheet name="L2 T1 - Pivot Tables" sheetId="9" r:id="rId6"/>
    <sheet name="L2 T2 - Pivot Charts" sheetId="8" r:id="rId7"/>
  </sheets>
  <definedNames>
    <definedName name="NativeTimeline_Timestamp">#N/A</definedName>
    <definedName name="Slicer_Country__Cleaned">#N/A</definedName>
    <definedName name="Slicer_Platform__Cleaned">#N/A</definedName>
    <definedName name="Slicer_Sentiment__Cleaned">#N/A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4" l="1"/>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I3" i="4"/>
  <c r="H3"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B3" i="4"/>
  <c r="A3" i="4"/>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3" i="3"/>
  <c r="J717"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8" i="3"/>
  <c r="J719" i="3"/>
  <c r="J720" i="3"/>
  <c r="J721" i="3"/>
  <c r="J722" i="3"/>
  <c r="J723" i="3"/>
  <c r="J724" i="3"/>
  <c r="J725" i="3"/>
  <c r="J726" i="3"/>
  <c r="J727" i="3"/>
  <c r="J728" i="3"/>
  <c r="J729" i="3"/>
  <c r="J730" i="3"/>
  <c r="J731" i="3"/>
  <c r="J732" i="3"/>
  <c r="J733" i="3"/>
  <c r="J734"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K3" i="3"/>
  <c r="J3" i="3"/>
  <c r="I3" i="3"/>
  <c r="H3" i="3"/>
  <c r="G3" i="3"/>
  <c r="F3" i="3"/>
  <c r="D3" i="3"/>
  <c r="C3" i="3"/>
  <c r="B3" i="3"/>
  <c r="A3" i="3"/>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N3" i="2"/>
  <c r="M3" i="2"/>
  <c r="L3" i="2"/>
  <c r="K3" i="2"/>
  <c r="J3" i="2"/>
  <c r="I3" i="2"/>
  <c r="H3" i="2"/>
  <c r="G3" i="2"/>
  <c r="F3" i="2"/>
  <c r="E3" i="2"/>
  <c r="D3" i="2"/>
  <c r="C3" i="2"/>
  <c r="B3" i="2"/>
  <c r="A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6FAFE0-64AE-4642-82EB-39B18DF4547E}" keepAlive="1" name="Query - 3) Sentiment dataset" description="Connection to the '3) Sentiment dataset' query in the workbook." type="5" refreshedVersion="0" background="1">
    <dbPr connection="Provider=Microsoft.Mashup.OleDb.1;Data Source=$Workbook$;Location=&quot;3) Sentiment dataset&quot;;Extended Properties=&quot;&quot;" command="SELECT * FROM [3) Sentiment dataset]"/>
  </connection>
</connections>
</file>

<file path=xl/sharedStrings.xml><?xml version="1.0" encoding="utf-8"?>
<sst xmlns="http://schemas.openxmlformats.org/spreadsheetml/2006/main" count="5701" uniqueCount="2875">
  <si>
    <t>Sentiment</t>
  </si>
  <si>
    <t>Timestamp</t>
  </si>
  <si>
    <t>Platform</t>
  </si>
  <si>
    <t>Hashtags</t>
  </si>
  <si>
    <t>Retweets</t>
  </si>
  <si>
    <t>Likes</t>
  </si>
  <si>
    <t>Country</t>
  </si>
  <si>
    <t>Year</t>
  </si>
  <si>
    <t>Month</t>
  </si>
  <si>
    <t>Day</t>
  </si>
  <si>
    <t>Hour</t>
  </si>
  <si>
    <t xml:space="preserve"> Enjoying a beautiful day at the park!              </t>
  </si>
  <si>
    <t xml:space="preserve"> Positive  </t>
  </si>
  <si>
    <t xml:space="preserve"> User123      </t>
  </si>
  <si>
    <t xml:space="preserve"> Twitter  </t>
  </si>
  <si>
    <t xml:space="preserve"> #Nature #Park                            </t>
  </si>
  <si>
    <t xml:space="preserve"> USA      </t>
  </si>
  <si>
    <t xml:space="preserve"> Traffic was terrible this morning.                 </t>
  </si>
  <si>
    <t xml:space="preserve"> Negative  </t>
  </si>
  <si>
    <t xml:space="preserve"> CommuterX    </t>
  </si>
  <si>
    <t xml:space="preserve"> #Traffic #Morning                        </t>
  </si>
  <si>
    <t xml:space="preserve"> Canada   </t>
  </si>
  <si>
    <t xml:space="preserve"> Just finished an amazing workout! 💪               </t>
  </si>
  <si>
    <t xml:space="preserve"> FitnessFan   </t>
  </si>
  <si>
    <t xml:space="preserve"> Instagram </t>
  </si>
  <si>
    <t xml:space="preserve"> #Fitness #Workout                        </t>
  </si>
  <si>
    <t xml:space="preserve"> USA        </t>
  </si>
  <si>
    <t xml:space="preserve"> Excited about the upcoming weekend getaway!        </t>
  </si>
  <si>
    <t xml:space="preserve"> AdventureX   </t>
  </si>
  <si>
    <t xml:space="preserve"> Facebook </t>
  </si>
  <si>
    <t xml:space="preserve"> #Travel #Adventure                       </t>
  </si>
  <si>
    <t xml:space="preserve"> UK       </t>
  </si>
  <si>
    <t xml:space="preserve"> Trying out a new recipe for dinner tonight.        </t>
  </si>
  <si>
    <t xml:space="preserve"> Neutral   </t>
  </si>
  <si>
    <t xml:space="preserve"> ChefCook     </t>
  </si>
  <si>
    <t xml:space="preserve"> #Cooking #Food                           </t>
  </si>
  <si>
    <t xml:space="preserve"> Australia </t>
  </si>
  <si>
    <t xml:space="preserve"> Feeling grateful for the little things in life.    </t>
  </si>
  <si>
    <t xml:space="preserve"> GratitudeNow </t>
  </si>
  <si>
    <t xml:space="preserve"> #Gratitude #PositiveVibes              </t>
  </si>
  <si>
    <t xml:space="preserve"> India    </t>
  </si>
  <si>
    <t xml:space="preserve"> Rainy days call for cozy blankets and hot cocoa.   </t>
  </si>
  <si>
    <t xml:space="preserve"> RainyDays    </t>
  </si>
  <si>
    <t xml:space="preserve"> #RainyDays #Cozy                         </t>
  </si>
  <si>
    <t xml:space="preserve"> The new movie release is a must-watch!             </t>
  </si>
  <si>
    <t xml:space="preserve"> MovieBuff    </t>
  </si>
  <si>
    <t xml:space="preserve"> #MovieNight #MustWatch                  </t>
  </si>
  <si>
    <t xml:space="preserve"> USA    </t>
  </si>
  <si>
    <t xml:space="preserve"> Political discussions heating up on the timeline.  </t>
  </si>
  <si>
    <t xml:space="preserve"> DebateTalk   </t>
  </si>
  <si>
    <t xml:space="preserve"> #Politics #Debate                       </t>
  </si>
  <si>
    <t xml:space="preserve"> Missing summer vibes and beach days.               </t>
  </si>
  <si>
    <t xml:space="preserve"> BeachLover   </t>
  </si>
  <si>
    <t xml:space="preserve"> #Summer #BeachDays                      </t>
  </si>
  <si>
    <t xml:space="preserve"> Just published a new blog post. Check it out!      </t>
  </si>
  <si>
    <t xml:space="preserve"> BloggerX     </t>
  </si>
  <si>
    <t xml:space="preserve"> #Blogging #NewPost                      </t>
  </si>
  <si>
    <t>USA</t>
  </si>
  <si>
    <t xml:space="preserve"> Feeling a bit under the weather today.             </t>
  </si>
  <si>
    <t xml:space="preserve"> WellnessCheck</t>
  </si>
  <si>
    <t xml:space="preserve"> #SickDay #Health                        </t>
  </si>
  <si>
    <t xml:space="preserve"> Exploring the city's hidden gems.                  </t>
  </si>
  <si>
    <t xml:space="preserve"> UrbanExplorer</t>
  </si>
  <si>
    <t xml:space="preserve"> #CityExplore #HiddenGems                </t>
  </si>
  <si>
    <t xml:space="preserve"> New year, new fitness goals! 💪                    </t>
  </si>
  <si>
    <t xml:space="preserve"> FitJourney   </t>
  </si>
  <si>
    <t xml:space="preserve"> #NewYear #FitnessGoals                  </t>
  </si>
  <si>
    <t xml:space="preserve"> Technology is changing the way we live.            </t>
  </si>
  <si>
    <t xml:space="preserve"> TechEnthusiast</t>
  </si>
  <si>
    <t xml:space="preserve"> #Tech #Innovation                       </t>
  </si>
  <si>
    <t xml:space="preserve"> Reflecting on the past and looking ahead.          </t>
  </si>
  <si>
    <t xml:space="preserve"> Reflections  </t>
  </si>
  <si>
    <t xml:space="preserve"> #Reflection #Future                     </t>
  </si>
  <si>
    <t xml:space="preserve"> Just adopted a cute furry friend! 🐾              </t>
  </si>
  <si>
    <t xml:space="preserve"> PetAdopter   </t>
  </si>
  <si>
    <t xml:space="preserve"> #PetAdoption #FurryFriend               </t>
  </si>
  <si>
    <t xml:space="preserve"> Canada    </t>
  </si>
  <si>
    <t xml:space="preserve"> Late-night gaming session with friends.            </t>
  </si>
  <si>
    <t xml:space="preserve"> GamerX       </t>
  </si>
  <si>
    <t xml:space="preserve"> #Gaming #LateNight                      </t>
  </si>
  <si>
    <t xml:space="preserve"> Attending a virtual conference on AI.              </t>
  </si>
  <si>
    <t xml:space="preserve"> TechConference</t>
  </si>
  <si>
    <t xml:space="preserve"> #AI #TechConference                     </t>
  </si>
  <si>
    <t xml:space="preserve"> Winter blues got me feeling low.                   </t>
  </si>
  <si>
    <t xml:space="preserve"> WinterBlues  </t>
  </si>
  <si>
    <t xml:space="preserve"> #WinterBlues #Mood                      </t>
  </si>
  <si>
    <t xml:space="preserve"> USA       </t>
  </si>
  <si>
    <t xml:space="preserve"> Sipping coffee and enjoying a good book.           </t>
  </si>
  <si>
    <t xml:space="preserve"> Bookworm     </t>
  </si>
  <si>
    <t xml:space="preserve"> #Reading #CoffeeTime                    </t>
  </si>
  <si>
    <t xml:space="preserve"> Exploring the world of virtual reality.            </t>
  </si>
  <si>
    <t xml:space="preserve"> VRExplorer   </t>
  </si>
  <si>
    <t xml:space="preserve"> #VR #VirtualReality                     </t>
  </si>
  <si>
    <t xml:space="preserve"> Productive day ticking off my to-do list.          </t>
  </si>
  <si>
    <t xml:space="preserve"> ProductivityPro</t>
  </si>
  <si>
    <t xml:space="preserve"> #Productivity #WorkFromHome           </t>
  </si>
  <si>
    <t xml:space="preserve"> USA </t>
  </si>
  <si>
    <t xml:space="preserve"> Just finished a challenging workout routine.       </t>
  </si>
  <si>
    <t xml:space="preserve"> FitnessWarrior</t>
  </si>
  <si>
    <t xml:space="preserve"> #Fitness #ChallengeAccepted             </t>
  </si>
  <si>
    <t xml:space="preserve"> Celebrating a milestone at work! 🎉               </t>
  </si>
  <si>
    <t xml:space="preserve"> CareerMilestone</t>
  </si>
  <si>
    <t xml:space="preserve"> #Career #Milestone                      </t>
  </si>
  <si>
    <t xml:space="preserve"> Canada  </t>
  </si>
  <si>
    <t xml:space="preserve"> Sunday brunch with friends.                        </t>
  </si>
  <si>
    <t xml:space="preserve"> BrunchBuddy  </t>
  </si>
  <si>
    <t xml:space="preserve"> #Brunch #Friends                       </t>
  </si>
  <si>
    <t xml:space="preserve"> UK </t>
  </si>
  <si>
    <t xml:space="preserve"> Learning a new language for personal growth.       </t>
  </si>
  <si>
    <t xml:space="preserve"> LanguageLearner</t>
  </si>
  <si>
    <t xml:space="preserve"> #LanguageLearning #PersonalGrowth       </t>
  </si>
  <si>
    <t xml:space="preserve"> India     </t>
  </si>
  <si>
    <t xml:space="preserve"> Quiet evening with a good book.                    </t>
  </si>
  <si>
    <t xml:space="preserve"> BookLover    </t>
  </si>
  <si>
    <t xml:space="preserve"> #Reading #QuietTime                     </t>
  </si>
  <si>
    <t xml:space="preserve"> Reflecting on the importance of mental health.     </t>
  </si>
  <si>
    <t xml:space="preserve"> MentalHealthMatters</t>
  </si>
  <si>
    <t xml:space="preserve"> #MentalHealth #SelfCare                 </t>
  </si>
  <si>
    <t xml:space="preserve"> New painting in progress! 🎨                       </t>
  </si>
  <si>
    <t xml:space="preserve"> ArtistInAction</t>
  </si>
  <si>
    <t xml:space="preserve"> #Art #PaintingInProgress             </t>
  </si>
  <si>
    <t xml:space="preserve"> Canada </t>
  </si>
  <si>
    <t xml:space="preserve"> Weekend road trip to explore scenic views.         </t>
  </si>
  <si>
    <t xml:space="preserve"> RoadTripper  </t>
  </si>
  <si>
    <t xml:space="preserve"> #RoadTrip #ScenicViews                  </t>
  </si>
  <si>
    <t xml:space="preserve"> UK        </t>
  </si>
  <si>
    <t xml:space="preserve"> Enjoying a cup of tea and watching the sunset.     </t>
  </si>
  <si>
    <t xml:space="preserve"> SunsetWatcher</t>
  </si>
  <si>
    <t xml:space="preserve"> #TeaTime #Sunset                       </t>
  </si>
  <si>
    <t xml:space="preserve"> Coding a new project with enthusiasm.              </t>
  </si>
  <si>
    <t xml:space="preserve"> CodeEnthusiast</t>
  </si>
  <si>
    <t xml:space="preserve"> #Coding #Enthusiasm                   </t>
  </si>
  <si>
    <t xml:space="preserve"> Feeling inspired after attending a workshop.       </t>
  </si>
  <si>
    <t xml:space="preserve"> WorkshopAttendee</t>
  </si>
  <si>
    <t xml:space="preserve"> #Inspiration #Workshop                  </t>
  </si>
  <si>
    <t xml:space="preserve"> Winter sports day at the local park.               </t>
  </si>
  <si>
    <t xml:space="preserve"> WinterSports  </t>
  </si>
  <si>
    <t xml:space="preserve"> #WinterSports #Fun                     </t>
  </si>
  <si>
    <t xml:space="preserve"> Quality time with family this weekend.             </t>
  </si>
  <si>
    <t xml:space="preserve"> FamilyTime   </t>
  </si>
  <si>
    <t xml:space="preserve"> #FamilyTime #Weekend                    </t>
  </si>
  <si>
    <t xml:space="preserve"> Attending a live music concert tonight.            </t>
  </si>
  <si>
    <t xml:space="preserve"> MusicLover   </t>
  </si>
  <si>
    <t xml:space="preserve"> #Music #ConcertNight                  </t>
  </si>
  <si>
    <t xml:space="preserve"> Practicing mindfulness with meditation.            </t>
  </si>
  <si>
    <t xml:space="preserve"> MindfulMoments</t>
  </si>
  <si>
    <t xml:space="preserve"> #Mindfulness #Meditation               </t>
  </si>
  <si>
    <t xml:space="preserve"> Trying out a new dessert recipe.                   </t>
  </si>
  <si>
    <t xml:space="preserve"> DessertExplorer</t>
  </si>
  <si>
    <t xml:space="preserve"> #Dessert #Cooking                      </t>
  </si>
  <si>
    <t xml:space="preserve"> Excited about the upcoming gaming tournament.      </t>
  </si>
  <si>
    <t xml:space="preserve"> GamingEnthusiast</t>
  </si>
  <si>
    <t xml:space="preserve"> #Gaming #Tournament                     </t>
  </si>
  <si>
    <t xml:space="preserve"> Planning a garden makeover for spring.             </t>
  </si>
  <si>
    <t xml:space="preserve"> GardenPlanner </t>
  </si>
  <si>
    <t xml:space="preserve"> #Gardening #Spring                     </t>
  </si>
  <si>
    <t xml:space="preserve"> Celebrating a friend's birthday tonight! 🎂       </t>
  </si>
  <si>
    <t xml:space="preserve"> BirthdayBash </t>
  </si>
  <si>
    <t xml:space="preserve"> #Birthday #Celebration                  </t>
  </si>
  <si>
    <t xml:space="preserve"> Feeling accomplished after a productive day.       </t>
  </si>
  <si>
    <t xml:space="preserve"> ProductivityWin</t>
  </si>
  <si>
    <t xml:space="preserve"> #Accomplished #Success               </t>
  </si>
  <si>
    <t xml:space="preserve"> India </t>
  </si>
  <si>
    <t xml:space="preserve"> A cozy evening with a good movie.                 </t>
  </si>
  <si>
    <t xml:space="preserve"> MovieNight   </t>
  </si>
  <si>
    <t xml:space="preserve"> #CozyNight #MovieTime                   </t>
  </si>
  <si>
    <t xml:space="preserve"> Exploring local art galleries this weekend.        </t>
  </si>
  <si>
    <t xml:space="preserve"> ArtExplorer  </t>
  </si>
  <si>
    <t xml:space="preserve"> #Art #GalleryExplore                    </t>
  </si>
  <si>
    <t xml:space="preserve"> New book release from my favorite author!          </t>
  </si>
  <si>
    <t xml:space="preserve"> BookwormX    </t>
  </si>
  <si>
    <t xml:space="preserve"> #BookRelease #FavoriteAuthor           </t>
  </si>
  <si>
    <t xml:space="preserve"> UK   </t>
  </si>
  <si>
    <t xml:space="preserve"> Attending a virtual reality meetup.                </t>
  </si>
  <si>
    <t xml:space="preserve"> VRMeetup     </t>
  </si>
  <si>
    <t xml:space="preserve"> #VRMeetup #VirtualReality               </t>
  </si>
  <si>
    <t xml:space="preserve"> Reflecting on the beauty of nature.                </t>
  </si>
  <si>
    <t xml:space="preserve"> NatureLover  </t>
  </si>
  <si>
    <t xml:space="preserve"> #Nature #Reflection                     </t>
  </si>
  <si>
    <t xml:space="preserve"> Cooking a special dinner for loved ones.           </t>
  </si>
  <si>
    <t xml:space="preserve"> ChefAtHome   </t>
  </si>
  <si>
    <t xml:space="preserve"> #Cooking #SpecialDinner                </t>
  </si>
  <si>
    <t xml:space="preserve"> Feeling optimistic about the week ahead.           </t>
  </si>
  <si>
    <t xml:space="preserve"> OptimisticMindset</t>
  </si>
  <si>
    <t xml:space="preserve"> #Optimism #NewWeek                     </t>
  </si>
  <si>
    <t xml:space="preserve"> Starting a new fitness challenge tomorrow! 💪     </t>
  </si>
  <si>
    <t xml:space="preserve"> FitnessChallenge</t>
  </si>
  <si>
    <t xml:space="preserve"> #FitnessChallenge #NewBeginnings       </t>
  </si>
  <si>
    <t xml:space="preserve"> UK         </t>
  </si>
  <si>
    <t xml:space="preserve"> Sunday bike ride through scenic trails.           </t>
  </si>
  <si>
    <t xml:space="preserve"> BikeExplorer  </t>
  </si>
  <si>
    <t xml:space="preserve"> #BikeRide #ScenicTrails                </t>
  </si>
  <si>
    <t xml:space="preserve"> USA     </t>
  </si>
  <si>
    <t xml:space="preserve"> Can't believe the injustice happening in our society.</t>
  </si>
  <si>
    <t xml:space="preserve"> Anger        </t>
  </si>
  <si>
    <t xml:space="preserve"> SocialJustice   </t>
  </si>
  <si>
    <t xml:space="preserve"> #Injustice #Angry                            </t>
  </si>
  <si>
    <t xml:space="preserve"> Canada     </t>
  </si>
  <si>
    <t xml:space="preserve"> Feeling a sense of fear after watching a thriller movie. </t>
  </si>
  <si>
    <t xml:space="preserve"> Fear         </t>
  </si>
  <si>
    <t xml:space="preserve"> ThrillerFan     </t>
  </si>
  <si>
    <t xml:space="preserve"> #Fear #ThrillerMovie                         </t>
  </si>
  <si>
    <t xml:space="preserve"> USA          </t>
  </si>
  <si>
    <t xml:space="preserve"> Heartbroken after hearing the news about a natural disaster. </t>
  </si>
  <si>
    <t xml:space="preserve"> Sadness      </t>
  </si>
  <si>
    <t xml:space="preserve"> EmpathyFirst    </t>
  </si>
  <si>
    <t xml:space="preserve"> #Sadness #NaturalDisaster                    </t>
  </si>
  <si>
    <t xml:space="preserve"> India      </t>
  </si>
  <si>
    <t xml:space="preserve"> The state of the world's environment is just disgusting. </t>
  </si>
  <si>
    <t xml:space="preserve"> Disgust      </t>
  </si>
  <si>
    <t xml:space="preserve"> EcoAwareness    </t>
  </si>
  <si>
    <t xml:space="preserve"> #Disgust #Environment                        </t>
  </si>
  <si>
    <t xml:space="preserve"> Pure happiness: celebrating a loved one's achievement! </t>
  </si>
  <si>
    <t xml:space="preserve"> Happiness    </t>
  </si>
  <si>
    <t xml:space="preserve"> ProudFriend     </t>
  </si>
  <si>
    <t xml:space="preserve"> #Happiness #Celebration                   </t>
  </si>
  <si>
    <t xml:space="preserve"> Laughter is the best medicine—enjoying a comedy show. </t>
  </si>
  <si>
    <t xml:space="preserve"> Joy          </t>
  </si>
  <si>
    <t xml:space="preserve"> ComedyFan       </t>
  </si>
  <si>
    <t xml:space="preserve"> #Joy #ComedyShow                             </t>
  </si>
  <si>
    <t xml:space="preserve"> Sharing love and positive vibes with everyone! ❤️      </t>
  </si>
  <si>
    <t xml:space="preserve"> Love         </t>
  </si>
  <si>
    <t xml:space="preserve"> LoveSpreader    </t>
  </si>
  <si>
    <t xml:space="preserve"> #Love #SpreadLove                            </t>
  </si>
  <si>
    <t xml:space="preserve"> Australia  </t>
  </si>
  <si>
    <t xml:space="preserve"> An amusing incident brightened up my day!               </t>
  </si>
  <si>
    <t xml:space="preserve"> Amusement    </t>
  </si>
  <si>
    <t xml:space="preserve"> AmusedSoul      </t>
  </si>
  <si>
    <t xml:space="preserve"> #Amusement #FunTimes                         </t>
  </si>
  <si>
    <t xml:space="preserve"> UK           </t>
  </si>
  <si>
    <t xml:space="preserve"> Enjoying a quiet evening with a book and some tea.      </t>
  </si>
  <si>
    <t xml:space="preserve"> Enjoyment    </t>
  </si>
  <si>
    <t xml:space="preserve"> BookLoverAgain  </t>
  </si>
  <si>
    <t xml:space="preserve"> #Enjoyment #BookTime                         </t>
  </si>
  <si>
    <t xml:space="preserve"> Canada       </t>
  </si>
  <si>
    <t xml:space="preserve"> Admiring the beauty of nature during a peaceful hike.   </t>
  </si>
  <si>
    <t xml:space="preserve"> Admiration   </t>
  </si>
  <si>
    <t xml:space="preserve"> NatureAdmirer   </t>
  </si>
  <si>
    <t xml:space="preserve"> #Admiration #Nature                         </t>
  </si>
  <si>
    <t xml:space="preserve"> Sending affectionate vibes to all my followers!          </t>
  </si>
  <si>
    <t xml:space="preserve"> Affection    </t>
  </si>
  <si>
    <t xml:space="preserve"> AffectionSender </t>
  </si>
  <si>
    <t xml:space="preserve"> #Affection #PositiveVibes                   </t>
  </si>
  <si>
    <t xml:space="preserve"> Experiencing awe at the breathtaking sunset.            </t>
  </si>
  <si>
    <t xml:space="preserve"> Awe          </t>
  </si>
  <si>
    <t xml:space="preserve"> AweStruck       </t>
  </si>
  <si>
    <t xml:space="preserve"> #Awe #Breathtaking                          </t>
  </si>
  <si>
    <t xml:space="preserve"> Australia   </t>
  </si>
  <si>
    <t xml:space="preserve"> Disappointed with the service at a local restaurant.    </t>
  </si>
  <si>
    <t xml:space="preserve"> Disappointed </t>
  </si>
  <si>
    <t xml:space="preserve"> FoodieGoneWrong </t>
  </si>
  <si>
    <t xml:space="preserve"> #Disappointed #BadService                   </t>
  </si>
  <si>
    <t xml:space="preserve"> A surprise gift from a friend made my day!              </t>
  </si>
  <si>
    <t xml:space="preserve"> Surprise     </t>
  </si>
  <si>
    <t xml:space="preserve"> HappySurprise   </t>
  </si>
  <si>
    <t xml:space="preserve"> #Surprise #Gift                              </t>
  </si>
  <si>
    <t xml:space="preserve"> Finding acceptance in the midst of life's challenges.   </t>
  </si>
  <si>
    <t xml:space="preserve"> Acceptance   </t>
  </si>
  <si>
    <t xml:space="preserve"> AcceptanceSeeker</t>
  </si>
  <si>
    <t xml:space="preserve"> #Acceptance #Challenges                     </t>
  </si>
  <si>
    <t xml:space="preserve"> Overflowing with adoration for my adorable pet! 🐾      </t>
  </si>
  <si>
    <t xml:space="preserve"> Adoration    </t>
  </si>
  <si>
    <t xml:space="preserve"> PetAdorer       </t>
  </si>
  <si>
    <t xml:space="preserve"> #Adoration #PetLove                         </t>
  </si>
  <si>
    <t xml:space="preserve"> Anticipating a thrilling adventure in the coming weeks. </t>
  </si>
  <si>
    <t xml:space="preserve"> Anticipation </t>
  </si>
  <si>
    <t xml:space="preserve"> AdventureAwaits  </t>
  </si>
  <si>
    <t xml:space="preserve"> #Anticipation #Adventure                    </t>
  </si>
  <si>
    <t xml:space="preserve"> A bitter experience turned into a valuable lesson.      </t>
  </si>
  <si>
    <t xml:space="preserve"> Bitter       </t>
  </si>
  <si>
    <t xml:space="preserve"> LearnFromBitter </t>
  </si>
  <si>
    <t xml:space="preserve"> #BitterLesson #Growth                      </t>
  </si>
  <si>
    <t xml:space="preserve"> Finding calmness in the midst of a busy day.            </t>
  </si>
  <si>
    <t xml:space="preserve"> Calmness     </t>
  </si>
  <si>
    <t xml:space="preserve"> ZenMaster       </t>
  </si>
  <si>
    <t xml:space="preserve"> #Calmness #PeacefulMind                    </t>
  </si>
  <si>
    <t xml:space="preserve"> Confusion clouds my mind as I navigate through decisions.</t>
  </si>
  <si>
    <t xml:space="preserve"> Confusion    </t>
  </si>
  <si>
    <t xml:space="preserve"> ConfusedMind    </t>
  </si>
  <si>
    <t xml:space="preserve"> #Confusion #DecisionMaking                 </t>
  </si>
  <si>
    <t xml:space="preserve"> Excitement building up for the upcoming vacation!       </t>
  </si>
  <si>
    <t xml:space="preserve"> Excitement   </t>
  </si>
  <si>
    <t xml:space="preserve"> VacationDreamer </t>
  </si>
  <si>
    <t xml:space="preserve"> #Excitement #TravelPlans                   </t>
  </si>
  <si>
    <t xml:space="preserve"> Kindness witnessed today restored my faith in humanity. </t>
  </si>
  <si>
    <t xml:space="preserve"> Kind         </t>
  </si>
  <si>
    <t xml:space="preserve"> KindnessPrevails</t>
  </si>
  <si>
    <t xml:space="preserve"> #Kindness #Humanity                        </t>
  </si>
  <si>
    <t xml:space="preserve"> Pride in achieving a personal milestone.               </t>
  </si>
  <si>
    <t xml:space="preserve"> Pride        </t>
  </si>
  <si>
    <t xml:space="preserve"> PersonalAchiever</t>
  </si>
  <si>
    <t xml:space="preserve"> #Pride #Milestone                           </t>
  </si>
  <si>
    <t xml:space="preserve"> Australia    </t>
  </si>
  <si>
    <t xml:space="preserve"> A moment of shame for not standing up against injustice. </t>
  </si>
  <si>
    <t xml:space="preserve"> Shame        </t>
  </si>
  <si>
    <t xml:space="preserve"> ReflectiveSelf  </t>
  </si>
  <si>
    <t xml:space="preserve"> #Shame #Injustice                           </t>
  </si>
  <si>
    <t xml:space="preserve"> Fuming with anger after a heated argument.            </t>
  </si>
  <si>
    <t xml:space="preserve"> AngryDebater    </t>
  </si>
  <si>
    <t xml:space="preserve"> #Anger #Argument                             </t>
  </si>
  <si>
    <t xml:space="preserve"> The fear of the unknown is keeping me up at night.    </t>
  </si>
  <si>
    <t xml:space="preserve"> FearfulDreamer  </t>
  </si>
  <si>
    <t xml:space="preserve"> #Fear #Unknown                               </t>
  </si>
  <si>
    <t xml:space="preserve"> Heartfelt sadness after bidding farewell to a dear friend. </t>
  </si>
  <si>
    <t xml:space="preserve"> FarewellHeart   </t>
  </si>
  <si>
    <t xml:space="preserve"> #Sadness #Farewell                          </t>
  </si>
  <si>
    <t xml:space="preserve"> The state of corruption in our society is utterly disgusting. </t>
  </si>
  <si>
    <t xml:space="preserve"> AntiCorruption  </t>
  </si>
  <si>
    <t xml:space="preserve"> #Disgust #Corruption                         </t>
  </si>
  <si>
    <t xml:space="preserve"> Overflowing happiness: welcoming a new family member!  </t>
  </si>
  <si>
    <t xml:space="preserve"> NewParentJoy    </t>
  </si>
  <si>
    <t xml:space="preserve"> #Happiness #NewFamilyMember                 </t>
  </si>
  <si>
    <t xml:space="preserve"> Laughter is the key to joy—attending a stand-up comedy show. </t>
  </si>
  <si>
    <t xml:space="preserve"> StandUpFan      </t>
  </si>
  <si>
    <t xml:space="preserve"> #Joy #StandUpComedy                         </t>
  </si>
  <si>
    <t xml:space="preserve"> Sending love to all my followers on this beautiful day! ❤️ </t>
  </si>
  <si>
    <t xml:space="preserve"> LoveSender      </t>
  </si>
  <si>
    <t xml:space="preserve"> Amused by the antics of my pet—it's pure amusement!      </t>
  </si>
  <si>
    <t xml:space="preserve"> PetAmuser       </t>
  </si>
  <si>
    <t xml:space="preserve"> #Amusement #PetAntics                       </t>
  </si>
  <si>
    <t xml:space="preserve"> Enjoying every moment of this trip—pure enjoyment!      </t>
  </si>
  <si>
    <t xml:space="preserve"> TravelExplorer  </t>
  </si>
  <si>
    <t xml:space="preserve"> #Enjoyment #Travel                           </t>
  </si>
  <si>
    <t xml:space="preserve"> Admiring the dedication of volunteers at a local charity. </t>
  </si>
  <si>
    <t xml:space="preserve"> CharityAdmirer  </t>
  </si>
  <si>
    <t xml:space="preserve"> #Admiration #Volunteers                     </t>
  </si>
  <si>
    <t xml:space="preserve"> Sending affectionate vibes to friends and family.        </t>
  </si>
  <si>
    <t xml:space="preserve"> FamilyLover     </t>
  </si>
  <si>
    <t xml:space="preserve"> #Affection #FamilyLove                      </t>
  </si>
  <si>
    <t xml:space="preserve"> Awe-struck by the beauty of the night sky.               </t>
  </si>
  <si>
    <t xml:space="preserve"> Stargazer       </t>
  </si>
  <si>
    <t xml:space="preserve"> #Awe #StarryNight                        </t>
  </si>
  <si>
    <t xml:space="preserve"> Disappointed with the lack of progress in a personal project. </t>
  </si>
  <si>
    <t xml:space="preserve"> ProjectStruggle </t>
  </si>
  <si>
    <t xml:space="preserve"> #Disappointed #Project                     </t>
  </si>
  <si>
    <t xml:space="preserve"> A surprise visit from an old friend brought tears of joy. </t>
  </si>
  <si>
    <t xml:space="preserve"> JoyfulReunion   </t>
  </si>
  <si>
    <t xml:space="preserve"> #Surprise #OldFriends                       </t>
  </si>
  <si>
    <t xml:space="preserve"> Embracing acceptance of life's ups and downs.           </t>
  </si>
  <si>
    <t xml:space="preserve"> LifeAcceptance  </t>
  </si>
  <si>
    <t xml:space="preserve"> #Acceptance #LifeJourney                   </t>
  </si>
  <si>
    <t xml:space="preserve"> Overflowing adoration for a cute rescue puppy! 🐶       </t>
  </si>
  <si>
    <t xml:space="preserve"> PuppyAdmirer    </t>
  </si>
  <si>
    <t xml:space="preserve"> #Adoration #PuppyLove                       </t>
  </si>
  <si>
    <t xml:space="preserve"> Anticipating the release of a much-awaited movie.       </t>
  </si>
  <si>
    <t xml:space="preserve"> MovieBuff2      </t>
  </si>
  <si>
    <t xml:space="preserve"> #Anticipation #MovieRelease                 </t>
  </si>
  <si>
    <t xml:space="preserve"> Bitter experience at the customer service department.   </t>
  </si>
  <si>
    <t xml:space="preserve"> CustomerWoes    </t>
  </si>
  <si>
    <t xml:space="preserve"> #BitterExperience #CustomerService         </t>
  </si>
  <si>
    <t xml:space="preserve"> Finding calmness amidst the chaos of daily life.        </t>
  </si>
  <si>
    <t xml:space="preserve"> CalmSoul        </t>
  </si>
  <si>
    <t xml:space="preserve"> #Calmness #InnerPeace                      </t>
  </si>
  <si>
    <t xml:space="preserve"> Confusion reigns as I try to make sense of recent events.</t>
  </si>
  <si>
    <t xml:space="preserve"> ConfusedMind2   </t>
  </si>
  <si>
    <t xml:space="preserve"> #Confusion #MakingSense                    </t>
  </si>
  <si>
    <t xml:space="preserve"> Excitement building up for a surprise birthday party.   </t>
  </si>
  <si>
    <t xml:space="preserve"> BirthdayExcite  </t>
  </si>
  <si>
    <t xml:space="preserve"> #Excitement #SurpriseParty                 </t>
  </si>
  <si>
    <t xml:space="preserve"> Witnessed an act of kindness that made my day.          </t>
  </si>
  <si>
    <t xml:space="preserve"> KindnessObserver</t>
  </si>
  <si>
    <t xml:space="preserve"> #Kindness #ActsOfKindness                  </t>
  </si>
  <si>
    <t xml:space="preserve"> Pride in completing a challenging fitness challenge.    </t>
  </si>
  <si>
    <t xml:space="preserve"> FitAchiever     </t>
  </si>
  <si>
    <t xml:space="preserve"> #Pride #FitnessChallengeCompleted          </t>
  </si>
  <si>
    <t xml:space="preserve"> UK            </t>
  </si>
  <si>
    <t xml:space="preserve"> A moment of shame for not speaking up against injustice.</t>
  </si>
  <si>
    <t xml:space="preserve"> ReflectiveSelf2 </t>
  </si>
  <si>
    <t xml:space="preserve"> Reflecting on the beauty of diversity in our world.     </t>
  </si>
  <si>
    <t xml:space="preserve"> DiversityLover  </t>
  </si>
  <si>
    <t xml:space="preserve"> #Acceptance #Diversity                      </t>
  </si>
  <si>
    <t xml:space="preserve"> Excitement for a quiet evening with a good book.        </t>
  </si>
  <si>
    <t xml:space="preserve"> BookwormJoy     </t>
  </si>
  <si>
    <t xml:space="preserve"> #Excitement #BookTime                       </t>
  </si>
  <si>
    <t xml:space="preserve"> Feeling bitter about the unfairness in the workplace.   </t>
  </si>
  <si>
    <t xml:space="preserve"> WorkplaceWoes   </t>
  </si>
  <si>
    <t xml:space="preserve"> #Bitter #Unfairness                         </t>
  </si>
  <si>
    <t xml:space="preserve"> Calmness prevails as I practice mindfulness.            </t>
  </si>
  <si>
    <t xml:space="preserve"> MindfulMe       </t>
  </si>
  <si>
    <t xml:space="preserve"> #Calmness #Mindfulness                      </t>
  </si>
  <si>
    <t xml:space="preserve"> Confusion surrounds me as I navigate through life's choices. </t>
  </si>
  <si>
    <t xml:space="preserve"> Confusion </t>
  </si>
  <si>
    <t xml:space="preserve"> ConfusedMind3   </t>
  </si>
  <si>
    <t xml:space="preserve"> #Confusion #LifeChoices                     </t>
  </si>
  <si>
    <t xml:space="preserve"> USA   </t>
  </si>
  <si>
    <t xml:space="preserve"> Excitement for a weekend road trip to explore new places. </t>
  </si>
  <si>
    <t xml:space="preserve"> Excitement </t>
  </si>
  <si>
    <t xml:space="preserve"> RoadTripper2    </t>
  </si>
  <si>
    <t xml:space="preserve"> #Excitement #WeekendAdventure               </t>
  </si>
  <si>
    <t xml:space="preserve"> Kindness witnessed today restores my faith in humanity.  </t>
  </si>
  <si>
    <t xml:space="preserve"> KindnessPrevails2</t>
  </si>
  <si>
    <t xml:space="preserve"> #Kindness #HumanityRestored                 </t>
  </si>
  <si>
    <t xml:space="preserve"> Pride in accomplishing personal and professional goals.  </t>
  </si>
  <si>
    <t xml:space="preserve"> GoalAchiever    </t>
  </si>
  <si>
    <t xml:space="preserve"> #Pride #Accomplishments                     </t>
  </si>
  <si>
    <t xml:space="preserve"> Shame for not being true to my values in a difficult situation.</t>
  </si>
  <si>
    <t xml:space="preserve"> Shame </t>
  </si>
  <si>
    <t xml:space="preserve"> ReflectiveSelf3 </t>
  </si>
  <si>
    <t xml:space="preserve"> #Shame #Integrity                           </t>
  </si>
  <si>
    <t xml:space="preserve"> Revisiting old memories, feeling a sense of elation. </t>
  </si>
  <si>
    <t xml:space="preserve"> Elation       </t>
  </si>
  <si>
    <t xml:space="preserve"> NostalgiaFan    </t>
  </si>
  <si>
    <t xml:space="preserve"> #Elation #Memories                             </t>
  </si>
  <si>
    <t xml:space="preserve"> The victory of our team brought euphoria to the city. </t>
  </si>
  <si>
    <t xml:space="preserve"> Euphoria      </t>
  </si>
  <si>
    <t xml:space="preserve"> SportsFanatic   </t>
  </si>
  <si>
    <t xml:space="preserve"> #Euphoria #Victory                             </t>
  </si>
  <si>
    <t xml:space="preserve"> Embracing the beauty of nature, a moment of contentment. </t>
  </si>
  <si>
    <t xml:space="preserve"> Contentment   </t>
  </si>
  <si>
    <t xml:space="preserve"> NatureLover2    </t>
  </si>
  <si>
    <t xml:space="preserve"> #Contentment #Nature                           </t>
  </si>
  <si>
    <t xml:space="preserve"> India       </t>
  </si>
  <si>
    <t xml:space="preserve"> Meditating by the serene lake, finding inner peace.   </t>
  </si>
  <si>
    <t xml:space="preserve"> Serenity      </t>
  </si>
  <si>
    <t xml:space="preserve"> ZenMaster2      </t>
  </si>
  <si>
    <t xml:space="preserve"> #Serenity #Meditation                          </t>
  </si>
  <si>
    <t xml:space="preserve"> UK          </t>
  </si>
  <si>
    <t xml:space="preserve"> Overflowing with gratitude for life's blessings.      </t>
  </si>
  <si>
    <t xml:space="preserve"> Gratitude     </t>
  </si>
  <si>
    <t xml:space="preserve"> ThankfulHeart   </t>
  </si>
  <si>
    <t xml:space="preserve"> #Gratitude #Blessed                            </t>
  </si>
  <si>
    <t xml:space="preserve"> Hopeful for a brighter tomorrow, despite challenges.  </t>
  </si>
  <si>
    <t xml:space="preserve"> Hope          </t>
  </si>
  <si>
    <t xml:space="preserve"> OptimisticSoul  </t>
  </si>
  <si>
    <t xml:space="preserve"> #Hope #Optimism                                </t>
  </si>
  <si>
    <t xml:space="preserve"> Empowered to make a difference in my community.        </t>
  </si>
  <si>
    <t xml:space="preserve"> Empowerment   </t>
  </si>
  <si>
    <t xml:space="preserve"> CommunityLeader </t>
  </si>
  <si>
    <t xml:space="preserve"> #Empowerment #Community                        </t>
  </si>
  <si>
    <t xml:space="preserve"> Compassion in action: supporting a local charity event. </t>
  </si>
  <si>
    <t xml:space="preserve"> Compassion    </t>
  </si>
  <si>
    <t xml:space="preserve"> CharitySupporter</t>
  </si>
  <si>
    <t xml:space="preserve"> #Compassion #CharityEvent                   </t>
  </si>
  <si>
    <t xml:space="preserve"> A moment of tenderness, connecting with loved ones.    </t>
  </si>
  <si>
    <t xml:space="preserve"> Tenderness    </t>
  </si>
  <si>
    <t xml:space="preserve"> LovingHeart     </t>
  </si>
  <si>
    <t xml:space="preserve"> #Tenderness #FamilyTime                       </t>
  </si>
  <si>
    <t xml:space="preserve"> Arousal of excitement as I await a special announcement.</t>
  </si>
  <si>
    <t xml:space="preserve"> Arousal       </t>
  </si>
  <si>
    <t xml:space="preserve"> ExcitementFan   </t>
  </si>
  <si>
    <t xml:space="preserve"> #Arousal #Excitement                           </t>
  </si>
  <si>
    <t xml:space="preserve"> Enthusiastically diving into a new project.            </t>
  </si>
  <si>
    <t xml:space="preserve"> Enthusiasm    </t>
  </si>
  <si>
    <t xml:space="preserve"> ProjectEnthusiast</t>
  </si>
  <si>
    <t xml:space="preserve"> #Enthusiasm #NewProject                       </t>
  </si>
  <si>
    <t xml:space="preserve"> USA  </t>
  </si>
  <si>
    <t xml:space="preserve"> Feeling a sense of fulfillment after reaching a milestone.</t>
  </si>
  <si>
    <t xml:space="preserve"> Fulfillment  </t>
  </si>
  <si>
    <t xml:space="preserve"> MilestoneAchiever</t>
  </si>
  <si>
    <t xml:space="preserve"> #Fulfillment #Milestone                       </t>
  </si>
  <si>
    <t xml:space="preserve"> Reverence for the beauty of a historic landmark.       </t>
  </si>
  <si>
    <t xml:space="preserve"> Reverence     </t>
  </si>
  <si>
    <t xml:space="preserve"> HistoryLover    </t>
  </si>
  <si>
    <t xml:space="preserve"> #Reverence #History                           </t>
  </si>
  <si>
    <t xml:space="preserve"> UK      </t>
  </si>
  <si>
    <t xml:space="preserve"> Elation after a surprise reunion with old friends.    </t>
  </si>
  <si>
    <t xml:space="preserve"> JoyfulReunion2  </t>
  </si>
  <si>
    <t xml:space="preserve"> #Elation #OldFriends                          </t>
  </si>
  <si>
    <t xml:space="preserve"> Canada      </t>
  </si>
  <si>
    <t xml:space="preserve"> The euphoria of a live music concert under the stars.  </t>
  </si>
  <si>
    <t xml:space="preserve"> MusicEnthusiast </t>
  </si>
  <si>
    <t xml:space="preserve"> #Euphoria #LiveMusic                          </t>
  </si>
  <si>
    <t xml:space="preserve"> Contentment in the simplicity of a quiet Sunday.       </t>
  </si>
  <si>
    <t xml:space="preserve"> SimpleJoys      </t>
  </si>
  <si>
    <t xml:space="preserve"> #Contentment #SundayMood                      </t>
  </si>
  <si>
    <t xml:space="preserve"> Serenity found in the pages of a favorite book.        </t>
  </si>
  <si>
    <t xml:space="preserve"> BookLover3      </t>
  </si>
  <si>
    <t xml:space="preserve"> #Serenity #BookTime                           </t>
  </si>
  <si>
    <t xml:space="preserve"> Gratitude for the support received during tough times. </t>
  </si>
  <si>
    <t xml:space="preserve"> SupportiveFriend</t>
  </si>
  <si>
    <t xml:space="preserve"> #Gratitude #Supportive                        </t>
  </si>
  <si>
    <t xml:space="preserve"> Hopeful about the possibilities of a new journey.      </t>
  </si>
  <si>
    <t xml:space="preserve"> JourneyOptimist </t>
  </si>
  <si>
    <t xml:space="preserve"> #Hope #NewBeginnings                          </t>
  </si>
  <si>
    <t xml:space="preserve"> Empowerment through learning and personal growth.      </t>
  </si>
  <si>
    <t xml:space="preserve"> GrowthSeeker    </t>
  </si>
  <si>
    <t xml:space="preserve"> #Empowerment #PersonalGrowth                  </t>
  </si>
  <si>
    <t xml:space="preserve"> Compassion towards those in need during the holidays.  </t>
  </si>
  <si>
    <t xml:space="preserve"> HolidayHelper   </t>
  </si>
  <si>
    <t xml:space="preserve"> #Compassion #HolidaySupport                   </t>
  </si>
  <si>
    <t xml:space="preserve"> Tenderness in the warmth of a cozy winter evening.     </t>
  </si>
  <si>
    <t xml:space="preserve"> WinterWarmth    </t>
  </si>
  <si>
    <t xml:space="preserve"> #Tenderness #CozyEvening                     </t>
  </si>
  <si>
    <t xml:space="preserve"> Arousal of excitement for an upcoming adventure.       </t>
  </si>
  <si>
    <t xml:space="preserve"> AdventureAwaits </t>
  </si>
  <si>
    <t xml:space="preserve"> #Arousal #AdventureTime                       </t>
  </si>
  <si>
    <t xml:space="preserve"> Enthusiasm for a creative project in the making.       </t>
  </si>
  <si>
    <t xml:space="preserve"> CreativeSpirit  </t>
  </si>
  <si>
    <t xml:space="preserve"> #Enthusiasm #Creativity                       </t>
  </si>
  <si>
    <t xml:space="preserve"> Fulfillment in completing a challenging workout routine.</t>
  </si>
  <si>
    <t xml:space="preserve"> FitnessAchiever </t>
  </si>
  <si>
    <t xml:space="preserve"> #Fulfillment #FitnessGoals                   </t>
  </si>
  <si>
    <t xml:space="preserve"> Reverence for the artistry displayed in a museum.      </t>
  </si>
  <si>
    <t xml:space="preserve"> ArtAppreciator  </t>
  </si>
  <si>
    <t xml:space="preserve"> #Reverence #ArtAppreciation                  </t>
  </si>
  <si>
    <t xml:space="preserve"> Elation after achieving a personal goal.               </t>
  </si>
  <si>
    <t xml:space="preserve"> GoalAchiever2   </t>
  </si>
  <si>
    <t xml:space="preserve"> #Elation #PersonalAchievement                </t>
  </si>
  <si>
    <t xml:space="preserve"> Elation over discovering a hidden gem in the city.   </t>
  </si>
  <si>
    <t xml:space="preserve"> UrbanExplorer2  </t>
  </si>
  <si>
    <t xml:space="preserve"> #Elation #HiddenGem                            </t>
  </si>
  <si>
    <t xml:space="preserve"> The euphoria of a surprise birthday celebration.     </t>
  </si>
  <si>
    <t xml:space="preserve"> BirthdayJoy     </t>
  </si>
  <si>
    <t xml:space="preserve"> #Euphoria #BirthdaySurprise                   </t>
  </si>
  <si>
    <t xml:space="preserve"> Contentment in the simplicity of a home-cooked meal. </t>
  </si>
  <si>
    <t xml:space="preserve"> HomeChef        </t>
  </si>
  <si>
    <t xml:space="preserve"> #Contentment #HomeCooking                     </t>
  </si>
  <si>
    <t xml:space="preserve"> Serenity found in the melody of a peaceful piano.    </t>
  </si>
  <si>
    <t xml:space="preserve"> MusicLover4     </t>
  </si>
  <si>
    <t xml:space="preserve"> #Serenity #PeacefulMelody                    </t>
  </si>
  <si>
    <t xml:space="preserve"> Gratitude for the supportive community around me.    </t>
  </si>
  <si>
    <t xml:space="preserve"> CommunityLove   </t>
  </si>
  <si>
    <t xml:space="preserve"> #Gratitude #CommunitySupport                   </t>
  </si>
  <si>
    <t xml:space="preserve"> Hopeful about the prospects of a new business venture.</t>
  </si>
  <si>
    <t xml:space="preserve"> EntrepreneurHope</t>
  </si>
  <si>
    <t xml:space="preserve"> #Hope #BusinessVenture                        </t>
  </si>
  <si>
    <t xml:space="preserve"> Empowerment through mentoring and guiding others.    </t>
  </si>
  <si>
    <t xml:space="preserve"> MentorEmpower   </t>
  </si>
  <si>
    <t xml:space="preserve"> #Empowerment #Mentorship                      </t>
  </si>
  <si>
    <t xml:space="preserve"> Compassion shown through acts of kindness in the community.</t>
  </si>
  <si>
    <t xml:space="preserve"> Compassion</t>
  </si>
  <si>
    <t xml:space="preserve"> KindnessInAction</t>
  </si>
  <si>
    <t xml:space="preserve"> #Compassion #CommunityKindness               </t>
  </si>
  <si>
    <t xml:space="preserve"> Tenderness in a heartfelt message to a loved one.    </t>
  </si>
  <si>
    <t xml:space="preserve"> LoveExpress     </t>
  </si>
  <si>
    <t xml:space="preserve"> #Tenderness #LoveNote                         </t>
  </si>
  <si>
    <t xml:space="preserve"> Arousal of excitement before a much-awaited trip.    </t>
  </si>
  <si>
    <t xml:space="preserve"> TravelExcitement</t>
  </si>
  <si>
    <t xml:space="preserve"> #Arousal #TravelAdventure                     </t>
  </si>
  <si>
    <t xml:space="preserve"> Enthusiasm for a new artistic project in the works.  </t>
  </si>
  <si>
    <t xml:space="preserve"> ArtisticSpirit  </t>
  </si>
  <si>
    <t xml:space="preserve"> #Enthusiasm #ArtisticProject                 </t>
  </si>
  <si>
    <t xml:space="preserve"> Feeling a sense of fulfillment after helping others. </t>
  </si>
  <si>
    <t xml:space="preserve"> Fulfillment   </t>
  </si>
  <si>
    <t xml:space="preserve"> HelperHeart     </t>
  </si>
  <si>
    <t xml:space="preserve"> #Fulfillment #HelpingOthers                  </t>
  </si>
  <si>
    <t xml:space="preserve"> Reverence for the historical significance of a landmark.</t>
  </si>
  <si>
    <t xml:space="preserve"> Reverence </t>
  </si>
  <si>
    <t xml:space="preserve"> HistoryBuff     </t>
  </si>
  <si>
    <t xml:space="preserve"> #Reverence #HistoricalSite                   </t>
  </si>
  <si>
    <t xml:space="preserve"> Elation after achieving a fitness milestone.         </t>
  </si>
  <si>
    <t xml:space="preserve"> FitnessAchiever2</t>
  </si>
  <si>
    <t xml:space="preserve"> #Elation #FitnessMilestone                   </t>
  </si>
  <si>
    <t xml:space="preserve"> The euphoria of a successful product launch.         </t>
  </si>
  <si>
    <t xml:space="preserve"> ProductLaunchJoy</t>
  </si>
  <si>
    <t xml:space="preserve"> #Euphoria #ProductLaunchSuccess              </t>
  </si>
  <si>
    <t xml:space="preserve"> Contentment in the embrace of a loved one.           </t>
  </si>
  <si>
    <t xml:space="preserve"> LovingEmbrace   </t>
  </si>
  <si>
    <t xml:space="preserve"> #Contentment #Love                             </t>
  </si>
  <si>
    <t xml:space="preserve"> Serenity found in the beauty of a sunset by the sea.  </t>
  </si>
  <si>
    <t xml:space="preserve"> SunsetWatcher2  </t>
  </si>
  <si>
    <t xml:space="preserve"> #Serenity #SunsetViews                       </t>
  </si>
  <si>
    <t xml:space="preserve"> Gratitude for the small joys that each day brings.   </t>
  </si>
  <si>
    <t xml:space="preserve"> JoyfulHeart2    </t>
  </si>
  <si>
    <t xml:space="preserve"> #Gratitude #SmallJoys                        </t>
  </si>
  <si>
    <t xml:space="preserve"> Hopeful about the potential for personal growth.      </t>
  </si>
  <si>
    <t xml:space="preserve"> GrowthOptimist  </t>
  </si>
  <si>
    <t xml:space="preserve"> #Hope #PersonalDevelopment                    </t>
  </si>
  <si>
    <t xml:space="preserve"> Empowerment through learning a new skill.            </t>
  </si>
  <si>
    <t xml:space="preserve"> SkillEmpower    </t>
  </si>
  <si>
    <t xml:space="preserve"> #Empowerment #SkillBuilding                   </t>
  </si>
  <si>
    <t xml:space="preserve"> India   </t>
  </si>
  <si>
    <t xml:space="preserve"> Compassion in volunteering for a local charity.       </t>
  </si>
  <si>
    <t xml:space="preserve"> CharityVolunteer</t>
  </si>
  <si>
    <t xml:space="preserve"> #Compassion #VolunteerWork                   </t>
  </si>
  <si>
    <t xml:space="preserve"> Tenderness in a quiet moment shared with a pet.      </t>
  </si>
  <si>
    <t xml:space="preserve"> PetLove         </t>
  </si>
  <si>
    <t xml:space="preserve"> #Tenderness #PetLove                          </t>
  </si>
  <si>
    <t xml:space="preserve"> Arousal of excitement for an upcoming festival.       </t>
  </si>
  <si>
    <t xml:space="preserve"> FestivalFan     </t>
  </si>
  <si>
    <t xml:space="preserve"> #Arousal #FestivalExcitement               </t>
  </si>
  <si>
    <t xml:space="preserve"> Enthusiasm for a DIY home improvement project.       </t>
  </si>
  <si>
    <t xml:space="preserve"> DIYEnthusiast   </t>
  </si>
  <si>
    <t xml:space="preserve"> #Enthusiasm #HomeImprovement                 </t>
  </si>
  <si>
    <t xml:space="preserve"> Fulfillment in completing a challenging puzzle.      </t>
  </si>
  <si>
    <t xml:space="preserve"> PuzzleMaster    </t>
  </si>
  <si>
    <t xml:space="preserve"> #Fulfillment #PuzzleChallenge                </t>
  </si>
  <si>
    <t xml:space="preserve"> Reverence for the wonders of nature on a hiking trail.</t>
  </si>
  <si>
    <t xml:space="preserve"> #Reverence #NatureExploration                </t>
  </si>
  <si>
    <t xml:space="preserve"> Elation after a surprise reunion with a childhood friend.</t>
  </si>
  <si>
    <t xml:space="preserve"> Elation   </t>
  </si>
  <si>
    <t xml:space="preserve"> ChildhoodJoy    </t>
  </si>
  <si>
    <t xml:space="preserve"> #Elation #FriendshipReunion                  </t>
  </si>
  <si>
    <t xml:space="preserve"> Suffering from despair after another setback.      </t>
  </si>
  <si>
    <t xml:space="preserve"> Despair         </t>
  </si>
  <si>
    <t xml:space="preserve"> StrugglingSoul    </t>
  </si>
  <si>
    <t xml:space="preserve"> #Despair #Struggle                              </t>
  </si>
  <si>
    <t xml:space="preserve"> Overwhelmed by grief, missing a loved one dearly.  </t>
  </si>
  <si>
    <t xml:space="preserve"> Grief           </t>
  </si>
  <si>
    <t xml:space="preserve"> MourningHeart     </t>
  </si>
  <si>
    <t xml:space="preserve"> #Grief #Loss                                   </t>
  </si>
  <si>
    <t xml:space="preserve"> Canada          </t>
  </si>
  <si>
    <t xml:space="preserve"> Loneliness creeps in as the night grows colder.    </t>
  </si>
  <si>
    <t xml:space="preserve"> Loneliness      </t>
  </si>
  <si>
    <t xml:space="preserve"> SolitarySoul      </t>
  </si>
  <si>
    <t xml:space="preserve"> #Loneliness #Isolation                         </t>
  </si>
  <si>
    <t xml:space="preserve"> Jealousy consumes me as I witness others' success. </t>
  </si>
  <si>
    <t xml:space="preserve"> Jealousy        </t>
  </si>
  <si>
    <t xml:space="preserve"> EnviousObserver   </t>
  </si>
  <si>
    <t xml:space="preserve"> #Jealousy #Envy                               </t>
  </si>
  <si>
    <t xml:space="preserve"> India        </t>
  </si>
  <si>
    <t xml:space="preserve"> Resentment building up over past betrayals.        </t>
  </si>
  <si>
    <t xml:space="preserve"> Resentment      </t>
  </si>
  <si>
    <t xml:space="preserve"> BitterHeart       </t>
  </si>
  <si>
    <t xml:space="preserve"> #Resentment #Bitterness                       </t>
  </si>
  <si>
    <t xml:space="preserve"> Australia     </t>
  </si>
  <si>
    <t xml:space="preserve"> Frustration mounts as obstacles block my path.     </t>
  </si>
  <si>
    <t xml:space="preserve"> Frustration     </t>
  </si>
  <si>
    <t xml:space="preserve"> BlockedGoals      </t>
  </si>
  <si>
    <t xml:space="preserve"> #Frustration #Obstacles                       </t>
  </si>
  <si>
    <t xml:space="preserve"> Boredom sets in, the day feels endlessly dull.     </t>
  </si>
  <si>
    <t xml:space="preserve"> Boredom         </t>
  </si>
  <si>
    <t xml:space="preserve"> BoredMind         </t>
  </si>
  <si>
    <t xml:space="preserve"> #Boredom #LackOfInterest                     </t>
  </si>
  <si>
    <t xml:space="preserve"> Canada        </t>
  </si>
  <si>
    <t xml:space="preserve"> Anxiety grips my heart, worry clouds my thoughts.  </t>
  </si>
  <si>
    <t xml:space="preserve"> Anxiety         </t>
  </si>
  <si>
    <t xml:space="preserve"> WorriedMind       </t>
  </si>
  <si>
    <t xml:space="preserve"> #Anxiety #Worry                               </t>
  </si>
  <si>
    <t xml:space="preserve"> Intimidation by the unknown future ahead.          </t>
  </si>
  <si>
    <t xml:space="preserve"> Intimidation    </t>
  </si>
  <si>
    <t xml:space="preserve"> FearfulSoul       </t>
  </si>
  <si>
    <t xml:space="preserve"> #Intimidation #Fear                           </t>
  </si>
  <si>
    <t xml:space="preserve"> Helplessness sinks in as challenges pile up.       </t>
  </si>
  <si>
    <t xml:space="preserve"> Helplessness    </t>
  </si>
  <si>
    <t xml:space="preserve"> OverwhelmedHeart  </t>
  </si>
  <si>
    <t xml:space="preserve"> #Helplessness #Overwhelmed                    </t>
  </si>
  <si>
    <t xml:space="preserve"> Envy eats away at me as I see others' prosperity.  </t>
  </si>
  <si>
    <t xml:space="preserve"> Envy            </t>
  </si>
  <si>
    <t xml:space="preserve"> CovetousMind     </t>
  </si>
  <si>
    <t xml:space="preserve"> #Envy #Desire                                </t>
  </si>
  <si>
    <t xml:space="preserve"> Regret over missed opportunities haunts my thoughts.</t>
  </si>
  <si>
    <t xml:space="preserve"> Regret         </t>
  </si>
  <si>
    <t xml:space="preserve"> RemorsefulSoul   </t>
  </si>
  <si>
    <t xml:space="preserve"> #Regret #MissedChances                       </t>
  </si>
  <si>
    <t xml:space="preserve"> Disgust at the sight of injustice and cruelty.     </t>
  </si>
  <si>
    <t xml:space="preserve"> Disgust         </t>
  </si>
  <si>
    <t xml:space="preserve"> DisgustedHeart   </t>
  </si>
  <si>
    <t xml:space="preserve"> #Disgust #Injustice                          </t>
  </si>
  <si>
    <t xml:space="preserve"> Drowning in despair, hope slipping through my fingers.</t>
  </si>
  <si>
    <t xml:space="preserve"> Despair      </t>
  </si>
  <si>
    <t xml:space="preserve"> HopelessHeart    </t>
  </si>
  <si>
    <t xml:space="preserve"> #Despair #Hopeless                           </t>
  </si>
  <si>
    <t xml:space="preserve"> Grief weighs heavy, tears a constant companion.    </t>
  </si>
  <si>
    <t xml:space="preserve"> TearfulSoul      </t>
  </si>
  <si>
    <t xml:space="preserve"> #Grief #Tears                                </t>
  </si>
  <si>
    <t xml:space="preserve"> Loneliness in a crowded room, a silent cry for connection.</t>
  </si>
  <si>
    <t xml:space="preserve"> Loneliness </t>
  </si>
  <si>
    <t xml:space="preserve"> IsolatedMind     </t>
  </si>
  <si>
    <t xml:space="preserve"> #Loneliness #SeekingConnection              </t>
  </si>
  <si>
    <t xml:space="preserve"> Jealousy gnaws at my confidence, a toxic emotion.  </t>
  </si>
  <si>
    <t xml:space="preserve"> SelfDoubt        </t>
  </si>
  <si>
    <t xml:space="preserve"> #Jealousy #Insecurity                       </t>
  </si>
  <si>
    <t xml:space="preserve"> India         </t>
  </si>
  <si>
    <t xml:space="preserve"> Resentment festers, poisoning relationships.       </t>
  </si>
  <si>
    <t xml:space="preserve"> BrokenTrust      </t>
  </si>
  <si>
    <t xml:space="preserve"> #Resentment #BrokenTrust                     </t>
  </si>
  <si>
    <t xml:space="preserve"> Frustration boils over, a volcanic eruption of emotions.</t>
  </si>
  <si>
    <t xml:space="preserve"> Frustration </t>
  </si>
  <si>
    <t xml:space="preserve"> ExplosiveMind    </t>
  </si>
  <si>
    <t xml:space="preserve"> #Frustration #EmotionalOutburst             </t>
  </si>
  <si>
    <t xml:space="preserve"> Boredom settles like dust, life feels mundane.     </t>
  </si>
  <si>
    <t xml:space="preserve"> MundaneHeart     </t>
  </si>
  <si>
    <t xml:space="preserve"> #Boredom #Monotony                          </t>
  </si>
  <si>
    <t xml:space="preserve"> Anxiety grips my chest, a relentless grip on my thoughts.</t>
  </si>
  <si>
    <t xml:space="preserve"> Anxiety   </t>
  </si>
  <si>
    <t xml:space="preserve"> RestlessMind     </t>
  </si>
  <si>
    <t xml:space="preserve"> #Anxiety #Restlessness                      </t>
  </si>
  <si>
    <t xml:space="preserve"> Intimidation by the challenges ahead, fear takes hold.</t>
  </si>
  <si>
    <t xml:space="preserve"> Intimidation </t>
  </si>
  <si>
    <t xml:space="preserve"> FearfulJourney   </t>
  </si>
  <si>
    <t xml:space="preserve"> #Intimidation #FacingFear                   </t>
  </si>
  <si>
    <t xml:space="preserve"> Helplessness engulfs me, drowning in a sea of problems.</t>
  </si>
  <si>
    <t xml:space="preserve"> Helplessness </t>
  </si>
  <si>
    <t xml:space="preserve"> OverwhelmedSoul  </t>
  </si>
  <si>
    <t xml:space="preserve"> #Helplessness #Struggling                   </t>
  </si>
  <si>
    <t xml:space="preserve"> Envy poisons my thoughts, coveting others' success.</t>
  </si>
  <si>
    <t xml:space="preserve"> GreenEyedMonster </t>
  </si>
  <si>
    <t xml:space="preserve"> #Envy #Success                              </t>
  </si>
  <si>
    <t xml:space="preserve"> Regret for decisions that led to a painful present.</t>
  </si>
  <si>
    <t xml:space="preserve"> RegretfulMind    </t>
  </si>
  <si>
    <t xml:space="preserve"> #Regret #PastChoices                        </t>
  </si>
  <si>
    <t xml:space="preserve"> Disgust at the corruption that stains society.     </t>
  </si>
  <si>
    <t xml:space="preserve"> CorruptedHeart   </t>
  </si>
  <si>
    <t xml:space="preserve"> #Disgust #Corruption                        </t>
  </si>
  <si>
    <t xml:space="preserve"> Sinking in despair, each day darker than the last. </t>
  </si>
  <si>
    <t xml:space="preserve"> DrowningSoul     </t>
  </si>
  <si>
    <t xml:space="preserve"> #Despair #DarkDays                          </t>
  </si>
  <si>
    <t xml:space="preserve"> Grief overwhelms, a storm of emotions within.      </t>
  </si>
  <si>
    <t xml:space="preserve"> StormyHeart      </t>
  </si>
  <si>
    <t xml:space="preserve"> #Grief #EmotionalStorm                      </t>
  </si>
  <si>
    <t xml:space="preserve"> Loneliness echoes in empty spaces, yearning for connection.</t>
  </si>
  <si>
    <t xml:space="preserve"> EchoingSoul     </t>
  </si>
  <si>
    <t xml:space="preserve"> #Loneliness #YearningForConnection         </t>
  </si>
  <si>
    <t xml:space="preserve"> Jealousy poisons my thoughts, resentment brewing within.</t>
  </si>
  <si>
    <t xml:space="preserve"> Jealousy    </t>
  </si>
  <si>
    <t xml:space="preserve"> PoisonedMind    </t>
  </si>
  <si>
    <t xml:space="preserve"> #Jealousy #Resentment                       </t>
  </si>
  <si>
    <t xml:space="preserve"> USA           </t>
  </si>
  <si>
    <t xml:space="preserve"> Resentment festers, a wound that refuses to heal.  </t>
  </si>
  <si>
    <t xml:space="preserve"> UnforgivingSoul  </t>
  </si>
  <si>
    <t xml:space="preserve"> #Resentment #Unforgiving                    </t>
  </si>
  <si>
    <t xml:space="preserve"> Frustration escalates, a thunderstorm of emotions. </t>
  </si>
  <si>
    <t xml:space="preserve"> ThunderingMind   </t>
  </si>
  <si>
    <t xml:space="preserve"> #Frustration #EmotionalOutburst            </t>
  </si>
  <si>
    <t xml:space="preserve"> Boredom lingers, a stagnant pool of indifference.  </t>
  </si>
  <si>
    <t xml:space="preserve"> StagnantHeart    </t>
  </si>
  <si>
    <t xml:space="preserve"> #Boredom #Stagnation                        </t>
  </si>
  <si>
    <t xml:space="preserve"> Embarking on a journey of discovery, fueled by curiosity and a thirst for knowledge. </t>
  </si>
  <si>
    <t xml:space="preserve"> Curiosity       </t>
  </si>
  <si>
    <t xml:space="preserve"> InquisitiveMind   </t>
  </si>
  <si>
    <t xml:space="preserve"> #Curiosity #Learning                        </t>
  </si>
  <si>
    <t xml:space="preserve"> Lost in the vast sea of information, an indifferent wave in the digital ocean. </t>
  </si>
  <si>
    <t xml:space="preserve"> Indifference    </t>
  </si>
  <si>
    <t xml:space="preserve"> ApatheticObserver </t>
  </si>
  <si>
    <t xml:space="preserve"> #Indifference #DigitalOverload              </t>
  </si>
  <si>
    <t xml:space="preserve"> The complex puzzle of life leaves me in a state of perpetual confusion, seeking answers in the chaos. </t>
  </si>
  <si>
    <t xml:space="preserve"> Confusion       </t>
  </si>
  <si>
    <t xml:space="preserve"> SeekingClarity    </t>
  </si>
  <si>
    <t xml:space="preserve"> #Confusion #LifePuzzle                     </t>
  </si>
  <si>
    <t xml:space="preserve"> A numbness settles over me, a shield against the overwhelming emotions life throws my way. </t>
  </si>
  <si>
    <t xml:space="preserve"> Numbness        </t>
  </si>
  <si>
    <t xml:space="preserve"> EmotionallyDistant </t>
  </si>
  <si>
    <t xml:space="preserve"> #Numbness #EmotionalShield                 </t>
  </si>
  <si>
    <t xml:space="preserve"> Gazing at the sunset, a melancholic longing for moments that slip through the fingers of time. </t>
  </si>
  <si>
    <t xml:space="preserve"> Melancholy      </t>
  </si>
  <si>
    <t xml:space="preserve"> SunsetDreamer     </t>
  </si>
  <si>
    <t xml:space="preserve"> #Melancholy #SunsetMoments                 </t>
  </si>
  <si>
    <t xml:space="preserve"> Revisiting old photographs, caught in the embrace of nostalgia's bittersweet symphony. </t>
  </si>
  <si>
    <t xml:space="preserve"> Nostalgia       </t>
  </si>
  <si>
    <t xml:space="preserve"> MemoryLaneTraveler </t>
  </si>
  <si>
    <t xml:space="preserve"> #Nostalgia #MemoryLane                     </t>
  </si>
  <si>
    <t xml:space="preserve"> Torn between conflicting emotions, an ambivalence that paints my decisions in shades of uncertainty. </t>
  </si>
  <si>
    <t xml:space="preserve"> Ambivalence     </t>
  </si>
  <si>
    <t xml:space="preserve"> MixedFeelings     </t>
  </si>
  <si>
    <t xml:space="preserve"> #Ambivalence #UncertainChoices             </t>
  </si>
  <si>
    <t xml:space="preserve"> Embracing the ebb and flow of life, finding acceptance in the dance of existence. </t>
  </si>
  <si>
    <t xml:space="preserve"> Acceptance      </t>
  </si>
  <si>
    <t xml:space="preserve"> ZenLifestyle      </t>
  </si>
  <si>
    <t xml:space="preserve"> Facing challenges head-on, a determination that fuels the fire within to achieve the impossible. </t>
  </si>
  <si>
    <t xml:space="preserve"> Determination   </t>
  </si>
  <si>
    <t xml:space="preserve"> ResilientSpirit   </t>
  </si>
  <si>
    <t xml:space="preserve"> #Determination #AchieveTheImpossible       </t>
  </si>
  <si>
    <t xml:space="preserve"> Serenity found in the stillness of nature, a tranquil retreat from the chaos of the modern world. </t>
  </si>
  <si>
    <t xml:space="preserve"> Serenity        </t>
  </si>
  <si>
    <t xml:space="preserve"> NatureSoul        </t>
  </si>
  <si>
    <t xml:space="preserve"> #Serenity #NatureRetreat                   </t>
  </si>
  <si>
    <t xml:space="preserve"> Curiosity leading me down the rabbit hole of knowledge, a perpetual student in life's classroom. </t>
  </si>
  <si>
    <t xml:space="preserve"> EternalLearner    </t>
  </si>
  <si>
    <t xml:space="preserve"> #Curiosity #KnowledgeQuest                </t>
  </si>
  <si>
    <t xml:space="preserve"> Floating through the day with an air of indifference, detached from the mundane happenings around. </t>
  </si>
  <si>
    <t xml:space="preserve"> AloofObserver     </t>
  </si>
  <si>
    <t xml:space="preserve"> #Indifference #FloatingThroughLife        </t>
  </si>
  <si>
    <t xml:space="preserve"> Entangled in the web of thoughts, confusion reigning as I navigate the labyrinth of ideas. </t>
  </si>
  <si>
    <t xml:space="preserve"> ThoughtExplorer   </t>
  </si>
  <si>
    <t xml:space="preserve"> #Confusion #ThoughtLabyrinth              </t>
  </si>
  <si>
    <t xml:space="preserve"> Numb to the chaos, emotions locked away, a stoic facade concealing the inner turmoil. </t>
  </si>
  <si>
    <t xml:space="preserve"> StoicSoul         </t>
  </si>
  <si>
    <t xml:space="preserve"> #Numbness #StoicFacade                    </t>
  </si>
  <si>
    <t xml:space="preserve"> Melancholy whispers in the breeze, a silent conversation with the echoes of forgotten dreams. </t>
  </si>
  <si>
    <t xml:space="preserve"> DreamerInSilence  </t>
  </si>
  <si>
    <t xml:space="preserve"> #Melancholy #WhispersInTheBreeze         </t>
  </si>
  <si>
    <t xml:space="preserve"> Stumbling upon an old journal, nostalgia flooding in waves, carrying me to moments long gone. </t>
  </si>
  <si>
    <t xml:space="preserve"> JournalKeeper     </t>
  </si>
  <si>
    <t xml:space="preserve"> #Nostalgia #JournalMoments               </t>
  </si>
  <si>
    <t xml:space="preserve"> A tapestry of conflicting feelings, weaving through uncertainty, caught in the threads of ambivalence. </t>
  </si>
  <si>
    <t xml:space="preserve"> ThreadWeaver      </t>
  </si>
  <si>
    <t xml:space="preserve"> #Ambivalence #ConflictingFeelings        </t>
  </si>
  <si>
    <t xml:space="preserve"> Embracing the flaws, finding acceptance in imperfection, a journey towards self-love. </t>
  </si>
  <si>
    <t xml:space="preserve"> SelfLoveAdvocate  </t>
  </si>
  <si>
    <t xml:space="preserve"> #Acceptance #SelfLoveJourney              </t>
  </si>
  <si>
    <t xml:space="preserve"> Determination burning like a wildfire, overcoming obstacles, turning dreams into reality. </t>
  </si>
  <si>
    <t xml:space="preserve"> DreamChaser       </t>
  </si>
  <si>
    <t xml:space="preserve"> #Determination #DreamsIntoReality        </t>
  </si>
  <si>
    <t xml:space="preserve"> Tranquil moments by the ocean, serenity washing over, a peaceful retreat within the waves' embrace. </t>
  </si>
  <si>
    <t xml:space="preserve"> OceanSoul         </t>
  </si>
  <si>
    <t xml:space="preserve"> #Serenity #OceanRetreat                   </t>
  </si>
  <si>
    <t xml:space="preserve"> Exploring new horizons with the spark of curiosity, an adventurer in the vast landscape of knowledge. </t>
  </si>
  <si>
    <t xml:space="preserve"> HorizonExplorer   </t>
  </si>
  <si>
    <t xml:space="preserve"> #Curiosity #NewHorizons                  </t>
  </si>
  <si>
    <t xml:space="preserve"> Drifting through the day with a nonchalant demeanor, embracing the art of indifference. </t>
  </si>
  <si>
    <t xml:space="preserve"> NonchalantSpirit  </t>
  </si>
  <si>
    <t xml:space="preserve"> #Indifference #DriftingThroughLife       </t>
  </si>
  <si>
    <t xml:space="preserve"> Wrestling with thoughts, a perplexed mind lost in the labyrinth of life's complexities. </t>
  </si>
  <si>
    <t xml:space="preserve"> ComplexThinker    </t>
  </si>
  <si>
    <t xml:space="preserve"> #Confusion #PerplexedMind                </t>
  </si>
  <si>
    <t xml:space="preserve"> Immersed in a state of emotional numbness, a shield against the storm of daily struggles. </t>
  </si>
  <si>
    <t xml:space="preserve"> ShieldedHeart     </t>
  </si>
  <si>
    <t xml:space="preserve"> #Numbness #EmotionalShield               </t>
  </si>
  <si>
    <t xml:space="preserve"> A melancholic symphony playing in the background, the soundtrack of a wistful heart. </t>
  </si>
  <si>
    <t xml:space="preserve"> SymphonySoul      </t>
  </si>
  <si>
    <t xml:space="preserve"> #Melancholy #WistfulHeart                </t>
  </si>
  <si>
    <t xml:space="preserve"> Flipping through the pages of an old yearbook, nostalgia painting smiles and tears on my face. </t>
  </si>
  <si>
    <t xml:space="preserve"> YearbookExplorer  </t>
  </si>
  <si>
    <t xml:space="preserve"> #Nostalgia #YearbookMemories            </t>
  </si>
  <si>
    <t xml:space="preserve"> Torn between opposing emotions, an ambivalence that colors my decisions with shades of uncertainty. </t>
  </si>
  <si>
    <t xml:space="preserve"> DecisiveDilemma   </t>
  </si>
  <si>
    <t xml:space="preserve"> #Ambivalence #ShadesOfUncertainty       </t>
  </si>
  <si>
    <t xml:space="preserve"> Embracing life's imperfections, finding acceptance in the journey, scars and all. </t>
  </si>
  <si>
    <t xml:space="preserve"> ImperfectHarmony  </t>
  </si>
  <si>
    <t xml:space="preserve"> #Acceptance #ImperfectJourney            </t>
  </si>
  <si>
    <t xml:space="preserve"> A fiery determination burning within, fueled by the vision of reaching unparalleled heights. </t>
  </si>
  <si>
    <t xml:space="preserve"> VisionarySpirit   </t>
  </si>
  <si>
    <t xml:space="preserve"> #Determination #UnparalleledHeights      </t>
  </si>
  <si>
    <t xml:space="preserve"> Basking in the serenity of a quiet forest, where the whispers of nature bring peace to the soul. </t>
  </si>
  <si>
    <t xml:space="preserve"> ForestDreamer     </t>
  </si>
  <si>
    <t xml:space="preserve"> #Serenity #NatureWhispers                </t>
  </si>
  <si>
    <t xml:space="preserve"> Indifferent to the noise of the world, a silent observer in the midst of life's cacophony. </t>
  </si>
  <si>
    <t xml:space="preserve"> SilentSpectator   </t>
  </si>
  <si>
    <t xml:space="preserve"> #Indifference #SilentObserver            </t>
  </si>
  <si>
    <t xml:space="preserve"> Navigating through the labyrinth of thoughts, confusion a constant companion in the maze of ideas. </t>
  </si>
  <si>
    <t xml:space="preserve"> MazeNavigator     </t>
  </si>
  <si>
    <t xml:space="preserve"> An impenetrable numbness shields me from the emotional storms, a fortress of stoic resilience. </t>
  </si>
  <si>
    <t xml:space="preserve"> ResilientFortress </t>
  </si>
  <si>
    <t xml:space="preserve"> #Numbness #StoicResilience               </t>
  </si>
  <si>
    <t xml:space="preserve"> Melancholy painting the world in hues of nostalgia, a canvas of bittersweet memories. </t>
  </si>
  <si>
    <t xml:space="preserve"> CanvasDreamer     </t>
  </si>
  <si>
    <t xml:space="preserve"> #Melancholy #BittersweetMemories         </t>
  </si>
  <si>
    <t xml:space="preserve"> A journey into the past, flipping through the pages of an old diary, nostalgia taking the lead. </t>
  </si>
  <si>
    <t xml:space="preserve"> DiaryExplorer     </t>
  </si>
  <si>
    <t xml:space="preserve"> #Nostalgia #DiaryJourney                 </t>
  </si>
  <si>
    <t xml:space="preserve"> Ambivalence clouding decisions, caught in the crossroads of conflicting emotions. </t>
  </si>
  <si>
    <t xml:space="preserve"> CrossroadsTraveler </t>
  </si>
  <si>
    <t xml:space="preserve"> #Ambivalence #ConflictingEmotions        </t>
  </si>
  <si>
    <t xml:space="preserve"> Embracing imperfections, finding acceptance in the mosaic of life's beautiful chaos. </t>
  </si>
  <si>
    <t xml:space="preserve"> MosaicDreamer     </t>
  </si>
  <si>
    <t xml:space="preserve"> #Acceptance #BeautifulChaos              </t>
  </si>
  <si>
    <t xml:space="preserve"> Determination as the driving force, propelling me forward on the path to extraordinary achievements. </t>
  </si>
  <si>
    <t xml:space="preserve"> PathfinderSpirit  </t>
  </si>
  <si>
    <t xml:space="preserve"> #Determination #ExtraordinaryPath        </t>
  </si>
  <si>
    <t xml:space="preserve"> Seeking serenity in the melody of raindrops, a tranquil escape from the noise of everyday life. </t>
  </si>
  <si>
    <t xml:space="preserve"> RaindropHarmony   </t>
  </si>
  <si>
    <t xml:space="preserve"> #Serenity #RaindropMelody                </t>
  </si>
  <si>
    <t xml:space="preserve"> Curiosity driving the exploration of the unknown, a seeker of knowledge in uncharted territories. </t>
  </si>
  <si>
    <t xml:space="preserve"> SeekerOfUnknowns  </t>
  </si>
  <si>
    <t xml:space="preserve"> #Curiosity #SeekerOfKnowledge            </t>
  </si>
  <si>
    <t xml:space="preserve"> Drifting through the day with an air of nonchalance, indifferent to the trivialities of life. </t>
  </si>
  <si>
    <t xml:space="preserve"> NonchalantWanderer</t>
  </si>
  <si>
    <t xml:space="preserve"> Lost in the labyrinth of thoughts, confusion casting shadows on the quest for clarity. </t>
  </si>
  <si>
    <t xml:space="preserve"> ShadowedSeeker    </t>
  </si>
  <si>
    <t xml:space="preserve"> #Confusion #LabyrinthOfThoughts          </t>
  </si>
  <si>
    <t xml:space="preserve"> Wrapped in the cloak of emotional numbness, a shield against the storms of life's turbulence. </t>
  </si>
  <si>
    <t xml:space="preserve"> TurbulentShield   </t>
  </si>
  <si>
    <t xml:space="preserve"> #Numbness #EmotionalStorms               </t>
  </si>
  <si>
    <t xml:space="preserve"> Melancholy as a companion, painting the canvas of life with the brushstrokes of wistful yearning. </t>
  </si>
  <si>
    <t xml:space="preserve"> WistfulPainter    </t>
  </si>
  <si>
    <t xml:space="preserve"> #Melancholy #WistfulYearning             </t>
  </si>
  <si>
    <t xml:space="preserve"> Leafing through the pages of an old photo album, nostalgia weaving tales of laughter and tears. </t>
  </si>
  <si>
    <t xml:space="preserve"> TaleWeaver        </t>
  </si>
  <si>
    <t xml:space="preserve"> #Nostalgia #PhotoAlbumStories            </t>
  </si>
  <si>
    <t xml:space="preserve"> Ambivalence in the air, caught between the crossroads of conflicting emotions and decisions. </t>
  </si>
  <si>
    <t xml:space="preserve"> CrossroadsExplorer</t>
  </si>
  <si>
    <t xml:space="preserve"> #Ambivalence #CrossroadsConfusion        </t>
  </si>
  <si>
    <t xml:space="preserve"> Embracing the beauty in imperfections, finding acceptance in the mosaic of life's unpredictable art. </t>
  </si>
  <si>
    <t xml:space="preserve"> MosaicArtist      </t>
  </si>
  <si>
    <t xml:space="preserve"> #Acceptance #UnpredictableArt            </t>
  </si>
  <si>
    <t xml:space="preserve"> Determination ablaze, forging a path through challenges, sculpting dreams into tangible realities. </t>
  </si>
  <si>
    <t xml:space="preserve"> DreamSculptor     </t>
  </si>
  <si>
    <t xml:space="preserve"> #Determination #SculptingDreams          </t>
  </si>
  <si>
    <t xml:space="preserve"> Immerse in the serenity of a moonlit night, where the quiet whispers of nature bring peace to the soul. </t>
  </si>
  <si>
    <t xml:space="preserve"> MoonlitSoul       </t>
  </si>
  <si>
    <t xml:space="preserve"> #Serenity #MoonlitPeace                  </t>
  </si>
  <si>
    <t xml:space="preserve"> Fueled by curiosity, venturing into uncharted realms, a fearless explorer of the mysteries of the world. </t>
  </si>
  <si>
    <t xml:space="preserve"> FearlessExplorer  </t>
  </si>
  <si>
    <t xml:space="preserve"> #Curiosity #FearlessExplorer              </t>
  </si>
  <si>
    <t xml:space="preserve">Wrapped in the cloak of emotional numbness, a shield against the storms of life's turbulence. </t>
  </si>
  <si>
    <t xml:space="preserve"> Numbness </t>
  </si>
  <si>
    <t xml:space="preserve"> TurbulentShield </t>
  </si>
  <si>
    <t xml:space="preserve"> #Numbness #EmotionalStorms </t>
  </si>
  <si>
    <t xml:space="preserve"> Dancing through life with the exuberance of a carefree spirit, embracing joy and zest at every turn. </t>
  </si>
  <si>
    <t xml:space="preserve"> Zest </t>
  </si>
  <si>
    <t xml:space="preserve"> JoyfulDancer </t>
  </si>
  <si>
    <t xml:space="preserve"> Twitter </t>
  </si>
  <si>
    <t xml:space="preserve"> #Zest #CarefreeSpirit </t>
  </si>
  <si>
    <t xml:space="preserve"> Basking in the golden glow of contentment, a serene river flowing through the landscape of the heart. </t>
  </si>
  <si>
    <t xml:space="preserve"> Contentment </t>
  </si>
  <si>
    <t xml:space="preserve"> SereneBasker </t>
  </si>
  <si>
    <t xml:space="preserve"> #Contentment #GoldenGlow </t>
  </si>
  <si>
    <t xml:space="preserve"> Gazing towards the horizon with hopeful eyes, painting a canvas of dreams illuminated by the sun of optimism. </t>
  </si>
  <si>
    <t xml:space="preserve"> Hopeful </t>
  </si>
  <si>
    <t xml:space="preserve"> DreamPainter </t>
  </si>
  <si>
    <t xml:space="preserve"> #Hopeful #CanvasOfDreams </t>
  </si>
  <si>
    <t xml:space="preserve"> Standing tall, proud as an oak, the branches of achievement reaching towards the sky of accomplishment. </t>
  </si>
  <si>
    <t xml:space="preserve"> Proud </t>
  </si>
  <si>
    <t xml:space="preserve"> OakAchiever </t>
  </si>
  <si>
    <t xml:space="preserve"> #Proud #BranchesOfAchievement </t>
  </si>
  <si>
    <t xml:space="preserve"> A heart overflowing with gratitude, a garden where appreciation blooms in the soil of kindness and connection. </t>
  </si>
  <si>
    <t xml:space="preserve"> Grateful </t>
  </si>
  <si>
    <t xml:space="preserve"> HeartGardener </t>
  </si>
  <si>
    <t xml:space="preserve"> #Grateful #BlossomingConnection </t>
  </si>
  <si>
    <t xml:space="preserve"> Extending a hand, empathetic threads weaving a tapestry of understanding, embracing the joys and sorrows of others. </t>
  </si>
  <si>
    <t xml:space="preserve"> Empathetic </t>
  </si>
  <si>
    <t xml:space="preserve"> ThreadWeaver </t>
  </si>
  <si>
    <t xml:space="preserve"> #Empathetic #TapestryOfUnderstanding </t>
  </si>
  <si>
    <t xml:space="preserve"> Compassionate clouds, heavy with care, showering empathy on the parched grounds of human suffering. </t>
  </si>
  <si>
    <t xml:space="preserve"> Compassionate </t>
  </si>
  <si>
    <t xml:space="preserve"> CloudCaretaker </t>
  </si>
  <si>
    <t xml:space="preserve"> #Compassionate #ShowerOfEmpathy </t>
  </si>
  <si>
    <t xml:space="preserve"> Playfully dancing in the rain of laughter, a whimsical spirit twirling in the puddles of joy and lightheartedness. </t>
  </si>
  <si>
    <t xml:space="preserve"> Playful </t>
  </si>
  <si>
    <t xml:space="preserve"> RainDancer </t>
  </si>
  <si>
    <t xml:space="preserve"> #Playful #DanceInTheRain </t>
  </si>
  <si>
    <t xml:space="preserve"> Soaring on the wings of a free spirit, unburdened by the chains of conformity, painting the sky with independence. </t>
  </si>
  <si>
    <t xml:space="preserve"> Free-spirited </t>
  </si>
  <si>
    <t xml:space="preserve"> SkyPainter </t>
  </si>
  <si>
    <t xml:space="preserve"> #FreeSpirit #PaintingTheSky </t>
  </si>
  <si>
    <t xml:space="preserve"> Bathed in the glow of inspiration, a creative phoenix rising from the ashes of ordinary thoughts to explore new realms. </t>
  </si>
  <si>
    <t xml:space="preserve"> Inspired </t>
  </si>
  <si>
    <t xml:space="preserve"> PhoenixExplorer </t>
  </si>
  <si>
    <t xml:space="preserve"> #Inspired #CreativePhoenix </t>
  </si>
  <si>
    <t xml:space="preserve"> Navigating the sea of hope, sailing towards the sunrise of possibilities, confident in the ship of positive anticipation. </t>
  </si>
  <si>
    <t xml:space="preserve"> SunriseNavigator </t>
  </si>
  <si>
    <t xml:space="preserve"> #Hopeful #SunriseOfPossibilities </t>
  </si>
  <si>
    <t xml:space="preserve"> Striding with confidence, footprints of self-assuredness imprinted on the sands of challenges conquered and victories claimed. </t>
  </si>
  <si>
    <t xml:space="preserve"> Confident </t>
  </si>
  <si>
    <t xml:space="preserve"> SandStrider </t>
  </si>
  <si>
    <t xml:space="preserve"> #Confident #FootprintsOfAssuredness </t>
  </si>
  <si>
    <t xml:space="preserve"> Lost in the symphony of the night, a moonlit serenade that whispers tales of wanderlust and moonlit dreams. </t>
  </si>
  <si>
    <t xml:space="preserve"> Serenity </t>
  </si>
  <si>
    <t xml:space="preserve"> NightSerenader </t>
  </si>
  <si>
    <t xml:space="preserve"> #Serenity #MoonlitSerenade </t>
  </si>
  <si>
    <t xml:space="preserve"> Unveiling the layers of curiosity, a labyrinth of questions leading to the treasure troves of undiscovered knowledge. </t>
  </si>
  <si>
    <t xml:space="preserve"> Curiosity </t>
  </si>
  <si>
    <t xml:space="preserve"> KnowledgeSeeker </t>
  </si>
  <si>
    <t xml:space="preserve"> #Curiosity #LabyrinthOfQuestions </t>
  </si>
  <si>
    <t xml:space="preserve"> In the embrace of the autumn breeze, leaves of ambivalence dancing in a waltz between choices and uncertainties. </t>
  </si>
  <si>
    <t xml:space="preserve"> Ambivalence </t>
  </si>
  <si>
    <t xml:space="preserve"> BreezeWaltzer </t>
  </si>
  <si>
    <t xml:space="preserve"> #Ambivalence #AutumnWaltz </t>
  </si>
  <si>
    <t xml:space="preserve"> Gratitude as a guiding star, navigating the constellation of blessings in the vast universe of life's precious moments. </t>
  </si>
  <si>
    <t xml:space="preserve"> StarNavigator </t>
  </si>
  <si>
    <t xml:space="preserve"> #Grateful #GuidingStar </t>
  </si>
  <si>
    <t xml:space="preserve"> With a zestful heart, sprinting through fields of enthusiasm, chasing sunbeams and laughter in the meadows of joy. </t>
  </si>
  <si>
    <t xml:space="preserve"> MeadowSprinter </t>
  </si>
  <si>
    <t xml:space="preserve"> #Zest #FieldsOfEnthusiasm </t>
  </si>
  <si>
    <t xml:space="preserve"> A compassionate rain, tears of empathy falling gently, nurturing the seeds of kindness in the garden of human connections. </t>
  </si>
  <si>
    <t xml:space="preserve"> RainNurturer </t>
  </si>
  <si>
    <t xml:space="preserve"> #Compassionate #TearsOfEmpathy </t>
  </si>
  <si>
    <t xml:space="preserve"> Proudly scaling the peaks of achievement, a mountaineer conquering challenges and planting the flag of success. </t>
  </si>
  <si>
    <t xml:space="preserve"> PeakConqueror </t>
  </si>
  <si>
    <t xml:space="preserve"> #Proud #ScalingPeaks </t>
  </si>
  <si>
    <t xml:space="preserve"> Embraced by the hopeful dawn, a gardener sowing seeds of optimism, tending to the blooms of a brighter tomorrow. </t>
  </si>
  <si>
    <t xml:space="preserve"> DawnGardener </t>
  </si>
  <si>
    <t xml:space="preserve"> #Hopeful #SeedsOfOptimism </t>
  </si>
  <si>
    <t xml:space="preserve"> A playful escapade in the carnival of life, carousel laughter and cotton candy dreams swirling in the joyous atmosphere. </t>
  </si>
  <si>
    <t xml:space="preserve"> CarnivalDreamer </t>
  </si>
  <si>
    <t xml:space="preserve"> #Playful #CarnivalEscapade </t>
  </si>
  <si>
    <t xml:space="preserve"> Floating on clouds of inspiration, an artist painting the sky with strokes of creativity, creating a masterpiece of dreams. </t>
  </si>
  <si>
    <t xml:space="preserve"> SkyArtist </t>
  </si>
  <si>
    <t xml:space="preserve"> #Inspired #CloudsOfCreativity </t>
  </si>
  <si>
    <t xml:space="preserve"> Navigating the river of contentment, a serene boat cruise through the tranquil waters of inner peace and acceptance. </t>
  </si>
  <si>
    <t xml:space="preserve"> RiverNavigator </t>
  </si>
  <si>
    <t xml:space="preserve"> #Contentment #TranquilWaters </t>
  </si>
  <si>
    <t xml:space="preserve"> With empathy as a lantern, wandering through the dark alleys of sorrow, illuminating the path with compassion and care. </t>
  </si>
  <si>
    <t xml:space="preserve"> LanternWanderer </t>
  </si>
  <si>
    <t xml:space="preserve"> #Empathetic #LanternOfCompassion </t>
  </si>
  <si>
    <t xml:space="preserve"> A free spirit soaring on the wings of dreams, leaving trails of independence in the azure sky of boundless possibilities. </t>
  </si>
  <si>
    <t xml:space="preserve"> DreamSoarer </t>
  </si>
  <si>
    <t xml:space="preserve"> #FreeSpirit #WingsOfDreams </t>
  </si>
  <si>
    <t xml:space="preserve"> Bathed in the golden hues of gratefulness, a sunset of appreciation casting its warm glow on the landscapes of the heart. </t>
  </si>
  <si>
    <t xml:space="preserve"> SunsetAdmirer </t>
  </si>
  <si>
    <t xml:space="preserve"> #Grateful #GoldenHues </t>
  </si>
  <si>
    <t xml:space="preserve"> Confident strides in the dance of life, a ballroom where self-assuredness leads, twirling through challenges with grace. </t>
  </si>
  <si>
    <t xml:space="preserve"> DanceStrider </t>
  </si>
  <si>
    <t xml:space="preserve"> #Confident #DanceOfLife </t>
  </si>
  <si>
    <t xml:space="preserve"> Hopeful whispers of wind, carrying the promises of a brighter tomorrow, a symphony of optimism in the air of possibilities. </t>
  </si>
  <si>
    <t xml:space="preserve"> WindWhisperer </t>
  </si>
  <si>
    <t xml:space="preserve"> #Hopeful #BrighterTomorrows </t>
  </si>
  <si>
    <t xml:space="preserve"> Playfully juggling responsibilities, a circus performer balancing the acts of work and joy, tossing laughter into the air. </t>
  </si>
  <si>
    <t xml:space="preserve"> JugglingArtist </t>
  </si>
  <si>
    <t xml:space="preserve"> #Playful #JugglingResponsibilities </t>
  </si>
  <si>
    <t xml:space="preserve"> Whispering tales of inspiration to the stars, a storyteller crafting constellations from the threads of imagination. </t>
  </si>
  <si>
    <t xml:space="preserve"> StarStoryteller </t>
  </si>
  <si>
    <t xml:space="preserve"> #Inspired #TalesToTheStars </t>
  </si>
  <si>
    <t xml:space="preserve"> Charting a course through the waves of hopeful anticipation, a sailor steering towards the shores of dreams yet unexplored. </t>
  </si>
  <si>
    <t xml:space="preserve"> WaveNavigator </t>
  </si>
  <si>
    <t xml:space="preserve"> #Hopeful #SailorOfDreams </t>
  </si>
  <si>
    <t xml:space="preserve"> Drowning in the abyss of despair, a heart shattered into fragments, lost in the echoing silence of hopelessness. </t>
  </si>
  <si>
    <t xml:space="preserve"> Despair </t>
  </si>
  <si>
    <t xml:space="preserve"> ShatteredHeart </t>
  </si>
  <si>
    <t xml:space="preserve"> #Despair #EchoingSilence </t>
  </si>
  <si>
    <t xml:space="preserve"> Bitterness festering like a venomous vine, entwining the soul in a web of resentment, poisoning the garden of peace. </t>
  </si>
  <si>
    <t xml:space="preserve"> Bitterness </t>
  </si>
  <si>
    <t xml:space="preserve"> VenomousSoul </t>
  </si>
  <si>
    <t xml:space="preserve"> #Bitterness #ResentmentWeb </t>
  </si>
  <si>
    <t xml:space="preserve"> Wandering through the desert of loneliness, each step a heavy sigh, mirages of connection shimmering but never materializing. </t>
  </si>
  <si>
    <t xml:space="preserve"> DesertWanderer </t>
  </si>
  <si>
    <t xml:space="preserve"> #Loneliness #MiragesOfConnection </t>
  </si>
  <si>
    <t xml:space="preserve"> Yearning for a touch that's not there, echoes of a distant warmth haunting the heart in the cold embrace of solitude. </t>
  </si>
  <si>
    <t xml:space="preserve"> Yearning </t>
  </si>
  <si>
    <t xml:space="preserve"> ColdEmbrace </t>
  </si>
  <si>
    <t xml:space="preserve"> #Yearning #DistantWarmth </t>
  </si>
  <si>
    <t xml:space="preserve"> Eyes wide open in the night, fearful shadows dancing on the walls, the mind a prisoner of imagined horrors. </t>
  </si>
  <si>
    <t xml:space="preserve"> Fearful </t>
  </si>
  <si>
    <t xml:space="preserve"> NightPrisoner </t>
  </si>
  <si>
    <t xml:space="preserve"> #Fearful #ImaginedHorrors </t>
  </si>
  <si>
    <t xml:space="preserve"> Apprehensive steps on the tightrope of uncertainty, a balancing act where the fall seems inevitable, anxiety a constant companion. </t>
  </si>
  <si>
    <t xml:space="preserve"> Apprehensive </t>
  </si>
  <si>
    <t xml:space="preserve"> TightropeWalker </t>
  </si>
  <si>
    <t xml:space="preserve"> #Apprehensive #BalancingAct </t>
  </si>
  <si>
    <t xml:space="preserve"> Overwhelmed by the weight of the world, Atlas with trembling shoulders, each responsibility a boulder in the landscape of exhaustion. </t>
  </si>
  <si>
    <t xml:space="preserve"> Overwhelmed </t>
  </si>
  <si>
    <t xml:space="preserve"> AtlasBearer </t>
  </si>
  <si>
    <t xml:space="preserve"> #Overwhelmed #BouldersOfExhaustion </t>
  </si>
  <si>
    <t xml:space="preserve"> Jealousy, a green-eyed monster, lurking in the shadows, casting a dark cloud over the sunshine of others' success. </t>
  </si>
  <si>
    <t xml:space="preserve"> Jealous </t>
  </si>
  <si>
    <t xml:space="preserve"> GreenMonster </t>
  </si>
  <si>
    <t xml:space="preserve"> #Jealous #GreenEyedMonster </t>
  </si>
  <si>
    <t xml:space="preserve"> Devastated by the storm of betrayal, the wreckage of trust scattered like debris, a heart torn by the winds of broken promises. </t>
  </si>
  <si>
    <t xml:space="preserve"> Devastated </t>
  </si>
  <si>
    <t xml:space="preserve"> StormSurvivor </t>
  </si>
  <si>
    <t xml:space="preserve"> #Devastated #WindsOfBrokenPromises </t>
  </si>
  <si>
    <t xml:space="preserve"> Frustrated fingers tapping on the keyboard, a symphony of annoyance composing an unsolvable puzzle of unmet expectations. </t>
  </si>
  <si>
    <t xml:space="preserve"> Frustrated </t>
  </si>
  <si>
    <t xml:space="preserve"> PuzzleComposer </t>
  </si>
  <si>
    <t xml:space="preserve"> #Frustrated #UnsolvablePuzzle </t>
  </si>
  <si>
    <t xml:space="preserve"> Envious eyes fixated on the gilded prize, a heartache fueled by the painful desire for possessions that seem forever out of reach. </t>
  </si>
  <si>
    <t xml:space="preserve"> Envious </t>
  </si>
  <si>
    <t xml:space="preserve"> GildedHeartache </t>
  </si>
  <si>
    <t xml:space="preserve"> #Envious #GildedPrize </t>
  </si>
  <si>
    <t xml:space="preserve"> Dismissive glances, a fortress built with indifference, walls impenetrable to the pleas of understanding and recognition. </t>
  </si>
  <si>
    <t xml:space="preserve"> Dismissive </t>
  </si>
  <si>
    <t xml:space="preserve"> IndifferentFort </t>
  </si>
  <si>
    <t xml:space="preserve"> #Dismissive #ImpenetrableWalls </t>
  </si>
  <si>
    <t xml:space="preserve"> Shattered dreams lie on the floor like fragments of glass, a mosaic of disappointment crafted by the hands of frustration. </t>
  </si>
  <si>
    <t xml:space="preserve"> DreamMosaic </t>
  </si>
  <si>
    <t xml:space="preserve"> #Frustrated #MosaicOfDisappointment </t>
  </si>
  <si>
    <t xml:space="preserve"> Loneliness, a silent companion in the night, the only echo in the chamber of solitude, a heart's solitary nocturne. </t>
  </si>
  <si>
    <t xml:space="preserve"> NocturnalEcho </t>
  </si>
  <si>
    <t xml:space="preserve"> #Loneliness #SolitaryNocturne </t>
  </si>
  <si>
    <t xml:space="preserve"> Fearful whispers in the dark, the mind haunted by the specter of the unknown, shadows dancing to the rhythm of anxiety's tune. </t>
  </si>
  <si>
    <t xml:space="preserve"> DarkWhispers </t>
  </si>
  <si>
    <t xml:space="preserve"> #Fearful #SpecterOfTheUnknown </t>
  </si>
  <si>
    <t xml:space="preserve"> Bitterness, a bitter aftertaste lingering on the tongue, each word a reminder of wounds that refuse to heal with the passing of time. </t>
  </si>
  <si>
    <t xml:space="preserve"> LingeringTaste </t>
  </si>
  <si>
    <t xml:space="preserve"> #Bitterness #BitterAftertaste </t>
  </si>
  <si>
    <t xml:space="preserve"> Overwhelmed by the cacophony of expectations, a drowning soul in the tempest of pressure, struggling to stay afloat. </t>
  </si>
  <si>
    <t xml:space="preserve"> TempestSurvivor </t>
  </si>
  <si>
    <t xml:space="preserve"> #Overwhelmed #DrowningSoul </t>
  </si>
  <si>
    <t xml:space="preserve"> Jealousy, a venom that seeps through the veins, poisoning the heart and turning it into a breeding ground for discontent. </t>
  </si>
  <si>
    <t xml:space="preserve"> VenomousHeart </t>
  </si>
  <si>
    <t xml:space="preserve"> #Jealous #HeartOfDiscontent </t>
  </si>
  <si>
    <t xml:space="preserve"> Devastated by the revelation of betrayal, the trust shattered like fragile glass, leaving shards of pain in its wake. </t>
  </si>
  <si>
    <t xml:space="preserve"> FragileTrust </t>
  </si>
  <si>
    <t xml:space="preserve"> #Devastated #ShatteredTrust </t>
  </si>
  <si>
    <t xml:space="preserve"> Frustrated attempts to mend a broken connection, the threads of understanding slipping through the fingers like grains of sand. </t>
  </si>
  <si>
    <t xml:space="preserve"> BrokenThreads </t>
  </si>
  <si>
    <t xml:space="preserve"> #Frustrated #SlippingThreads </t>
  </si>
  <si>
    <t xml:space="preserve"> Envious gazes cast upon the podium of success, a bitter pill swallowed, the taste lingering as a constant reminder of unattained heights. </t>
  </si>
  <si>
    <t xml:space="preserve"> SuccessPill </t>
  </si>
  <si>
    <t xml:space="preserve"> #Envious #BitterPill </t>
  </si>
  <si>
    <t xml:space="preserve"> Dismissive gestures, a curtain drawn to shield the vulnerability, a stage where emotions take a backseat to the performance of indifference. </t>
  </si>
  <si>
    <t xml:space="preserve"> CurtainShield </t>
  </si>
  <si>
    <t xml:space="preserve"> #Dismissive #IndifferencePerformance </t>
  </si>
  <si>
    <t xml:space="preserve"> Despair like a heavy fog, enveloping every thought, blurring the path ahead, a journey in the labyrinth of utter hopelessness. </t>
  </si>
  <si>
    <t xml:space="preserve"> FoggyLabyrinth </t>
  </si>
  <si>
    <t xml:space="preserve"> #Despair #LabyrinthOfHopelessness </t>
  </si>
  <si>
    <t xml:space="preserve"> Bitterness, a bitter chill in the air, freezing moments into icicles of resentment that dangle precariously over the landscape of memory. </t>
  </si>
  <si>
    <t xml:space="preserve"> IcyResentment </t>
  </si>
  <si>
    <t xml:space="preserve"> #Bitterness #IciclesOfResentment </t>
  </si>
  <si>
    <t xml:space="preserve"> Loneliness, a solitary moon in a starless sky, casting a cold glow on the landscape of isolation, where echoes bounce in empty spaces. </t>
  </si>
  <si>
    <t xml:space="preserve"> SolitaryMoon </t>
  </si>
  <si>
    <t xml:space="preserve"> #Loneliness #StarlessSky </t>
  </si>
  <si>
    <t xml:space="preserve"> Yearning for the warmth of a vanished sun, a heartache painted in the hues of a sunset that never graced the horizon. </t>
  </si>
  <si>
    <t xml:space="preserve"> VanishedSunset </t>
  </si>
  <si>
    <t xml:space="preserve"> #Yearning #HuesOfSunset </t>
  </si>
  <si>
    <t xml:space="preserve"> Fearful eyes scanning the shadows, a prisoner of the night, terrorized by the lurking monsters born from the mind's darkest corners. </t>
  </si>
  <si>
    <t xml:space="preserve"> #Fearful #LurkingMonsters </t>
  </si>
  <si>
    <t xml:space="preserve"> Apprehensive whispers in the wind, a forecast of uncertainty, the mind's weather vane spinning wildly in the storm of doubt. </t>
  </si>
  <si>
    <t xml:space="preserve"> #Apprehensive #StormOfDoubt </t>
  </si>
  <si>
    <t xml:space="preserve"> Overwhelmed by the maze of expectations, a minotaur of pressure lurking in the labyrinth, waiting to devour the spirit of resilience. </t>
  </si>
  <si>
    <t xml:space="preserve"> MazeExplorer </t>
  </si>
  <si>
    <t xml:space="preserve"> #Overwhelmed #MinotaurOfPressure </t>
  </si>
  <si>
    <t xml:space="preserve"> Jealousy, a festering wound, the pain intensifying with each glance at the garden of others' achievements, blooming beyond the fence. </t>
  </si>
  <si>
    <t xml:space="preserve"> WoundedGarden </t>
  </si>
  <si>
    <t xml:space="preserve"> #Jealous #BloomingAchievements </t>
  </si>
  <si>
    <t xml:space="preserve"> Devastated, a heart in ruins, the echoes of shattered dreams reverberating in the chambers, a requiem for what once was whole. </t>
  </si>
  <si>
    <t xml:space="preserve"> RuinedHeart </t>
  </si>
  <si>
    <t xml:space="preserve"> #Devastated #EchoesOfShatteredDreams </t>
  </si>
  <si>
    <t xml:space="preserve"> Frustrated attempts to untangle the knot of confusion, the threads of understanding slipping further into the labyrinth of miscommunication. </t>
  </si>
  <si>
    <t xml:space="preserve"> KnotUntangler </t>
  </si>
  <si>
    <t xml:space="preserve"> #Frustrated #LabyrinthOfMiscommunication </t>
  </si>
  <si>
    <t xml:space="preserve"> Envious eyes locked on the treasure chest of opportunities, a heartache fueled by the desire for keys that seem forever elusive. </t>
  </si>
  <si>
    <t xml:space="preserve"> ElusiveKeys </t>
  </si>
  <si>
    <t xml:space="preserve"> #Envious #DesireForKeys </t>
  </si>
  <si>
    <t xml:space="preserve">Awe-struck by the breathtaking sunrise over the mountains.      </t>
  </si>
  <si>
    <t xml:space="preserve"> Awe           </t>
  </si>
  <si>
    <t xml:space="preserve"> NatureAdmirer  </t>
  </si>
  <si>
    <t xml:space="preserve"> #Awe #BreathtakingSunrise                   </t>
  </si>
  <si>
    <t xml:space="preserve"> USA               </t>
  </si>
  <si>
    <t xml:space="preserve">Navigating through the challenges with determination.          </t>
  </si>
  <si>
    <t xml:space="preserve"> Determination </t>
  </si>
  <si>
    <t xml:space="preserve"> GoalPursuer    </t>
  </si>
  <si>
    <t xml:space="preserve"> #Determination #Challenges                  </t>
  </si>
  <si>
    <t xml:space="preserve"> Canada            </t>
  </si>
  <si>
    <t xml:space="preserve">Nostalgia hits while flipping through an old photo album.     </t>
  </si>
  <si>
    <t xml:space="preserve"> Nostalgia      </t>
  </si>
  <si>
    <t xml:space="preserve"> MemoryLane     </t>
  </si>
  <si>
    <t xml:space="preserve"> #Nostalgia #OldMemories                     </t>
  </si>
  <si>
    <t xml:space="preserve"> UK                </t>
  </si>
  <si>
    <t xml:space="preserve">Thrilled to witness the grandeur of a cultural festival.       </t>
  </si>
  <si>
    <t xml:space="preserve"> Thrill        </t>
  </si>
  <si>
    <t xml:space="preserve"> CultureEnthusiast </t>
  </si>
  <si>
    <t xml:space="preserve"> #Thrill #CulturalCelebration              </t>
  </si>
  <si>
    <t xml:space="preserve"> India              </t>
  </si>
  <si>
    <t xml:space="preserve">Calmness found in the rhythm of raindrops on the windowpane.   </t>
  </si>
  <si>
    <t xml:space="preserve"> Calmness      </t>
  </si>
  <si>
    <t xml:space="preserve"> RainWatcher    </t>
  </si>
  <si>
    <t xml:space="preserve"> #Calmness #RainyDays                        </t>
  </si>
  <si>
    <t xml:space="preserve"> Australia          </t>
  </si>
  <si>
    <t>Overwhelmed by the support received during a personal challenge.</t>
  </si>
  <si>
    <t xml:space="preserve"> Overwhelmed   </t>
  </si>
  <si>
    <t xml:space="preserve"> PersonalJourney </t>
  </si>
  <si>
    <t xml:space="preserve"> #Overwhelmed #SupportiveCommunity          </t>
  </si>
  <si>
    <t xml:space="preserve">Excitement builds as the countdown to a long-awaited vacation begins. </t>
  </si>
  <si>
    <t xml:space="preserve"> #Excitement #VacationCountdown        </t>
  </si>
  <si>
    <t xml:space="preserve"> France            </t>
  </si>
  <si>
    <t xml:space="preserve">Reflecting on life's journey, grateful for the lessons learned. </t>
  </si>
  <si>
    <t xml:space="preserve"> Gratitude   </t>
  </si>
  <si>
    <t xml:space="preserve"> LifeLearner   </t>
  </si>
  <si>
    <t xml:space="preserve"> #Gratitude #LifeLessons                    </t>
  </si>
  <si>
    <t xml:space="preserve"> Brazil            </t>
  </si>
  <si>
    <t xml:space="preserve">Bittersweet emotions arise while bidding farewell to a dear friend. </t>
  </si>
  <si>
    <t xml:space="preserve"> Bittersweet </t>
  </si>
  <si>
    <t xml:space="preserve"> FarewellSender </t>
  </si>
  <si>
    <t xml:space="preserve"> #Bittersweet #Farewell                     </t>
  </si>
  <si>
    <t xml:space="preserve"> Japan             </t>
  </si>
  <si>
    <t xml:space="preserve">Curiosity sparked by exploring a mysterious ancient ruin.      </t>
  </si>
  <si>
    <t xml:space="preserve"> Curiosity     </t>
  </si>
  <si>
    <t xml:space="preserve"> HistoryExplorer </t>
  </si>
  <si>
    <t xml:space="preserve"> #Curiosity #AncientDiscovery          </t>
  </si>
  <si>
    <t xml:space="preserve"> Greece            </t>
  </si>
  <si>
    <t xml:space="preserve">Admiration for the intricate details of a handcrafted masterpiece. </t>
  </si>
  <si>
    <t xml:space="preserve"> Admiration    </t>
  </si>
  <si>
    <t xml:space="preserve"> CraftEnthusiast </t>
  </si>
  <si>
    <t xml:space="preserve"> #Admiration #HandcraftedArt               </t>
  </si>
  <si>
    <t xml:space="preserve">Overjoyed by the warmth of a cozy fireplace on a winter evening.   </t>
  </si>
  <si>
    <t xml:space="preserve"> Overjoyed     </t>
  </si>
  <si>
    <t xml:space="preserve"> WinterLover     </t>
  </si>
  <si>
    <t xml:space="preserve"> #Overjoyed #WinterWarmth                  </t>
  </si>
  <si>
    <t>Inspiration strikes while observing the colors of a vibrant sunset.</t>
  </si>
  <si>
    <t xml:space="preserve"> Inspiration   </t>
  </si>
  <si>
    <t xml:space="preserve"> SunsetWatcher   </t>
  </si>
  <si>
    <t xml:space="preserve"> #Inspiration #ColorfulSunset             </t>
  </si>
  <si>
    <t xml:space="preserve">Motivated to achieve fitness goals after an invigorating workout.  </t>
  </si>
  <si>
    <t xml:space="preserve"> Motivation    </t>
  </si>
  <si>
    <t xml:space="preserve"> FitnessJunkie   </t>
  </si>
  <si>
    <t xml:space="preserve"> #Motivation #FitnessGoals                 </t>
  </si>
  <si>
    <t xml:space="preserve">Gratitude for the simple joys found in a cup of morning coffee.    </t>
  </si>
  <si>
    <t xml:space="preserve"> CoffeeLover     </t>
  </si>
  <si>
    <t xml:space="preserve"> #Gratitude #MorningCoffee                 </t>
  </si>
  <si>
    <t xml:space="preserve"> India             </t>
  </si>
  <si>
    <t xml:space="preserve">Feeling empowered after conquering a challenging hiking trail.     </t>
  </si>
  <si>
    <t xml:space="preserve"> HikingExplorer  </t>
  </si>
  <si>
    <t xml:space="preserve"> #Empowerment #HikingAdventure             </t>
  </si>
  <si>
    <t xml:space="preserve">Amused by the antics of playful kittens during playtime.           </t>
  </si>
  <si>
    <t xml:space="preserve"> Amusement     </t>
  </si>
  <si>
    <t xml:space="preserve"> KittyObserver   </t>
  </si>
  <si>
    <t xml:space="preserve"> #Amusement #PlayfulKittens               </t>
  </si>
  <si>
    <t xml:space="preserve">Contemplating life's mysteries under the starry night sky.         </t>
  </si>
  <si>
    <t xml:space="preserve"> Contemplation </t>
  </si>
  <si>
    <t xml:space="preserve"> #Contemplation #StarryNight               </t>
  </si>
  <si>
    <t xml:space="preserve">Joyful reunion with long-lost friends after years of separation.   </t>
  </si>
  <si>
    <t xml:space="preserve"> JoyfulReunion </t>
  </si>
  <si>
    <t xml:space="preserve"> FriendshipRenewal </t>
  </si>
  <si>
    <t xml:space="preserve"> #JoyfulReunion #Friendship               </t>
  </si>
  <si>
    <t xml:space="preserve">Excitement builds while preparing for a surprise celebration.     </t>
  </si>
  <si>
    <t xml:space="preserve"> Excitement    </t>
  </si>
  <si>
    <t xml:space="preserve"> CelebrationPlanner </t>
  </si>
  <si>
    <t xml:space="preserve"> #Excitement #SurpriseCelebration         </t>
  </si>
  <si>
    <t xml:space="preserve">Satisfaction derived from successfully completing a DIY project.  </t>
  </si>
  <si>
    <t xml:space="preserve"> Satisfaction  </t>
  </si>
  <si>
    <t xml:space="preserve"> #Satisfaction #DIYProject                 </t>
  </si>
  <si>
    <t xml:space="preserve">Feeling blessed for the supportive community in times of need.    </t>
  </si>
  <si>
    <t xml:space="preserve"> Blessed       </t>
  </si>
  <si>
    <t xml:space="preserve"> CommunityHelper </t>
  </si>
  <si>
    <t xml:space="preserve"> #Blessed #SupportiveCommunity            </t>
  </si>
  <si>
    <t xml:space="preserve">Captivated by the serenity of a tranquil garden in full bloom.     </t>
  </si>
  <si>
    <t xml:space="preserve"> GardenEnthusiast </t>
  </si>
  <si>
    <t xml:space="preserve"> #Serenity #TranquilGarden                </t>
  </si>
  <si>
    <t xml:space="preserve">Anticipation for an upcoming adventure in an exotic destination.   </t>
  </si>
  <si>
    <t xml:space="preserve"> Anticipation  </t>
  </si>
  <si>
    <t xml:space="preserve"> Wanderlust      </t>
  </si>
  <si>
    <t xml:space="preserve"> #Anticipation #AdventureAwaits           </t>
  </si>
  <si>
    <t xml:space="preserve">Reflecting on personal growth achieved through life experiences.  </t>
  </si>
  <si>
    <t xml:space="preserve"> Reflection    </t>
  </si>
  <si>
    <t xml:space="preserve"> #Reflection #PersonalGrowth              </t>
  </si>
  <si>
    <t xml:space="preserve">Nostalgic memories flood in while revisiting childhood favorites. </t>
  </si>
  <si>
    <t xml:space="preserve"> Nostalgia     </t>
  </si>
  <si>
    <t xml:space="preserve"> ChildhoodMemories </t>
  </si>
  <si>
    <t xml:space="preserve"> #Nostalgia #ChildhoodFavorites           </t>
  </si>
  <si>
    <t xml:space="preserve">Appreciation for the vibrant culture experienced during travel.   </t>
  </si>
  <si>
    <t xml:space="preserve"> Appreciation  </t>
  </si>
  <si>
    <t xml:space="preserve"> CultureExplorer </t>
  </si>
  <si>
    <t xml:space="preserve"> #Appreciation #CulturalExperience        </t>
  </si>
  <si>
    <t xml:space="preserve">Confidence soars after overcoming public speaking anxiety.       </t>
  </si>
  <si>
    <t xml:space="preserve"> Confidence    </t>
  </si>
  <si>
    <t xml:space="preserve"> PublicSpeaker   </t>
  </si>
  <si>
    <t xml:space="preserve"> #Confidence #OvercomingAnxiety          </t>
  </si>
  <si>
    <t xml:space="preserve">Contentment in the midst of a family gathering filled with laughter. </t>
  </si>
  <si>
    <t xml:space="preserve"> FamilyCelebration </t>
  </si>
  <si>
    <t xml:space="preserve"> #Contentment #FamilyLaughter             </t>
  </si>
  <si>
    <t xml:space="preserve">Enthusiasm for learning new skills and expanding knowledge.      </t>
  </si>
  <si>
    <t xml:space="preserve"> LifelongLearner </t>
  </si>
  <si>
    <t xml:space="preserve"> #Enthusiasm #SkillBuilding               </t>
  </si>
  <si>
    <t xml:space="preserve">Surprise and delight at discovering a hidden gem in the city.    </t>
  </si>
  <si>
    <t xml:space="preserve"> Surprise      </t>
  </si>
  <si>
    <t xml:space="preserve"> CityExplorer    </t>
  </si>
  <si>
    <t xml:space="preserve"> #Surprise #HiddenGem                      </t>
  </si>
  <si>
    <t>A sense of accomplishment after completing a challenging workout.</t>
  </si>
  <si>
    <t xml:space="preserve"> Accomplishment </t>
  </si>
  <si>
    <t xml:space="preserve"> #Accomplishment #FitnessSuccess         </t>
  </si>
  <si>
    <t xml:space="preserve">Wonderment at the beauty of a double rainbow after the rain.     </t>
  </si>
  <si>
    <t xml:space="preserve"> Wonderment    </t>
  </si>
  <si>
    <t xml:space="preserve"> RainbowChaser   </t>
  </si>
  <si>
    <t xml:space="preserve"> #Wonderment #DoubleRainbow               </t>
  </si>
  <si>
    <t xml:space="preserve">Optimism for a bright future amidst challenging times.           </t>
  </si>
  <si>
    <t xml:space="preserve"> Optimism      </t>
  </si>
  <si>
    <t xml:space="preserve"> FutureOptimist  </t>
  </si>
  <si>
    <t xml:space="preserve"> #Optimism #BrightFuture                  </t>
  </si>
  <si>
    <t xml:space="preserve">Pride in achieving a personal milestone in career progression.   </t>
  </si>
  <si>
    <t xml:space="preserve"> Pride         </t>
  </si>
  <si>
    <t xml:space="preserve"> CareerAchiever  </t>
  </si>
  <si>
    <t xml:space="preserve"> #Pride #CareerMilestone                  </t>
  </si>
  <si>
    <t xml:space="preserve">Happiness blooms like flowers in a garden on a sunny day.        </t>
  </si>
  <si>
    <t xml:space="preserve"> Happiness     </t>
  </si>
  <si>
    <t xml:space="preserve"> SunnyDayEnthusiast </t>
  </si>
  <si>
    <t xml:space="preserve"> #Happiness #SunnyDay                      </t>
  </si>
  <si>
    <t xml:space="preserve">Elation over discovering a rare book in a quaint bookstore.      </t>
  </si>
  <si>
    <t xml:space="preserve"> Bookworm        </t>
  </si>
  <si>
    <t xml:space="preserve"> #Elation #RareBookDiscovery              </t>
  </si>
  <si>
    <t>Curiosity piqued by the mysteries of an ancient archaeological site.</t>
  </si>
  <si>
    <t xml:space="preserve"> Curiosity   </t>
  </si>
  <si>
    <t xml:space="preserve"> ArchaeologyEnthusiast </t>
  </si>
  <si>
    <t xml:space="preserve"> #Curiosity #AncientMysteries            </t>
  </si>
  <si>
    <t xml:space="preserve">Mesmerized by the cosmic dance of fireflies on a moonlit night.    </t>
  </si>
  <si>
    <t xml:space="preserve"> Enchantment   </t>
  </si>
  <si>
    <t xml:space="preserve"> NightSkyObserver </t>
  </si>
  <si>
    <t xml:space="preserve"> #Enchantment #CosmicFireflies             </t>
  </si>
  <si>
    <t xml:space="preserve"> Brazil           </t>
  </si>
  <si>
    <t xml:space="preserve">Intrigued by the symphony of colors in an abstract art exhibition. </t>
  </si>
  <si>
    <t xml:space="preserve"> Intrigue      </t>
  </si>
  <si>
    <t xml:space="preserve"> ArtConnoisseur  </t>
  </si>
  <si>
    <t xml:space="preserve"> #Intrigue #AbstractArt                   </t>
  </si>
  <si>
    <t xml:space="preserve"> France           </t>
  </si>
  <si>
    <t xml:space="preserve">Giggles and joy echo in the air during a children's playdate.      </t>
  </si>
  <si>
    <t xml:space="preserve"> PlayfulJoy    </t>
  </si>
  <si>
    <t xml:space="preserve"> PlayfulParent   </t>
  </si>
  <si>
    <t xml:space="preserve"> #PlayfulJoy #ChildrensPlaydate           </t>
  </si>
  <si>
    <t xml:space="preserve"> Japan            </t>
  </si>
  <si>
    <t xml:space="preserve">Enveloped in serenity while practicing mindfulness by the lake.    </t>
  </si>
  <si>
    <t xml:space="preserve"> Mindfulness   </t>
  </si>
  <si>
    <t xml:space="preserve"> ZenSeeker       </t>
  </si>
  <si>
    <t xml:space="preserve"> #Mindfulness #LakeTranquility            </t>
  </si>
  <si>
    <t xml:space="preserve"> Canada           </t>
  </si>
  <si>
    <t xml:space="preserve">Chasing dreams like a kite soaring high in the vast open sky.      </t>
  </si>
  <si>
    <t xml:space="preserve"> DreamChaser   </t>
  </si>
  <si>
    <t xml:space="preserve"> SkyDreamer      </t>
  </si>
  <si>
    <t xml:space="preserve"> #DreamChaser #SkyHighDreams              </t>
  </si>
  <si>
    <t xml:space="preserve"> Australia         </t>
  </si>
  <si>
    <t xml:space="preserve">Spellbound by the elegance of a ballroom dance under crystal chandeliers. </t>
  </si>
  <si>
    <t xml:space="preserve"> Elegance </t>
  </si>
  <si>
    <t xml:space="preserve"> DanceEnthusiast </t>
  </si>
  <si>
    <t xml:space="preserve"> #Elegance #BallroomDance                </t>
  </si>
  <si>
    <t xml:space="preserve"> UK               </t>
  </si>
  <si>
    <t xml:space="preserve">Whimsical delight in a world of fairy tales and magical creatures.  </t>
  </si>
  <si>
    <t xml:space="preserve"> Whimsy        </t>
  </si>
  <si>
    <t xml:space="preserve"> FairyTaleExplorer </t>
  </si>
  <si>
    <t xml:space="preserve"> #Whimsy #MagicalWorld                    </t>
  </si>
  <si>
    <t xml:space="preserve"> USA             </t>
  </si>
  <si>
    <t xml:space="preserve">Pensive contemplation amid the ancient ruins of a forgotten civilization. </t>
  </si>
  <si>
    <t xml:space="preserve"> Pensive </t>
  </si>
  <si>
    <t xml:space="preserve"> RuinsExplorer   </t>
  </si>
  <si>
    <t xml:space="preserve"> #Pensive #AncientCivilization           </t>
  </si>
  <si>
    <t xml:space="preserve"> Greece           </t>
  </si>
  <si>
    <t xml:space="preserve">Embracing the thrill of speed on a rollercoaster's exhilarating twists. </t>
  </si>
  <si>
    <t xml:space="preserve"> Thrill      </t>
  </si>
  <si>
    <t xml:space="preserve"> RollercoasterFan </t>
  </si>
  <si>
    <t xml:space="preserve"> #Thrill #RollercoasterAdventure        </t>
  </si>
  <si>
    <t xml:space="preserve"> Germany         </t>
  </si>
  <si>
    <t xml:space="preserve">Harmony resonates as musicians play a melody of unity and togetherness. </t>
  </si>
  <si>
    <t xml:space="preserve"> Harmony    </t>
  </si>
  <si>
    <t xml:space="preserve"> MusicHarmonist  </t>
  </si>
  <si>
    <t xml:space="preserve"> #Harmony #MusicalUnity                   </t>
  </si>
  <si>
    <t xml:space="preserve"> Sweden          </t>
  </si>
  <si>
    <t xml:space="preserve">A burst of creativity in the quiet solitude of an artist's studio.  </t>
  </si>
  <si>
    <t xml:space="preserve"> Creativity   </t>
  </si>
  <si>
    <t xml:space="preserve"> StudioArtist    </t>
  </si>
  <si>
    <t xml:space="preserve"> #Creativity #ArtistsHaven               </t>
  </si>
  <si>
    <t xml:space="preserve"> Italy           </t>
  </si>
  <si>
    <t xml:space="preserve">Radiant joy akin to blooming flowers on a sun-kissed spring morning. </t>
  </si>
  <si>
    <t xml:space="preserve"> Radiance    </t>
  </si>
  <si>
    <t xml:space="preserve"> SpringEnthusiast </t>
  </si>
  <si>
    <t xml:space="preserve"> #Radiance #SpringBlooms                 </t>
  </si>
  <si>
    <t xml:space="preserve"> Netherlands     </t>
  </si>
  <si>
    <t xml:space="preserve">A sense of wonder at the vastness of the cosmos on a stargazing night. </t>
  </si>
  <si>
    <t xml:space="preserve"> Wonder     </t>
  </si>
  <si>
    <t xml:space="preserve"> CosmosExplorer  </t>
  </si>
  <si>
    <t xml:space="preserve"> #Wonder #StargazingAdventure            </t>
  </si>
  <si>
    <t xml:space="preserve"> South Africa    </t>
  </si>
  <si>
    <t xml:space="preserve">Rejuvenated by the salty breeze and the sound of waves at the seaside. </t>
  </si>
  <si>
    <t xml:space="preserve"> Rejuvenation </t>
  </si>
  <si>
    <t xml:space="preserve"> SeaBreezeLover </t>
  </si>
  <si>
    <t xml:space="preserve"> #Rejuvenation #SeasideEscape            </t>
  </si>
  <si>
    <t xml:space="preserve"> Spain           </t>
  </si>
  <si>
    <t xml:space="preserve">Whispers of inspiration from the rustling leaves in a serene forest. </t>
  </si>
  <si>
    <t xml:space="preserve"> Inspiration </t>
  </si>
  <si>
    <t xml:space="preserve"> ForestDreamer   </t>
  </si>
  <si>
    <t xml:space="preserve"> #Inspiration #ForestWhispers            </t>
  </si>
  <si>
    <t xml:space="preserve"> Portugal        </t>
  </si>
  <si>
    <t xml:space="preserve">Savoring the warmth of a cup of cocoa on a chilly winter evening.   </t>
  </si>
  <si>
    <t xml:space="preserve"> Coziness     </t>
  </si>
  <si>
    <t xml:space="preserve"> #Coziness #WarmWinterEvening           </t>
  </si>
  <si>
    <t xml:space="preserve"> Switzerland     </t>
  </si>
  <si>
    <t xml:space="preserve">Heartfelt gratitude for the laughter shared during a family reunion. </t>
  </si>
  <si>
    <t xml:space="preserve"> Gratitude  </t>
  </si>
  <si>
    <t xml:space="preserve"> FamilyGatherer </t>
  </si>
  <si>
    <t xml:space="preserve"> #Gratitude #FamilyLaughter              </t>
  </si>
  <si>
    <t xml:space="preserve"> Austria         </t>
  </si>
  <si>
    <t xml:space="preserve">Embarking on a culinary adventure, savoring exotic flavors around the world. </t>
  </si>
  <si>
    <t xml:space="preserve"> Adventure </t>
  </si>
  <si>
    <t xml:space="preserve"> CulinaryExplorer </t>
  </si>
  <si>
    <t xml:space="preserve"> #Adventure #CulinaryJourney             </t>
  </si>
  <si>
    <t xml:space="preserve"> Belgium         </t>
  </si>
  <si>
    <t xml:space="preserve">Euphoria floods in as the final puzzle piece clicks into place.       </t>
  </si>
  <si>
    <t xml:space="preserve"> Euphoria   </t>
  </si>
  <si>
    <t xml:space="preserve"> PuzzleSolver    </t>
  </si>
  <si>
    <t xml:space="preserve"> #Euphoria #PuzzleCompletion            </t>
  </si>
  <si>
    <t xml:space="preserve"> Denmark         </t>
  </si>
  <si>
    <t xml:space="preserve">Awe-inspired by the grandeur of an ancient cathedral's intricate architecture. </t>
  </si>
  <si>
    <t xml:space="preserve"> Awe    </t>
  </si>
  <si>
    <t xml:space="preserve"> CathedralVisitor </t>
  </si>
  <si>
    <t xml:space="preserve"> #Awe #ArchitecturalGrandeur            </t>
  </si>
  <si>
    <t xml:space="preserve"> Czech Republic  </t>
  </si>
  <si>
    <t xml:space="preserve">Captivated by the ethereal beauty of a field filled with fireflies. </t>
  </si>
  <si>
    <t xml:space="preserve"> #Enchantment #FireflyField              </t>
  </si>
  <si>
    <t xml:space="preserve">Immersed in the enchanting melodies of a street musician's violin. </t>
  </si>
  <si>
    <t xml:space="preserve"> Melodic       </t>
  </si>
  <si>
    <t xml:space="preserve"> MusicLover      </t>
  </si>
  <si>
    <t xml:space="preserve"> #Melodic #StreetMusic                   </t>
  </si>
  <si>
    <t xml:space="preserve">Joyful laughter resonates through a lively summer carnival.         </t>
  </si>
  <si>
    <t xml:space="preserve"> FestiveJoy    </t>
  </si>
  <si>
    <t xml:space="preserve"> CarnivalGoer    </t>
  </si>
  <si>
    <t xml:space="preserve"> #FestiveJoy #SummerCarnival             </t>
  </si>
  <si>
    <t xml:space="preserve">Exploring the universe within during a mindful meditation session. </t>
  </si>
  <si>
    <t xml:space="preserve"> InnerJourney  </t>
  </si>
  <si>
    <t xml:space="preserve"> MindfulExplorer </t>
  </si>
  <si>
    <t xml:space="preserve"> #InnerJourney #MeditationBliss          </t>
  </si>
  <si>
    <t xml:space="preserve">Soaring like a free spirit on the winds of a coastal cliff.        </t>
  </si>
  <si>
    <t xml:space="preserve"> Freedom       </t>
  </si>
  <si>
    <t xml:space="preserve"> CoastalExplorer </t>
  </si>
  <si>
    <t xml:space="preserve"> #Freedom #CoastalAdventure              </t>
  </si>
  <si>
    <t xml:space="preserve">Dazzled by the elegance of a masquerade ball's dazzling costumes. </t>
  </si>
  <si>
    <t xml:space="preserve"> Dazzle        </t>
  </si>
  <si>
    <t xml:space="preserve"> MasqueradeAttendee </t>
  </si>
  <si>
    <t xml:space="preserve"> #Dazzle #MasqueradeElegance            </t>
  </si>
  <si>
    <t xml:space="preserve">Whimsical delight in a world of whimsical fairy tales.             </t>
  </si>
  <si>
    <t xml:space="preserve"> FairyTaleAdventurer </t>
  </si>
  <si>
    <t xml:space="preserve"> #Whimsy #FairyTaleMagic                 </t>
  </si>
  <si>
    <t xml:space="preserve">Reflective contemplation amid the ruins of a forgotten era.        </t>
  </si>
  <si>
    <t xml:space="preserve"> #Reflection #ForgottenEra               </t>
  </si>
  <si>
    <t xml:space="preserve">Riding the adrenaline rush on a rollercoaster's wild twists.      </t>
  </si>
  <si>
    <t xml:space="preserve"> Adrenaline     </t>
  </si>
  <si>
    <t xml:space="preserve"> ThrillSeeker    </t>
  </si>
  <si>
    <t xml:space="preserve"> #Adrenaline #RollercoasterThrills      </t>
  </si>
  <si>
    <t xml:space="preserve">Harmony resonates as musicians play a symphony of unity.           </t>
  </si>
  <si>
    <t xml:space="preserve"> Harmony       </t>
  </si>
  <si>
    <t xml:space="preserve">A burst of artistic creativity in the quietude of an artist's studio. </t>
  </si>
  <si>
    <t xml:space="preserve"> ArtisticBurst </t>
  </si>
  <si>
    <t xml:space="preserve"> #ArtisticBurst #StudioCreativity       </t>
  </si>
  <si>
    <t xml:space="preserve">Radiant joy akin to blossoming flowers on a sunlit spring morning. </t>
  </si>
  <si>
    <t xml:space="preserve"> Radiance      </t>
  </si>
  <si>
    <t xml:space="preserve">Awe-inspired by the vastness of the cosmos on a stargazing night.   </t>
  </si>
  <si>
    <t xml:space="preserve"> Wonder       </t>
  </si>
  <si>
    <t xml:space="preserve"> Inspiration  </t>
  </si>
  <si>
    <t xml:space="preserve">Embarking on a culinary odyssey, savoring flavors around the world. </t>
  </si>
  <si>
    <t xml:space="preserve"> CulinaryOdyssey </t>
  </si>
  <si>
    <t xml:space="preserve"> #CulinaryOdyssey #FlavorsAroundTheWorld </t>
  </si>
  <si>
    <t xml:space="preserve">Euphoria floods in as the final puzzle piece fits perfectly.       </t>
  </si>
  <si>
    <t xml:space="preserve"> Euphoria     </t>
  </si>
  <si>
    <t xml:space="preserve"> #Euphoria #PerfectPuzzle               </t>
  </si>
  <si>
    <t xml:space="preserve">Awe-struck by the grandeur of an ancient cathedral's intricate architecture. </t>
  </si>
  <si>
    <t xml:space="preserve">Curiosity awakened by the mysteries of an ancient archaeological site. </t>
  </si>
  <si>
    <t xml:space="preserve"> Curiosity  </t>
  </si>
  <si>
    <t xml:space="preserve"> #Curiosity #AncientMysteries          </t>
  </si>
  <si>
    <t xml:space="preserve">Giddy with excitement as the first snowflakes dance from the sky. </t>
  </si>
  <si>
    <t xml:space="preserve"> SnowfallEnthusiast </t>
  </si>
  <si>
    <t xml:space="preserve"> #Excitement #SnowfallMagic             </t>
  </si>
  <si>
    <t xml:space="preserve"> Canada         </t>
  </si>
  <si>
    <t xml:space="preserve">Contentment envelops as the aroma of freshly baked bread fills the air. </t>
  </si>
  <si>
    <t xml:space="preserve"> BreadLover     </t>
  </si>
  <si>
    <t xml:space="preserve"> #Contentment #FreshBreadAroma          </t>
  </si>
  <si>
    <t xml:space="preserve"> France          </t>
  </si>
  <si>
    <t xml:space="preserve">Inspired by the resilience of a lone tree standing tall in a storm. </t>
  </si>
  <si>
    <t xml:space="preserve"> Resilience   </t>
  </si>
  <si>
    <t xml:space="preserve"> NatureResilient </t>
  </si>
  <si>
    <t xml:space="preserve"> #Resilience #StandingTall              </t>
  </si>
  <si>
    <t xml:space="preserve">Lost in the pages of a captivating novel, transported to another world. </t>
  </si>
  <si>
    <t xml:space="preserve"> Immersion </t>
  </si>
  <si>
    <t xml:space="preserve"> Bookworm       </t>
  </si>
  <si>
    <t xml:space="preserve"> #Immersion #CaptivatingNovel           </t>
  </si>
  <si>
    <t xml:space="preserve"> UK              </t>
  </si>
  <si>
    <t xml:space="preserve">Drenched in nostalgia while flipping through an old family photo album. </t>
  </si>
  <si>
    <t xml:space="preserve"> Nostalgia </t>
  </si>
  <si>
    <t xml:space="preserve"> FamilyHistorian </t>
  </si>
  <si>
    <t xml:space="preserve"> #Nostalgia #FamilyPhotoAlbum           </t>
  </si>
  <si>
    <t xml:space="preserve"> India          </t>
  </si>
  <si>
    <t xml:space="preserve">Spark of inspiration ignites like a shooting star in the night sky. </t>
  </si>
  <si>
    <t xml:space="preserve"> Spark        </t>
  </si>
  <si>
    <t xml:space="preserve"> NightSkyWatcher </t>
  </si>
  <si>
    <t xml:space="preserve"> #Spark #InspirationIgnited             </t>
  </si>
  <si>
    <t xml:space="preserve"> Australia      </t>
  </si>
  <si>
    <t xml:space="preserve">Imbued with gratitude for the simple pleasure of a warm cup of tea. </t>
  </si>
  <si>
    <t xml:space="preserve"> Gratitude    </t>
  </si>
  <si>
    <t xml:space="preserve"> TeaEnthusiast  </t>
  </si>
  <si>
    <t xml:space="preserve"> #Gratitude #WarmTea                    </t>
  </si>
  <si>
    <t xml:space="preserve"> Japan           </t>
  </si>
  <si>
    <t xml:space="preserve">Marveling at the kaleidoscope of colors in a vibrant street market. </t>
  </si>
  <si>
    <t xml:space="preserve"> Marvel       </t>
  </si>
  <si>
    <t xml:space="preserve"> MarketExplorer </t>
  </si>
  <si>
    <t xml:space="preserve"> #Marvel #ColorfulStreetMarket          </t>
  </si>
  <si>
    <t xml:space="preserve"> Brazil          </t>
  </si>
  <si>
    <t xml:space="preserve">Awash with serenity as the sun sets over a tranquil lakeside retreat. </t>
  </si>
  <si>
    <t xml:space="preserve"> Serenity   </t>
  </si>
  <si>
    <t xml:space="preserve"> LakesideRetreater </t>
  </si>
  <si>
    <t xml:space="preserve"> #Serenity #TranquilSunset              </t>
  </si>
  <si>
    <t xml:space="preserve"> Germany       </t>
  </si>
  <si>
    <t xml:space="preserve">Drowning in sorrow as memories of lost love resurface.            </t>
  </si>
  <si>
    <t xml:space="preserve"> Heartbreak    </t>
  </si>
  <si>
    <t xml:space="preserve"> LostInLove      </t>
  </si>
  <si>
    <t xml:space="preserve"> #Heartbreak #LostLove                    </t>
  </si>
  <si>
    <t xml:space="preserve">Numbness sets in as the weight of loneliness grows heavier.       </t>
  </si>
  <si>
    <t xml:space="preserve"> Loneliness    </t>
  </si>
  <si>
    <t xml:space="preserve"> SolitudeSeeker </t>
  </si>
  <si>
    <t xml:space="preserve"> #Loneliness #HeavyHeart                  </t>
  </si>
  <si>
    <t xml:space="preserve">Tears fall like raindrops, mourning the end of a cherished friendship. </t>
  </si>
  <si>
    <t xml:space="preserve"> Grief      </t>
  </si>
  <si>
    <t xml:space="preserve"> FriendshipsEnd  </t>
  </si>
  <si>
    <t xml:space="preserve"> #Grief #LostFriendship                  </t>
  </si>
  <si>
    <t xml:space="preserve">Despair clouds the mind, feeling adrift in an endless sea of darkness. </t>
  </si>
  <si>
    <t xml:space="preserve"> Despair   </t>
  </si>
  <si>
    <t xml:space="preserve"> LostInDarkness  </t>
  </si>
  <si>
    <t xml:space="preserve"> #Despair #EndlessDarkness               </t>
  </si>
  <si>
    <t xml:space="preserve"> Australia        </t>
  </si>
  <si>
    <t xml:space="preserve">Shattered by betrayal, trust crumbles like fragile glass.          </t>
  </si>
  <si>
    <t xml:space="preserve"> Betrayal      </t>
  </si>
  <si>
    <t xml:space="preserve"> BrokenTrust     </t>
  </si>
  <si>
    <t xml:space="preserve"> #Betrayal #ShatteredTrust               </t>
  </si>
  <si>
    <t xml:space="preserve">Aching heart, the symphony of pain plays in the silence of solitude. </t>
  </si>
  <si>
    <t xml:space="preserve"> Suffering </t>
  </si>
  <si>
    <t xml:space="preserve"> SilentSufferer  </t>
  </si>
  <si>
    <t xml:space="preserve"> #Suffering #HeartacheSymphony          </t>
  </si>
  <si>
    <t xml:space="preserve">Emotional storm, a whirlwind of sadness engulfs every thought.    </t>
  </si>
  <si>
    <t xml:space="preserve"> EmotionalStorm </t>
  </si>
  <si>
    <t xml:space="preserve"> StormyFeelings  </t>
  </si>
  <si>
    <t xml:space="preserve"> #EmotionalStorm #SadnessWhirlwind      </t>
  </si>
  <si>
    <t xml:space="preserve">Haunted by regrets, the ghost of the past lingers relentlessly.   </t>
  </si>
  <si>
    <t xml:space="preserve"> Regret        </t>
  </si>
  <si>
    <t xml:space="preserve"> LingeringGhost  </t>
  </si>
  <si>
    <t xml:space="preserve"> #Regret #HauntedPast                    </t>
  </si>
  <si>
    <t xml:space="preserve"> France         </t>
  </si>
  <si>
    <t xml:space="preserve">Torn apart by grief, the echoes of loss reverberate through the soul. </t>
  </si>
  <si>
    <t xml:space="preserve"> EchoesOfLoss    </t>
  </si>
  <si>
    <t xml:space="preserve"> #Grief #TornApart                       </t>
  </si>
  <si>
    <t xml:space="preserve"> Italy         </t>
  </si>
  <si>
    <t xml:space="preserve">Isolation deepens, an emotional winter where warmth is but a distant memory. </t>
  </si>
  <si>
    <t xml:space="preserve"> Isolation </t>
  </si>
  <si>
    <t xml:space="preserve"> WinterOfEmotions </t>
  </si>
  <si>
    <t xml:space="preserve"> #Isolation #EmotionalWinter            </t>
  </si>
  <si>
    <t xml:space="preserve"> Japan       </t>
  </si>
  <si>
    <t xml:space="preserve">Soul-crushing disappointment, hopes shattered like fragile glass. </t>
  </si>
  <si>
    <t xml:space="preserve"> Disappointment </t>
  </si>
  <si>
    <t xml:space="preserve"> ShatteredHopes  </t>
  </si>
  <si>
    <t xml:space="preserve"> #Disappointment #CrushedHopes          </t>
  </si>
  <si>
    <t xml:space="preserve"> Spain        </t>
  </si>
  <si>
    <t xml:space="preserve">Painful echoes of a love once cherished, now lost in the abyss of time. </t>
  </si>
  <si>
    <t xml:space="preserve"> LostLove </t>
  </si>
  <si>
    <t xml:space="preserve"> AbyssOfTime     </t>
  </si>
  <si>
    <t xml:space="preserve"> #LostLove #PainfulEchoes               </t>
  </si>
  <si>
    <t xml:space="preserve"> Netherlands  </t>
  </si>
  <si>
    <t xml:space="preserve">Heartache deepens, a solitary journey through the abyss of despair. </t>
  </si>
  <si>
    <t xml:space="preserve"> SolitaryDescent </t>
  </si>
  <si>
    <t xml:space="preserve"> #Despair #AbyssOfHeartache             </t>
  </si>
  <si>
    <t xml:space="preserve"> South Africa </t>
  </si>
  <si>
    <t xml:space="preserve">Melancholy lingers, a bittersweet serenade in the quietude of solitude. </t>
  </si>
  <si>
    <t xml:space="preserve"> Melancholy </t>
  </si>
  <si>
    <t xml:space="preserve"> SerenadeOfSolitude </t>
  </si>
  <si>
    <t xml:space="preserve"> #Melancholy #QuietSerenade             </t>
  </si>
  <si>
    <t xml:space="preserve">Bitterness like a poison, seeping into every crevice of the wounded heart. </t>
  </si>
  <si>
    <t xml:space="preserve"> PoisonedHeart   </t>
  </si>
  <si>
    <t xml:space="preserve"> #Bitterness #WoundedHeart              </t>
  </si>
  <si>
    <t xml:space="preserve">Emotional exhaustion, the weight of the world crushing weary shoulders. </t>
  </si>
  <si>
    <t xml:space="preserve"> Exhaustion </t>
  </si>
  <si>
    <t xml:space="preserve"> WearySoulCrushed </t>
  </si>
  <si>
    <t xml:space="preserve"> #Exhaustion #CrushedSpirit             </t>
  </si>
  <si>
    <t xml:space="preserve">Sorrowful echoes, a symphony of pain played by the strings of loss. </t>
  </si>
  <si>
    <t xml:space="preserve"> Sorrow      </t>
  </si>
  <si>
    <t xml:space="preserve"> StringsOfSorrow </t>
  </si>
  <si>
    <t xml:space="preserve"> #Sorrow #SymphonyOfLoss                </t>
  </si>
  <si>
    <t xml:space="preserve"> Germany     </t>
  </si>
  <si>
    <t xml:space="preserve">Darkness descends, engulfing the soul in the shadows of despair.  </t>
  </si>
  <si>
    <t xml:space="preserve"> Darkness     </t>
  </si>
  <si>
    <t xml:space="preserve"> SoulInShadow    </t>
  </si>
  <si>
    <t xml:space="preserve"> #Darkness #SoulEngulfed                 </t>
  </si>
  <si>
    <t xml:space="preserve"> USA         </t>
  </si>
  <si>
    <t xml:space="preserve">Desperation whispers, the silent plea for a glimmer of hope in the abyss. </t>
  </si>
  <si>
    <t xml:space="preserve"> Desperation </t>
  </si>
  <si>
    <t xml:space="preserve"> WhisperedDespair </t>
  </si>
  <si>
    <t xml:space="preserve"> #Desperation #GlimmerOfHope            </t>
  </si>
  <si>
    <t xml:space="preserve"> France    </t>
  </si>
  <si>
    <t xml:space="preserve">Heart in ruins, the remnants of shattered dreams scattered in the wind. </t>
  </si>
  <si>
    <t xml:space="preserve"> Ruins      </t>
  </si>
  <si>
    <t xml:space="preserve"> DreamsInWind    </t>
  </si>
  <si>
    <t xml:space="preserve"> #Ruins #ShatteredDreams                </t>
  </si>
  <si>
    <t xml:space="preserve"> Brazil     </t>
  </si>
  <si>
    <t xml:space="preserve">Shattered by the echoes of a shattered dream, fragments of hope scattered. </t>
  </si>
  <si>
    <t xml:space="preserve"> Desolation </t>
  </si>
  <si>
    <t xml:space="preserve"> DreamEchoes </t>
  </si>
  <si>
    <t xml:space="preserve"> #Desolation #ScatteredHope </t>
  </si>
  <si>
    <t xml:space="preserve">Avoiding the thorns of regret, walking barefoot on the path of remorse. </t>
  </si>
  <si>
    <t xml:space="preserve"> Regret </t>
  </si>
  <si>
    <t xml:space="preserve"> RemorseWalker </t>
  </si>
  <si>
    <t xml:space="preserve"> #Regret #PathOfRemorse </t>
  </si>
  <si>
    <t xml:space="preserve">In the labyrinth of grief, the walls echo with the footsteps of lost joy. </t>
  </si>
  <si>
    <t xml:space="preserve"> Grief </t>
  </si>
  <si>
    <t xml:space="preserve"> JoyLabyrinth </t>
  </si>
  <si>
    <t xml:space="preserve"> #Grief #LostJoyFootsteps </t>
  </si>
  <si>
    <t xml:space="preserve">A soul adrift in the sea of solitude, waves of loneliness crashing relentlessly. </t>
  </si>
  <si>
    <t xml:space="preserve"> SolitudeSeas </t>
  </si>
  <si>
    <t xml:space="preserve"> #Loneliness #CrashingWaves </t>
  </si>
  <si>
    <t xml:space="preserve">The bitterness of betrayal, a taste that lingers, staining the palate of trust. </t>
  </si>
  <si>
    <t xml:space="preserve"> PalateStainer </t>
  </si>
  <si>
    <t xml:space="preserve"> #Bitterness #StainedTrust </t>
  </si>
  <si>
    <t xml:space="preserve"> Germany </t>
  </si>
  <si>
    <t xml:space="preserve">In the ruins of hope, echoes of shattered dreams whisper tales of loss. </t>
  </si>
  <si>
    <t xml:space="preserve"> HopeRuins </t>
  </si>
  <si>
    <t xml:space="preserve"> #Desolation #WhisperedLoss </t>
  </si>
  <si>
    <t xml:space="preserve"> Brazil </t>
  </si>
  <si>
    <t xml:space="preserve">Sinking like a stone in the ocean of heartbreak, each ripple a sigh of despair. </t>
  </si>
  <si>
    <t xml:space="preserve"> Heartbreak </t>
  </si>
  <si>
    <t xml:space="preserve"> OceanSinker </t>
  </si>
  <si>
    <t xml:space="preserve"> #Heartbreak #RippleOfDespair </t>
  </si>
  <si>
    <t xml:space="preserve"> France </t>
  </si>
  <si>
    <t xml:space="preserve">Tears, the ink staining the pages of a journal, a testament to silent grief. </t>
  </si>
  <si>
    <t xml:space="preserve"> InkJournalist </t>
  </si>
  <si>
    <t xml:space="preserve"> #Grief #SilentTears </t>
  </si>
  <si>
    <t xml:space="preserve">In the wasteland of lost trust, the echoes of broken promises reverberate. </t>
  </si>
  <si>
    <t xml:space="preserve"> Betrayal </t>
  </si>
  <si>
    <t xml:space="preserve"> TrustWasteland </t>
  </si>
  <si>
    <t xml:space="preserve"> #Betrayal #ReverberatingPromises </t>
  </si>
  <si>
    <t xml:space="preserve"> Italy </t>
  </si>
  <si>
    <t xml:space="preserve">Avoiding the shards of shattered dreams, walking the tightrope of resilience. </t>
  </si>
  <si>
    <t xml:space="preserve"> Resilience </t>
  </si>
  <si>
    <t xml:space="preserve"> DreamTightrope </t>
  </si>
  <si>
    <t xml:space="preserve"> #Resilience #TightropeWalk </t>
  </si>
  <si>
    <t xml:space="preserve"> Japan </t>
  </si>
  <si>
    <t xml:space="preserve">Suffocating in the silence of solitude, where echoes of laughter once thrived. </t>
  </si>
  <si>
    <t xml:space="preserve"> EchoedLaughter </t>
  </si>
  <si>
    <t xml:space="preserve"> #Isolation #SilentSolitude </t>
  </si>
  <si>
    <t xml:space="preserve">Haunted by the specter of lost possibilities, a ghost that refuses to fade away. </t>
  </si>
  <si>
    <t xml:space="preserve"> PossibilityGhost </t>
  </si>
  <si>
    <t xml:space="preserve"> #Regret #FadingPossibilities </t>
  </si>
  <si>
    <t xml:space="preserve"> Spain </t>
  </si>
  <si>
    <t xml:space="preserve">In the labyrinth of despair, the echoes of a broken heart reverberate endlessly. </t>
  </si>
  <si>
    <t xml:space="preserve"> EndlessLabyrinth </t>
  </si>
  <si>
    <t xml:space="preserve"> #Despair #EndlessReverberation </t>
  </si>
  <si>
    <t xml:space="preserve">Sinking like autumn leaves in the river of sorrow, carried away by the current. </t>
  </si>
  <si>
    <t xml:space="preserve"> Sorrow </t>
  </si>
  <si>
    <t xml:space="preserve"> RiverOfSorrow </t>
  </si>
  <si>
    <t xml:space="preserve"> #Sorrow #AutumnLeaves </t>
  </si>
  <si>
    <t xml:space="preserve">In the garden of broken dreams, petals fall, a silent testimony to shattered hopes. </t>
  </si>
  <si>
    <t xml:space="preserve"> DreamGardener </t>
  </si>
  <si>
    <t xml:space="preserve"> #Desolation #ShatteredHopes </t>
  </si>
  <si>
    <t xml:space="preserve">Tears, the currency of grief, spent in the marketplace of lost love and longing. </t>
  </si>
  <si>
    <t xml:space="preserve"> CurrencyOfTears </t>
  </si>
  <si>
    <t xml:space="preserve"> #Grief #LostLoveLonging </t>
  </si>
  <si>
    <t xml:space="preserve">Wandering in the maze of betrayal, the walls closing in with every wrong turn. </t>
  </si>
  <si>
    <t xml:space="preserve"> MazeWanderer </t>
  </si>
  <si>
    <t xml:space="preserve"> #Betrayal #ClosingWalls </t>
  </si>
  <si>
    <t xml:space="preserve">A soul weathered by the storm of heartbreak, seeking refuge in the calm after. </t>
  </si>
  <si>
    <t xml:space="preserve"> StormSeeker </t>
  </si>
  <si>
    <t xml:space="preserve"> #Heartbreak #CalmAfterStorm </t>
  </si>
  <si>
    <t xml:space="preserve">In the tapestry of despair, threads of hope unravel, leaving a portrait of sorrow. </t>
  </si>
  <si>
    <t xml:space="preserve"> TapestrySorrow </t>
  </si>
  <si>
    <t xml:space="preserve"> #Despair #UnraveledHope </t>
  </si>
  <si>
    <t xml:space="preserve">Like a withered rose in the garden of love, petals fall, a silent surrender to time. </t>
  </si>
  <si>
    <t xml:space="preserve"> Loss </t>
  </si>
  <si>
    <t xml:space="preserve"> WitheredRose </t>
  </si>
  <si>
    <t xml:space="preserve"> #Loss #SilentSurrender </t>
  </si>
  <si>
    <t xml:space="preserve">In the void of heartache, echoes of a love song play, each note a pang of longing. </t>
  </si>
  <si>
    <t xml:space="preserve"> Heartache </t>
  </si>
  <si>
    <t xml:space="preserve"> LoveSongEcho </t>
  </si>
  <si>
    <t xml:space="preserve"> #Heartache #LoveSongLonging </t>
  </si>
  <si>
    <t xml:space="preserve">Nostalgia, a bittersweet dance in the moonlit ballroom of cherished memories. </t>
  </si>
  <si>
    <t xml:space="preserve"> MoonlitMemories </t>
  </si>
  <si>
    <t xml:space="preserve"> #Nostalgia #CherishedMemories </t>
  </si>
  <si>
    <t xml:space="preserve">In the symphony of grief, each tear is a note, composing a melancholic melody. </t>
  </si>
  <si>
    <t xml:space="preserve"> SymphonyOfTears </t>
  </si>
  <si>
    <t xml:space="preserve"> #Grief #MelancholicMelody </t>
  </si>
  <si>
    <t xml:space="preserve">Betrayal, a venomous serpent slithering through the garden of trust, poisoning roots. </t>
  </si>
  <si>
    <t xml:space="preserve"> VenomousGarden </t>
  </si>
  <si>
    <t xml:space="preserve"> #Betrayal #PoisonedTrust </t>
  </si>
  <si>
    <t xml:space="preserve">Sinking in the quicksand of despair, the harder you fight, the deeper you descend. </t>
  </si>
  <si>
    <t xml:space="preserve"> QuicksandFighter </t>
  </si>
  <si>
    <t xml:space="preserve"> #Despair #DeepDescent </t>
  </si>
  <si>
    <t xml:space="preserve">Wandering through the cemetery of lost dreams, tombstones marking untold sorrows. </t>
  </si>
  <si>
    <t xml:space="preserve"> DreamCemetery </t>
  </si>
  <si>
    <t xml:space="preserve"> #Desolation #UntoldSorrows </t>
  </si>
  <si>
    <t xml:space="preserve">Swept away by the river of regret, the currents of the past refusing to release. </t>
  </si>
  <si>
    <t xml:space="preserve"> RegretRiver </t>
  </si>
  <si>
    <t xml:space="preserve"> #Regret #PastCurrents </t>
  </si>
  <si>
    <t xml:space="preserve">Whispers of lost love linger in the attic of the heart, forgotten but not erased. </t>
  </si>
  <si>
    <t xml:space="preserve"> HeartAttic </t>
  </si>
  <si>
    <t xml:space="preserve"> #Loss #ForgottenLove </t>
  </si>
  <si>
    <t xml:space="preserve">In the gallery of broken promises, each shattered vow framed, a painful exhibition. </t>
  </si>
  <si>
    <t xml:space="preserve"> PromiseGallery </t>
  </si>
  <si>
    <t xml:space="preserve"> #Betrayal #ShatteredVows </t>
  </si>
  <si>
    <t xml:space="preserve">The echoes of solitude, a silent conversation between a soul and its shadows. </t>
  </si>
  <si>
    <t xml:space="preserve"> Solitude </t>
  </si>
  <si>
    <t xml:space="preserve"> EchoedConversation </t>
  </si>
  <si>
    <t xml:space="preserve"> #Solitude #ShadowConversation </t>
  </si>
  <si>
    <t xml:space="preserve">Dancing on sunshine, each step a celebration of the joy found in simple moments. </t>
  </si>
  <si>
    <t xml:space="preserve"> Joy </t>
  </si>
  <si>
    <t xml:space="preserve"> SunshineDancer </t>
  </si>
  <si>
    <t xml:space="preserve"> #Joy #SimpleMoments </t>
  </si>
  <si>
    <t xml:space="preserve">Laughter echoes in the air, a chorus of happiness that lifts the spirit higher. </t>
  </si>
  <si>
    <t xml:space="preserve"> Happiness </t>
  </si>
  <si>
    <t xml:space="preserve"> #Happiness #SpiritLifter </t>
  </si>
  <si>
    <t xml:space="preserve">In the garden of contentment, each bloom whispers tales of inner peace and joy. </t>
  </si>
  <si>
    <t xml:space="preserve"> GardenOfJoy </t>
  </si>
  <si>
    <t xml:space="preserve"> #Contentment #InnerPeace </t>
  </si>
  <si>
    <t xml:space="preserve">Chasing dreams under the vibrant sky, a journey fueled by hope and enthusiasm. </t>
  </si>
  <si>
    <t xml:space="preserve"> Enthusiasm </t>
  </si>
  <si>
    <t xml:space="preserve"> DreamChaser </t>
  </si>
  <si>
    <t xml:space="preserve"> #Enthusiasm #HopefulJourney </t>
  </si>
  <si>
    <t xml:space="preserve">Serenading the stars with a heart full of gratitude, a melody of thankfulness. </t>
  </si>
  <si>
    <t xml:space="preserve"> Gratitude </t>
  </si>
  <si>
    <t xml:space="preserve"> StarSerenader </t>
  </si>
  <si>
    <t xml:space="preserve"> #Gratitude #ThankfulMelody </t>
  </si>
  <si>
    <t xml:space="preserve">Basking in the glow of accomplishment, each milestone a stepping stone to happiness. </t>
  </si>
  <si>
    <t xml:space="preserve"> GlowAchiever </t>
  </si>
  <si>
    <t xml:space="preserve"> #Accomplishment #HappinessMilestone </t>
  </si>
  <si>
    <t xml:space="preserve">In the dance of positivity, every step is a rhythm, uplifting the soul in harmony. </t>
  </si>
  <si>
    <t xml:space="preserve"> Positivity </t>
  </si>
  <si>
    <t xml:space="preserve"> DanceHarmony </t>
  </si>
  <si>
    <t xml:space="preserve"> #Positivity #SoulUpliftment </t>
  </si>
  <si>
    <t xml:space="preserve">Overflowing with joy, a cup of laughter shared with friends, a moment cherished. </t>
  </si>
  <si>
    <t xml:space="preserve"> LaughterCup </t>
  </si>
  <si>
    <t xml:space="preserve"> #Joy #CherishedMoment </t>
  </si>
  <si>
    <t xml:space="preserve">Draped in the warmth of kindness, a quilt of compassion stitched with love. </t>
  </si>
  <si>
    <t xml:space="preserve"> Kindness </t>
  </si>
  <si>
    <t xml:space="preserve"> QuiltedCompassion </t>
  </si>
  <si>
    <t xml:space="preserve"> #Kindness #LoveStitches </t>
  </si>
  <si>
    <t xml:space="preserve">In the garden of friendships, each bloom a testament to the beauty of camaraderie. </t>
  </si>
  <si>
    <t xml:space="preserve"> Friendship </t>
  </si>
  <si>
    <t xml:space="preserve"> FriendshipGarden </t>
  </si>
  <si>
    <t xml:space="preserve"> #Friendship #CamaraderieBlooms </t>
  </si>
  <si>
    <t xml:space="preserve">In the embrace of love, each heartbeat is a melody, dancing to the rhythm of affection. </t>
  </si>
  <si>
    <t xml:space="preserve"> Love </t>
  </si>
  <si>
    <t xml:space="preserve"> MelodyOfLove </t>
  </si>
  <si>
    <t xml:space="preserve"> #Love #RhythmOfAffection </t>
  </si>
  <si>
    <t xml:space="preserve">Surrounded by the colors of joy, a canvas painted with laughter and endless smiles. </t>
  </si>
  <si>
    <t xml:space="preserve"> ColorfulLaughter </t>
  </si>
  <si>
    <t xml:space="preserve"> #Joy #EndlessSmiles </t>
  </si>
  <si>
    <t xml:space="preserve">In the symphony of excitement, each note is a burst of energy, igniting the soul with fervor. </t>
  </si>
  <si>
    <t xml:space="preserve"> SymphonyFervor </t>
  </si>
  <si>
    <t xml:space="preserve"> #Excitement #IgnitedSoul </t>
  </si>
  <si>
    <t xml:space="preserve">A surprise gift, wrapped in anticipation, unfolds a moment of delight and wonder. </t>
  </si>
  <si>
    <t xml:space="preserve"> Surprise </t>
  </si>
  <si>
    <t xml:space="preserve"> WrappedDelight </t>
  </si>
  <si>
    <t xml:space="preserve"> #Surprise #WonderfulMoment </t>
  </si>
  <si>
    <t xml:space="preserve">Lost in the maze of curiosity, each twist and turn unveils the treasures of discovery. </t>
  </si>
  <si>
    <t xml:space="preserve"> MazeDiscovery </t>
  </si>
  <si>
    <t xml:space="preserve"> #Curiosity #TreasuresOfDiscovery </t>
  </si>
  <si>
    <t xml:space="preserve">Floating on clouds of gratitude, each raindrop a blessing, a shower of thankfulness. </t>
  </si>
  <si>
    <t xml:space="preserve"> CloudsOfBlessings </t>
  </si>
  <si>
    <t xml:space="preserve"> #Gratitude #ShowerOfThankfulness </t>
  </si>
  <si>
    <t xml:space="preserve">Like a comet of inspiration, streaking through the sky of creativity, leaving trails of brilliance. </t>
  </si>
  <si>
    <t xml:space="preserve"> CometCreativity </t>
  </si>
  <si>
    <t xml:space="preserve"> #Inspiration #BrilliantTrails </t>
  </si>
  <si>
    <t xml:space="preserve">In the celebration of success, fireworks of accomplishment light up the night sky of triumph. </t>
  </si>
  <si>
    <t xml:space="preserve"> Success </t>
  </si>
  <si>
    <t xml:space="preserve"> FireworksTriumph </t>
  </si>
  <si>
    <t xml:space="preserve"> #Success #NightSkyTriumph </t>
  </si>
  <si>
    <t xml:space="preserve">A symphony of laughter, each note a key to unlocking the door of boundless happiness. </t>
  </si>
  <si>
    <t xml:space="preserve"> LaughterSymphony </t>
  </si>
  <si>
    <t xml:space="preserve"> #Happiness #BoundlessLaughter </t>
  </si>
  <si>
    <t xml:space="preserve">In the carnival of emotions, the rollercoaster of thrill sends the heart on a wild ride. </t>
  </si>
  <si>
    <t xml:space="preserve"> Thrill </t>
  </si>
  <si>
    <t xml:space="preserve"> EmotionCarnival </t>
  </si>
  <si>
    <t xml:space="preserve"> #Thrill #WildHeartRide </t>
  </si>
  <si>
    <t xml:space="preserve">Standing before the grandeur of the Eiffel Tower, a moment to reflect on the beauty of Parisian dreams. </t>
  </si>
  <si>
    <t xml:space="preserve"> Reflection </t>
  </si>
  <si>
    <t xml:space="preserve"> ParisDreamer </t>
  </si>
  <si>
    <t xml:space="preserve"> #Reflection #ParisianDreams </t>
  </si>
  <si>
    <t xml:space="preserve">Lost in the enchantment of Disneyland, each ride a journey into the realm of childhood fantasies. </t>
  </si>
  <si>
    <t xml:space="preserve"> Enchantment </t>
  </si>
  <si>
    <t xml:space="preserve"> DisneylandExplorer </t>
  </si>
  <si>
    <t xml:space="preserve"> #Enchantment #ChildhoodFantasies </t>
  </si>
  <si>
    <t xml:space="preserve">Exploring the wonders of Ferrari World, the roar of engines creating a symphony of speed. </t>
  </si>
  <si>
    <t xml:space="preserve"> FerrariSpeedster </t>
  </si>
  <si>
    <t xml:space="preserve"> #Excitement #SymphonyOfSpeed </t>
  </si>
  <si>
    <t xml:space="preserve">Amidst the tulip fields of Keukenhof, a tapestry of colors that paints the soul with springtime joy. </t>
  </si>
  <si>
    <t xml:space="preserve"> KeukenhofAdventurer </t>
  </si>
  <si>
    <t xml:space="preserve"> #Joy #SpringtimeColors </t>
  </si>
  <si>
    <t xml:space="preserve"> Netherlands </t>
  </si>
  <si>
    <t xml:space="preserve">Wandering through the historical streets of Kyoto, each step a journey into the heart of Japan's traditions. </t>
  </si>
  <si>
    <t xml:space="preserve"> Exploration </t>
  </si>
  <si>
    <t xml:space="preserve"> KyotoAdventurer </t>
  </si>
  <si>
    <t xml:space="preserve"> #Exploration #JapaneseTraditions </t>
  </si>
  <si>
    <t xml:space="preserve">In the embrace of the Grand Canyon, nature's masterpiece, a moment to marvel at Earth's grandeur. </t>
  </si>
  <si>
    <t xml:space="preserve"> Awe </t>
  </si>
  <si>
    <t xml:space="preserve"> CanyonMarveler </t>
  </si>
  <si>
    <t xml:space="preserve"> #Awe #EarthsGrandeur </t>
  </si>
  <si>
    <t xml:space="preserve">Journeying through the serenity of Santorini, where each sunset paints the sky with hues of tranquility. </t>
  </si>
  <si>
    <t xml:space="preserve"> SantoriniTraveler </t>
  </si>
  <si>
    <t xml:space="preserve"> #Serenity #SunsetHues </t>
  </si>
  <si>
    <t xml:space="preserve"> Greece </t>
  </si>
  <si>
    <t xml:space="preserve">Amazed by the architectural marvels of Petra, each stone telling tales of an ancient civilization. </t>
  </si>
  <si>
    <t xml:space="preserve"> Amazement </t>
  </si>
  <si>
    <t xml:space="preserve"> PetraExplorer </t>
  </si>
  <si>
    <t xml:space="preserve"> #Amazement #AncientTales </t>
  </si>
  <si>
    <t xml:space="preserve"> Jordan </t>
  </si>
  <si>
    <t xml:space="preserve">Embarking on a gondola ride in Venice, each canal reflecting the romance of this timeless city. </t>
  </si>
  <si>
    <t xml:space="preserve"> Romance </t>
  </si>
  <si>
    <t xml:space="preserve"> VeniceRomantic </t>
  </si>
  <si>
    <t xml:space="preserve"> #Romance #TimelessCity </t>
  </si>
  <si>
    <t xml:space="preserve">At the summit of Machu Picchu, a breathtaking panorama that whispers the secrets of ancient civilizations. </t>
  </si>
  <si>
    <t xml:space="preserve"> MachuPicchuAdventurer </t>
  </si>
  <si>
    <t xml:space="preserve"> #Awe #AncientCivilizations </t>
  </si>
  <si>
    <t xml:space="preserve"> Peru </t>
  </si>
  <si>
    <t xml:space="preserve">In the heart of New York City, Times Square dazzles with lights, a vibrant spectacle of urban energy. </t>
  </si>
  <si>
    <t xml:space="preserve"> TimesSquareExplorer </t>
  </si>
  <si>
    <t xml:space="preserve"> #Excitement #UrbanEnergy </t>
  </si>
  <si>
    <t xml:space="preserve">Captivated by the historical charm of the Colosseum, each stone echoing tales of gladiator valor. </t>
  </si>
  <si>
    <t xml:space="preserve"> Captivation </t>
  </si>
  <si>
    <t xml:space="preserve"> ColosseumAdventurer </t>
  </si>
  <si>
    <t xml:space="preserve"> #Captivation #GladiatorTales </t>
  </si>
  <si>
    <t xml:space="preserve">Sailing the azure waters of the Maldives, each wave a whisper of serenity in paradise. </t>
  </si>
  <si>
    <t xml:space="preserve"> MaldivesSailor </t>
  </si>
  <si>
    <t xml:space="preserve"> #Serenity #ParadiseWhispers </t>
  </si>
  <si>
    <t xml:space="preserve"> Maldives </t>
  </si>
  <si>
    <t xml:space="preserve">In the midst of the Amazon rainforest, a symphony of wildlife creates an orchestra of nature's wonders. </t>
  </si>
  <si>
    <t xml:space="preserve"> Wonder </t>
  </si>
  <si>
    <t xml:space="preserve"> AmazonExplorer </t>
  </si>
  <si>
    <t xml:space="preserve"> #Wonder #NatureOrchestra </t>
  </si>
  <si>
    <t xml:space="preserve">Walking the Great Wall of China, each step a testament to ancient engineering marvels. </t>
  </si>
  <si>
    <t xml:space="preserve"> GreatWallWalker </t>
  </si>
  <si>
    <t xml:space="preserve"> #Awe #EngineeringMarvels </t>
  </si>
  <si>
    <t xml:space="preserve"> China </t>
  </si>
  <si>
    <t xml:space="preserve">At the summit of Mount Fuji, a breathtaking sunrise that paints the sky with hues of accomplishment. </t>
  </si>
  <si>
    <t xml:space="preserve"> FujiSummitAchiever </t>
  </si>
  <si>
    <t xml:space="preserve"> #Accomplishment #SunriseHues </t>
  </si>
  <si>
    <t xml:space="preserve">Exploring the ancient ruins of Angkor Wat, each stone whispering stories of Khmer civilization. </t>
  </si>
  <si>
    <t xml:space="preserve"> AngkorWatAdventurer </t>
  </si>
  <si>
    <t xml:space="preserve"> #Exploration #KhmerStories </t>
  </si>
  <si>
    <t xml:space="preserve"> Cambodia </t>
  </si>
  <si>
    <t xml:space="preserve">Skiing down the slopes of the Swiss Alps, each turn a dance with the majesty of snow-capped peaks. </t>
  </si>
  <si>
    <t xml:space="preserve"> AlpsSkiAdventurer </t>
  </si>
  <si>
    <t xml:space="preserve"> #Adventure #SnowPeakDance </t>
  </si>
  <si>
    <t xml:space="preserve"> Switzerland </t>
  </si>
  <si>
    <t xml:space="preserve">In the tranquility of Kyoto's bamboo forest, whispers of ancient Zen wisdom echo through the groves. </t>
  </si>
  <si>
    <t xml:space="preserve"> Tranquility </t>
  </si>
  <si>
    <t xml:space="preserve"> KyotoBambooSeeker </t>
  </si>
  <si>
    <t xml:space="preserve"> #Tranquility #ZenWisdom </t>
  </si>
  <si>
    <t xml:space="preserve">Cruising the fjords of Norway, each icy landscape a breathtaking masterpiece of nature's grandeur. </t>
  </si>
  <si>
    <t xml:space="preserve"> Grandeur </t>
  </si>
  <si>
    <t xml:space="preserve"> NorwayFjordExplorer </t>
  </si>
  <si>
    <t xml:space="preserve"> #Grandeur #IcyMasterpiece </t>
  </si>
  <si>
    <t xml:space="preserve"> Norway </t>
  </si>
  <si>
    <t xml:space="preserve">At the front row of Adele's concert, each note of 'Someone Like You' resonates with soul-stirring emotion. </t>
  </si>
  <si>
    <t xml:space="preserve"> Emotion </t>
  </si>
  <si>
    <t xml:space="preserve"> AdeleConcertGoer </t>
  </si>
  <si>
    <t xml:space="preserve"> #Emotion #AdeleConcert </t>
  </si>
  <si>
    <t xml:space="preserve">Dancing under the stars at Beyoncé's live show, feeling the power of 'Single Ladies' in every move. </t>
  </si>
  <si>
    <t xml:space="preserve"> Energy </t>
  </si>
  <si>
    <t xml:space="preserve"> BeyonceDancer </t>
  </si>
  <si>
    <t xml:space="preserve"> #Energy #BeyonceConcert </t>
  </si>
  <si>
    <t xml:space="preserve">In the crowd of a Taylor Swift concert, the lyrics of 'Love Story' create an enchanting fairy tale. </t>
  </si>
  <si>
    <t xml:space="preserve"> SwiftieDreamer </t>
  </si>
  <si>
    <t xml:space="preserve"> #Enchantment #TaylorSwift </t>
  </si>
  <si>
    <t xml:space="preserve">Rocking out to the guitar solos at a Queen tribute concert, a journey back in time with Freddie's spirit. </t>
  </si>
  <si>
    <t xml:space="preserve"> QueenTributeFan </t>
  </si>
  <si>
    <t xml:space="preserve"> #Nostalgia #QueenTribute </t>
  </si>
  <si>
    <t xml:space="preserve">Swaying to Ed Sheeran's acoustic melodies, a serene evening filled with 'Perfect' moments. </t>
  </si>
  <si>
    <t xml:space="preserve"> SheeranMelodyLover </t>
  </si>
  <si>
    <t xml:space="preserve"> #Serenity #EdSheeranConcert </t>
  </si>
  <si>
    <t xml:space="preserve">Immersed in the pulsating beats of a Bruno Mars concert, where 'Uptown Funk' becomes a city of joy. </t>
  </si>
  <si>
    <t xml:space="preserve"> MarsJoyExplorer </t>
  </si>
  <si>
    <t xml:space="preserve"> #Joy #BrunoMars </t>
  </si>
  <si>
    <t xml:space="preserve">At a Michael Jackson tribute show, moonwalking through the hits, a celebration of the King of Pop. </t>
  </si>
  <si>
    <t xml:space="preserve"> Celebration </t>
  </si>
  <si>
    <t xml:space="preserve"> MJTributeDancer </t>
  </si>
  <si>
    <t xml:space="preserve"> #Celebration #MJTribute </t>
  </si>
  <si>
    <t xml:space="preserve">Swinging to the rhythms of a Frank Sinatra tribute, feeling the timeless charm of 'Fly Me to the Moon'. </t>
  </si>
  <si>
    <t xml:space="preserve"> Charm </t>
  </si>
  <si>
    <t xml:space="preserve"> SinatraCharmListener </t>
  </si>
  <si>
    <t xml:space="preserve"> #Charm #SinatraTribute </t>
  </si>
  <si>
    <t xml:space="preserve">In the mosh pit of a Metallica concert, the thunderous chords create a symphony of headbanging ecstasy. </t>
  </si>
  <si>
    <t xml:space="preserve"> Ecstasy </t>
  </si>
  <si>
    <t xml:space="preserve"> MetallicaMoshWarrior </t>
  </si>
  <si>
    <t xml:space="preserve"> #Ecstasy #MetallicaConcert </t>
  </si>
  <si>
    <t xml:space="preserve">Experiencing the magic of a Coldplay concert, where 'Fix You' becomes a beacon of hope in the night. </t>
  </si>
  <si>
    <t xml:space="preserve"> Hope </t>
  </si>
  <si>
    <t xml:space="preserve"> ColdplayHopeSeeker </t>
  </si>
  <si>
    <t xml:space="preserve"> #Hope #ColdplayMagic </t>
  </si>
  <si>
    <t xml:space="preserve">At a Justin Bieber concert, the infectious beats of 'Baby' create a dance floor of unbridled enthusiasm. </t>
  </si>
  <si>
    <t xml:space="preserve"> BieberDanceEnthusiast </t>
  </si>
  <si>
    <t xml:space="preserve"> #Enthusiasm #JustinBieber </t>
  </si>
  <si>
    <t xml:space="preserve">In the spotlight at a Lady Gaga show, each costume change is a metamorphosis of creativity and artistry. </t>
  </si>
  <si>
    <t xml:space="preserve"> Creativity </t>
  </si>
  <si>
    <t xml:space="preserve"> GagaArtisticChameleon </t>
  </si>
  <si>
    <t xml:space="preserve"> #Creativity #LadyGaga </t>
  </si>
  <si>
    <t xml:space="preserve">Immersed in the soulful melodies of Adele, tears flow freely, moved by the emotion of 'Hello'. </t>
  </si>
  <si>
    <t xml:space="preserve"> AdeleMelodyTearjerker </t>
  </si>
  <si>
    <t xml:space="preserve"> #Emotion #AdeleMelodies </t>
  </si>
  <si>
    <t xml:space="preserve">Drenched in confetti at a Katy Perry concert, a kaleidoscope of colors igniting the night sky. </t>
  </si>
  <si>
    <t xml:space="preserve"> Colorful </t>
  </si>
  <si>
    <t xml:space="preserve"> KatyPerryColorExplosion </t>
  </si>
  <si>
    <t xml:space="preserve"> #Colorful #KatyPerry </t>
  </si>
  <si>
    <t xml:space="preserve">In the audience of a Jay-Z performance, the lyrics of 'Empire State of Mind' become an anthem of pride. </t>
  </si>
  <si>
    <t xml:space="preserve"> Pride </t>
  </si>
  <si>
    <t xml:space="preserve"> JayZEmpireListener </t>
  </si>
  <si>
    <t xml:space="preserve"> #Pride #JayZAnthem </t>
  </si>
  <si>
    <t xml:space="preserve">Dancing to Shakira's rhythmic beats, hips swaying to the hypnotic charm of 'Hips Don't Lie'. </t>
  </si>
  <si>
    <t xml:space="preserve"> Hypnotic </t>
  </si>
  <si>
    <t xml:space="preserve"> ShakiraHipsDancer </t>
  </si>
  <si>
    <t xml:space="preserve"> #Hypnotic #ShakiraRhythms </t>
  </si>
  <si>
    <t xml:space="preserve"> Colombia </t>
  </si>
  <si>
    <t xml:space="preserve">At a U2 concert, the anthemic chords of 'With or Without You' create a timeless moment of connection. </t>
  </si>
  <si>
    <t xml:space="preserve"> Connection </t>
  </si>
  <si>
    <t xml:space="preserve"> U2ConnectionSeeker </t>
  </si>
  <si>
    <t xml:space="preserve"> #Connection #U2Anthem </t>
  </si>
  <si>
    <t xml:space="preserve"> Ireland </t>
  </si>
  <si>
    <t xml:space="preserve">Rocking out at a Guns N' Roses show, the iconic riffs of 'Sweet Child o' Mine' echoing in the night. </t>
  </si>
  <si>
    <t xml:space="preserve"> Iconic </t>
  </si>
  <si>
    <t xml:space="preserve"> GunsNRosesRiffRockstar </t>
  </si>
  <si>
    <t xml:space="preserve"> #Iconic #GNRConcert </t>
  </si>
  <si>
    <t xml:space="preserve">In the crowd of an Ariana Grande concert, the high notes of 'Into You' create a euphoric symphony. </t>
  </si>
  <si>
    <t xml:space="preserve"> Euphoria </t>
  </si>
  <si>
    <t xml:space="preserve"> ArianaEuphoriaChaser </t>
  </si>
  <si>
    <t xml:space="preserve"> #Euphoria #ArianaGrande </t>
  </si>
  <si>
    <t xml:space="preserve">Swaying to the reggae vibes of Bob Marley's tribute concert, each chord a journey to Jamaica's soul. </t>
  </si>
  <si>
    <t xml:space="preserve"> Journey </t>
  </si>
  <si>
    <t xml:space="preserve"> MarleyReggaeTraveler </t>
  </si>
  <si>
    <t xml:space="preserve"> #Journey #BobMarleyTribute </t>
  </si>
  <si>
    <t xml:space="preserve"> Jamaica </t>
  </si>
  <si>
    <t xml:space="preserve">Captivated by the spellbinding plot twists, the audience applauds, experiencing a rollercoaster of emotions at the movie premiere. </t>
  </si>
  <si>
    <t xml:space="preserve"> MovieEnthusiastPremiereAttendee </t>
  </si>
  <si>
    <t xml:space="preserve"> #Excitement #MoviePremiereThrills </t>
  </si>
  <si>
    <t xml:space="preserve">As the credits roll, a profound sense of nostalgia washes over, reminiscent of cherished moments in classic films. </t>
  </si>
  <si>
    <t xml:space="preserve"> FilmLoverNostalgiaSeeker </t>
  </si>
  <si>
    <t xml:space="preserve"> #Nostalgia #ClassicFilmMoments </t>
  </si>
  <si>
    <t xml:space="preserve">Streaming the latest web series, the viewer is engrossed in the characters' journey, feeling a sense of connection and empathy. </t>
  </si>
  <si>
    <t xml:space="preserve"> Engagement </t>
  </si>
  <si>
    <t xml:space="preserve"> WebSeriesViewerCharacterConnection </t>
  </si>
  <si>
    <t xml:space="preserve"> #Engagement #WebSeriesJourney </t>
  </si>
  <si>
    <t xml:space="preserve">At the film festival, the indie filmmaker's creation receives a standing ovation, evoking pride and a sense of accomplishment. </t>
  </si>
  <si>
    <t xml:space="preserve"> IndieFilmmakerFestivalSuccess </t>
  </si>
  <si>
    <t xml:space="preserve"> #Pride #IndieFilmSuccess </t>
  </si>
  <si>
    <t xml:space="preserve">Watching a heartwarming family drama, tears flow freely as the characters overcome challenges, leaving the viewer with a warm glow. </t>
  </si>
  <si>
    <t xml:space="preserve"> Touched </t>
  </si>
  <si>
    <t xml:space="preserve"> DramaEnthusiastHeartwarmingMoments </t>
  </si>
  <si>
    <t xml:space="preserve"> #Touched #FamilyDramaMoments </t>
  </si>
  <si>
    <t xml:space="preserve">At the Oscars, the actor graciously accepts an award, radiating joy and gratitude for the recognition of their outstanding performance. </t>
  </si>
  <si>
    <t xml:space="preserve"> AwardWinningActorOscarsRecipient </t>
  </si>
  <si>
    <t xml:space="preserve"> #Gratitude #OscarWinningMoment </t>
  </si>
  <si>
    <t xml:space="preserve">Discovering a hidden gem in the world of documentaries, the viewer is enlightened and inspired, feeling a renewed sense of curiosity. </t>
  </si>
  <si>
    <t xml:space="preserve"> DocumentaryEnthusiastHiddenGemFinder </t>
  </si>
  <si>
    <t xml:space="preserve"> #Inspiration #HiddenGemDiscovery </t>
  </si>
  <si>
    <t xml:space="preserve">As the movie credits roll, the viewer experiences a mix of awe and contemplation, pondering the deeper meanings woven into the storyline. </t>
  </si>
  <si>
    <t xml:space="preserve"> FilmBuffContemplativeViewer </t>
  </si>
  <si>
    <t xml:space="preserve"> #Contemplation #DeepMeanings </t>
  </si>
  <si>
    <t xml:space="preserve">Binge-watching a thrilling crime series, the suspense keeps the viewer on the edge of their seat, creating a rush of adrenaline. </t>
  </si>
  <si>
    <t xml:space="preserve"> Suspense </t>
  </si>
  <si>
    <t xml:space="preserve"> CrimeSeriesEnthusiastThrillSeeker </t>
  </si>
  <si>
    <t xml:space="preserve"> #Suspense #CrimeSeriesThrills </t>
  </si>
  <si>
    <t xml:space="preserve">As the closing scene unfolds, a sense of satisfaction washes over, completing the cinematic journey with a profound and fulfilling ending. </t>
  </si>
  <si>
    <t xml:space="preserve"> Satisfaction </t>
  </si>
  <si>
    <t xml:space="preserve"> FilmCriticSatisfactionSeeker </t>
  </si>
  <si>
    <t xml:space="preserve"> #Satisfaction #FulfillingEnding </t>
  </si>
  <si>
    <t xml:space="preserve">Celebrating a historic victory in the World Cup, the nation erupts in joy, united by the triumph of their football team. </t>
  </si>
  <si>
    <t xml:space="preserve"> FootballFanWorldCupCelebration </t>
  </si>
  <si>
    <t xml:space="preserve"> #Joy #WorldCupTriumph </t>
  </si>
  <si>
    <t xml:space="preserve">At the Olympics, the athlete's perseverance shines through, earning a gold medal and inspiring a generation with their remarkable achievement. </t>
  </si>
  <si>
    <t xml:space="preserve"> OlympicsEnthusiastGoldMedalWinner </t>
  </si>
  <si>
    <t xml:space="preserve"> #Inspiration #OlympicAchievement </t>
  </si>
  <si>
    <t xml:space="preserve">In the cricket championship, a nail-biting finish leaves fans on the edge of their seats, experiencing a rollercoaster of emotions. </t>
  </si>
  <si>
    <t xml:space="preserve"> CricketFanChampionshipThrills </t>
  </si>
  <si>
    <t xml:space="preserve"> #Excitement #CricketChampionship </t>
  </si>
  <si>
    <t xml:space="preserve">Witnessing a record-breaking marathon, spectators are filled with awe and admiration for the endurance and dedication of the runners. </t>
  </si>
  <si>
    <t xml:space="preserve"> Admiration </t>
  </si>
  <si>
    <t xml:space="preserve"> MarathonSpectatorRecordBreaking </t>
  </si>
  <si>
    <t xml:space="preserve"> #Admiration #MarathonRecords </t>
  </si>
  <si>
    <t xml:space="preserve"> Kenya </t>
  </si>
  <si>
    <t xml:space="preserve">In the tennis grand slam, a fierce rivalry unfolds, captivating fans with a display of skill and sportsmanship on the world stage. </t>
  </si>
  <si>
    <t xml:space="preserve"> TennisEnthusiastGrandSlamDrama </t>
  </si>
  <si>
    <t xml:space="preserve"> #Captivation #TennisRivalry </t>
  </si>
  <si>
    <t xml:space="preserve">Cheering for the underdog in the basketball finals, the crowd erupts in applause as the team defies odds to claim the championship title. </t>
  </si>
  <si>
    <t xml:space="preserve"> Triumph </t>
  </si>
  <si>
    <t xml:space="preserve"> BasketballFanUnderdogTriumph </t>
  </si>
  <si>
    <t xml:space="preserve"> #Triumph #BasketballFinals </t>
  </si>
  <si>
    <t xml:space="preserve">At the golf tournament, the golfer's precision and focus lead to a stunning victory, leaving spectators in awe of their exceptional skill. </t>
  </si>
  <si>
    <t xml:space="preserve"> GolfEnthusiastPrecisionVictory </t>
  </si>
  <si>
    <t xml:space="preserve"> #Awe #GolfVictory </t>
  </si>
  <si>
    <t xml:space="preserve"> Scotland </t>
  </si>
  <si>
    <t xml:space="preserve">Experiencing the thrill of a high-speed Formula 1 race, fans are on the edge of their seats as drivers compete for the championship. </t>
  </si>
  <si>
    <t xml:space="preserve"> F1FanHighSpeedRaceExcitement </t>
  </si>
  <si>
    <t xml:space="preserve"> #Thrill #Formula1Championship </t>
  </si>
  <si>
    <t xml:space="preserve">In the cycling world championship, the climber conquers challenging terrains, symbolizing determination and achievement against all odds. </t>
  </si>
  <si>
    <t xml:space="preserve"> CyclingEnthusiastWorldChampion </t>
  </si>
  <si>
    <t xml:space="preserve"> #Determination #CyclingChampion </t>
  </si>
  <si>
    <t xml:space="preserve">Witnessing a heartwarming comeback in the hockey finals, fans share tears of joy as the team secures a historic victory after adversity. </t>
  </si>
  <si>
    <t xml:space="preserve"> Heartwarming </t>
  </si>
  <si>
    <t xml:space="preserve"> HockeyFanComebackVictory </t>
  </si>
  <si>
    <t xml:space="preserve"> #Heartwarming #HockeyFinalsComeback </t>
  </si>
  <si>
    <t xml:space="preserve">After a series of defeats, the soccer team faces disappointment, struggling to find the silver lining in a challenging season. </t>
  </si>
  <si>
    <t xml:space="preserve"> SoccerFanTeamDefeats </t>
  </si>
  <si>
    <t xml:space="preserve"> #Disappointment #SoccerDefeats </t>
  </si>
  <si>
    <t xml:space="preserve">In the tennis tournament, a highly anticipated player experiences a setback, leaving fans in shock and questioning the unforeseen turn of events. </t>
  </si>
  <si>
    <t xml:space="preserve"> TennisEnthusiastUnexpectedSetback </t>
  </si>
  <si>
    <t xml:space="preserve"> #Frustration #TennisSetback </t>
  </si>
  <si>
    <t xml:space="preserve">Facing a defeat in the championship, the boxer reflects on the challenges, vowing to return stronger and more determined in the next bout. </t>
  </si>
  <si>
    <t xml:space="preserve"> BoxingFanChampionshipDefeat </t>
  </si>
  <si>
    <t xml:space="preserve"> #Reflection #BoxingDefeat </t>
  </si>
  <si>
    <t xml:space="preserve">In the midst of a cycling race, a tire blowout leads to frustration for the cyclist, who valiantly tries to overcome the unexpected obstacle. </t>
  </si>
  <si>
    <t xml:space="preserve"> Obstacle </t>
  </si>
  <si>
    <t xml:space="preserve"> CyclingEnthusiastTireBlowout </t>
  </si>
  <si>
    <t xml:space="preserve"> #Obstacle #CyclingFrustration </t>
  </si>
  <si>
    <t xml:space="preserve">The gymnast's unexpected fall during a routine sparks a wave of sympathy from the audience, highlighting the vulnerability of sports. </t>
  </si>
  <si>
    <t xml:space="preserve"> Sympathy </t>
  </si>
  <si>
    <t xml:space="preserve"> GymnasticsFanRoutineFall </t>
  </si>
  <si>
    <t xml:space="preserve"> #Sympathy #GymnasticsFall </t>
  </si>
  <si>
    <t xml:space="preserve">In the golf tournament, a missed crucial putt results in defeat, causing the golfer to reflect on the pressure of high-stakes competition. </t>
  </si>
  <si>
    <t xml:space="preserve"> Pressure </t>
  </si>
  <si>
    <t xml:space="preserve"> GolfEnthusiastMissedPutt </t>
  </si>
  <si>
    <t xml:space="preserve"> #Pressure #GolfDefeat </t>
  </si>
  <si>
    <t xml:space="preserve">Experiencing a series of losses in the basketball season, the team grapples with frustration, determined to turn the tide with renewed effort. </t>
  </si>
  <si>
    <t xml:space="preserve"> Renewed Effort </t>
  </si>
  <si>
    <t xml:space="preserve"> BasketballFanTeamLosses </t>
  </si>
  <si>
    <t xml:space="preserve"> #RenewedEffort #BasketballStruggles </t>
  </si>
  <si>
    <t xml:space="preserve">Despite meticulous training, the swimmer faces disappointment as a split-second miscalculation costs them the lead in a crucial race. </t>
  </si>
  <si>
    <t xml:space="preserve"> Miscalculation </t>
  </si>
  <si>
    <t xml:space="preserve"> SwimmingEnthusiastRaceSetback </t>
  </si>
  <si>
    <t xml:space="preserve"> #Miscalculation #SwimmingDisappointment </t>
  </si>
  <si>
    <t xml:space="preserve">The weightlifter's failed attempt at a personal record results in frustration, highlighting the challenging nature of pushing physical limits. </t>
  </si>
  <si>
    <t xml:space="preserve"> Challenge </t>
  </si>
  <si>
    <t xml:space="preserve"> WeightliftingFanFailedRecord </t>
  </si>
  <si>
    <t xml:space="preserve"> #Challenge #WeightliftingFailure </t>
  </si>
  <si>
    <t xml:space="preserve">In the midst of a soccer match, an unexpected own goal creates a moment of despair for the player, as teammates console and encourage them. </t>
  </si>
  <si>
    <t xml:space="preserve"> SoccerPlayerOwnGoalMoment </t>
  </si>
  <si>
    <t xml:space="preserve"> #Despair #OwnGoal </t>
  </si>
  <si>
    <t xml:space="preserve">In the serene beauty of a sunset, nature unfolds a canvas of colors, evoking a sense of tranquility and wonder. </t>
  </si>
  <si>
    <t xml:space="preserve"> NatureEnthusiastSunsetWonder </t>
  </si>
  <si>
    <t xml:space="preserve"> #Tranquility #SunsetBeauty </t>
  </si>
  <si>
    <t xml:space="preserve">Embarking on a spontaneous road trip, the traveler discovers hidden gems, creating memories that will be cherished for a lifetime. </t>
  </si>
  <si>
    <t xml:space="preserve"> TravelEnthusiastRoadTripDiscovery </t>
  </si>
  <si>
    <t xml:space="preserve"> #Adventure #RoadTripMemories </t>
  </si>
  <si>
    <t xml:space="preserve">Amidst the bustling city, a quiet café becomes a sanctuary for reflection, where a cup of coffee brings solace to the wandering mind. </t>
  </si>
  <si>
    <t xml:space="preserve"> Solace </t>
  </si>
  <si>
    <t xml:space="preserve"> UrbanExplorerCafeSolitude </t>
  </si>
  <si>
    <t xml:space="preserve"> #Solace #CafeReflection </t>
  </si>
  <si>
    <t xml:space="preserve">Exploring the vibrant street art of a cultural neighborhood, each mural tells a story, infusing the city with creativity and expression. </t>
  </si>
  <si>
    <t xml:space="preserve"> ArtEnthusiastStreetArtExploration </t>
  </si>
  <si>
    <t xml:space="preserve"> #Creativity #StreetArtVibes </t>
  </si>
  <si>
    <t xml:space="preserve">In the world of science, a breakthrough discovery unfolds, pushing the boundaries of knowledge and opening new frontiers of exploration. </t>
  </si>
  <si>
    <t xml:space="preserve"> Breakthrough </t>
  </si>
  <si>
    <t xml:space="preserve"> ScienceEnthusiastDiscoveryMoment </t>
  </si>
  <si>
    <t xml:space="preserve"> #Breakthrough #ScientificDiscovery </t>
  </si>
  <si>
    <t xml:space="preserve">Connecting with the melody of a live orchestra, the music enthusiast experiences a symphony that resonates deep within the soul. </t>
  </si>
  <si>
    <t xml:space="preserve"> Harmony </t>
  </si>
  <si>
    <t xml:space="preserve"> MusicLoverLiveOrchestraExperience </t>
  </si>
  <si>
    <t xml:space="preserve"> #Harmony #OrchestraMelody </t>
  </si>
  <si>
    <t xml:space="preserve">Embracing the aroma of freshly baked bread, the home chef finds joy in the art of baking, creating delicious memories for loved ones. </t>
  </si>
  <si>
    <t xml:space="preserve"> Joy in Baking </t>
  </si>
  <si>
    <t xml:space="preserve"> HomeBakerDeliciousMemories </t>
  </si>
  <si>
    <t xml:space="preserve"> #JoyInBaking #HomemadeDelights </t>
  </si>
  <si>
    <t xml:space="preserve">Wandering through a historical museum, the history enthusiast becomes immersed in the tales of the past, envisioning bygone eras. </t>
  </si>
  <si>
    <t xml:space="preserve"> Envisioning History </t>
  </si>
  <si>
    <t xml:space="preserve"> HistoryBuffMuseumExploration </t>
  </si>
  <si>
    <t xml:space="preserve"> #EnvisioningHistory #MuseumTales </t>
  </si>
  <si>
    <t xml:space="preserve">In the realm of literature, a captivating novel transports the reader to distant lands, weaving a tapestry of imagination and escape. </t>
  </si>
  <si>
    <t xml:space="preserve"> Imagination </t>
  </si>
  <si>
    <t xml:space="preserve"> BookwormCaptivatingNovelEscape </t>
  </si>
  <si>
    <t xml:space="preserve"> #Imagination #LiteraryEscape </t>
  </si>
  <si>
    <t xml:space="preserve">Capturing the essence of a bustling market, the photographer freezes moments in time, each frame telling a unique and vibrant story. </t>
  </si>
  <si>
    <t xml:space="preserve"> Vibrancy </t>
  </si>
  <si>
    <t xml:space="preserve"> PhotographyEnthusiastMarketMoments </t>
  </si>
  <si>
    <t xml:space="preserve"> #Vibrancy #MarketStories </t>
  </si>
  <si>
    <t xml:space="preserve">Underneath the city lights, the dancer expresses emotions through graceful movements, creating a mesmerizing performance under the night sky. </t>
  </si>
  <si>
    <t xml:space="preserve"> Mesmerizing </t>
  </si>
  <si>
    <t xml:space="preserve"> DanceEnthusiastCityNightPerformance </t>
  </si>
  <si>
    <t xml:space="preserve"> #Mesmerizing #NightDancePerformance </t>
  </si>
  <si>
    <t xml:space="preserve">In the heart of a bustling market, the street food connoisseur indulges in a culinary adventure, savoring diverse flavors and aromas. </t>
  </si>
  <si>
    <t xml:space="preserve"> Culinary Adventure </t>
  </si>
  <si>
    <t xml:space="preserve"> FoodieMarketStreetFoodExploration </t>
  </si>
  <si>
    <t xml:space="preserve"> #CulinaryAdventure #StreetFoodDelights </t>
  </si>
  <si>
    <t xml:space="preserve"> Thailand </t>
  </si>
  <si>
    <t xml:space="preserve">As the first snowflake descends, the winter enthusiast eagerly prepares for a season of frosty delights, anticipating the magic of snow-covered landscapes. </t>
  </si>
  <si>
    <t xml:space="preserve"> Winter Magic </t>
  </si>
  <si>
    <t xml:space="preserve"> SnowLoverWinterEnthusiast </t>
  </si>
  <si>
    <t xml:space="preserve"> #WinterMagic #SnowyLandscapes </t>
  </si>
  <si>
    <t xml:space="preserve">Amidst the pages of a captivating mystery novel, the reader unravels clues and secrets, experiencing a thrilling journey of suspense and revelation. </t>
  </si>
  <si>
    <t xml:space="preserve"> Thrilling Journey </t>
  </si>
  <si>
    <t xml:space="preserve"> MysteryBookwormSuspensefulRead </t>
  </si>
  <si>
    <t xml:space="preserve"> #ThrillingJourney #MysteryNovel </t>
  </si>
  <si>
    <t xml:space="preserve">Surrounded by the vibrant colors of a flower garden, the gardener nurtures blossoms, finding joy in the beauty of nature's ever-changing canvas. </t>
  </si>
  <si>
    <t xml:space="preserve"> Nature's Beauty </t>
  </si>
  <si>
    <t xml:space="preserve"> GardeningEnthusiastFlowerGarden </t>
  </si>
  <si>
    <t xml:space="preserve"> #NaturesBeauty #FloralJoy </t>
  </si>
  <si>
    <t xml:space="preserve">At the astronomy observatory, the stargazer marvels at the vastness of the cosmos, contemplating the mysteries hidden within the celestial expanse. </t>
  </si>
  <si>
    <t xml:space="preserve"> Celestial Wonder </t>
  </si>
  <si>
    <t xml:space="preserve"> AstronomyEnthusiastStargazing </t>
  </si>
  <si>
    <t xml:space="preserve"> #CelestialWonder #Stargazing </t>
  </si>
  <si>
    <t xml:space="preserve">Engulfed in the aroma of freshly brewed coffee, the writer finds inspiration in every sip, embarking on a journey of creativity and prose. </t>
  </si>
  <si>
    <t xml:space="preserve"> Creative Inspiration </t>
  </si>
  <si>
    <t xml:space="preserve"> CoffeeLoverWritersRetreat </t>
  </si>
  <si>
    <t xml:space="preserve"> #CreativeInspiration #CoffeeJourney </t>
  </si>
  <si>
    <t xml:space="preserve">In the realm of fashion, the designer unveils a collection that tells a story, blending innovation and tradition on the runway of creativity. </t>
  </si>
  <si>
    <t xml:space="preserve"> Runway Creativity </t>
  </si>
  <si>
    <t xml:space="preserve"> FashionEnthusiastDesignerShowcase </t>
  </si>
  <si>
    <t xml:space="preserve"> #RunwayCreativity #FashionInnovation </t>
  </si>
  <si>
    <t xml:space="preserve">As the waves crash against the shore, the surfer embraces the thrill of riding the ocean's energy, capturing the essence of freedom in each wave. </t>
  </si>
  <si>
    <t xml:space="preserve"> Ocean's Freedom </t>
  </si>
  <si>
    <t xml:space="preserve"> SurfingEnthusiastWaveRider </t>
  </si>
  <si>
    <t xml:space="preserve"> #OceansFreedom #SurfingThrills </t>
  </si>
  <si>
    <t xml:space="preserve">Exploring the historical architecture of an ancient city, the traveler is transported to a bygone era, where each monument whispers tales of the past. </t>
  </si>
  <si>
    <t xml:space="preserve"> Whispers of the Past </t>
  </si>
  <si>
    <t xml:space="preserve"> HistoryExplorerAncientCityTour </t>
  </si>
  <si>
    <t xml:space="preserve"> #WhispersOfThePast #HistoricalTour </t>
  </si>
  <si>
    <t xml:space="preserve">Successfully avoided eye contact with my crush in the hallway. Mission accomplished. #TeenCrush #StealthMode </t>
  </si>
  <si>
    <t xml:space="preserve"> CrushAvoider </t>
  </si>
  <si>
    <t xml:space="preserve"> #CrushStruggles #AvoidingEyeContact </t>
  </si>
  <si>
    <t xml:space="preserve"> USA</t>
  </si>
  <si>
    <t xml:space="preserve">Ran out of snacks during a movie marathon. Crisis level: Emergency! #MovieNightStruggles #TeenProblems </t>
  </si>
  <si>
    <t xml:space="preserve"> Boredom </t>
  </si>
  <si>
    <t xml:space="preserve"> MovieBuff </t>
  </si>
  <si>
    <t xml:space="preserve"> #SnackCrisis #TeenLife </t>
  </si>
  <si>
    <t xml:space="preserve"> Canada</t>
  </si>
  <si>
    <t xml:space="preserve">Spent an hour choosing the perfect filter for a selfie. The struggle for that Instagram aesthetic is real. #SelfieQueen #TeenVibes </t>
  </si>
  <si>
    <t xml:space="preserve"> SelfieAddict </t>
  </si>
  <si>
    <t xml:space="preserve"> #SelfieStruggle #TeenConfessions </t>
  </si>
  <si>
    <t xml:space="preserve"> UK</t>
  </si>
  <si>
    <t xml:space="preserve">Lost my headphones again. How do they vanish into thin air? #HeadphoneMystery #TeenLife </t>
  </si>
  <si>
    <t xml:space="preserve"> AudioExplorer </t>
  </si>
  <si>
    <t xml:space="preserve"> #TeenProblems #LostHeadphones </t>
  </si>
  <si>
    <t xml:space="preserve">Decided to study for exams but ended up making memes about studying instead. Procrastination level: Expert. #ProcrastinationNation #TeenConfessions </t>
  </si>
  <si>
    <t xml:space="preserve"> MemeCreator </t>
  </si>
  <si>
    <t xml:space="preserve"> #StudyingMemes #TeenLife </t>
  </si>
  <si>
    <t xml:space="preserve">Got dressed for the day, then remembered it's Saturday. Oops. #WeekendVibes #TeenStruggles </t>
  </si>
  <si>
    <t xml:space="preserve"> Indifference </t>
  </si>
  <si>
    <t xml:space="preserve"> FashionBlunder </t>
  </si>
  <si>
    <t xml:space="preserve"> #WeekendOops #TeenFashion </t>
  </si>
  <si>
    <t xml:space="preserve">Survived a group project without any drama. Miracles do happen. #GroupProjectSuccess #TeenAchievements </t>
  </si>
  <si>
    <t xml:space="preserve"> GroupGenius </t>
  </si>
  <si>
    <t xml:space="preserve"> #TeenSuccess #ProjectMiracle </t>
  </si>
  <si>
    <t xml:space="preserve">Entered the kitchen with the intention to cook. Left with a bag of chips. Cooking is overrated, anyway. #MasterChefInTraining #TeenHumor </t>
  </si>
  <si>
    <t xml:space="preserve"> Disgust </t>
  </si>
  <si>
    <t xml:space="preserve"> ChipExplorer </t>
  </si>
  <si>
    <t xml:space="preserve"> #TeenChef #CookingFail </t>
  </si>
  <si>
    <t xml:space="preserve">Staring at the clock in class, waiting for the bell to ring like it's the most exciting event of the day. #ClassCountdown #TeenLife </t>
  </si>
  <si>
    <t xml:space="preserve"> ExcitementSeeker </t>
  </si>
  <si>
    <t xml:space="preserve"> #ClassEvent #TeenExcitement </t>
  </si>
  <si>
    <t xml:space="preserve">Discovered a new book series and spent the whole night reading. Who needs sleep, anyway? #BookwormLife #LateNightReading </t>
  </si>
  <si>
    <t xml:space="preserve"> NightReader </t>
  </si>
  <si>
    <t xml:space="preserve"> #BookDiscoveries #TeenReading </t>
  </si>
  <si>
    <t xml:space="preserve">Bought a new video game, played for hours, forgot to eat. The ultimate gaming session. #GamerLife #NoFoodGaming </t>
  </si>
  <si>
    <t xml:space="preserve"> GamingEnthusiast </t>
  </si>
  <si>
    <t xml:space="preserve"> #GameOn #TeenGamer </t>
  </si>
  <si>
    <t xml:space="preserve">Spent the day binge-watching a new series. Productivity level: Zero. #LazyDay #TVSeriesMarathon </t>
  </si>
  <si>
    <t xml:space="preserve"> LazyWatcher </t>
  </si>
  <si>
    <t xml:space="preserve"> #BingeWatchDay #TeenLife </t>
  </si>
  <si>
    <t xml:space="preserve">Caught up on the latest fashion trends and now planning a shopping spree. #Fashionista #TrendyTeen </t>
  </si>
  <si>
    <t xml:space="preserve"> TrendExplorer </t>
  </si>
  <si>
    <t xml:space="preserve"> #FashionGoals #TeenStyle </t>
  </si>
  <si>
    <t xml:space="preserve">Decided to learn a new instrument. Day one: Still trying to figure out how to hold it. #MusicNovice #LearningJourney </t>
  </si>
  <si>
    <t xml:space="preserve"> MusicalExplorer </t>
  </si>
  <si>
    <t xml:space="preserve"> #InstrumentLearning #TeenMusic </t>
  </si>
  <si>
    <t xml:space="preserve">Spent hours creating the perfect playlist for every mood. Music is my therapy. #PlaylistMaker #TeenMusicLover </t>
  </si>
  <si>
    <t xml:space="preserve"> MusicAficionado </t>
  </si>
  <si>
    <t xml:space="preserve"> #MusicTherapy #TeenPlaylist </t>
  </si>
  <si>
    <t xml:space="preserve">Successfully cooked a gourmet meal for the family. Chef skills unlocked! #ChefMode #TeenChef </t>
  </si>
  <si>
    <t xml:space="preserve"> HomeChef </t>
  </si>
  <si>
    <t xml:space="preserve"> #CookingSuccess #TeenCook </t>
  </si>
  <si>
    <t xml:space="preserve">Spontaneously booked a weekend getaway. Adventure awaits! #TravelBug #WeekendEscape </t>
  </si>
  <si>
    <t xml:space="preserve"> AdventureSeeker </t>
  </si>
  <si>
    <t xml:space="preserve"> #GetawayGoals #TeenTravel </t>
  </si>
  <si>
    <t xml:space="preserve">Attended a concert and danced the night away. Music is the heartbeat of life. #ConcertVibes #DanceAllNight </t>
  </si>
  <si>
    <t xml:space="preserve"> #MusicMagic #TeenConcert </t>
  </si>
  <si>
    <t xml:space="preserve">Rediscovered childhood cartoons and had a nostalgia-filled marathon. #CartoonNostalgia #TeenMemories </t>
  </si>
  <si>
    <t xml:space="preserve"> NostalgiaExplorer </t>
  </si>
  <si>
    <t xml:space="preserve"> #ChildhoodMemories #TeenCartoons </t>
  </si>
  <si>
    <t xml:space="preserve">Embarked on a DIY home decor project. Let's hope it turns out better than last time. #DIYAdventure #TeenHomeDecor </t>
  </si>
  <si>
    <t xml:space="preserve"> HomeDecorator </t>
  </si>
  <si>
    <t xml:space="preserve"> #DIYGoals #TeenCreative </t>
  </si>
  <si>
    <t xml:space="preserve">Spent the afternoon at a museum, pretending to be cultured. Art enthusiast in the making. #MuseumDay #TeenArtLover </t>
  </si>
  <si>
    <t xml:space="preserve"> ArtExplorer </t>
  </si>
  <si>
    <t xml:space="preserve"> #CulturalDay #TeenCuriosity </t>
  </si>
  <si>
    <t xml:space="preserve">Started a blog about random thoughts and musings. Blogging is the new diary. #BloggerLife #TeenBlogger </t>
  </si>
  <si>
    <t xml:space="preserve"> ThoughtfulBlogger </t>
  </si>
  <si>
    <t xml:space="preserve"> #BloggingJourney #TeenThoughts </t>
  </si>
  <si>
    <t xml:space="preserve">Relishing a peaceful afternoon with a classic novel. Quiet moments are the best moments. #BookLover #PeacefulAfternoon </t>
  </si>
  <si>
    <t xml:space="preserve"> NovelEnthusiast </t>
  </si>
  <si>
    <t xml:space="preserve"> #QuietMoments #BookishEscape </t>
  </si>
  <si>
    <t xml:space="preserve">Reflecting on a lifetime of memories, each wrinkle tells a story. Embracing the beauty of aging. #LifeReflections #BeautyInAging </t>
  </si>
  <si>
    <t xml:space="preserve"> WiseSoul </t>
  </si>
  <si>
    <t xml:space="preserve"> #AgingGracefully #Memories </t>
  </si>
  <si>
    <t xml:space="preserve">Exploring the world of digital art. It's never too late to discover new passions. #DigitalArtistry #LateBloomer </t>
  </si>
  <si>
    <t xml:space="preserve"> ArtAdventurer </t>
  </si>
  <si>
    <t xml:space="preserve"> #ArtDiscovery #SeniorArtist </t>
  </si>
  <si>
    <t xml:space="preserve">Savoring the flavors of a home-cooked meal. Simple joys are the heart of happiness. #HomeCooking #SimpleJoys </t>
  </si>
  <si>
    <t xml:space="preserve"> HomeChefSenior </t>
  </si>
  <si>
    <t xml:space="preserve"> #HappinessInFood #SeniorLife </t>
  </si>
  <si>
    <t xml:space="preserve">Embarking on a journey of learning a new language. The mind stays young with every new word. #LanguageLearning #NeverTooLate </t>
  </si>
  <si>
    <t xml:space="preserve"> LinguisticExplorer </t>
  </si>
  <si>
    <t xml:space="preserve"> #MindEnrichment #SeniorLearning </t>
  </si>
  <si>
    <t xml:space="preserve">Attended a classical music concert, feeling the timeless melodies resonate. Music transcends generations. #ClassicalMusic #TimelessMelodies </t>
  </si>
  <si>
    <t xml:space="preserve"> MusicConnoisseur </t>
  </si>
  <si>
    <t xml:space="preserve"> #MusicLover #SeniorConcert </t>
  </si>
  <si>
    <t xml:space="preserve">Capturing the beauty of nature through photography. Every snapshot is a treasure. #NaturePhotography #SeniorPhotographer </t>
  </si>
  <si>
    <t xml:space="preserve"> PhotographySenior </t>
  </si>
  <si>
    <t xml:space="preserve"> #NatureCapture #SeniorMoments </t>
  </si>
  <si>
    <t xml:space="preserve">Reconnecting with old friends over a cup of tea. Friendship, the true essence of companionship. #OldFriends #Companionship </t>
  </si>
  <si>
    <t xml:space="preserve"> TeaTimeSenior </t>
  </si>
  <si>
    <t xml:space="preserve"> #FriendshipGoals #SeniorBonding </t>
  </si>
  <si>
    <t xml:space="preserve">Embarked on a road trip to revisit cherished places from the past. Nostalgia, the ultimate travel companion. #RoadTrip #NostalgiaTour </t>
  </si>
  <si>
    <t xml:space="preserve"> RoadTripSenior </t>
  </si>
  <si>
    <t xml:space="preserve"> #CherishedPlaces #SeniorTravel </t>
  </si>
  <si>
    <t xml:space="preserve">Joined a community choir, harmonizing with fellow voices. Music creates bonds that withstand time. #CommunityChoir #HarmonyInAging </t>
  </si>
  <si>
    <t xml:space="preserve"> ChoirEnthusiast </t>
  </si>
  <si>
    <t xml:space="preserve"> #MusicHarmony #SeniorVoices </t>
  </si>
  <si>
    <t xml:space="preserve">Exploring the art of meditation, finding tranquility in the stillness of the mind. #MeditationJourney #TranquilMind </t>
  </si>
  <si>
    <t xml:space="preserve"> MeditationSenior </t>
  </si>
  <si>
    <t xml:space="preserve"> #MindfulLiving #SeniorCalm </t>
  </si>
  <si>
    <t xml:space="preserve">Taking a stroll in the garden, appreciating the beauty of blooming flowers. Nature's wonders never cease. #GardenWalk #FloralBeauty </t>
  </si>
  <si>
    <t xml:space="preserve"> #NatureWonders #SeniorGarden </t>
  </si>
  <si>
    <t xml:space="preserve">Sipping on a favorite vintage wine, each sip telling a story of the years gone by. Cheers to a life well-lived. #WineLover #VintageCheers </t>
  </si>
  <si>
    <t xml:space="preserve"> WineConnoisseur </t>
  </si>
  <si>
    <t xml:space="preserve"> #LifeWellLived #SeniorWine </t>
  </si>
  <si>
    <t xml:space="preserve">Participated in a community art class, unleashing creativity in the golden years. Art has no age limit. #ArtClass #SeniorArtistry </t>
  </si>
  <si>
    <t xml:space="preserve"> ArtisticSenior </t>
  </si>
  <si>
    <t xml:space="preserve"> #CreativityAtAnyAge #SeniorCreativity </t>
  </si>
  <si>
    <t xml:space="preserve">Embarking on a journey of writing a memoir, documenting a lifetime of experiences. Every story matters. #MemoirWriting #SeniorStories </t>
  </si>
  <si>
    <t xml:space="preserve"> MemoiristSenior </t>
  </si>
  <si>
    <t xml:space="preserve"> #LifetimeExperiences #SeniorMemoir </t>
  </si>
  <si>
    <t xml:space="preserve">Attended a lecture on history, always fascinated by the lessons from the past. Learning is a lifelong adventure. #HistoryLecture #SeniorLearning </t>
  </si>
  <si>
    <t xml:space="preserve"> HistoryEnthusiast </t>
  </si>
  <si>
    <t xml:space="preserve"> #LifetimeAdventure #SeniorCuriosity </t>
  </si>
  <si>
    <t xml:space="preserve">Rediscovered the joy of cooking traditional family recipes. The kitchen, a place of cherished memories. #FamilyRecipes #SeniorCooking </t>
  </si>
  <si>
    <t xml:space="preserve"> FamilyChefSenior </t>
  </si>
  <si>
    <t xml:space="preserve"> #KitchenMemories #SeniorCulinary </t>
  </si>
  <si>
    <t xml:space="preserve">Joined a nature photography club, capturing the beauty of the great outdoors. Every click is a connection to nature. #NaturePhotography #SeniorPhotographer </t>
  </si>
  <si>
    <t xml:space="preserve"> NaturePhotographySenior </t>
  </si>
  <si>
    <t xml:space="preserve"> #OutdoorBeauty #SeniorClicks </t>
  </si>
  <si>
    <t xml:space="preserve">Attended a jazz concert and swayed to the rhythm of timeless tunes. Music, a constant companion in the golden years. #JazzConcert #SeniorMusic </t>
  </si>
  <si>
    <t xml:space="preserve"> JazzMusicLover </t>
  </si>
  <si>
    <t xml:space="preserve"> #TimelessTunes #SeniorJazz </t>
  </si>
  <si>
    <t xml:space="preserve">Joined a writing group, penning down thoughts and reflections. Writing, a journey into the depths of the soul. #WritingGroup #SeniorWriter </t>
  </si>
  <si>
    <t xml:space="preserve"> SeniorWordsmith </t>
  </si>
  <si>
    <t xml:space="preserve"> #SoulfulWriting #SeniorReflections </t>
  </si>
  <si>
    <t xml:space="preserve">Embarked on a solo travel adventure, discovering the beauty of new places at my own pace. #SoloTravel #SeniorExplorer </t>
  </si>
  <si>
    <t xml:space="preserve"> SoloAdventurer </t>
  </si>
  <si>
    <t xml:space="preserve"> #DiscoverNewPlaces #SeniorTravel </t>
  </si>
  <si>
    <t xml:space="preserve">Attended a vintage car show, reminiscing about the classics that once ruled the roads. Nostalgia in every rev. #VintageCars #ClassicRides </t>
  </si>
  <si>
    <t xml:space="preserve"> CarEnthusiastSenior </t>
  </si>
  <si>
    <t xml:space="preserve"> #RoadTripDownMemoryLane #SeniorCars </t>
  </si>
  <si>
    <t xml:space="preserve">Started a community garden, growing not just plants but friendships too. Green thumbs unite! #CommunityGarden #SeniorGardener </t>
  </si>
  <si>
    <t xml:space="preserve"> GreenThumbSenior </t>
  </si>
  <si>
    <t xml:space="preserve"> #GardenFriends #SeniorGreenThumb </t>
  </si>
  <si>
    <t xml:space="preserve">Hosted a family dinner, where laughter echoed louder than the clinking of utensils. Family, the heart of happiness. #FamilyDinner #SeniorHost </t>
  </si>
  <si>
    <t xml:space="preserve"> FamilyHostSenior </t>
  </si>
  <si>
    <t xml:space="preserve"> #HeartwarmingMoments #SeniorFamily </t>
  </si>
  <si>
    <t xml:space="preserve">Enrolled in a dance class for seniors, moving to the rhythm of life. Age is just a number on the dance floor. #DanceClass #SeniorDancer </t>
  </si>
  <si>
    <t xml:space="preserve"> DanceEnthusiastSenior </t>
  </si>
  <si>
    <t xml:space="preserve"> #DanceLife #SeniorMoves </t>
  </si>
  <si>
    <t xml:space="preserve">Visited an art gallery, appreciating the brushstrokes that tell tales of creativity. Art, an eternal companion. #ArtGallery #SeniorArtLover </t>
  </si>
  <si>
    <t xml:space="preserve"> ArtGalleryVisitor </t>
  </si>
  <si>
    <t xml:space="preserve"> #CreativeExpressions #SeniorArt </t>
  </si>
  <si>
    <t xml:space="preserve">Started a book club for seniors, where discussions are as lively as the characters in the novels. #BookClub #SeniorReaders </t>
  </si>
  <si>
    <t xml:space="preserve"> SeniorBookClub </t>
  </si>
  <si>
    <t xml:space="preserve"> #BookishTalks #SeniorBookworms </t>
  </si>
  <si>
    <t xml:space="preserve">Hosted a picnic in the park, basking in the warmth of friendship and sunshine. Simple joys, timeless memories. #ParkPicnic #SeniorJoy </t>
  </si>
  <si>
    <t xml:space="preserve"> SeniorPicnicHost </t>
  </si>
  <si>
    <t xml:space="preserve"> #FriendshipSunshine #SeniorMemories </t>
  </si>
  <si>
    <t xml:space="preserve">Participated in a local theater production, proving that the stage belongs to every age. #TheaterProduction #SeniorActor </t>
  </si>
  <si>
    <t xml:space="preserve"> SeniorActor </t>
  </si>
  <si>
    <t xml:space="preserve"> #StagePassion #SeniorTheater </t>
  </si>
  <si>
    <t xml:space="preserve">Embarked on a hiking adventure, conquering trails and relishing the beauty of nature. Age is just a number on the mountaintop. #HikingAdventure #SeniorHiker </t>
  </si>
  <si>
    <t xml:space="preserve"> SeniorHikerExplorer </t>
  </si>
  <si>
    <t xml:space="preserve"> #NatureTrailBlazer #SeniorExplorer </t>
  </si>
  <si>
    <t xml:space="preserve">Hosted a photography exhibition featuring snapshots of a life well-lived. Every photo has a story to tell. #PhotographyExhibition #SeniorPhotographer </t>
  </si>
  <si>
    <t xml:space="preserve"> SeniorPhotographerExhibitor </t>
  </si>
  <si>
    <t xml:space="preserve"> #LifeInPictures #SeniorExhibition </t>
  </si>
  <si>
    <t xml:space="preserve">Joined a seniors' cycling club, feeling the wind in my hair and the freedom of the open road. #CyclingClub #SeniorCyclist </t>
  </si>
  <si>
    <t xml:space="preserve"> SeniorCyclingEnthusiast </t>
  </si>
  <si>
    <t xml:space="preserve"> #OpenRoadAdventures #SeniorCycling </t>
  </si>
  <si>
    <t xml:space="preserve">Attended a wine tasting event, savoring the richness of flavors that age like fine wine. Cheers to the golden years! #WineTasting #SeniorWineLover </t>
  </si>
  <si>
    <t xml:space="preserve"> SeniorWineConnoisseur </t>
  </si>
  <si>
    <t xml:space="preserve"> #AgedToPerfection #SeniorCheers </t>
  </si>
  <si>
    <t xml:space="preserve">Started learning ballroom dancing, gliding gracefully across the dance floor. Ageless elegance in every step. #BallroomDancing #SeniorDancer </t>
  </si>
  <si>
    <t xml:space="preserve"> SeniorBallroomDancer </t>
  </si>
  <si>
    <t xml:space="preserve"> #GracefulMoves #SeniorDance </t>
  </si>
  <si>
    <t xml:space="preserve">Organized a community painting event, turning blank canvases into a masterpiece of shared creativity. #PaintingEvent #SeniorArtist </t>
  </si>
  <si>
    <t xml:space="preserve"> SeniorPaintingOrganizer </t>
  </si>
  <si>
    <t xml:space="preserve"> #CommunityArt #SeniorCreativity </t>
  </si>
  <si>
    <t xml:space="preserve">Hosted a 'memory lane' evening with old friends, reminiscing about the adventures that shaped our lives. #MemoryLane #SeniorReminiscing </t>
  </si>
  <si>
    <t xml:space="preserve"> SeniorMemoriesHost </t>
  </si>
  <si>
    <t xml:space="preserve"> #FriendshipAdventures #SeniorNostalgia </t>
  </si>
  <si>
    <t xml:space="preserve">Joined a seniors' astronomy club, stargazing and finding wonder in the vastness of the cosmos. #AstronomyClub #SeniorStargazer </t>
  </si>
  <si>
    <t xml:space="preserve"> SeniorStargazer </t>
  </si>
  <si>
    <t xml:space="preserve"> #CelestialWonders #SeniorAstronomy </t>
  </si>
  <si>
    <t xml:space="preserve">Attended a local jazz festival, tapping toes to the tunes that have stood the test of time. Music, a lifelong love affair. #JazzFestival #SeniorMusicLover </t>
  </si>
  <si>
    <t xml:space="preserve"> SeniorJazzFestivalGoer </t>
  </si>
  <si>
    <t xml:space="preserve">Started a blog sharing the wisdom gained through the years, proving that every day is a chance to learn and grow. #SeniorWisdom #Blog </t>
  </si>
  <si>
    <t xml:space="preserve"> WisdomBloggerSenior </t>
  </si>
  <si>
    <t xml:space="preserve"> #LifeLessons #SeniorBlog </t>
  </si>
  <si>
    <t xml:space="preserve">Participated in a charity run, proving that age is no barrier to supporting meaningful causes. #CharityRun #SeniorRunner </t>
  </si>
  <si>
    <t xml:space="preserve"> SeniorCharityRunner </t>
  </si>
  <si>
    <t xml:space="preserve"> #RunForACause #SeniorSupport </t>
  </si>
  <si>
    <t xml:space="preserve">Survived a challenging physics exam. Equations, you won't defeat me! </t>
  </si>
  <si>
    <t xml:space="preserve"> Relief </t>
  </si>
  <si>
    <t xml:space="preserve"> PhysicsWhizHighSchool </t>
  </si>
  <si>
    <t xml:space="preserve"> #PhysicsSurvivor #HighSchoolAdventures </t>
  </si>
  <si>
    <t xml:space="preserve">Exploring the world of coding. Debugging is an adventure on its own! #CodingJourney #HighSchoolCoder </t>
  </si>
  <si>
    <t xml:space="preserve"> CodeExplorerHighSchool </t>
  </si>
  <si>
    <t xml:space="preserve"> #CodingAdventure #HighSchoolCoderLife </t>
  </si>
  <si>
    <t xml:space="preserve">Joined the school debate team. Words are my weapons, and I'm ready for battle! </t>
  </si>
  <si>
    <t xml:space="preserve"> DebateWarriorHighSchool </t>
  </si>
  <si>
    <t xml:space="preserve"> #DebateWarrior #HighSchoolDebater </t>
  </si>
  <si>
    <t xml:space="preserve">Started a photography club at school. Capturing moments, one snapshot at a time! </t>
  </si>
  <si>
    <t xml:space="preserve"> PhotoClubHighSchool </t>
  </si>
  <si>
    <t xml:space="preserve"> #PhotographyClub #HighSchoolPhotographer </t>
  </si>
  <si>
    <t xml:space="preserve">Daydreaming about the upcoming prom. The dress, the dance – it's a fairytale in the making! </t>
  </si>
  <si>
    <t xml:space="preserve"> PromDreamerHighSchool </t>
  </si>
  <si>
    <t xml:space="preserve"> #PromDreams #HighSchoolFairytale </t>
  </si>
  <si>
    <t xml:space="preserve">Convinced the teacher to have class outdoors. Learning equations with a side of fresh air! </t>
  </si>
  <si>
    <t xml:space="preserve"> Positive </t>
  </si>
  <si>
    <t xml:space="preserve"> OutdoorClassHighSchool </t>
  </si>
  <si>
    <t xml:space="preserve"> #OutdoorClassroom #HighSchoolExplorer </t>
  </si>
  <si>
    <t xml:space="preserve">Accidentally spilled paint in art class. Abstract art, right? #ArtClassAdventures #HighSchoolArtist </t>
  </si>
  <si>
    <t xml:space="preserve"> Embarrassed </t>
  </si>
  <si>
    <t xml:space="preserve"> PaintSpillHighSchool </t>
  </si>
  <si>
    <t xml:space="preserve"> #ArtisticMishaps #HighSchoolArt </t>
  </si>
  <si>
    <t xml:space="preserve">Trying to master the perfect kickflip on my skateboard. Skating into the weekend like a pro! </t>
  </si>
  <si>
    <t xml:space="preserve"> SkateProHighSchool </t>
  </si>
  <si>
    <t xml:space="preserve"> #SkaterLife #HighSchoolSkater </t>
  </si>
  <si>
    <t xml:space="preserve">Bonding with friends over the latest K-pop sensation. Fangirling at its finest! </t>
  </si>
  <si>
    <t xml:space="preserve"> KpopFangirlHighSchool </t>
  </si>
  <si>
    <t xml:space="preserve"> #KpopFangirl #HighSchoolMusic </t>
  </si>
  <si>
    <t xml:space="preserve">Spent hours perfecting a chemistry experiment. Mixing potions like a wizard! </t>
  </si>
  <si>
    <t xml:space="preserve"> ChemistryWizardHighSchool </t>
  </si>
  <si>
    <t xml:space="preserve"> #ChemistryWizard #HighSchoolScientist </t>
  </si>
  <si>
    <t xml:space="preserve">Successfully organized a surprise birthday party for a friend. Party planning expert mode: Achieved! </t>
  </si>
  <si>
    <t xml:space="preserve"> BirthdayPartyPlannerHighSchool </t>
  </si>
  <si>
    <t xml:space="preserve"> #BirthdayParty #HighSchoolCelebration </t>
  </si>
  <si>
    <t xml:space="preserve">Joined the drama club to unleash my inner actor. Lights, camera, action! </t>
  </si>
  <si>
    <t xml:space="preserve"> DramaClubStarHighSchool </t>
  </si>
  <si>
    <t xml:space="preserve"> #DramaClubStar #HighSchoolActor </t>
  </si>
  <si>
    <t xml:space="preserve">Got my hands on the latest fantasy novel. Diving into realms of magic and adventure! </t>
  </si>
  <si>
    <t xml:space="preserve"> FantasyBookNerdHighSchool </t>
  </si>
  <si>
    <t xml:space="preserve"> #FantasyBookNerd #HighSchoolReader </t>
  </si>
  <si>
    <t xml:space="preserve">Mastering the art of the perfect doodle during boring classes. Doodles: A+! </t>
  </si>
  <si>
    <t xml:space="preserve"> DoodleMasterHighSchool </t>
  </si>
  <si>
    <t xml:space="preserve"> #DoodleMaster #HighSchoolArt </t>
  </si>
  <si>
    <t xml:space="preserve">Attempting to break the school record for the longest handstand. Wish me luck! </t>
  </si>
  <si>
    <t xml:space="preserve"> HandstandChallengeHighSchool </t>
  </si>
  <si>
    <t xml:space="preserve"> #HandstandChallenge #HighSchoolAthlete </t>
  </si>
  <si>
    <t xml:space="preserve">Sneaking snacks into class like a pro. The art of snack-smuggling is a sacred skill! </t>
  </si>
  <si>
    <t xml:space="preserve"> Mischievous </t>
  </si>
  <si>
    <t xml:space="preserve"> SnackSmugglerHighSchool </t>
  </si>
  <si>
    <t xml:space="preserve"> #SnackSmuggler #HighSchoolSnacks </t>
  </si>
  <si>
    <t xml:space="preserve">Hosting a sleepover with friends this weekend. Preparing for a night of laughter and memories! </t>
  </si>
  <si>
    <t xml:space="preserve"> SleepoverHostHighSchool </t>
  </si>
  <si>
    <t xml:space="preserve"> #SleepoverFun #HighSchoolMemories </t>
  </si>
  <si>
    <t xml:space="preserve">Spent hours on a TikTok dance, only to realize I have two left feet. Dance fail: Unleashed! </t>
  </si>
  <si>
    <t xml:space="preserve"> TikTokFailHighSchool </t>
  </si>
  <si>
    <t xml:space="preserve"> #DanceFail #HighSchoolTikTok </t>
  </si>
  <si>
    <t xml:space="preserve">Accidentally liked my crush's old photo while stalking their profile. Awkward level: Maximum! </t>
  </si>
  <si>
    <t xml:space="preserve"> SocialMediaBlunderHighSchool </t>
  </si>
  <si>
    <t xml:space="preserve"> #SocialMediaBlunder #HighSchoolAwkward </t>
  </si>
  <si>
    <t xml:space="preserve">Tried to impress my crush with a smooth conversation. Ended up spilling my drink. Smooth level: Nonexistent! </t>
  </si>
  <si>
    <t xml:space="preserve"> CrushFailHighSchool </t>
  </si>
  <si>
    <t xml:space="preserve"> #CrushFail #HighSchoolEmbarrassment </t>
  </si>
  <si>
    <t xml:space="preserve">Mastered the art of creating paper airplanes during lecture. Paper planes: Soaring to new heights! </t>
  </si>
  <si>
    <t xml:space="preserve"> PaperPlaneExpertHighSchool </t>
  </si>
  <si>
    <t xml:space="preserve"> #PaperPlaneExpert #HighSchoolArt </t>
  </si>
  <si>
    <t xml:space="preserve">Trying to set a new trend by juggling textbooks between classes. Academic juggling: A unique skill! </t>
  </si>
  <si>
    <t xml:space="preserve"> JugglingProHighSchool </t>
  </si>
  <si>
    <t xml:space="preserve"> #TextbookJuggling #HighSchoolSkills </t>
  </si>
  <si>
    <t xml:space="preserve">Hiding a snack stash in my backpack for emergency cravings. Snack ninja mode: Activated! </t>
  </si>
  <si>
    <t xml:space="preserve"> SnackNinjaHighSchool </t>
  </si>
  <si>
    <t xml:space="preserve"> #SnackNinja #HighSchoolSnacks </t>
  </si>
  <si>
    <t xml:space="preserve">Planning a surprise scavenger hunt for friends. Anticipating the thrill and excitement! </t>
  </si>
  <si>
    <t xml:space="preserve"> ScavengerHuntMasterHighSchool </t>
  </si>
  <si>
    <t xml:space="preserve"> #SurpriseAdventure #HighSchoolFun </t>
  </si>
  <si>
    <t xml:space="preserve">Danced in the rain to celebrate the end of exams. Rain dance: Unexpectedly refreshing! </t>
  </si>
  <si>
    <t xml:space="preserve"> RainDanceCelebrationHighSchool </t>
  </si>
  <si>
    <t xml:space="preserve"> #RainDance #HighSchoolJoy </t>
  </si>
  <si>
    <t xml:space="preserve">Accidentally sent a text meant for a friend to the class group chat. Texting fail: Oops moment! </t>
  </si>
  <si>
    <t xml:space="preserve"> GroupChatBlunderHighSchool </t>
  </si>
  <si>
    <t xml:space="preserve"> #TextingFail #HighSchoolAwkward </t>
  </si>
  <si>
    <t xml:space="preserve">Tried a magic trick to impress classmates. Magic fail: Where did that rabbit go? </t>
  </si>
  <si>
    <t xml:space="preserve"> MagicFailHighSchool </t>
  </si>
  <si>
    <t xml:space="preserve"> #MagicFail #HighSchoolMagic </t>
  </si>
  <si>
    <t xml:space="preserve">Perfecting the art of creating origami during a dull lecture. Origami mastery: A+! </t>
  </si>
  <si>
    <t xml:space="preserve"> OrigamiProHighSchool </t>
  </si>
  <si>
    <t xml:space="preserve"> #OrigamiMaster #HighSchoolArt </t>
  </si>
  <si>
    <t xml:space="preserve">Attempting to set a new record for the most consecutive hacky sack kicks. Hacky sack skills: Unleashed! </t>
  </si>
  <si>
    <t xml:space="preserve"> HackySackChampionHighSchool </t>
  </si>
  <si>
    <t xml:space="preserve"> #HackySackChallenge #HighSchoolAthlete </t>
  </si>
  <si>
    <t xml:space="preserve">Creating a secret handshake with friends. Friendship level: Expert! </t>
  </si>
  <si>
    <t xml:space="preserve"> SecretHandshakeHighSchool </t>
  </si>
  <si>
    <t xml:space="preserve"> #FriendshipGoals #HighSchoolMemories </t>
  </si>
  <si>
    <t xml:space="preserve">Embarking on a mission to find the best burger joint in town. Burger connoisseur: Reporting for duty! </t>
  </si>
  <si>
    <t xml:space="preserve"> BurgerQuestHighSchool </t>
  </si>
  <si>
    <t xml:space="preserve"> #BurgerQuest #HighSchoolFoodie </t>
  </si>
  <si>
    <t xml:space="preserve">Practicing a stand-up comedy routine for the upcoming talent show. Comedy gig: In the making! </t>
  </si>
  <si>
    <t xml:space="preserve"> ComedyGeniusHighSchool </t>
  </si>
  <si>
    <t xml:space="preserve"> #StandUpComedy #HighSchoolTalent </t>
  </si>
  <si>
    <t xml:space="preserve">Accidentally sent a love letter to the wrong person. Love note fail: Maximum embarrassment! </t>
  </si>
  <si>
    <t xml:space="preserve"> LoveLetterBlunderHighSchool </t>
  </si>
  <si>
    <t xml:space="preserve"> #LoveLetterFail #HighSchoolAwkward </t>
  </si>
  <si>
    <t xml:space="preserve">Attempting to impress the teacher with an elaborate science experiment. Science geek mode: Activated! </t>
  </si>
  <si>
    <t xml:space="preserve"> ScienceExperimentProHighSchool </t>
  </si>
  <si>
    <t xml:space="preserve"> #ScienceGeek #HighSchoolExperiments </t>
  </si>
  <si>
    <t xml:space="preserve">Crafting intricate friendship bracelets for the whole squad. Friendship level: Expert weaver! </t>
  </si>
  <si>
    <t xml:space="preserve"> BraceletCraftsmanHighSchool </t>
  </si>
  <si>
    <t xml:space="preserve"> #FriendshipBracelets #HighSchoolCrafts </t>
  </si>
  <si>
    <t xml:space="preserve">Attempting to beat the record for the most consecutive cartwheels. Cartwheel challenge: Underway! </t>
  </si>
  <si>
    <t xml:space="preserve"> CartwheelMasterHighSchool </t>
  </si>
  <si>
    <t xml:space="preserve"> #CartwheelChallenge #HighSchoolAthlete </t>
  </si>
  <si>
    <t xml:space="preserve">Organizing a movie marathon with friends. Popcorn and cinematic adventures await! </t>
  </si>
  <si>
    <t xml:space="preserve"> MovieMarathonHostHighSchool </t>
  </si>
  <si>
    <t xml:space="preserve"> #MovieNight #HighSchoolMemories </t>
  </si>
  <si>
    <t xml:space="preserve">Experimenting with a new hair color. A bold change for a bold semester! </t>
  </si>
  <si>
    <t xml:space="preserve"> HairColorExperimentHighSchool </t>
  </si>
  <si>
    <t xml:space="preserve"> #HairExperiment #HighSchoolStyle </t>
  </si>
  <si>
    <t xml:space="preserve">Building a time capsule to capture memories for the future. Time-traveling emotions! </t>
  </si>
  <si>
    <t xml:space="preserve"> TimeCapsuleCreatorHighSchool </t>
  </si>
  <si>
    <t xml:space="preserve"> #TimeCapsule #HighSchoolNostalgia </t>
  </si>
  <si>
    <t xml:space="preserve">Accidentally walked into the wrong classroom on the first day. Classroom mix-up: Awkward start! </t>
  </si>
  <si>
    <t xml:space="preserve"> ClassroomBlunderHighSchool </t>
  </si>
  <si>
    <t xml:space="preserve"> #FirstDayOops #HighSchoolEmbarrassment </t>
  </si>
  <si>
    <t xml:space="preserve">Trying out a new smoothie recipe for a healthy start to the week. Smoothie enthusiast: Level up! </t>
  </si>
  <si>
    <t xml:space="preserve"> SmoothieConnoisseurHighSchool </t>
  </si>
  <si>
    <t xml:space="preserve"> #HealthyLiving #HighSchoolWellness </t>
  </si>
  <si>
    <t xml:space="preserve">Reflecting on the challenges of the school year. Feeling a bit overwhelmed with assignments. </t>
  </si>
  <si>
    <t xml:space="preserve"> Sad </t>
  </si>
  <si>
    <t xml:space="preserve"> OverwhelmedHighSchoolStudent </t>
  </si>
  <si>
    <t xml:space="preserve"> #SchoolChallenges #HighSchoolStruggles </t>
  </si>
  <si>
    <t xml:space="preserve">Encountered some mean-spirited comments online. Dealing with online hate is never easy. </t>
  </si>
  <si>
    <t xml:space="preserve"> Hate </t>
  </si>
  <si>
    <t xml:space="preserve"> DealingWithHateHighSchool </t>
  </si>
  <si>
    <t xml:space="preserve"> #OnlineHate #HighSchoolReality </t>
  </si>
  <si>
    <t xml:space="preserve">Had a bad day at school. Everything seems to be going wrong. </t>
  </si>
  <si>
    <t xml:space="preserve"> Bad </t>
  </si>
  <si>
    <t xml:space="preserve"> ToughDayHighSchool </t>
  </si>
  <si>
    <t xml:space="preserve"> #BadDay #HighSchoolBlues </t>
  </si>
  <si>
    <t xml:space="preserve">Feeling down after not making the sports team. Disappointment lingers. </t>
  </si>
  <si>
    <t xml:space="preserve"> SportsTeamRejectionHighSchool </t>
  </si>
  <si>
    <t xml:space="preserve"> #Disappointment #HighSchoolSports </t>
  </si>
  <si>
    <t xml:space="preserve">Witnessed a heated argument in the cafeteria. Unpleasant atmosphere at lunch. </t>
  </si>
  <si>
    <t xml:space="preserve"> CafeteriaConflictHighSchool </t>
  </si>
  <si>
    <t xml:space="preserve"> #CafeteriaDrama #HighSchoolTension </t>
  </si>
  <si>
    <t xml:space="preserve">Received a not-so-great grade on a major project. Academic frustration setting in. </t>
  </si>
  <si>
    <t xml:space="preserve"> ProjectGradeDisappointmentHighSchool </t>
  </si>
  <si>
    <t xml:space="preserve"> #AcademicFrustration #HighSchoolStress </t>
  </si>
  <si>
    <t xml:space="preserve">Dealing with a personal setback. Sometimes life throws unexpected challenges. </t>
  </si>
  <si>
    <t xml:space="preserve"> PersonalSetbackHighSchool </t>
  </si>
  <si>
    <t xml:space="preserve"> #LifeChallenges #HighSchoolStruggles </t>
  </si>
  <si>
    <t xml:space="preserve">Feeling lonely on a Saturday night. Sometimes solitude hits harder than expected. </t>
  </si>
  <si>
    <t xml:space="preserve"> LonelySaturdayHighSchool </t>
  </si>
  <si>
    <t xml:space="preserve"> #LonelyNights #HighSchoolEmotions </t>
  </si>
  <si>
    <t xml:space="preserve">Experiencing cyberbullying. Hateful messages online are disheartening. </t>
  </si>
  <si>
    <t xml:space="preserve"> CyberbullyingVictimHighSchool </t>
  </si>
  <si>
    <t xml:space="preserve"> #StopCyberbullying #HighSchoolReality </t>
  </si>
  <si>
    <t xml:space="preserve">Caught in a torrential rainstorm without an umbrella. Today's weather is just bad luck. </t>
  </si>
  <si>
    <t xml:space="preserve"> RainyDayBluesHighSchool </t>
  </si>
  <si>
    <t xml:space="preserve"> #BadLuck #HighSchoolWeather </t>
  </si>
  <si>
    <t xml:space="preserve">Missing an important event due to unforeseen circumstances. A day filled with sadness. </t>
  </si>
  <si>
    <t xml:space="preserve"> MissedOpportunityHighSchool </t>
  </si>
  <si>
    <t xml:space="preserve"> #MissedChances #HighSchoolRegret </t>
  </si>
  <si>
    <t xml:space="preserve">Dealing with unfounded rumors circulating about personal life. Rumors can be hurtful. </t>
  </si>
  <si>
    <t xml:space="preserve"> RumorVictimHighSchool </t>
  </si>
  <si>
    <t xml:space="preserve"> #RumorMills #HighSchoolDrama </t>
  </si>
  <si>
    <t xml:space="preserve">Got a flat tire on the way to an important meeting. Talk about a series of bad events! </t>
  </si>
  <si>
    <t xml:space="preserve"> FlatTireWoesHighSchool </t>
  </si>
  <si>
    <t xml:space="preserve"> #BadLuckDay #HighSchoolStruggles </t>
  </si>
  <si>
    <t xml:space="preserve">Feeling a sense of emptiness after a close friend moves away. Farewells are always sad. </t>
  </si>
  <si>
    <t xml:space="preserve"> FriendMovingAwayHighSchool </t>
  </si>
  <si>
    <t xml:space="preserve"> #SayingGoodbye #HighSchoolEmotions </t>
  </si>
  <si>
    <t xml:space="preserve">Facing rejection from a dream college. Disheartened but determined to explore other paths. </t>
  </si>
  <si>
    <t xml:space="preserve"> CollegeRejectionHighSchool </t>
  </si>
  <si>
    <t xml:space="preserve"> #CollegeDreams #HighSchoolJourney </t>
  </si>
  <si>
    <t xml:space="preserve">Encountering online toxicity during a gaming session. Hateful comments can ruin the fun. </t>
  </si>
  <si>
    <t xml:space="preserve"> GamingToxicityHighSchool </t>
  </si>
  <si>
    <t xml:space="preserve"> #OnlineGaming #HighSchoolGamer </t>
  </si>
  <si>
    <t xml:space="preserve">Having a bad hair day and feeling self-conscious. Bad hair days can affect confidence. </t>
  </si>
  <si>
    <t xml:space="preserve"> BadHairDayBluesHighSchool </t>
  </si>
  <si>
    <t xml:space="preserve"> #BadHairDay #HighSchoolConfidence </t>
  </si>
  <si>
    <t xml:space="preserve">Feeling a sense of despair after a major project failure. Hard work didn't pay off this time. </t>
  </si>
  <si>
    <t xml:space="preserve"> ProjectFailureDespairHighSchool </t>
  </si>
  <si>
    <t xml:space="preserve"> #ProjectStruggles #HighSchoolHardships </t>
  </si>
  <si>
    <t xml:space="preserve">Experiencing hate comments for expressing personal opinions. Online negativity prevails. </t>
  </si>
  <si>
    <t xml:space="preserve"> OpinionsHateHighSchool </t>
  </si>
  <si>
    <t xml:space="preserve"> #OnlineOpinions #HighSchoolCriticism </t>
  </si>
  <si>
    <t xml:space="preserve">Having a string of bad luck with constant technology malfunctions. Tech troubles galore! </t>
  </si>
  <si>
    <t xml:space="preserve"> TechMalfunctionWoesHighSchool </t>
  </si>
  <si>
    <t xml:space="preserve"> #TechIssues #HighSchoolTech </t>
  </si>
  <si>
    <t xml:space="preserve">Missing out on a long-anticipated event due to unexpected circumstances. A day filled with sadness. </t>
  </si>
  <si>
    <t xml:space="preserve"> MissedEventBluesHighSchool </t>
  </si>
  <si>
    <t xml:space="preserve"> #MissedMoments #HighSchoolRegret </t>
  </si>
  <si>
    <t xml:space="preserve">Trying out a new study technique for upcoming exams. Exploring different learning strategies. </t>
  </si>
  <si>
    <t xml:space="preserve"> Neutral </t>
  </si>
  <si>
    <t xml:space="preserve"> StudyTechniqueExperimentHighSchool </t>
  </si>
  <si>
    <t xml:space="preserve"> #StudyStrategies #HighSchoolExams </t>
  </si>
  <si>
    <t xml:space="preserve">Organizing a community cleanup event for a cleaner neighborhood. Promoting environmental awareness. </t>
  </si>
  <si>
    <t xml:space="preserve"> CommunityCleanupHighSchool </t>
  </si>
  <si>
    <t xml:space="preserve"> #EnvironmentalEfforts #HighSchoolCommunity </t>
  </si>
  <si>
    <t xml:space="preserve">Sharing favorite book recommendations with classmates. Building a mini book club. </t>
  </si>
  <si>
    <t xml:space="preserve"> BookRecommendationsHighSchool </t>
  </si>
  <si>
    <t xml:space="preserve"> #BookClub #HighSchoolReads </t>
  </si>
  <si>
    <t xml:space="preserve">Experimenting with a new recipe for a school bake sale. Baking adventures in the kitchen. </t>
  </si>
  <si>
    <t xml:space="preserve"> BakeSaleRecipeExperimentHighSchool </t>
  </si>
  <si>
    <t xml:space="preserve"> #BakingAdventures #HighSchoolBakes </t>
  </si>
  <si>
    <t xml:space="preserve">Collaborating on a school project with peers. Teamwork makes the dream work. </t>
  </si>
  <si>
    <t xml:space="preserve"> SchoolProjectCollaborationHighSchool </t>
  </si>
  <si>
    <t xml:space="preserve"> #Teamwork #HighSchoolProjects </t>
  </si>
  <si>
    <t xml:space="preserve">Attending a school club meeting to explore new interests. Dabbling in extracurricular activities. </t>
  </si>
  <si>
    <t xml:space="preserve"> ExtracurricularExplorationHighSchool </t>
  </si>
  <si>
    <t xml:space="preserve"> #SchoolClubs #HighSchoolInterests </t>
  </si>
  <si>
    <t xml:space="preserve">Exploring a new part-time job opportunity for gaining work experience. Career development in progress. </t>
  </si>
  <si>
    <t xml:space="preserve"> PartTimeJobExplorationHighSchool </t>
  </si>
  <si>
    <t xml:space="preserve"> #CareerDevelopment #HighSchoolJobs </t>
  </si>
  <si>
    <t xml:space="preserve">Attending a school assembly to stay informed about upcoming events and announcements. Staying connected with school activities. </t>
  </si>
  <si>
    <t xml:space="preserve"> SchoolAssemblyParticipationHighSchool </t>
  </si>
  <si>
    <t xml:space="preserve"> #SchoolEvents #HighSchoolConnectivity </t>
  </si>
  <si>
    <t xml:space="preserve">Exploring a new hobby of photography during free time. Capturing moments through a lens. </t>
  </si>
  <si>
    <t xml:space="preserve"> PhotographyHobbyHighSchool </t>
  </si>
  <si>
    <t xml:space="preserve"> #PhotographyJourney #HighSchoolHobbies </t>
  </si>
  <si>
    <t xml:space="preserve">Participating in a science fair to showcase a unique experiment. Sharing knowledge with peers. </t>
  </si>
  <si>
    <t xml:space="preserve"> ScienceFairParticipationHighSchool </t>
  </si>
  <si>
    <t xml:space="preserve"> #ScienceFair #HighSchoolScience </t>
  </si>
  <si>
    <t xml:space="preserve">Attending a workshop on time management to enhance organizational skills. Striving for efficiency. </t>
  </si>
  <si>
    <t xml:space="preserve"> TimeManagementWorkshopHighSchool </t>
  </si>
  <si>
    <t xml:space="preserve"> #EfficiencyGoals #HighSchoolSkills </t>
  </si>
  <si>
    <t xml:space="preserve">Volunteering at a local charity event to give back to the community. Contributing to social causes. </t>
  </si>
  <si>
    <t xml:space="preserve"> CharityEventVolunteerHighSchool </t>
  </si>
  <si>
    <t xml:space="preserve"> #CommunityService #HighSchoolVolunteer </t>
  </si>
  <si>
    <t xml:space="preserve">Collaborating on a group project to promote teamwork and shared responsibilities. Group effort in action. </t>
  </si>
  <si>
    <t xml:space="preserve"> GroupProjectCollaborationHighSchool </t>
  </si>
  <si>
    <t xml:space="preserve"> #TeamSpirit #HighSchoolProjects </t>
  </si>
  <si>
    <t xml:space="preserve">Participating in a debate club to enhance critical thinking and communication skills. Intellectual engagement in progress. </t>
  </si>
  <si>
    <t xml:space="preserve"> DebateClubParticipationHighSchool </t>
  </si>
  <si>
    <t xml:space="preserve"> #DebateSkills #HighSchoolIntellect </t>
  </si>
  <si>
    <t xml:space="preserve">Celebrating a friend's birthday with a surprise party. Joyful moments and laughter all around! </t>
  </si>
  <si>
    <t xml:space="preserve"> Happy </t>
  </si>
  <si>
    <t xml:space="preserve"> BirthdaySurpriseHighSchool </t>
  </si>
  <si>
    <t xml:space="preserve"> #SurpriseParty #HighSchoolCelebration </t>
  </si>
  <si>
    <t xml:space="preserve">Successfully completing a challenging coding project. Excitement for overcoming coding hurdles! </t>
  </si>
  <si>
    <t xml:space="preserve"> CodingSuccessHighSchool </t>
  </si>
  <si>
    <t xml:space="preserve"> #CodingTriumph #HighSchoolTech </t>
  </si>
  <si>
    <t xml:space="preserve">Attending a school talent show to support classmates. Applauding the diverse talents on display! </t>
  </si>
  <si>
    <t xml:space="preserve"> TalentShowSupportHighSchool </t>
  </si>
  <si>
    <t xml:space="preserve"> #TalentShow #HighSchoolEntertainment </t>
  </si>
  <si>
    <t xml:space="preserve">Exploring a new hiking trail with friends over the weekend. Nature, laughter, and good vibes! </t>
  </si>
  <si>
    <t xml:space="preserve"> WeekendHikeHighSchool </t>
  </si>
  <si>
    <t xml:space="preserve"> #NatureAdventures #HighSchoolFriends </t>
  </si>
  <si>
    <t xml:space="preserve">Winning a friendly sports competition against rival schools. Victory celebrations in full swing! </t>
  </si>
  <si>
    <t xml:space="preserve"> SportsVictoryHighSchool </t>
  </si>
  <si>
    <t xml:space="preserve"> #SportsTriumph #HighSchoolAthletics </t>
  </si>
  <si>
    <t xml:space="preserve">Receiving a heartfelt letter from a pen pal in another country. Connecting across the globe! </t>
  </si>
  <si>
    <t xml:space="preserve"> PenPalConnectionHighSchool </t>
  </si>
  <si>
    <t xml:space="preserve"> #GlobalFriendship #HighSchoolCorrespondence </t>
  </si>
  <si>
    <t xml:space="preserve">Creating a beautiful mural with fellow art enthusiasts. The power of collaboration and creativity! </t>
  </si>
  <si>
    <t xml:space="preserve"> MuralCreationHighSchool </t>
  </si>
  <si>
    <t xml:space="preserve"> #ArtCollaboration #HighSchoolCreativity </t>
  </si>
  <si>
    <t xml:space="preserve">Participating in a school-wide art exhibition. Witnessing creativity and spreading positive vibes! </t>
  </si>
  <si>
    <t xml:space="preserve"> ArtExhibitionJoyHighSchool </t>
  </si>
  <si>
    <t xml:space="preserve"> #ArtisticExpression #HighSchoolCreativity </t>
  </si>
  <si>
    <t xml:space="preserve">Achieving a personal best in a track and field competition. The thrill of victory and self-improvement! </t>
  </si>
  <si>
    <t xml:space="preserve"> TrackFieldSuccessHighSchool </t>
  </si>
  <si>
    <t xml:space="preserve"> #AthleticAchievement #HighSchoolSports </t>
  </si>
  <si>
    <t xml:space="preserve">Collaborating on a science project that received recognition at a regional fair. Science triumphs and smiles! </t>
  </si>
  <si>
    <t xml:space="preserve"> ScienceProjectSuccessHighSchool </t>
  </si>
  <si>
    <t xml:space="preserve"> #ScienceFairWinner #HighSchoolScience </t>
  </si>
  <si>
    <t xml:space="preserve">Attending a surprise birthday party organized by friends. Surrounded by love, laughter, and good company! </t>
  </si>
  <si>
    <t xml:space="preserve"> BirthdayPartyJoyHighSchool </t>
  </si>
  <si>
    <t xml:space="preserve"> #SurpriseCelebration #HighSchoolFriendship </t>
  </si>
  <si>
    <t xml:space="preserve">Successfully fundraising for a school charity initiative. The joy of giving back to the community! </t>
  </si>
  <si>
    <t xml:space="preserve"> CharityFundraisingTriumphHighSchool </t>
  </si>
  <si>
    <t xml:space="preserve"> #CommunityGiving #HighSchoolPhilanthropy </t>
  </si>
  <si>
    <t xml:space="preserve">Participating in a multicultural festival, celebrating diversity with music, dance, and delicious food! </t>
  </si>
  <si>
    <t xml:space="preserve"> MulticulturalFestivalJoyHighSchool </t>
  </si>
  <si>
    <t xml:space="preserve"> #CulturalCelebration #HighSchoolUnity </t>
  </si>
  <si>
    <t xml:space="preserve">Organizing a virtual talent show during challenging times, bringing smiles to classmates' faces! </t>
  </si>
  <si>
    <t xml:space="preserve"> VirtualTalentShowSuccessHighSchool </t>
  </si>
  <si>
    <t xml:space="preserve"> #VirtualEntertainment #HighSchoolPositivity </t>
  </si>
  <si>
    <t>ID</t>
  </si>
  <si>
    <t>Post Text</t>
  </si>
  <si>
    <t>Username</t>
  </si>
  <si>
    <t>Social Media Sentiment Dataset  - Raw Data</t>
  </si>
  <si>
    <t>Social Media Sentiment Dataset</t>
  </si>
  <si>
    <t>Post Text (Cleaned)</t>
  </si>
  <si>
    <t>Sentiment (Cleaned)</t>
  </si>
  <si>
    <t>Username (Cleaned)</t>
  </si>
  <si>
    <t>Platform (Cleaned)</t>
  </si>
  <si>
    <t>Hashtags (Cleaned)</t>
  </si>
  <si>
    <t>Country (Cleaned)</t>
  </si>
  <si>
    <t>Task 1: Text Cleaning Functions - TRIM, CLEAN, SUBSTITUTE, UPPER, LOWER, PROPER, LEN</t>
  </si>
  <si>
    <t>Row#</t>
  </si>
  <si>
    <t>Original Value</t>
  </si>
  <si>
    <t>TRIM: Remove Spaces</t>
  </si>
  <si>
    <t>CLEAN: Remove Characters</t>
  </si>
  <si>
    <t>SUBSTITUTE: Replace Text</t>
  </si>
  <si>
    <t>UPPER: All Caps</t>
  </si>
  <si>
    <t>LOWER: All Lowercase</t>
  </si>
  <si>
    <t>PROPER: Title Case</t>
  </si>
  <si>
    <t>LEN: Original Length</t>
  </si>
  <si>
    <t>LEN: After TRIM Length</t>
  </si>
  <si>
    <t>Difference</t>
  </si>
  <si>
    <t>Tak 1: Flash Fill &amp; Find and Replace - Pattern Detection &amp; Mass Updates</t>
  </si>
  <si>
    <t>Original Timestamp</t>
  </si>
  <si>
    <t>Flash Fill: Year Extracted</t>
  </si>
  <si>
    <t>Flash Fill: Month Extracted</t>
  </si>
  <si>
    <t>Flash Fill: Date Only</t>
  </si>
  <si>
    <t>Flash Fill: Time Only</t>
  </si>
  <si>
    <t>Original Country</t>
  </si>
  <si>
    <t>After Find &amp; Replace</t>
  </si>
  <si>
    <t xml:space="preserve"> United States      </t>
  </si>
  <si>
    <t xml:space="preserve"> United States        </t>
  </si>
  <si>
    <t xml:space="preserve"> United States    </t>
  </si>
  <si>
    <t>United States</t>
  </si>
  <si>
    <t xml:space="preserve"> United States       </t>
  </si>
  <si>
    <t xml:space="preserve"> United States </t>
  </si>
  <si>
    <t xml:space="preserve"> United States     </t>
  </si>
  <si>
    <t xml:space="preserve"> United States          </t>
  </si>
  <si>
    <t xml:space="preserve"> United States   </t>
  </si>
  <si>
    <t xml:space="preserve"> United States  </t>
  </si>
  <si>
    <t xml:space="preserve"> United States           </t>
  </si>
  <si>
    <t xml:space="preserve"> United States               </t>
  </si>
  <si>
    <t xml:space="preserve"> United States             </t>
  </si>
  <si>
    <t xml:space="preserve"> United States         </t>
  </si>
  <si>
    <t xml:space="preserve"> United States</t>
  </si>
  <si>
    <t xml:space="preserve"> United Kingdom       </t>
  </si>
  <si>
    <t xml:space="preserve"> United Kingdom </t>
  </si>
  <si>
    <t xml:space="preserve"> United Kingdom        </t>
  </si>
  <si>
    <t xml:space="preserve"> United Kingdom   </t>
  </si>
  <si>
    <t xml:space="preserve"> United Kingdom         </t>
  </si>
  <si>
    <t xml:space="preserve"> United Kingdom           </t>
  </si>
  <si>
    <t xml:space="preserve"> United Kingdom            </t>
  </si>
  <si>
    <t xml:space="preserve"> United Kingdom          </t>
  </si>
  <si>
    <t xml:space="preserve"> United Kingdom      </t>
  </si>
  <si>
    <t xml:space="preserve"> United Kingdom                </t>
  </si>
  <si>
    <t xml:space="preserve"> United Kingdom               </t>
  </si>
  <si>
    <t xml:space="preserve"> United Kingdom              </t>
  </si>
  <si>
    <t xml:space="preserve"> United Kingdom</t>
  </si>
  <si>
    <t>Note</t>
  </si>
  <si>
    <t>Level 2 Task 1 Summary - Data Cleaning &amp; Preprocessing</t>
  </si>
  <si>
    <t>Tool/Function</t>
  </si>
  <si>
    <t>How It Was Used</t>
  </si>
  <si>
    <t>Business Purpose</t>
  </si>
  <si>
    <t>TRIM</t>
  </si>
  <si>
    <t>Removed leading, trailing and extra spaces from Sentiment, Username, Platform, Country and Hashtags columns</t>
  </si>
  <si>
    <t>Ensures consistent values - "Positive " and "Positive" are treated as the same</t>
  </si>
  <si>
    <t>CLEAN</t>
  </si>
  <si>
    <t>Removed invisible non-printable characters from Post Text and Hashtags columns</t>
  </si>
  <si>
    <t>Prevents hidden characters from causing errors in analysis and formulas</t>
  </si>
  <si>
    <t>SUBSTITUTE</t>
  </si>
  <si>
    <t>Replaced full sentiment labels with short codes - Positive -&gt; Pos, Negative -&gt; Neg, Neutral -&gt; Neu</t>
  </si>
  <si>
    <t>Standardizes labels for faster analysis and consistent categorization.</t>
  </si>
  <si>
    <t>UPPER</t>
  </si>
  <si>
    <t>Converted Country column to uppercase - USA,UK,CANADA</t>
  </si>
  <si>
    <t>Ensures consistent casing across all country values regardless of original format</t>
  </si>
  <si>
    <t>LOWER</t>
  </si>
  <si>
    <t>Demonstrated converting text to all lowercase</t>
  </si>
  <si>
    <t>Useful for case-insensitive comparisions and standardizing text fields.</t>
  </si>
  <si>
    <t>PROPER</t>
  </si>
  <si>
    <t>Standardized Platform and Sentiment columns -Twitter, Positive</t>
  </si>
  <si>
    <t>Ensures first letter is capitalized consistently across all values</t>
  </si>
  <si>
    <t>LEN</t>
  </si>
  <si>
    <t>Measured character length before and after TRIM to prove cleaning worked</t>
  </si>
  <si>
    <t>The difference in length confirms exactly how many dirty characters were removed</t>
  </si>
  <si>
    <t>Flash Fill</t>
  </si>
  <si>
    <t xml:space="preserve">Extracted Year, Date and Time from Timestamp column automatically </t>
  </si>
  <si>
    <t>Splits combined date-time values into separate components without complex formulas</t>
  </si>
  <si>
    <t>Find &amp; Replace</t>
  </si>
  <si>
    <t>Mass updated country names - USA -&gt; United States, UK-&gt; United Kingdom across 732 rows</t>
  </si>
  <si>
    <t>Fastest way to standardize hundreds of values simultaneously</t>
  </si>
  <si>
    <t>Remove Duplicates</t>
  </si>
  <si>
    <t>Checked dataset for duplicate rows using Data -&gt; Remove Duplicates</t>
  </si>
  <si>
    <t>Ensures each social media post is counted only once in analysis</t>
  </si>
  <si>
    <t xml:space="preserve">Known Limitation </t>
  </si>
  <si>
    <t>Emoji removal is not natively supported in Excel - CLEAN does not handle Unicode emoji characters</t>
  </si>
  <si>
    <t>For complete emoji removal Python regex or Power Query is recommended</t>
  </si>
  <si>
    <t>Row Labels</t>
  </si>
  <si>
    <t>Acceptance</t>
  </si>
  <si>
    <t>Accomplishment</t>
  </si>
  <si>
    <t>Admiration</t>
  </si>
  <si>
    <t>Adoration</t>
  </si>
  <si>
    <t>Adrenaline</t>
  </si>
  <si>
    <t>Adventure</t>
  </si>
  <si>
    <t>Affection</t>
  </si>
  <si>
    <t>Amazement</t>
  </si>
  <si>
    <t>Ambivalence</t>
  </si>
  <si>
    <t>Amusement</t>
  </si>
  <si>
    <t>Anger</t>
  </si>
  <si>
    <t>Anticipation</t>
  </si>
  <si>
    <t>Anxiety</t>
  </si>
  <si>
    <t>Appreciation</t>
  </si>
  <si>
    <t>Apprehensive</t>
  </si>
  <si>
    <t>Arousal</t>
  </si>
  <si>
    <t>Artisticburst</t>
  </si>
  <si>
    <t>Awe</t>
  </si>
  <si>
    <t>Bad</t>
  </si>
  <si>
    <t>Betrayal</t>
  </si>
  <si>
    <t>Bitter</t>
  </si>
  <si>
    <t>Bitterness</t>
  </si>
  <si>
    <t>Bittersweet</t>
  </si>
  <si>
    <t>Blessed</t>
  </si>
  <si>
    <t>Boredom</t>
  </si>
  <si>
    <t>Breakthrough</t>
  </si>
  <si>
    <t>Calmness</t>
  </si>
  <si>
    <t>Captivation</t>
  </si>
  <si>
    <t>Celebration</t>
  </si>
  <si>
    <t>Celestial Wonder</t>
  </si>
  <si>
    <t>Challenge</t>
  </si>
  <si>
    <t>Charm</t>
  </si>
  <si>
    <t>Colorful</t>
  </si>
  <si>
    <t>Compassion</t>
  </si>
  <si>
    <t>Compassionate</t>
  </si>
  <si>
    <t>Confidence</t>
  </si>
  <si>
    <t>Confident</t>
  </si>
  <si>
    <t>Confusion</t>
  </si>
  <si>
    <t>Connection</t>
  </si>
  <si>
    <t>Contemplation</t>
  </si>
  <si>
    <t>Contentment</t>
  </si>
  <si>
    <t>Coziness</t>
  </si>
  <si>
    <t>Creative Inspiration</t>
  </si>
  <si>
    <t>Creativity</t>
  </si>
  <si>
    <t>Culinary Adventure</t>
  </si>
  <si>
    <t>Culinaryodyssey</t>
  </si>
  <si>
    <t>Curiosity</t>
  </si>
  <si>
    <t>Darkness</t>
  </si>
  <si>
    <t>Dazzle</t>
  </si>
  <si>
    <t>Desolation</t>
  </si>
  <si>
    <t>Despair</t>
  </si>
  <si>
    <t>Desperation</t>
  </si>
  <si>
    <t>Determination</t>
  </si>
  <si>
    <t>Devastated</t>
  </si>
  <si>
    <t>Disappointed</t>
  </si>
  <si>
    <t>Disappointment</t>
  </si>
  <si>
    <t>Disgust</t>
  </si>
  <si>
    <t>Dismissive</t>
  </si>
  <si>
    <t>Dreamchaser</t>
  </si>
  <si>
    <t>Ecstasy</t>
  </si>
  <si>
    <t>Elation</t>
  </si>
  <si>
    <t>Elegance</t>
  </si>
  <si>
    <t>Embarrassed</t>
  </si>
  <si>
    <t>Emotion</t>
  </si>
  <si>
    <t>Emotionalstorm</t>
  </si>
  <si>
    <t>Empathetic</t>
  </si>
  <si>
    <t>Empowerment</t>
  </si>
  <si>
    <t>Enchantment</t>
  </si>
  <si>
    <t>Energy</t>
  </si>
  <si>
    <t>Engagement</t>
  </si>
  <si>
    <t>Enjoyment</t>
  </si>
  <si>
    <t>Enthusiasm</t>
  </si>
  <si>
    <t>Envious</t>
  </si>
  <si>
    <t>Envisioning History</t>
  </si>
  <si>
    <t>Envy</t>
  </si>
  <si>
    <t>Euphoria</t>
  </si>
  <si>
    <t>Excitement</t>
  </si>
  <si>
    <t>Exhaustion</t>
  </si>
  <si>
    <t>Exploration</t>
  </si>
  <si>
    <t>Fear</t>
  </si>
  <si>
    <t>Fearful</t>
  </si>
  <si>
    <t>Festivejoy</t>
  </si>
  <si>
    <t>Freedom</t>
  </si>
  <si>
    <t>Free-Spirited</t>
  </si>
  <si>
    <t>Friendship</t>
  </si>
  <si>
    <t>Frustrated</t>
  </si>
  <si>
    <t>Frustration</t>
  </si>
  <si>
    <t>Fulfillment</t>
  </si>
  <si>
    <t>Grandeur</t>
  </si>
  <si>
    <t>Grateful</t>
  </si>
  <si>
    <t>Gratitude</t>
  </si>
  <si>
    <t>Grief</t>
  </si>
  <si>
    <t>Happiness</t>
  </si>
  <si>
    <t>Happy</t>
  </si>
  <si>
    <t>Harmony</t>
  </si>
  <si>
    <t>Hate</t>
  </si>
  <si>
    <t>Heartache</t>
  </si>
  <si>
    <t>Heartbreak</t>
  </si>
  <si>
    <t>Heartwarming</t>
  </si>
  <si>
    <t>Helplessness</t>
  </si>
  <si>
    <t>Hope</t>
  </si>
  <si>
    <t>Hopeful</t>
  </si>
  <si>
    <t>Hypnotic</t>
  </si>
  <si>
    <t>Iconic</t>
  </si>
  <si>
    <t>Imagination</t>
  </si>
  <si>
    <t>Immersion</t>
  </si>
  <si>
    <t>Indifference</t>
  </si>
  <si>
    <t>Innerjourney</t>
  </si>
  <si>
    <t>Inspiration</t>
  </si>
  <si>
    <t>Inspired</t>
  </si>
  <si>
    <t>Intimidation</t>
  </si>
  <si>
    <t>Intrigue</t>
  </si>
  <si>
    <t>Isolation</t>
  </si>
  <si>
    <t>Jealous</t>
  </si>
  <si>
    <t>Jealousy</t>
  </si>
  <si>
    <t>Journey</t>
  </si>
  <si>
    <t>Joy</t>
  </si>
  <si>
    <t>Joy In Baking</t>
  </si>
  <si>
    <t>Joyfulreunion</t>
  </si>
  <si>
    <t>Kind</t>
  </si>
  <si>
    <t>Kindness</t>
  </si>
  <si>
    <t>Loneliness</t>
  </si>
  <si>
    <t>Loss</t>
  </si>
  <si>
    <t>Lostlove</t>
  </si>
  <si>
    <t>Love</t>
  </si>
  <si>
    <t>Marvel</t>
  </si>
  <si>
    <t>Melancholy</t>
  </si>
  <si>
    <t>Melodic</t>
  </si>
  <si>
    <t>Mesmerizing</t>
  </si>
  <si>
    <t>Mindfulness</t>
  </si>
  <si>
    <t>Miscalculation</t>
  </si>
  <si>
    <t>Mischievous</t>
  </si>
  <si>
    <t>Motivation</t>
  </si>
  <si>
    <t>Nature'S Beauty</t>
  </si>
  <si>
    <t>Negative</t>
  </si>
  <si>
    <t>Neutral</t>
  </si>
  <si>
    <t>Nostalgia</t>
  </si>
  <si>
    <t>Numbness</t>
  </si>
  <si>
    <t>Obstacle</t>
  </si>
  <si>
    <t>Ocean'S Freedom</t>
  </si>
  <si>
    <t>Optimism</t>
  </si>
  <si>
    <t>Overjoyed</t>
  </si>
  <si>
    <t>Overwhelmed</t>
  </si>
  <si>
    <t>Pensive</t>
  </si>
  <si>
    <t>Playful</t>
  </si>
  <si>
    <t>Playfuljoy</t>
  </si>
  <si>
    <t>Positive</t>
  </si>
  <si>
    <t>Positivity</t>
  </si>
  <si>
    <t>Pressure</t>
  </si>
  <si>
    <t>Pride</t>
  </si>
  <si>
    <t>Proud</t>
  </si>
  <si>
    <t>Radiance</t>
  </si>
  <si>
    <t>Reflection</t>
  </si>
  <si>
    <t>Regret</t>
  </si>
  <si>
    <t>Rejuvenation</t>
  </si>
  <si>
    <t>Relief</t>
  </si>
  <si>
    <t>Renewed Effort</t>
  </si>
  <si>
    <t>Resentment</t>
  </si>
  <si>
    <t>Resilience</t>
  </si>
  <si>
    <t>Reverence</t>
  </si>
  <si>
    <t>Romance</t>
  </si>
  <si>
    <t>Ruins</t>
  </si>
  <si>
    <t>Runway Creativity</t>
  </si>
  <si>
    <t>Sad</t>
  </si>
  <si>
    <t>Sadness</t>
  </si>
  <si>
    <t>Satisfaction</t>
  </si>
  <si>
    <t>Serenity</t>
  </si>
  <si>
    <t>Shame</t>
  </si>
  <si>
    <t>Solace</t>
  </si>
  <si>
    <t>Solitude</t>
  </si>
  <si>
    <t>Sorrow</t>
  </si>
  <si>
    <t>Spark</t>
  </si>
  <si>
    <t>Success</t>
  </si>
  <si>
    <t>Suffering</t>
  </si>
  <si>
    <t>Surprise</t>
  </si>
  <si>
    <t>Suspense</t>
  </si>
  <si>
    <t>Sympathy</t>
  </si>
  <si>
    <t>Tenderness</t>
  </si>
  <si>
    <t>Thrill</t>
  </si>
  <si>
    <t>Thrilling Journey</t>
  </si>
  <si>
    <t>Touched</t>
  </si>
  <si>
    <t>Tranquility</t>
  </si>
  <si>
    <t>Triumph</t>
  </si>
  <si>
    <t>Vibrancy</t>
  </si>
  <si>
    <t>Whimsy</t>
  </si>
  <si>
    <t>Whispers Of The Past</t>
  </si>
  <si>
    <t>Winter Magic</t>
  </si>
  <si>
    <t>Wonder</t>
  </si>
  <si>
    <t>Wonderment</t>
  </si>
  <si>
    <t>Yearning</t>
  </si>
  <si>
    <t>Zest</t>
  </si>
  <si>
    <t>Grand Total</t>
  </si>
  <si>
    <t>Count of Post Text (Cleaned)</t>
  </si>
  <si>
    <t>Total Posts</t>
  </si>
  <si>
    <t>Pivot Table 1 - Posts by Sentiment</t>
  </si>
  <si>
    <t>Facebook</t>
  </si>
  <si>
    <t>Instagram</t>
  </si>
  <si>
    <t>Twitter</t>
  </si>
  <si>
    <t>Pivot Table 2 - Posts via Platform</t>
  </si>
  <si>
    <t>AUSTRALIA</t>
  </si>
  <si>
    <t>AUSTRIA</t>
  </si>
  <si>
    <t>BELGIUM</t>
  </si>
  <si>
    <t>BRAZIL</t>
  </si>
  <si>
    <t>CAMBODIA</t>
  </si>
  <si>
    <t>CANADA</t>
  </si>
  <si>
    <t>CHINA</t>
  </si>
  <si>
    <t>COLOMBIA</t>
  </si>
  <si>
    <t>CZECH REPUBLIC</t>
  </si>
  <si>
    <t>DENMARK</t>
  </si>
  <si>
    <t>FRANCE</t>
  </si>
  <si>
    <t>GERMANY</t>
  </si>
  <si>
    <t>GREECE</t>
  </si>
  <si>
    <t>INDIA</t>
  </si>
  <si>
    <t>IRELAND</t>
  </si>
  <si>
    <t>ITALY</t>
  </si>
  <si>
    <t>JAMAICA</t>
  </si>
  <si>
    <t>JAPAN</t>
  </si>
  <si>
    <t>JORDAN</t>
  </si>
  <si>
    <t>KENYA</t>
  </si>
  <si>
    <t>MALDIVES</t>
  </si>
  <si>
    <t>NETHERLANDS</t>
  </si>
  <si>
    <t>NORWAY</t>
  </si>
  <si>
    <t>PERU</t>
  </si>
  <si>
    <t>PORTUGAL</t>
  </si>
  <si>
    <t>SCOTLAND</t>
  </si>
  <si>
    <t>SOUTH AFRICA</t>
  </si>
  <si>
    <t>SPAIN</t>
  </si>
  <si>
    <t>SWEDEN</t>
  </si>
  <si>
    <t>SWITZERLAND</t>
  </si>
  <si>
    <t>THAILAND</t>
  </si>
  <si>
    <t>UK</t>
  </si>
  <si>
    <t>Average of Likes</t>
  </si>
  <si>
    <t>Average of Retweets</t>
  </si>
  <si>
    <t>Task 2 : Pivot Tables &amp; Interactive Analysis - Social Media Sentiment Dataset</t>
  </si>
  <si>
    <t>Pivot Slicers</t>
  </si>
  <si>
    <t>Pivot Table 3 - Average Likes &amp; Retweets by Country</t>
  </si>
  <si>
    <t>Task 2 : Pivot Charts - Social Media Sentiment Dataset</t>
  </si>
  <si>
    <t>Total Values</t>
  </si>
  <si>
    <t>Pivot Table - Total posts per Month</t>
  </si>
  <si>
    <t>This chart shows the distribution of social media posts across different sentiment categories</t>
  </si>
  <si>
    <t>This chart shows the percentage share of posts across Twitter, Instagram and Facebook</t>
  </si>
  <si>
    <t>This chart shows how post volume changed across different months of the year</t>
  </si>
  <si>
    <t>Chart 1 : Sentiment Distribution</t>
  </si>
  <si>
    <t>Chart 2 : Platform Share</t>
  </si>
  <si>
    <t>Chart 3 : Posts Over Time</t>
  </si>
  <si>
    <t>Level 2 Task 2 Summary - Pivot Tables &amp; Pivot Charts</t>
  </si>
  <si>
    <t>Pivot Table 1</t>
  </si>
  <si>
    <t>Counted total posts grouped by Sentiment category</t>
  </si>
  <si>
    <t>Shows which emotions dominate social media conversations</t>
  </si>
  <si>
    <t>Pivot Table 2</t>
  </si>
  <si>
    <t>Counted total posts grouped by Platform.</t>
  </si>
  <si>
    <t>Reveals which social media platform has the most activity</t>
  </si>
  <si>
    <t>Pivot Table 3</t>
  </si>
  <si>
    <t>Calculated average Likes and Retweets grouped by Country</t>
  </si>
  <si>
    <t>Identifies which countries generate the most engagement</t>
  </si>
  <si>
    <t>Pivot Table 4</t>
  </si>
  <si>
    <t>Cross-tabulated posts by Platform and Sentiment combined</t>
  </si>
  <si>
    <t>Shows sentiment patterns across different platforms simultaneously</t>
  </si>
  <si>
    <t>Calculated Field</t>
  </si>
  <si>
    <t>Created engagement Rate formula inside Pivot Table 3</t>
  </si>
  <si>
    <t>Measures ration of likes to retweets as a custom metric</t>
  </si>
  <si>
    <t>Slicers</t>
  </si>
  <si>
    <t>Added Platform, Country and Sentiment slicers connected to all 4 Pivot Tables</t>
  </si>
  <si>
    <t>Enables one-click interactive filtering across all tables simultaneously</t>
  </si>
  <si>
    <t>Timeline</t>
  </si>
  <si>
    <t>Added interactive date timeline connected to Pivot Table 1</t>
  </si>
  <si>
    <t>Allows filtering of posts by specific months or date ranges</t>
  </si>
  <si>
    <t xml:space="preserve">Pivot Chart 1 </t>
  </si>
  <si>
    <t>Created clustered bar chart fro Pivot Table 1 showing posts by sentiment</t>
  </si>
  <si>
    <t>Visual comparision of sentiment distribution across all categories.</t>
  </si>
  <si>
    <t>Pivot Chart 2</t>
  </si>
  <si>
    <t>Created pie chart from Pivot Table 2 showing platform share %</t>
  </si>
  <si>
    <t>Shows proportional contribution of each platform to total posts</t>
  </si>
  <si>
    <t>Pivot Chart 3</t>
  </si>
  <si>
    <t>Created line chart showing post volume by month</t>
  </si>
  <si>
    <t>Reveals posting trends and patterns over time.</t>
  </si>
  <si>
    <t>Datset: Social Media Sentiment Dataset  | 732 rows x 14 columns | Codveda Advanced Excel Internship - Level 2, Task 1 &amp; 2</t>
  </si>
  <si>
    <t>Column Labels</t>
  </si>
  <si>
    <t>Post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</si>
</sst>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0"/>
      <name val="Aptos Narrow"/>
      <family val="2"/>
      <scheme val="minor"/>
    </font>
    <font>
      <sz val="14"/>
      <color rgb="FF1F4E79"/>
      <name val="Arial"/>
      <family val="2"/>
    </font>
    <font>
      <b/>
      <sz val="14"/>
      <color rgb="FF1F4E79"/>
      <name val="Arial"/>
      <family val="2"/>
    </font>
    <font>
      <b/>
      <sz val="11"/>
      <color theme="0"/>
      <name val="Arial"/>
      <family val="2"/>
    </font>
    <font>
      <b/>
      <sz val="11"/>
      <color rgb="FF1F4E79"/>
      <name val="Arial"/>
      <family val="2"/>
    </font>
    <font>
      <b/>
      <sz val="11"/>
      <color rgb="FF1F4E79"/>
      <name val="Aptos Display"/>
      <family val="2"/>
      <scheme val="major"/>
    </font>
    <font>
      <i/>
      <sz val="9"/>
      <color rgb="FF595959"/>
      <name val="Arial"/>
      <family val="2"/>
    </font>
    <font>
      <b/>
      <sz val="11"/>
      <color rgb="FF1F4E79"/>
      <name val="Aptos Narrow"/>
      <family val="2"/>
      <scheme val="minor"/>
    </font>
    <font>
      <b/>
      <sz val="14"/>
      <color theme="3" tint="0.249977111117893"/>
      <name val="Arial"/>
      <family val="2"/>
    </font>
    <font>
      <b/>
      <sz val="11"/>
      <color theme="3" tint="0.249977111117893"/>
      <name val="Aptos Narrow"/>
      <family val="2"/>
      <scheme val="minor"/>
    </font>
    <font>
      <b/>
      <sz val="14"/>
      <color rgb="FF00B050"/>
      <name val="Bahnschrift Condensed"/>
      <family val="2"/>
    </font>
    <font>
      <b/>
      <sz val="14"/>
      <color theme="6" tint="0.39997558519241921"/>
      <name val="Bahnschrift Condensed"/>
      <family val="2"/>
    </font>
    <font>
      <b/>
      <sz val="11"/>
      <color rgb="FFC00000"/>
      <name val="Aptos Narrow"/>
      <family val="2"/>
      <scheme val="minor"/>
    </font>
    <font>
      <i/>
      <sz val="9"/>
      <color theme="1"/>
      <name val="Aptos Narrow"/>
      <family val="2"/>
      <scheme val="minor"/>
    </font>
    <font>
      <i/>
      <sz val="9"/>
      <color theme="0" tint="-0.499984740745262"/>
      <name val="Arial"/>
      <family val="2"/>
    </font>
    <font>
      <i/>
      <sz val="9"/>
      <color theme="0" tint="-0.499984740745262"/>
      <name val="Aptos Narrow"/>
      <family val="2"/>
      <scheme val="minor"/>
    </font>
  </fonts>
  <fills count="11">
    <fill>
      <patternFill patternType="none"/>
    </fill>
    <fill>
      <patternFill patternType="gray125"/>
    </fill>
    <fill>
      <patternFill patternType="solid">
        <fgColor theme="9" tint="0.79998168889431442"/>
        <bgColor theme="9" tint="0.79998168889431442"/>
      </patternFill>
    </fill>
    <fill>
      <patternFill patternType="solid">
        <fgColor rgb="FFEBF3FB"/>
        <bgColor indexed="64"/>
      </patternFill>
    </fill>
    <fill>
      <patternFill patternType="solid">
        <fgColor rgb="FF1F4E79"/>
        <bgColor theme="9"/>
      </patternFill>
    </fill>
    <fill>
      <patternFill patternType="solid">
        <fgColor rgb="FF1F4E79"/>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3" tint="0.89999084444715716"/>
        <bgColor indexed="64"/>
      </patternFill>
    </fill>
    <fill>
      <patternFill patternType="solid">
        <fgColor theme="8" tint="0.59999389629810485"/>
        <bgColor indexed="64"/>
      </patternFill>
    </fill>
    <fill>
      <patternFill patternType="solid">
        <fgColor theme="7" tint="0.39997558519241921"/>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42">
    <xf numFmtId="0" fontId="0" fillId="0" borderId="0" xfId="0"/>
    <xf numFmtId="0" fontId="1" fillId="4" borderId="1" xfId="0" applyFont="1" applyFill="1" applyBorder="1" applyAlignment="1">
      <alignment horizontal="center" wrapText="1"/>
    </xf>
    <xf numFmtId="0" fontId="0" fillId="2" borderId="1" xfId="0" applyFill="1" applyBorder="1" applyAlignment="1">
      <alignment horizontal="center" wrapText="1"/>
    </xf>
    <xf numFmtId="22" fontId="0" fillId="2" borderId="1" xfId="0" applyNumberFormat="1" applyFill="1" applyBorder="1" applyAlignment="1">
      <alignment horizontal="center" wrapText="1"/>
    </xf>
    <xf numFmtId="0" fontId="0" fillId="0" borderId="1" xfId="0" applyBorder="1" applyAlignment="1">
      <alignment horizontal="center" wrapText="1"/>
    </xf>
    <xf numFmtId="22" fontId="0" fillId="0" borderId="1" xfId="0" applyNumberFormat="1" applyBorder="1" applyAlignment="1">
      <alignment horizontal="center" wrapText="1"/>
    </xf>
    <xf numFmtId="0" fontId="1" fillId="4" borderId="1" xfId="0" applyFont="1" applyFill="1" applyBorder="1" applyAlignment="1">
      <alignment horizontal="left" wrapText="1"/>
    </xf>
    <xf numFmtId="0" fontId="0" fillId="2" borderId="1" xfId="0" applyFill="1" applyBorder="1" applyAlignment="1">
      <alignment horizontal="left" wrapText="1"/>
    </xf>
    <xf numFmtId="0" fontId="0" fillId="0" borderId="1" xfId="0" applyBorder="1" applyAlignment="1">
      <alignment horizontal="left" wrapText="1"/>
    </xf>
    <xf numFmtId="0" fontId="0" fillId="0" borderId="0" xfId="0" applyAlignment="1">
      <alignment horizontal="left"/>
    </xf>
    <xf numFmtId="0" fontId="4" fillId="5" borderId="0" xfId="0" applyFont="1" applyFill="1" applyAlignment="1">
      <alignment horizontal="center" wrapText="1"/>
    </xf>
    <xf numFmtId="0" fontId="0" fillId="0" borderId="0" xfId="0" applyAlignment="1">
      <alignment horizontal="center" wrapText="1"/>
    </xf>
    <xf numFmtId="0" fontId="0" fillId="0" borderId="1" xfId="0" applyBorder="1"/>
    <xf numFmtId="0" fontId="0" fillId="0" borderId="2" xfId="0" applyBorder="1" applyAlignment="1">
      <alignment horizontal="center"/>
    </xf>
    <xf numFmtId="0" fontId="1" fillId="5" borderId="3" xfId="0" applyFont="1" applyFill="1" applyBorder="1" applyAlignment="1">
      <alignment horizontal="center" wrapText="1"/>
    </xf>
    <xf numFmtId="0" fontId="0" fillId="0" borderId="3" xfId="0" applyBorder="1" applyAlignment="1">
      <alignment horizontal="center"/>
    </xf>
    <xf numFmtId="22" fontId="0" fillId="0" borderId="3" xfId="0" applyNumberFormat="1" applyBorder="1" applyAlignment="1">
      <alignment horizontal="center"/>
    </xf>
    <xf numFmtId="20" fontId="0" fillId="0" borderId="3" xfId="0" applyNumberFormat="1" applyBorder="1" applyAlignment="1">
      <alignment horizontal="center"/>
    </xf>
    <xf numFmtId="0" fontId="0" fillId="0" borderId="0" xfId="0" applyAlignment="1">
      <alignment wrapText="1"/>
    </xf>
    <xf numFmtId="0" fontId="4" fillId="5" borderId="7" xfId="0" applyFont="1" applyFill="1" applyBorder="1" applyAlignment="1">
      <alignment wrapText="1"/>
    </xf>
    <xf numFmtId="0" fontId="6" fillId="0" borderId="7" xfId="0" applyFont="1" applyBorder="1" applyAlignment="1">
      <alignment wrapText="1"/>
    </xf>
    <xf numFmtId="0" fontId="0" fillId="0" borderId="0" xfId="0" pivotButton="1"/>
    <xf numFmtId="0" fontId="8" fillId="0" borderId="0" xfId="0" applyFont="1" applyAlignment="1">
      <alignment horizontal="center"/>
    </xf>
    <xf numFmtId="0" fontId="8" fillId="7" borderId="0" xfId="0" applyFont="1" applyFill="1" applyAlignment="1">
      <alignment horizontal="center"/>
    </xf>
    <xf numFmtId="0" fontId="8" fillId="6" borderId="0" xfId="0" applyFont="1" applyFill="1" applyAlignment="1">
      <alignment horizontal="center"/>
    </xf>
    <xf numFmtId="0" fontId="3" fillId="3" borderId="0" xfId="0" applyFont="1" applyFill="1" applyAlignment="1">
      <alignment horizontal="center"/>
    </xf>
    <xf numFmtId="0" fontId="5" fillId="3" borderId="0" xfId="0" applyFont="1" applyFill="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2" fillId="3" borderId="0" xfId="0" applyFont="1" applyFill="1" applyAlignment="1">
      <alignment horizontal="center"/>
    </xf>
    <xf numFmtId="0" fontId="7" fillId="0" borderId="0" xfId="0" applyFont="1" applyAlignment="1">
      <alignment horizontal="center" wrapText="1"/>
    </xf>
    <xf numFmtId="0" fontId="0" fillId="0" borderId="0" xfId="0" applyNumberFormat="1"/>
    <xf numFmtId="0" fontId="9" fillId="8" borderId="0" xfId="0" applyFont="1" applyFill="1" applyAlignment="1">
      <alignment horizontal="center"/>
    </xf>
    <xf numFmtId="0" fontId="10" fillId="8" borderId="0" xfId="0" applyNumberFormat="1" applyFont="1" applyFill="1" applyAlignment="1">
      <alignment horizontal="center"/>
    </xf>
    <xf numFmtId="0" fontId="11" fillId="3" borderId="0" xfId="0" applyFont="1" applyFill="1" applyAlignment="1">
      <alignment horizontal="center"/>
    </xf>
    <xf numFmtId="0" fontId="8" fillId="9" borderId="0" xfId="0" applyFont="1" applyFill="1" applyAlignment="1">
      <alignment horizontal="center"/>
    </xf>
    <xf numFmtId="0" fontId="12" fillId="8" borderId="0" xfId="0" applyFont="1" applyFill="1" applyAlignment="1">
      <alignment horizontal="center"/>
    </xf>
    <xf numFmtId="0" fontId="13" fillId="10" borderId="0" xfId="0" applyFont="1" applyFill="1" applyAlignment="1">
      <alignment horizontal="center"/>
    </xf>
    <xf numFmtId="0" fontId="15" fillId="0" borderId="0" xfId="0" applyFont="1"/>
    <xf numFmtId="0" fontId="16" fillId="0" borderId="0" xfId="0" applyFont="1" applyAlignment="1">
      <alignment horizontal="center" wrapText="1"/>
    </xf>
    <xf numFmtId="0" fontId="14" fillId="0" borderId="0" xfId="0" applyFont="1" applyAlignment="1">
      <alignment horizontal="center"/>
    </xf>
  </cellXfs>
  <cellStyles count="1">
    <cellStyle name="Normal" xfId="0" builtinId="0"/>
  </cellStyles>
  <dxfs count="19">
    <dxf>
      <fill>
        <patternFill>
          <bgColor rgb="FFD6E4F0"/>
        </patternFill>
      </fill>
    </dxf>
    <dxf>
      <fill>
        <patternFill>
          <bgColor rgb="FFD6E4F0"/>
        </patternFill>
      </fill>
    </dxf>
    <dxf>
      <fill>
        <patternFill>
          <bgColor rgb="FFD6E4F0"/>
        </patternFill>
      </fill>
    </dxf>
    <dxf>
      <fill>
        <patternFill>
          <bgColor rgb="FFD6E4F0"/>
        </patternFill>
      </fill>
    </dxf>
    <dxf>
      <fill>
        <patternFill>
          <bgColor rgb="FFD6E4F0"/>
        </patternFill>
      </fill>
    </dxf>
    <dxf>
      <border diagonalUp="0" diagonalDown="0">
        <left style="thin">
          <color rgb="FFBFBFBF"/>
        </left>
        <right style="thin">
          <color rgb="FFBFBFBF"/>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alignment horizontal="center"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alignment horizontal="center"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27" formatCode="dd/mm/yyyy\ hh:mm"/>
      <alignment horizontal="center"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alignment horizontal="center"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alignment horizontal="left" vertical="bottom"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alignment horizontal="center" vertical="bottom" textRotation="0" wrapText="1" indent="0" justifyLastLine="0" shrinkToFit="0" readingOrder="0"/>
    </dxf>
    <dxf>
      <font>
        <b/>
        <i val="0"/>
        <strike val="0"/>
        <condense val="0"/>
        <extend val="0"/>
        <outline val="0"/>
        <shadow val="0"/>
        <u val="none"/>
        <vertAlign val="baseline"/>
        <sz val="11"/>
        <color theme="0"/>
        <name val="Arial"/>
        <family val="2"/>
        <scheme val="none"/>
      </font>
      <fill>
        <patternFill patternType="solid">
          <fgColor indexed="64"/>
          <bgColor rgb="FF1F4E79"/>
        </patternFill>
      </fill>
      <alignment horizontal="center" vertical="bottom" textRotation="0" wrapText="1" indent="0" justifyLastLine="0" shrinkToFit="0" readingOrder="0"/>
    </dxf>
  </dxfs>
  <tableStyles count="0" defaultTableStyle="TableStyleMedium2" defaultPivotStyle="PivotStyleLight16"/>
  <colors>
    <mruColors>
      <color rgb="FFEBF3FB"/>
      <color rgb="FF1F4E79"/>
      <color rgb="FF595959"/>
      <color rgb="FFD6E4F0"/>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[Duke_Mfalme_Codveda_Level2_Advanced_Excel.xlsx]L2 T1 - Pivot Tables!PivotTable4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'L2 T1 - Pivot Tables'!$B$4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'L2 T1 - Pivot Tables'!$A$5:$A$196</c:f>
              <c:strCache>
                <c:ptCount val="191"/>
                <c:pt idx="0">
                  <c:v>Acceptance</c:v>
                </c:pt>
                <c:pt idx="1">
                  <c:v>Accomplishment</c:v>
                </c:pt>
                <c:pt idx="2">
                  <c:v>Admiration</c:v>
                </c:pt>
                <c:pt idx="3">
                  <c:v>Adoration</c:v>
                </c:pt>
                <c:pt idx="4">
                  <c:v>Adrenaline</c:v>
                </c:pt>
                <c:pt idx="5">
                  <c:v>Adventure</c:v>
                </c:pt>
                <c:pt idx="6">
                  <c:v>Affection</c:v>
                </c:pt>
                <c:pt idx="7">
                  <c:v>Amazement</c:v>
                </c:pt>
                <c:pt idx="8">
                  <c:v>Ambivalence</c:v>
                </c:pt>
                <c:pt idx="9">
                  <c:v>Amusement</c:v>
                </c:pt>
                <c:pt idx="10">
                  <c:v>Anger</c:v>
                </c:pt>
                <c:pt idx="11">
                  <c:v>Anticipation</c:v>
                </c:pt>
                <c:pt idx="12">
                  <c:v>Anxiety</c:v>
                </c:pt>
                <c:pt idx="13">
                  <c:v>Appreciation</c:v>
                </c:pt>
                <c:pt idx="14">
                  <c:v>Apprehensive</c:v>
                </c:pt>
                <c:pt idx="15">
                  <c:v>Arousal</c:v>
                </c:pt>
                <c:pt idx="16">
                  <c:v>Artisticburst</c:v>
                </c:pt>
                <c:pt idx="17">
                  <c:v>Awe</c:v>
                </c:pt>
                <c:pt idx="18">
                  <c:v>Bad</c:v>
                </c:pt>
                <c:pt idx="19">
                  <c:v>Betrayal</c:v>
                </c:pt>
                <c:pt idx="20">
                  <c:v>Bitter</c:v>
                </c:pt>
                <c:pt idx="21">
                  <c:v>Bitterness</c:v>
                </c:pt>
                <c:pt idx="22">
                  <c:v>Bittersweet</c:v>
                </c:pt>
                <c:pt idx="23">
                  <c:v>Blessed</c:v>
                </c:pt>
                <c:pt idx="24">
                  <c:v>Boredom</c:v>
                </c:pt>
                <c:pt idx="25">
                  <c:v>Breakthrough</c:v>
                </c:pt>
                <c:pt idx="26">
                  <c:v>Calmness</c:v>
                </c:pt>
                <c:pt idx="27">
                  <c:v>Captivation</c:v>
                </c:pt>
                <c:pt idx="28">
                  <c:v>Celebration</c:v>
                </c:pt>
                <c:pt idx="29">
                  <c:v>Celestial Wonder</c:v>
                </c:pt>
                <c:pt idx="30">
                  <c:v>Challenge</c:v>
                </c:pt>
                <c:pt idx="31">
                  <c:v>Charm</c:v>
                </c:pt>
                <c:pt idx="32">
                  <c:v>Colorful</c:v>
                </c:pt>
                <c:pt idx="33">
                  <c:v>Compassion</c:v>
                </c:pt>
                <c:pt idx="34">
                  <c:v>Compassionate</c:v>
                </c:pt>
                <c:pt idx="35">
                  <c:v>Confidence</c:v>
                </c:pt>
                <c:pt idx="36">
                  <c:v>Confident</c:v>
                </c:pt>
                <c:pt idx="37">
                  <c:v>Confusion</c:v>
                </c:pt>
                <c:pt idx="38">
                  <c:v>Connection</c:v>
                </c:pt>
                <c:pt idx="39">
                  <c:v>Contemplation</c:v>
                </c:pt>
                <c:pt idx="40">
                  <c:v>Contentment</c:v>
                </c:pt>
                <c:pt idx="41">
                  <c:v>Coziness</c:v>
                </c:pt>
                <c:pt idx="42">
                  <c:v>Creative Inspiration</c:v>
                </c:pt>
                <c:pt idx="43">
                  <c:v>Creativity</c:v>
                </c:pt>
                <c:pt idx="44">
                  <c:v>Culinary Adventure</c:v>
                </c:pt>
                <c:pt idx="45">
                  <c:v>Culinaryodyssey</c:v>
                </c:pt>
                <c:pt idx="46">
                  <c:v>Curiosity</c:v>
                </c:pt>
                <c:pt idx="47">
                  <c:v>Darkness</c:v>
                </c:pt>
                <c:pt idx="48">
                  <c:v>Dazzle</c:v>
                </c:pt>
                <c:pt idx="49">
                  <c:v>Desolation</c:v>
                </c:pt>
                <c:pt idx="50">
                  <c:v>Despair</c:v>
                </c:pt>
                <c:pt idx="51">
                  <c:v>Desperation</c:v>
                </c:pt>
                <c:pt idx="52">
                  <c:v>Determination</c:v>
                </c:pt>
                <c:pt idx="53">
                  <c:v>Devastated</c:v>
                </c:pt>
                <c:pt idx="54">
                  <c:v>Disappointed</c:v>
                </c:pt>
                <c:pt idx="55">
                  <c:v>Disappointment</c:v>
                </c:pt>
                <c:pt idx="56">
                  <c:v>Disgust</c:v>
                </c:pt>
                <c:pt idx="57">
                  <c:v>Dismissive</c:v>
                </c:pt>
                <c:pt idx="58">
                  <c:v>Dreamchaser</c:v>
                </c:pt>
                <c:pt idx="59">
                  <c:v>Ecstasy</c:v>
                </c:pt>
                <c:pt idx="60">
                  <c:v>Elation</c:v>
                </c:pt>
                <c:pt idx="61">
                  <c:v>Elegance</c:v>
                </c:pt>
                <c:pt idx="62">
                  <c:v>Embarrassed</c:v>
                </c:pt>
                <c:pt idx="63">
                  <c:v>Emotion</c:v>
                </c:pt>
                <c:pt idx="64">
                  <c:v>Emotionalstorm</c:v>
                </c:pt>
                <c:pt idx="65">
                  <c:v>Empathetic</c:v>
                </c:pt>
                <c:pt idx="66">
                  <c:v>Empowerment</c:v>
                </c:pt>
                <c:pt idx="67">
                  <c:v>Enchantment</c:v>
                </c:pt>
                <c:pt idx="68">
                  <c:v>Energy</c:v>
                </c:pt>
                <c:pt idx="69">
                  <c:v>Engagement</c:v>
                </c:pt>
                <c:pt idx="70">
                  <c:v>Enjoyment</c:v>
                </c:pt>
                <c:pt idx="71">
                  <c:v>Enthusiasm</c:v>
                </c:pt>
                <c:pt idx="72">
                  <c:v>Envious</c:v>
                </c:pt>
                <c:pt idx="73">
                  <c:v>Envisioning History</c:v>
                </c:pt>
                <c:pt idx="74">
                  <c:v>Envy</c:v>
                </c:pt>
                <c:pt idx="75">
                  <c:v>Euphoria</c:v>
                </c:pt>
                <c:pt idx="76">
                  <c:v>Excitement</c:v>
                </c:pt>
                <c:pt idx="77">
                  <c:v>Exhaustion</c:v>
                </c:pt>
                <c:pt idx="78">
                  <c:v>Exploration</c:v>
                </c:pt>
                <c:pt idx="79">
                  <c:v>Fear</c:v>
                </c:pt>
                <c:pt idx="80">
                  <c:v>Fearful</c:v>
                </c:pt>
                <c:pt idx="81">
                  <c:v>Festivejoy</c:v>
                </c:pt>
                <c:pt idx="82">
                  <c:v>Freedom</c:v>
                </c:pt>
                <c:pt idx="83">
                  <c:v>Free-Spirited</c:v>
                </c:pt>
                <c:pt idx="84">
                  <c:v>Friendship</c:v>
                </c:pt>
                <c:pt idx="85">
                  <c:v>Frustrated</c:v>
                </c:pt>
                <c:pt idx="86">
                  <c:v>Frustration</c:v>
                </c:pt>
                <c:pt idx="87">
                  <c:v>Fulfillment</c:v>
                </c:pt>
                <c:pt idx="88">
                  <c:v>Grandeur</c:v>
                </c:pt>
                <c:pt idx="89">
                  <c:v>Grateful</c:v>
                </c:pt>
                <c:pt idx="90">
                  <c:v>Gratitude</c:v>
                </c:pt>
                <c:pt idx="91">
                  <c:v>Grief</c:v>
                </c:pt>
                <c:pt idx="92">
                  <c:v>Happiness</c:v>
                </c:pt>
                <c:pt idx="93">
                  <c:v>Happy</c:v>
                </c:pt>
                <c:pt idx="94">
                  <c:v>Harmony</c:v>
                </c:pt>
                <c:pt idx="95">
                  <c:v>Hate</c:v>
                </c:pt>
                <c:pt idx="96">
                  <c:v>Heartache</c:v>
                </c:pt>
                <c:pt idx="97">
                  <c:v>Heartbreak</c:v>
                </c:pt>
                <c:pt idx="98">
                  <c:v>Heartwarming</c:v>
                </c:pt>
                <c:pt idx="99">
                  <c:v>Helplessness</c:v>
                </c:pt>
                <c:pt idx="100">
                  <c:v>Hope</c:v>
                </c:pt>
                <c:pt idx="101">
                  <c:v>Hopeful</c:v>
                </c:pt>
                <c:pt idx="102">
                  <c:v>Hypnotic</c:v>
                </c:pt>
                <c:pt idx="103">
                  <c:v>Iconic</c:v>
                </c:pt>
                <c:pt idx="104">
                  <c:v>Imagination</c:v>
                </c:pt>
                <c:pt idx="105">
                  <c:v>Immersion</c:v>
                </c:pt>
                <c:pt idx="106">
                  <c:v>Indifference</c:v>
                </c:pt>
                <c:pt idx="107">
                  <c:v>Innerjourney</c:v>
                </c:pt>
                <c:pt idx="108">
                  <c:v>Inspiration</c:v>
                </c:pt>
                <c:pt idx="109">
                  <c:v>Inspired</c:v>
                </c:pt>
                <c:pt idx="110">
                  <c:v>Intimidation</c:v>
                </c:pt>
                <c:pt idx="111">
                  <c:v>Intrigue</c:v>
                </c:pt>
                <c:pt idx="112">
                  <c:v>Isolation</c:v>
                </c:pt>
                <c:pt idx="113">
                  <c:v>Jealous</c:v>
                </c:pt>
                <c:pt idx="114">
                  <c:v>Jealousy</c:v>
                </c:pt>
                <c:pt idx="115">
                  <c:v>Journey</c:v>
                </c:pt>
                <c:pt idx="116">
                  <c:v>Joy</c:v>
                </c:pt>
                <c:pt idx="117">
                  <c:v>Joy In Baking</c:v>
                </c:pt>
                <c:pt idx="118">
                  <c:v>Joyfulreunion</c:v>
                </c:pt>
                <c:pt idx="119">
                  <c:v>Kind</c:v>
                </c:pt>
                <c:pt idx="120">
                  <c:v>Kindness</c:v>
                </c:pt>
                <c:pt idx="121">
                  <c:v>Loneliness</c:v>
                </c:pt>
                <c:pt idx="122">
                  <c:v>Loss</c:v>
                </c:pt>
                <c:pt idx="123">
                  <c:v>Lostlove</c:v>
                </c:pt>
                <c:pt idx="124">
                  <c:v>Love</c:v>
                </c:pt>
                <c:pt idx="125">
                  <c:v>Marvel</c:v>
                </c:pt>
                <c:pt idx="126">
                  <c:v>Melancholy</c:v>
                </c:pt>
                <c:pt idx="127">
                  <c:v>Melodic</c:v>
                </c:pt>
                <c:pt idx="128">
                  <c:v>Mesmerizing</c:v>
                </c:pt>
                <c:pt idx="129">
                  <c:v>Mindfulness</c:v>
                </c:pt>
                <c:pt idx="130">
                  <c:v>Miscalculation</c:v>
                </c:pt>
                <c:pt idx="131">
                  <c:v>Mischievous</c:v>
                </c:pt>
                <c:pt idx="132">
                  <c:v>Motivation</c:v>
                </c:pt>
                <c:pt idx="133">
                  <c:v>Nature'S Beauty</c:v>
                </c:pt>
                <c:pt idx="134">
                  <c:v>Negative</c:v>
                </c:pt>
                <c:pt idx="135">
                  <c:v>Neutral</c:v>
                </c:pt>
                <c:pt idx="136">
                  <c:v>Nostalgia</c:v>
                </c:pt>
                <c:pt idx="137">
                  <c:v>Numbness</c:v>
                </c:pt>
                <c:pt idx="138">
                  <c:v>Obstacle</c:v>
                </c:pt>
                <c:pt idx="139">
                  <c:v>Ocean'S Freedom</c:v>
                </c:pt>
                <c:pt idx="140">
                  <c:v>Optimism</c:v>
                </c:pt>
                <c:pt idx="141">
                  <c:v>Overjoyed</c:v>
                </c:pt>
                <c:pt idx="142">
                  <c:v>Overwhelmed</c:v>
                </c:pt>
                <c:pt idx="143">
                  <c:v>Pensive</c:v>
                </c:pt>
                <c:pt idx="144">
                  <c:v>Playful</c:v>
                </c:pt>
                <c:pt idx="145">
                  <c:v>Playfuljoy</c:v>
                </c:pt>
                <c:pt idx="146">
                  <c:v>Positive</c:v>
                </c:pt>
                <c:pt idx="147">
                  <c:v>Positivity</c:v>
                </c:pt>
                <c:pt idx="148">
                  <c:v>Pressure</c:v>
                </c:pt>
                <c:pt idx="149">
                  <c:v>Pride</c:v>
                </c:pt>
                <c:pt idx="150">
                  <c:v>Proud</c:v>
                </c:pt>
                <c:pt idx="151">
                  <c:v>Radiance</c:v>
                </c:pt>
                <c:pt idx="152">
                  <c:v>Reflection</c:v>
                </c:pt>
                <c:pt idx="153">
                  <c:v>Regret</c:v>
                </c:pt>
                <c:pt idx="154">
                  <c:v>Rejuvenation</c:v>
                </c:pt>
                <c:pt idx="155">
                  <c:v>Relief</c:v>
                </c:pt>
                <c:pt idx="156">
                  <c:v>Renewed Effort</c:v>
                </c:pt>
                <c:pt idx="157">
                  <c:v>Resentment</c:v>
                </c:pt>
                <c:pt idx="158">
                  <c:v>Resilience</c:v>
                </c:pt>
                <c:pt idx="159">
                  <c:v>Reverence</c:v>
                </c:pt>
                <c:pt idx="160">
                  <c:v>Romance</c:v>
                </c:pt>
                <c:pt idx="161">
                  <c:v>Ruins</c:v>
                </c:pt>
                <c:pt idx="162">
                  <c:v>Runway Creativity</c:v>
                </c:pt>
                <c:pt idx="163">
                  <c:v>Sad</c:v>
                </c:pt>
                <c:pt idx="164">
                  <c:v>Sadness</c:v>
                </c:pt>
                <c:pt idx="165">
                  <c:v>Satisfaction</c:v>
                </c:pt>
                <c:pt idx="166">
                  <c:v>Serenity</c:v>
                </c:pt>
                <c:pt idx="167">
                  <c:v>Shame</c:v>
                </c:pt>
                <c:pt idx="168">
                  <c:v>Solace</c:v>
                </c:pt>
                <c:pt idx="169">
                  <c:v>Solitude</c:v>
                </c:pt>
                <c:pt idx="170">
                  <c:v>Sorrow</c:v>
                </c:pt>
                <c:pt idx="171">
                  <c:v>Spark</c:v>
                </c:pt>
                <c:pt idx="172">
                  <c:v>Success</c:v>
                </c:pt>
                <c:pt idx="173">
                  <c:v>Suffering</c:v>
                </c:pt>
                <c:pt idx="174">
                  <c:v>Surprise</c:v>
                </c:pt>
                <c:pt idx="175">
                  <c:v>Suspense</c:v>
                </c:pt>
                <c:pt idx="176">
                  <c:v>Sympathy</c:v>
                </c:pt>
                <c:pt idx="177">
                  <c:v>Tenderness</c:v>
                </c:pt>
                <c:pt idx="178">
                  <c:v>Thrill</c:v>
                </c:pt>
                <c:pt idx="179">
                  <c:v>Thrilling Journey</c:v>
                </c:pt>
                <c:pt idx="180">
                  <c:v>Touched</c:v>
                </c:pt>
                <c:pt idx="181">
                  <c:v>Tranquility</c:v>
                </c:pt>
                <c:pt idx="182">
                  <c:v>Triumph</c:v>
                </c:pt>
                <c:pt idx="183">
                  <c:v>Vibrancy</c:v>
                </c:pt>
                <c:pt idx="184">
                  <c:v>Whimsy</c:v>
                </c:pt>
                <c:pt idx="185">
                  <c:v>Whispers Of The Past</c:v>
                </c:pt>
                <c:pt idx="186">
                  <c:v>Winter Magic</c:v>
                </c:pt>
                <c:pt idx="187">
                  <c:v>Wonder</c:v>
                </c:pt>
                <c:pt idx="188">
                  <c:v>Wonderment</c:v>
                </c:pt>
                <c:pt idx="189">
                  <c:v>Yearning</c:v>
                </c:pt>
                <c:pt idx="190">
                  <c:v>Zest</c:v>
                </c:pt>
              </c:strCache>
            </c:strRef>
          </c:cat>
          <c:val>
            <c:numRef>
              <c:f>'L2 T1 - Pivot Tables'!$B$5:$B$196</c:f>
              <c:numCache>
                <c:formatCode>General</c:formatCode>
                <c:ptCount val="191"/>
                <c:pt idx="0">
                  <c:v>8</c:v>
                </c:pt>
                <c:pt idx="1">
                  <c:v>3</c:v>
                </c:pt>
                <c:pt idx="2">
                  <c:v>4</c:v>
                </c:pt>
                <c:pt idx="3">
                  <c:v>2</c:v>
                </c:pt>
                <c:pt idx="4">
                  <c:v>1</c:v>
                </c:pt>
                <c:pt idx="5">
                  <c:v>3</c:v>
                </c:pt>
                <c:pt idx="6">
                  <c:v>2</c:v>
                </c:pt>
                <c:pt idx="7">
                  <c:v>1</c:v>
                </c:pt>
                <c:pt idx="8">
                  <c:v>6</c:v>
                </c:pt>
                <c:pt idx="9">
                  <c:v>3</c:v>
                </c:pt>
                <c:pt idx="10">
                  <c:v>2</c:v>
                </c:pt>
                <c:pt idx="11">
                  <c:v>3</c:v>
                </c:pt>
                <c:pt idx="12">
                  <c:v>2</c:v>
                </c:pt>
                <c:pt idx="13">
                  <c:v>1</c:v>
                </c:pt>
                <c:pt idx="14">
                  <c:v>2</c:v>
                </c:pt>
                <c:pt idx="15">
                  <c:v>4</c:v>
                </c:pt>
                <c:pt idx="16">
                  <c:v>1</c:v>
                </c:pt>
                <c:pt idx="17">
                  <c:v>9</c:v>
                </c:pt>
                <c:pt idx="18">
                  <c:v>6</c:v>
                </c:pt>
                <c:pt idx="19">
                  <c:v>5</c:v>
                </c:pt>
                <c:pt idx="20">
                  <c:v>3</c:v>
                </c:pt>
                <c:pt idx="21">
                  <c:v>5</c:v>
                </c:pt>
                <c:pt idx="22">
                  <c:v>1</c:v>
                </c:pt>
                <c:pt idx="23">
                  <c:v>1</c:v>
                </c:pt>
                <c:pt idx="24">
                  <c:v>4</c:v>
                </c:pt>
                <c:pt idx="25">
                  <c:v>1</c:v>
                </c:pt>
                <c:pt idx="26">
                  <c:v>4</c:v>
                </c:pt>
                <c:pt idx="27">
                  <c:v>2</c:v>
                </c:pt>
                <c:pt idx="28">
                  <c:v>1</c:v>
                </c:pt>
                <c:pt idx="29">
                  <c:v>1</c:v>
                </c:pt>
                <c:pt idx="30">
                  <c:v>1</c:v>
                </c:pt>
                <c:pt idx="31">
                  <c:v>1</c:v>
                </c:pt>
                <c:pt idx="32">
                  <c:v>1</c:v>
                </c:pt>
                <c:pt idx="33">
                  <c:v>4</c:v>
                </c:pt>
                <c:pt idx="34">
                  <c:v>4</c:v>
                </c:pt>
                <c:pt idx="35">
                  <c:v>1</c:v>
                </c:pt>
                <c:pt idx="36">
                  <c:v>3</c:v>
                </c:pt>
                <c:pt idx="37">
                  <c:v>8</c:v>
                </c:pt>
                <c:pt idx="38">
                  <c:v>1</c:v>
                </c:pt>
                <c:pt idx="39">
                  <c:v>2</c:v>
                </c:pt>
                <c:pt idx="40">
                  <c:v>19</c:v>
                </c:pt>
                <c:pt idx="41">
                  <c:v>2</c:v>
                </c:pt>
                <c:pt idx="42">
                  <c:v>1</c:v>
                </c:pt>
                <c:pt idx="43">
                  <c:v>3</c:v>
                </c:pt>
                <c:pt idx="44">
                  <c:v>1</c:v>
                </c:pt>
                <c:pt idx="45">
                  <c:v>1</c:v>
                </c:pt>
                <c:pt idx="46">
                  <c:v>16</c:v>
                </c:pt>
                <c:pt idx="47">
                  <c:v>1</c:v>
                </c:pt>
                <c:pt idx="48">
                  <c:v>1</c:v>
                </c:pt>
                <c:pt idx="49">
                  <c:v>4</c:v>
                </c:pt>
                <c:pt idx="50">
                  <c:v>11</c:v>
                </c:pt>
                <c:pt idx="51">
                  <c:v>1</c:v>
                </c:pt>
                <c:pt idx="52">
                  <c:v>7</c:v>
                </c:pt>
                <c:pt idx="53">
                  <c:v>3</c:v>
                </c:pt>
                <c:pt idx="54">
                  <c:v>2</c:v>
                </c:pt>
                <c:pt idx="55">
                  <c:v>2</c:v>
                </c:pt>
                <c:pt idx="56">
                  <c:v>5</c:v>
                </c:pt>
                <c:pt idx="57">
                  <c:v>3</c:v>
                </c:pt>
                <c:pt idx="58">
                  <c:v>1</c:v>
                </c:pt>
                <c:pt idx="59">
                  <c:v>1</c:v>
                </c:pt>
                <c:pt idx="60">
                  <c:v>7</c:v>
                </c:pt>
                <c:pt idx="61">
                  <c:v>1</c:v>
                </c:pt>
                <c:pt idx="62">
                  <c:v>8</c:v>
                </c:pt>
                <c:pt idx="63">
                  <c:v>2</c:v>
                </c:pt>
                <c:pt idx="64">
                  <c:v>1</c:v>
                </c:pt>
                <c:pt idx="65">
                  <c:v>3</c:v>
                </c:pt>
                <c:pt idx="66">
                  <c:v>5</c:v>
                </c:pt>
                <c:pt idx="67">
                  <c:v>4</c:v>
                </c:pt>
                <c:pt idx="68">
                  <c:v>1</c:v>
                </c:pt>
                <c:pt idx="69">
                  <c:v>1</c:v>
                </c:pt>
                <c:pt idx="70">
                  <c:v>2</c:v>
                </c:pt>
                <c:pt idx="71">
                  <c:v>7</c:v>
                </c:pt>
                <c:pt idx="72">
                  <c:v>3</c:v>
                </c:pt>
                <c:pt idx="73">
                  <c:v>1</c:v>
                </c:pt>
                <c:pt idx="74">
                  <c:v>2</c:v>
                </c:pt>
                <c:pt idx="75">
                  <c:v>7</c:v>
                </c:pt>
                <c:pt idx="76">
                  <c:v>37</c:v>
                </c:pt>
                <c:pt idx="77">
                  <c:v>1</c:v>
                </c:pt>
                <c:pt idx="78">
                  <c:v>2</c:v>
                </c:pt>
                <c:pt idx="79">
                  <c:v>2</c:v>
                </c:pt>
                <c:pt idx="80">
                  <c:v>3</c:v>
                </c:pt>
                <c:pt idx="81">
                  <c:v>1</c:v>
                </c:pt>
                <c:pt idx="82">
                  <c:v>1</c:v>
                </c:pt>
                <c:pt idx="83">
                  <c:v>3</c:v>
                </c:pt>
                <c:pt idx="84">
                  <c:v>1</c:v>
                </c:pt>
                <c:pt idx="85">
                  <c:v>5</c:v>
                </c:pt>
                <c:pt idx="86">
                  <c:v>6</c:v>
                </c:pt>
                <c:pt idx="87">
                  <c:v>4</c:v>
                </c:pt>
                <c:pt idx="88">
                  <c:v>1</c:v>
                </c:pt>
                <c:pt idx="89">
                  <c:v>4</c:v>
                </c:pt>
                <c:pt idx="90">
                  <c:v>18</c:v>
                </c:pt>
                <c:pt idx="91">
                  <c:v>9</c:v>
                </c:pt>
                <c:pt idx="92">
                  <c:v>5</c:v>
                </c:pt>
                <c:pt idx="93">
                  <c:v>14</c:v>
                </c:pt>
                <c:pt idx="94">
                  <c:v>3</c:v>
                </c:pt>
                <c:pt idx="95">
                  <c:v>6</c:v>
                </c:pt>
                <c:pt idx="96">
                  <c:v>1</c:v>
                </c:pt>
                <c:pt idx="97">
                  <c:v>3</c:v>
                </c:pt>
                <c:pt idx="98">
                  <c:v>1</c:v>
                </c:pt>
                <c:pt idx="99">
                  <c:v>2</c:v>
                </c:pt>
                <c:pt idx="100">
                  <c:v>5</c:v>
                </c:pt>
                <c:pt idx="101">
                  <c:v>9</c:v>
                </c:pt>
                <c:pt idx="102">
                  <c:v>1</c:v>
                </c:pt>
                <c:pt idx="103">
                  <c:v>1</c:v>
                </c:pt>
                <c:pt idx="104">
                  <c:v>1</c:v>
                </c:pt>
                <c:pt idx="105">
                  <c:v>1</c:v>
                </c:pt>
                <c:pt idx="106">
                  <c:v>6</c:v>
                </c:pt>
                <c:pt idx="107">
                  <c:v>1</c:v>
                </c:pt>
                <c:pt idx="108">
                  <c:v>6</c:v>
                </c:pt>
                <c:pt idx="109">
                  <c:v>5</c:v>
                </c:pt>
                <c:pt idx="110">
                  <c:v>2</c:v>
                </c:pt>
                <c:pt idx="111">
                  <c:v>1</c:v>
                </c:pt>
                <c:pt idx="112">
                  <c:v>2</c:v>
                </c:pt>
                <c:pt idx="113">
                  <c:v>3</c:v>
                </c:pt>
                <c:pt idx="114">
                  <c:v>3</c:v>
                </c:pt>
                <c:pt idx="115">
                  <c:v>1</c:v>
                </c:pt>
                <c:pt idx="116">
                  <c:v>44</c:v>
                </c:pt>
                <c:pt idx="117">
                  <c:v>1</c:v>
                </c:pt>
                <c:pt idx="118">
                  <c:v>1</c:v>
                </c:pt>
                <c:pt idx="119">
                  <c:v>3</c:v>
                </c:pt>
                <c:pt idx="120">
                  <c:v>1</c:v>
                </c:pt>
                <c:pt idx="121">
                  <c:v>9</c:v>
                </c:pt>
                <c:pt idx="122">
                  <c:v>2</c:v>
                </c:pt>
                <c:pt idx="123">
                  <c:v>1</c:v>
                </c:pt>
                <c:pt idx="124">
                  <c:v>3</c:v>
                </c:pt>
                <c:pt idx="125">
                  <c:v>1</c:v>
                </c:pt>
                <c:pt idx="126">
                  <c:v>6</c:v>
                </c:pt>
                <c:pt idx="127">
                  <c:v>1</c:v>
                </c:pt>
                <c:pt idx="128">
                  <c:v>1</c:v>
                </c:pt>
                <c:pt idx="129">
                  <c:v>1</c:v>
                </c:pt>
                <c:pt idx="130">
                  <c:v>1</c:v>
                </c:pt>
                <c:pt idx="131">
                  <c:v>2</c:v>
                </c:pt>
                <c:pt idx="132">
                  <c:v>1</c:v>
                </c:pt>
                <c:pt idx="133">
                  <c:v>1</c:v>
                </c:pt>
                <c:pt idx="134">
                  <c:v>4</c:v>
                </c:pt>
                <c:pt idx="135">
                  <c:v>18</c:v>
                </c:pt>
                <c:pt idx="136">
                  <c:v>11</c:v>
                </c:pt>
                <c:pt idx="137">
                  <c:v>6</c:v>
                </c:pt>
                <c:pt idx="138">
                  <c:v>1</c:v>
                </c:pt>
                <c:pt idx="139">
                  <c:v>1</c:v>
                </c:pt>
                <c:pt idx="140">
                  <c:v>1</c:v>
                </c:pt>
                <c:pt idx="141">
                  <c:v>1</c:v>
                </c:pt>
                <c:pt idx="142">
                  <c:v>4</c:v>
                </c:pt>
                <c:pt idx="143">
                  <c:v>1</c:v>
                </c:pt>
                <c:pt idx="144">
                  <c:v>6</c:v>
                </c:pt>
                <c:pt idx="145">
                  <c:v>1</c:v>
                </c:pt>
                <c:pt idx="146">
                  <c:v>45</c:v>
                </c:pt>
                <c:pt idx="147">
                  <c:v>1</c:v>
                </c:pt>
                <c:pt idx="148">
                  <c:v>1</c:v>
                </c:pt>
                <c:pt idx="149">
                  <c:v>7</c:v>
                </c:pt>
                <c:pt idx="150">
                  <c:v>4</c:v>
                </c:pt>
                <c:pt idx="151">
                  <c:v>2</c:v>
                </c:pt>
                <c:pt idx="152">
                  <c:v>4</c:v>
                </c:pt>
                <c:pt idx="153">
                  <c:v>6</c:v>
                </c:pt>
                <c:pt idx="154">
                  <c:v>2</c:v>
                </c:pt>
                <c:pt idx="155">
                  <c:v>1</c:v>
                </c:pt>
                <c:pt idx="156">
                  <c:v>1</c:v>
                </c:pt>
                <c:pt idx="157">
                  <c:v>3</c:v>
                </c:pt>
                <c:pt idx="158">
                  <c:v>2</c:v>
                </c:pt>
                <c:pt idx="159">
                  <c:v>4</c:v>
                </c:pt>
                <c:pt idx="160">
                  <c:v>1</c:v>
                </c:pt>
                <c:pt idx="161">
                  <c:v>1</c:v>
                </c:pt>
                <c:pt idx="162">
                  <c:v>1</c:v>
                </c:pt>
                <c:pt idx="163">
                  <c:v>9</c:v>
                </c:pt>
                <c:pt idx="164">
                  <c:v>2</c:v>
                </c:pt>
                <c:pt idx="165">
                  <c:v>3</c:v>
                </c:pt>
                <c:pt idx="166">
                  <c:v>15</c:v>
                </c:pt>
                <c:pt idx="167">
                  <c:v>3</c:v>
                </c:pt>
                <c:pt idx="168">
                  <c:v>1</c:v>
                </c:pt>
                <c:pt idx="169">
                  <c:v>1</c:v>
                </c:pt>
                <c:pt idx="170">
                  <c:v>2</c:v>
                </c:pt>
                <c:pt idx="171">
                  <c:v>1</c:v>
                </c:pt>
                <c:pt idx="172">
                  <c:v>1</c:v>
                </c:pt>
                <c:pt idx="173">
                  <c:v>1</c:v>
                </c:pt>
                <c:pt idx="174">
                  <c:v>6</c:v>
                </c:pt>
                <c:pt idx="175">
                  <c:v>1</c:v>
                </c:pt>
                <c:pt idx="176">
                  <c:v>1</c:v>
                </c:pt>
                <c:pt idx="177">
                  <c:v>4</c:v>
                </c:pt>
                <c:pt idx="178">
                  <c:v>4</c:v>
                </c:pt>
                <c:pt idx="179">
                  <c:v>1</c:v>
                </c:pt>
                <c:pt idx="180">
                  <c:v>1</c:v>
                </c:pt>
                <c:pt idx="181">
                  <c:v>2</c:v>
                </c:pt>
                <c:pt idx="182">
                  <c:v>1</c:v>
                </c:pt>
                <c:pt idx="183">
                  <c:v>1</c:v>
                </c:pt>
                <c:pt idx="184">
                  <c:v>2</c:v>
                </c:pt>
                <c:pt idx="185">
                  <c:v>1</c:v>
                </c:pt>
                <c:pt idx="186">
                  <c:v>1</c:v>
                </c:pt>
                <c:pt idx="187">
                  <c:v>3</c:v>
                </c:pt>
                <c:pt idx="188">
                  <c:v>1</c:v>
                </c:pt>
                <c:pt idx="189">
                  <c:v>2</c:v>
                </c:pt>
                <c:pt idx="190">
                  <c:v>2</c:v>
                </c:pt>
              </c:numCache>
            </c:numRef>
          </c:val>
          <c:extLst>
            <c:ext xmlns:c16="http://schemas.microsoft.com/office/drawing/2014/chart" uri="{C3380CC4-5D6E-409C-BE32-E72D297353CC}">
              <c16:uniqueId val="{00000000-BA69-4AB0-8A99-A9694AF4A03B}"/>
            </c:ext>
          </c:extLst>
        </c:ser>
        <c:dLbls>
          <c:showLegendKey val="0"/>
          <c:showVal val="0"/>
          <c:showCatName val="0"/>
          <c:showSerName val="0"/>
          <c:showPercent val="0"/>
          <c:showBubbleSize val="0"/>
        </c:dLbls>
        <c:gapWidth val="115"/>
        <c:overlap val="-20"/>
        <c:axId val="55549904"/>
        <c:axId val="55555664"/>
      </c:barChart>
      <c:catAx>
        <c:axId val="555499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5555664"/>
        <c:crosses val="autoZero"/>
        <c:auto val="1"/>
        <c:lblAlgn val="ctr"/>
        <c:lblOffset val="100"/>
        <c:noMultiLvlLbl val="0"/>
      </c:catAx>
      <c:valAx>
        <c:axId val="5555566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Posts by Sentiment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554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[Duke_Mfalme_Codveda_Level2_Advanced_Excel.xlsx]L2 T1 - Pivot Tables!PivotTable5</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'L2 T1 - Pivot Tables'!$H$4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6BF-4DE2-B1DD-3776C90DCBE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6BF-4DE2-B1DD-3776C90DCBE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6BF-4DE2-B1DD-3776C90DCB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'L2 T1 - Pivot Tables'!$G$5:$G$8</c:f>
              <c:strCache>
                <c:ptCount val="3"/>
                <c:pt idx="0">
                  <c:v>Facebook</c:v>
                </c:pt>
                <c:pt idx="1">
                  <c:v>Instagram</c:v>
                </c:pt>
                <c:pt idx="2">
                  <c:v>Twitter</c:v>
                </c:pt>
              </c:strCache>
            </c:strRef>
          </c:cat>
          <c:val>
            <c:numRef>
              <c:f>'L2 T1 - Pivot Tables'!$H$5:$H$8</c:f>
              <c:numCache>
                <c:formatCode>General</c:formatCode>
                <c:ptCount val="3"/>
                <c:pt idx="0">
                  <c:v>231</c:v>
                </c:pt>
                <c:pt idx="1">
                  <c:v>258</c:v>
                </c:pt>
                <c:pt idx="2">
                  <c:v>243</c:v>
                </c:pt>
              </c:numCache>
            </c:numRef>
          </c:val>
          <c:extLst>
            <c:ext xmlns:c16="http://schemas.microsoft.com/office/drawing/2014/chart" uri="{C3380CC4-5D6E-409C-BE32-E72D297353CC}">
              <c16:uniqueId val="{00000006-86BF-4DE2-B1DD-3776C90DCBE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[Duke_Mfalme_Codveda_Level2_Advanced_Excel.xlsx]L2 T1 - Pivot Tables!PivotTable1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'L2 T1 - Pivot Tables'!$L$4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'L2 T1 - Pivot Tables'!$K$5:$K$17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'L2 T1 - Pivot Tables'!$L$5:$L$17</c:f>
              <c:numCache>
                <c:formatCode>General</c:formatCode>
                <c:ptCount val="12"/>
                <c:pt idx="0">
                  <c:v>12320</c:v>
                </c:pt>
                <c:pt idx="1">
                  <c:v>15458</c:v>
                </c:pt>
                <c:pt idx="2">
                  <c:v>13009</c:v>
                </c:pt>
                <c:pt idx="3">
                  <c:v>17827</c:v>
                </c:pt>
                <c:pt idx="4">
                  <c:v>18950</c:v>
                </c:pt>
                <c:pt idx="5">
                  <c:v>32891</c:v>
                </c:pt>
                <c:pt idx="6">
                  <c:v>26757</c:v>
                </c:pt>
                <c:pt idx="7">
                  <c:v>37234</c:v>
                </c:pt>
                <c:pt idx="8">
                  <c:v>37962</c:v>
                </c:pt>
                <c:pt idx="9">
                  <c:v>24196</c:v>
                </c:pt>
                <c:pt idx="10">
                  <c:v>18042</c:v>
                </c:pt>
                <c:pt idx="11">
                  <c:v>13606</c:v>
                </c:pt>
              </c:numCache>
            </c:numRef>
          </c:val>
          <c:smooth val="0"/>
          <c:extLst>
            <c:ext xmlns:c16="http://schemas.microsoft.com/office/drawing/2014/chart" uri="{C3380CC4-5D6E-409C-BE32-E72D297353CC}">
              <c16:uniqueId val="{00000000-525B-414B-B4AA-CEBB34C01F2B}"/>
            </c:ext>
          </c:extLst>
        </c:ser>
        <c:dLbls>
          <c:dLblPos val="t"/>
          <c:showLegendKey val="0"/>
          <c:showVal val="1"/>
          <c:showCatName val="0"/>
          <c:showSerName val="0"/>
          <c:showPercent val="0"/>
          <c:showBubbleSize val="0"/>
        </c:dLbls>
        <c:marker val="1"/>
        <c:smooth val="0"/>
        <c:axId val="617468208"/>
        <c:axId val="617468688"/>
      </c:lineChart>
      <c:catAx>
        <c:axId val="6174682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617468688"/>
        <c:crosses val="autoZero"/>
        <c:auto val="1"/>
        <c:lblAlgn val="ctr"/>
        <c:lblOffset val="100"/>
        <c:noMultiLvlLbl val="0"/>
      </c:catAx>
      <c:valAx>
        <c:axId val="6174686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Posts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61746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104775</xdr:rowOff>
    </xdr:from>
    <xdr:ext cx="184731" cy="264560"/>
    <xdr:sp macro="" textlink="">
      <xdr:nvSpPr>
        <xdr:cNvPr id="2" name="TextBox 1">
          <a:extLst>
            <a:ext uri="{FF2B5EF4-FFF2-40B4-BE49-F238E27FC236}">
              <a16:creationId xmlns:a16="http://schemas.microsoft.com/office/drawing/2014/main" id="{990A0DE8-9086-26D7-6798-E9498D3D9835}"/>
            </a:ext>
          </a:extLst>
        </xdr:cNvPr>
        <xdr:cNvSpPr txBox="1"/>
      </xdr:nvSpPr>
      <xdr:spPr>
        <a:xfrm>
          <a:off x="39719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twoCellAnchor editAs="oneCell">
    <xdr:from>
      <xdr:col>3</xdr:col>
      <xdr:colOff>314325</xdr:colOff>
      <xdr:row>16</xdr:row>
      <xdr:rowOff>85725</xdr:rowOff>
    </xdr:from>
    <xdr:to>
      <xdr:col>4</xdr:col>
      <xdr:colOff>409577</xdr:colOff>
      <xdr:row>30</xdr:row>
      <xdr:rowOff>85725</xdr:rowOff>
    </xdr:to>
    <mc:AlternateContent xmlns:mc="http://schemas.openxmlformats.org/markup-compatibility/2006">
      <mc:Choice xmlns:a14="http://schemas.microsoft.com/office/drawing/2010/main" Requires="a14">
        <xdr:graphicFrame macro="">
          <xdr:nvGraphicFramePr>
            <xdr:cNvPr id="3" name="Sentiment (Cleaned)">
              <a:extLst>
                <a:ext uri="{FF2B5EF4-FFF2-40B4-BE49-F238E27FC236}">
                  <a16:creationId xmlns:a16="http://schemas.microsoft.com/office/drawing/2014/main" id="{A9E1C240-4A28-86CD-7756-CDFB7F0A3E7D}"/>
                </a:ext>
              </a:extLst>
            </xdr:cNvPr>
            <xdr:cNvGraphicFramePr/>
          </xdr:nvGraphicFramePr>
          <xdr:xfrm>
            <a:off x="0" y="0"/>
            <a:ext cx="0" cy="0"/>
          </xdr:xfrm>
          <a:graphic>
            <a:graphicData uri="http://schemas.microsoft.com/office/drawing/2010/slicer">
              <sle:slicer xmlns:sle="http://schemas.microsoft.com/office/drawing/2010/slicer" name="Sentiment (Cleaned)"/>
            </a:graphicData>
          </a:graphic>
        </xdr:graphicFrame>
      </mc:Choice>
      <mc:Fallback>
        <xdr:sp macro="" textlink="">
          <xdr:nvSpPr>
            <xdr:cNvPr id="0" name=""/>
            <xdr:cNvSpPr>
              <a:spLocks noTextEdit="1"/>
            </xdr:cNvSpPr>
          </xdr:nvSpPr>
          <xdr:spPr>
            <a:xfrm>
              <a:off x="4472801" y="3105847"/>
              <a:ext cx="1826014" cy="260195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733425</xdr:colOff>
      <xdr:row>18</xdr:row>
      <xdr:rowOff>180975</xdr:rowOff>
    </xdr:from>
    <xdr:to>
      <xdr:col>4</xdr:col>
      <xdr:colOff>828677</xdr:colOff>
      <xdr:row>32</xdr:row>
      <xdr:rowOff>180975</xdr:rowOff>
    </xdr:to>
    <mc:AlternateContent xmlns:mc="http://schemas.openxmlformats.org/markup-compatibility/2006">
      <mc:Choice xmlns:a14="http://schemas.microsoft.com/office/drawing/2010/main" Requires="a14">
        <xdr:graphicFrame macro="">
          <xdr:nvGraphicFramePr>
            <xdr:cNvPr id="4" name="Platform (Cleaned)">
              <a:extLst>
                <a:ext uri="{FF2B5EF4-FFF2-40B4-BE49-F238E27FC236}">
                  <a16:creationId xmlns:a16="http://schemas.microsoft.com/office/drawing/2014/main" id="{7830355C-27AF-F340-B081-39D7B3F0AA33}"/>
                </a:ext>
              </a:extLst>
            </xdr:cNvPr>
            <xdr:cNvGraphicFramePr/>
          </xdr:nvGraphicFramePr>
          <xdr:xfrm>
            <a:off x="0" y="0"/>
            <a:ext cx="0" cy="0"/>
          </xdr:xfrm>
          <a:graphic>
            <a:graphicData uri="http://schemas.microsoft.com/office/drawing/2010/slicer">
              <sle:slicer xmlns:sle="http://schemas.microsoft.com/office/drawing/2010/slicer" name="Platform (Cleaned)"/>
            </a:graphicData>
          </a:graphic>
        </xdr:graphicFrame>
      </mc:Choice>
      <mc:Fallback>
        <xdr:sp macro="" textlink="">
          <xdr:nvSpPr>
            <xdr:cNvPr id="0" name=""/>
            <xdr:cNvSpPr>
              <a:spLocks noTextEdit="1"/>
            </xdr:cNvSpPr>
          </xdr:nvSpPr>
          <xdr:spPr>
            <a:xfrm>
              <a:off x="4891901" y="3572804"/>
              <a:ext cx="1826014" cy="260195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1419225</xdr:colOff>
      <xdr:row>20</xdr:row>
      <xdr:rowOff>28575</xdr:rowOff>
    </xdr:from>
    <xdr:to>
      <xdr:col>4</xdr:col>
      <xdr:colOff>1514477</xdr:colOff>
      <xdr:row>34</xdr:row>
      <xdr:rowOff>28575</xdr:rowOff>
    </xdr:to>
    <mc:AlternateContent xmlns:mc="http://schemas.openxmlformats.org/markup-compatibility/2006">
      <mc:Choice xmlns:a14="http://schemas.microsoft.com/office/drawing/2010/main" Requires="a14">
        <xdr:graphicFrame macro="">
          <xdr:nvGraphicFramePr>
            <xdr:cNvPr id="5" name="Country (Cleaned)">
              <a:extLst>
                <a:ext uri="{FF2B5EF4-FFF2-40B4-BE49-F238E27FC236}">
                  <a16:creationId xmlns:a16="http://schemas.microsoft.com/office/drawing/2014/main" id="{48044404-2CA8-0059-73FE-F90465925403}"/>
                </a:ext>
              </a:extLst>
            </xdr:cNvPr>
            <xdr:cNvGraphicFramePr/>
          </xdr:nvGraphicFramePr>
          <xdr:xfrm>
            <a:off x="0" y="0"/>
            <a:ext cx="0" cy="0"/>
          </xdr:xfrm>
          <a:graphic>
            <a:graphicData uri="http://schemas.microsoft.com/office/drawing/2010/slicer">
              <sle:slicer xmlns:sle="http://schemas.microsoft.com/office/drawing/2010/slicer" name="Country (Cleaned)"/>
            </a:graphicData>
          </a:graphic>
        </xdr:graphicFrame>
      </mc:Choice>
      <mc:Fallback>
        <xdr:sp macro="" textlink="">
          <xdr:nvSpPr>
            <xdr:cNvPr id="0" name=""/>
            <xdr:cNvSpPr>
              <a:spLocks noTextEdit="1"/>
            </xdr:cNvSpPr>
          </xdr:nvSpPr>
          <xdr:spPr>
            <a:xfrm>
              <a:off x="5577701" y="3792112"/>
              <a:ext cx="1826014" cy="260195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1076325</xdr:colOff>
      <xdr:row>3</xdr:row>
      <xdr:rowOff>152400</xdr:rowOff>
    </xdr:from>
    <xdr:to>
      <xdr:col>4</xdr:col>
      <xdr:colOff>1571624</xdr:colOff>
      <xdr:row>11</xdr:row>
      <xdr:rowOff>0</xdr:rowOff>
    </xdr:to>
    <mc:AlternateContent xmlns:mc="http://schemas.openxmlformats.org/markup-compatibility/2006">
      <mc:Choice xmlns:tsle="http://schemas.microsoft.com/office/drawing/2012/timeslicer" Requires="tsle">
        <xdr:graphicFrame macro="">
          <xdr:nvGraphicFramePr>
            <xdr:cNvPr id="6" name="Timestamp">
              <a:extLst>
                <a:ext uri="{FF2B5EF4-FFF2-40B4-BE49-F238E27FC236}">
                  <a16:creationId xmlns:a16="http://schemas.microsoft.com/office/drawing/2014/main" id="{41AEC626-7E0F-FDFA-5342-54BB7D1580E4}"/>
                </a:ext>
              </a:extLst>
            </xdr:cNvPr>
            <xdr:cNvGraphicFramePr/>
          </xdr:nvGraphicFramePr>
          <xdr:xfrm>
            <a:off x="0" y="0"/>
            <a:ext cx="0" cy="0"/>
          </xdr:xfrm>
          <a:graphic>
            <a:graphicData uri="http://schemas.microsoft.com/office/drawing/2012/timeslicer">
              <tsle:timeslicer xmlns:tsle="http://schemas.microsoft.com/office/drawing/2012/timeslicer" name="Timestamp"/>
            </a:graphicData>
          </a:graphic>
        </xdr:graphicFrame>
      </mc:Choice>
      <mc:Fallback>
        <xdr:sp macro="" textlink="">
          <xdr:nvSpPr>
            <xdr:cNvPr id="0" name=""/>
            <xdr:cNvSpPr>
              <a:spLocks noTextEdit="1"/>
            </xdr:cNvSpPr>
          </xdr:nvSpPr>
          <xdr:spPr>
            <a:xfrm>
              <a:off x="4131295" y="756424"/>
              <a:ext cx="3329567" cy="1334430"/>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590552</xdr:colOff>
      <xdr:row>3</xdr:row>
      <xdr:rowOff>122648</xdr:rowOff>
    </xdr:from>
    <xdr:to>
      <xdr:col>7</xdr:col>
      <xdr:colOff>485776</xdr:colOff>
      <xdr:row>20</xdr:row>
      <xdr:rowOff>0</xdr:rowOff>
    </xdr:to>
    <xdr:graphicFrame macro="">
      <xdr:nvGraphicFramePr>
        <xdr:cNvPr id="2" name="Chart 6">
          <a:extLst>
            <a:ext uri="{FF2B5EF4-FFF2-40B4-BE49-F238E27FC236}">
              <a16:creationId xmlns:a16="http://schemas.microsoft.com/office/drawing/2014/main" id="{670E2343-E26B-2C76-BB49-DFAB929FF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590550</xdr:colOff>
      <xdr:row>3</xdr:row>
      <xdr:rowOff>103168</xdr:rowOff>
    </xdr:from>
    <xdr:to>
      <xdr:col>16</xdr:col>
      <xdr:colOff>0</xdr:colOff>
      <xdr:row>19</xdr:row>
      <xdr:rowOff>133350</xdr:rowOff>
    </xdr:to>
    <xdr:graphicFrame macro="">
      <xdr:nvGraphicFramePr>
        <xdr:cNvPr id="3" name="Chart 7">
          <a:extLst>
            <a:ext uri="{FF2B5EF4-FFF2-40B4-BE49-F238E27FC236}">
              <a16:creationId xmlns:a16="http://schemas.microsoft.com/office/drawing/2014/main" id="{4C102DE6-D3CA-3F27-118C-D6634CBCB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23</xdr:row>
      <xdr:rowOff>169844</xdr:rowOff>
    </xdr:from>
    <xdr:to>
      <xdr:col>13</xdr:col>
      <xdr:colOff>0</xdr:colOff>
      <xdr:row>38</xdr:row>
      <xdr:rowOff>133350</xdr:rowOff>
    </xdr:to>
    <xdr:graphicFrame macro="">
      <xdr:nvGraphicFramePr>
        <xdr:cNvPr id="4" name="Chart 8">
          <a:extLst>
            <a:ext uri="{FF2B5EF4-FFF2-40B4-BE49-F238E27FC236}">
              <a16:creationId xmlns:a16="http://schemas.microsoft.com/office/drawing/2014/main" id="{11A8D9E2-0099-5A10-7D96-A4BC5CFE6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ke mfalme" refreshedDate="46188.365426504628" createdVersion="8" refreshedVersion="8" minRefreshableVersion="3" recordCount="732" xr:uid="{3EA40E28-5229-4ABD-AF7C-150EE37C6763}">
  <cacheSource type="worksheet">
    <worksheetSource name="Table3"/>
  </cacheSource>
  <cacheFields count="14">
    <cacheField name="ID" numFmtId="0">
      <sharedItems containsSemiMixedTypes="0" containsString="0" containsNumber="1" containsInteger="1" minValue="0" maxValue="732"/>
    </cacheField>
    <cacheField name="Post Text (Cleaned)" numFmtId="0">
      <sharedItems/>
    </cacheField>
    <cacheField name="Sentiment (Cleaned)" numFmtId="0">
      <sharedItems count="192">
        <s v="Positive"/>
        <s v="Negative"/>
        <s v="Neutral"/>
        <s v="Anger"/>
        <s v="Fear"/>
        <s v="Sadness"/>
        <s v="Disgust"/>
        <s v="Happiness"/>
        <s v="Joy"/>
        <s v="Love"/>
        <s v="Amusement"/>
        <s v="Enjoyment"/>
        <s v="Admiration"/>
        <s v="Affection"/>
        <s v="Awe"/>
        <s v="Disappointed"/>
        <s v="Surprise"/>
        <s v="Acceptance"/>
        <s v="Adoration"/>
        <s v="Anticipation"/>
        <s v="Bitter"/>
        <s v="Calmness"/>
        <s v="Confusion"/>
        <s v="Excitement"/>
        <s v="Kind"/>
        <s v="Pride"/>
        <s v="Shame"/>
        <s v="Elation"/>
        <s v="Euphoria"/>
        <s v="Contentment"/>
        <s v="Serenity"/>
        <s v="Gratitude"/>
        <s v="Hope"/>
        <s v="Empowerment"/>
        <s v="Compassion"/>
        <s v="Tenderness"/>
        <s v="Arousal"/>
        <s v="Enthusiasm"/>
        <s v="Fulfillment"/>
        <s v="Reverence"/>
        <s v="Despair"/>
        <s v="Grief"/>
        <s v="Loneliness"/>
        <s v="Jealousy"/>
        <s v="Resentment"/>
        <s v="Frustration"/>
        <s v="Boredom"/>
        <s v="Anxiety"/>
        <s v="Intimidation"/>
        <s v="Helplessness"/>
        <s v="Envy"/>
        <s v="Regret"/>
        <s v="Curiosity"/>
        <s v="Indifference"/>
        <s v="Numbness"/>
        <s v="Melancholy"/>
        <s v="Nostalgia"/>
        <s v="Ambivalence"/>
        <s v="Determination"/>
        <s v="Zest"/>
        <s v="Hopeful"/>
        <s v="Proud"/>
        <s v="Grateful"/>
        <s v="Empathetic"/>
        <s v="Compassionate"/>
        <s v="Playful"/>
        <s v="Free-Spirited"/>
        <s v="Inspired"/>
        <s v="Confident"/>
        <s v="Bitterness"/>
        <s v="Yearning"/>
        <s v="Fearful"/>
        <s v="Apprehensive"/>
        <s v="Overwhelmed"/>
        <s v="Jealous"/>
        <s v="Devastated"/>
        <s v="Frustrated"/>
        <s v="Envious"/>
        <s v="Dismissive"/>
        <s v="Thrill"/>
        <s v="Bittersweet"/>
        <s v="Overjoyed"/>
        <s v="Inspiration"/>
        <s v="Motivation"/>
        <s v="Contemplation"/>
        <s v="Joyfulreunion"/>
        <s v="Satisfaction"/>
        <s v="Blessed"/>
        <s v="Reflection"/>
        <s v="Appreciation"/>
        <s v="Confidence"/>
        <s v="Accomplishment"/>
        <s v="Wonderment"/>
        <s v="Optimism"/>
        <s v="Enchantment"/>
        <s v="Intrigue"/>
        <s v="Playfuljoy"/>
        <s v="Mindfulness"/>
        <s v="Dreamchaser"/>
        <s v="Elegance"/>
        <s v="Whimsy"/>
        <s v="Pensive"/>
        <s v="Harmony"/>
        <s v="Creativity"/>
        <s v="Radiance"/>
        <s v="Wonder"/>
        <s v="Rejuvenation"/>
        <s v="Coziness"/>
        <s v="Adventure"/>
        <s v="Melodic"/>
        <s v="Festivejoy"/>
        <s v="Innerjourney"/>
        <s v="Freedom"/>
        <s v="Dazzle"/>
        <s v="Adrenaline"/>
        <s v="Artisticburst"/>
        <s v="Culinaryodyssey"/>
        <s v="Resilience"/>
        <s v="Immersion"/>
        <s v="Spark"/>
        <s v="Marvel"/>
        <s v="Heartbreak"/>
        <s v="Betrayal"/>
        <s v="Suffering"/>
        <s v="Emotionalstorm"/>
        <s v="Isolation"/>
        <s v="Disappointment"/>
        <s v="Lostlove"/>
        <s v="Exhaustion"/>
        <s v="Sorrow"/>
        <s v="Darkness"/>
        <s v="Desperation"/>
        <s v="Ruins"/>
        <s v="Desolation"/>
        <s v="Loss"/>
        <s v="Heartache"/>
        <s v="Solitude"/>
        <s v="Positivity"/>
        <s v="Kindness"/>
        <s v="Friendship"/>
        <s v="Success"/>
        <s v="Exploration"/>
        <s v="Amazement"/>
        <s v="Romance"/>
        <s v="Captivation"/>
        <s v="Tranquility"/>
        <s v="Grandeur"/>
        <s v="Emotion"/>
        <s v="Energy"/>
        <s v="Celebration"/>
        <s v="Charm"/>
        <s v="Ecstasy"/>
        <s v="Colorful"/>
        <s v="Hypnotic"/>
        <s v="Connection"/>
        <s v="Iconic"/>
        <s v="Journey"/>
        <s v="Engagement"/>
        <s v="Touched"/>
        <s v="Suspense"/>
        <s v="Triumph"/>
        <s v="Heartwarming"/>
        <s v="Obstacle"/>
        <s v="Sympathy"/>
        <s v="Pressure"/>
        <s v="Renewed Effort"/>
        <s v="Miscalculation"/>
        <s v="Challenge"/>
        <s v="Solace"/>
        <s v="Breakthrough"/>
        <s v="Joy In Baking"/>
        <s v="Envisioning History"/>
        <s v="Imagination"/>
        <s v="Vibrancy"/>
        <s v="Mesmerizing"/>
        <s v="Culinary Adventure"/>
        <s v="Winter Magic"/>
        <s v="Thrilling Journey"/>
        <s v="Nature'S Beauty"/>
        <s v="Celestial Wonder"/>
        <s v="Creative Inspiration"/>
        <s v="Runway Creativity"/>
        <s v="Ocean'S Freedom"/>
        <s v="Whispers Of The Past"/>
        <s v="Relief"/>
        <s v="Embarrassed"/>
        <s v="Mischievous"/>
        <s v="Sad"/>
        <s v="Hate"/>
        <s v="Bad"/>
        <s v="Happy"/>
        <s v="" u="1"/>
      </sharedItems>
    </cacheField>
    <cacheField name="Timestamp" numFmtId="22">
      <sharedItems containsSemiMixedTypes="0" containsNonDate="0" containsDate="1" containsString="0" minDate="2010-05-15T15:30:00" maxDate="2023-10-22T20:45:00" count="683">
        <d v="2023-01-15T12:30:00"/>
        <d v="2023-01-15T08:45:00"/>
        <d v="2023-01-15T15:45:00"/>
        <d v="2023-01-15T18:20:00"/>
        <d v="2023-01-15T19:55:00"/>
        <d v="2023-01-16T09:10:00"/>
        <d v="2023-01-16T14:45:00"/>
        <d v="2023-01-16T19:30:00"/>
        <d v="2023-01-17T08:00:00"/>
        <d v="2023-01-17T12:20:00"/>
        <d v="2023-01-17T15:15:00"/>
        <d v="2023-01-18T10:30:00"/>
        <d v="2023-01-18T14:50:00"/>
        <d v="2023-01-18T18:00:00"/>
        <d v="2023-01-19T09:45:00"/>
        <d v="2023-01-19T13:20:00"/>
        <d v="2023-01-19T17:10:00"/>
        <d v="2023-01-20T00:05:00"/>
        <d v="2023-01-20T11:30:00"/>
        <d v="2023-01-20T15:15:00"/>
        <d v="2023-01-21T08:40:00"/>
        <d v="2023-01-21T13:20:00"/>
        <d v="2023-01-21T16:45:00"/>
        <d v="2023-01-22T09:15:00"/>
        <d v="2023-01-22T14:30:00"/>
        <d v="2023-01-22T12:00:00"/>
        <d v="2023-01-23T16:20:00"/>
        <d v="2023-01-23T19:45:00"/>
        <d v="2023-01-24T11:30:00"/>
        <d v="2023-01-24T15:00:00"/>
        <d v="2023-01-24T17:30:00"/>
        <d v="2023-01-25T18:00:00"/>
        <d v="2023-01-25T13:15:00"/>
        <d v="2023-01-26T09:45:00"/>
        <d v="2023-01-26T14:20:00"/>
        <d v="2023-01-26T17:40:00"/>
        <d v="2023-01-27T20:00:00"/>
        <d v="2023-01-27T12:30:00"/>
        <d v="2023-01-27T16:10:00"/>
        <d v="2023-01-28T09:00:00"/>
        <d v="2023-01-28T14:45:00"/>
        <d v="2023-01-28T19:30:00"/>
        <d v="2023-01-29T17:00:00"/>
        <d v="2023-01-29T20:20:00"/>
        <d v="2023-01-30T11:30:00"/>
        <d v="2023-01-30T15:45:00"/>
        <d v="2023-01-30T18:30:00"/>
        <d v="2023-01-31T10:45:00"/>
        <d v="2023-01-31T19:00:00"/>
        <d v="2023-01-31T16:20:00"/>
        <d v="2023-02-01T08:00:00"/>
        <d v="2023-02-01T13:30:00"/>
        <d v="2023-02-11T09:30:00"/>
        <d v="2023-02-11T21:15:00"/>
        <d v="2023-02-12T14:45:00"/>
        <d v="2023-02-12T18:20:00"/>
        <d v="2023-02-13T10:00:00"/>
        <d v="2023-02-13T19:30:00"/>
        <d v="2023-02-14T08:30:00"/>
        <d v="2023-02-14T14:20:00"/>
        <d v="2023-02-14T19:45:00"/>
        <d v="2023-02-15T11:30:00"/>
        <d v="2023-02-15T16:00:00"/>
        <d v="2023-02-15T20:30:00"/>
        <d v="2023-02-16T09:00:00"/>
        <d v="2023-02-16T14:45:00"/>
        <d v="2023-02-16T18:20:00"/>
        <d v="2023-02-17T10:45:00"/>
        <d v="2023-02-17T07:30:00"/>
        <d v="2023-02-17T15:00:00"/>
        <d v="2023-02-18T09:30:00"/>
        <d v="2023-02-18T14:20:00"/>
        <d v="2023-02-18T18:45:00"/>
        <d v="2023-02-19T11:30:00"/>
        <d v="2023-02-19T16:00:00"/>
        <d v="2023-02-19T19:45:00"/>
        <d v="2023-02-20T09:30:00"/>
        <d v="2023-02-20T21:15:00"/>
        <d v="2023-02-21T14:45:00"/>
        <d v="2023-02-21T18:20:00"/>
        <d v="2023-02-22T10:00:00"/>
        <d v="2023-02-22T19:30:00"/>
        <d v="2023-02-23T08:30:00"/>
        <d v="2023-02-23T14:20:00"/>
        <d v="2023-02-23T19:45:00"/>
        <d v="2023-02-24T11:30:00"/>
        <d v="2023-02-24T16:00:00"/>
        <d v="2023-02-24T20:30:00"/>
        <d v="2023-02-25T09:00:00"/>
        <d v="2023-02-25T14:45:00"/>
        <d v="2023-02-25T18:20:00"/>
        <d v="2023-02-26T10:45:00"/>
        <d v="2023-02-26T07:30:00"/>
        <d v="2023-02-26T15:00:00"/>
        <d v="2023-02-27T09:30:00"/>
        <d v="2023-02-27T14:20:00"/>
        <d v="2023-02-27T18:45:00"/>
        <d v="2023-02-28T11:30:00"/>
        <d v="2023-02-28T16:00:00"/>
        <d v="2023-02-28T19:45:00"/>
        <d v="2023-03-01T10:45:00"/>
        <d v="2023-03-01T13:30:00"/>
        <d v="2023-03-01T17:45:00"/>
        <d v="2023-03-02T18:00:00"/>
        <d v="2023-03-02T13:15:00"/>
        <d v="2023-03-02T16:45:00"/>
        <d v="2023-03-03T11:30:00"/>
        <d v="2023-03-03T14:30:00"/>
        <d v="2023-03-03T12:00:00"/>
        <d v="2010-05-15T15:30:00"/>
        <d v="2021-08-10T21:15:00"/>
        <d v="2011-06-20T14:45:00"/>
        <d v="2022-02-12T18:20:00"/>
        <d v="2012-11-25T10:00:00"/>
        <d v="2013-04-05T19:30:00"/>
        <d v="2014-09-14T08:30:00"/>
        <d v="2015-07-18T14:20:00"/>
        <d v="2016-02-23T19:45:00"/>
        <d v="2017-10-30T11:30:00"/>
        <d v="2018-06-15T16:00:00"/>
        <d v="2019-03-28T18:20:00"/>
        <d v="2019-11-11T15:00:00"/>
        <d v="2020-04-02T09:30:00"/>
        <d v="2021-06-19T14:45:00"/>
        <d v="2010-08-15T10:00:00"/>
        <d v="2011-09-22T19:30:00"/>
        <d v="2012-03-10T08:30:00"/>
        <d v="2013-12-05T16:00:00"/>
        <d v="2014-07-20T11:30:00"/>
        <d v="2015-12-22T14:20:00"/>
        <d v="2016-02-10T19:45:00"/>
        <d v="2017-04-30T11:30:00"/>
        <d v="2018-09-15T16:00:00"/>
        <d v="2019-06-28T18:20:00"/>
        <d v="2020-11-11T15:00:00"/>
        <d v="2021-03-02T09:30:00"/>
        <d v="2012-02-18T14:30:00"/>
        <d v="2018-11-05T21:45:00"/>
        <d v="2015-09-12T13:20:00"/>
        <d v="2016-07-30T18:10:00"/>
        <d v="2013-04-20T10:30:00"/>
        <d v="2017-12-08T19:15:00"/>
        <d v="2014-06-03T08:20:00"/>
        <d v="2019-01-15T14:50:00"/>
        <d v="2016-12-25T19:30:00"/>
        <d v="2018-03-10T09:45:00"/>
        <d v="2020-09-17T16:30:00"/>
        <d v="2011-08-28T18:45:00"/>
        <d v="2017-11-01T15:30:00"/>
        <d v="2019-06-15T10:00:00"/>
        <d v="2022-04-03T11:45:00"/>
        <d v="2010-11-12T20:20:00"/>
        <d v="2011-07-22T18:30:00"/>
        <d v="2012-03-30T11:20:00"/>
        <d v="2013-10-05T16:40:00"/>
        <d v="2014-07-10T13:15:00"/>
        <d v="2015-12-18T14:20:00"/>
        <d v="2017-09-25T11:30:00"/>
        <d v="2018-04-15T16:00:00"/>
        <d v="2019-11-28T18:20:00"/>
        <d v="2020-05-11T15:00:00"/>
        <d v="2021-02-05T09:30:00"/>
        <d v="2021-03-10T08:30:00"/>
        <d v="2022-07-05T15:45:00"/>
        <d v="2019-11-18T21:20:00"/>
        <d v="2020-08-12T11:30:00"/>
        <d v="2018-05-22T14:45:00"/>
        <d v="2017-01-30T16:10:00"/>
        <d v="2016-09-28T19:45:00"/>
        <d v="2019-04-15T09:00:00"/>
        <d v="2021-12-03T18:30:00"/>
        <d v="2020-06-20T14:20:00"/>
        <d v="2018-11-07T11:30:00"/>
        <d v="2017-08-25T16:00:00"/>
        <d v="2019-02-11T09:45:00"/>
        <d v="2016-04-02T20:20:00"/>
        <d v="2015-10-18T15:30:00"/>
        <d v="2019-07-12T18:10:00"/>
        <d v="2018-06-03T16:30:00"/>
        <d v="2022-01-15T12:00:00"/>
        <d v="2017-04-10T14:45:00"/>
        <d v="2016-11-28T19:00:00"/>
        <d v="2018-09-05T09:30:00"/>
        <d v="2021-10-22T18:30:00"/>
        <d v="2019-05-08T14:20:00"/>
        <d v="2017-03-20T11:30:00"/>
        <d v="2018-12-15T16:00:00"/>
        <d v="2016-07-01T09:45:00"/>
        <d v="2020-08-20T20:20:00"/>
        <d v="2021-02-25T15:30:00"/>
        <d v="2019-09-12T18:10:00"/>
        <d v="2018-08-05T16:30:00"/>
        <d v="2017-01-12T12:00:00"/>
        <d v="2022-04-05T14:45:00"/>
        <d v="2021-10-02T19:00:00"/>
        <d v="2023-04-15T10:15:00"/>
        <d v="2022-11-28T17:30:00"/>
        <d v="2020-04-02T09:45:00"/>
        <d v="2021-08-10T14:00:00"/>
        <d v="2019-06-18T20:45:00"/>
        <d v="2018-02-05T15:15:00"/>
        <d v="2022-05-30T11:30:00"/>
        <d v="2023-01-10T16:20:00"/>
        <d v="2020-09-18T13:45:00"/>
        <d v="2021-07-03T19:00:00"/>
        <d v="2022-10-08T08:15:00"/>
        <d v="2023-03-22T16:30:00"/>
        <d v="2021-05-15T11:45:00"/>
        <d v="2019-12-28T14:30:00"/>
        <d v="2020-03-01T19:00:00"/>
        <d v="2018-07-10T15:45:00"/>
        <d v="2022-01-05T10:30:00"/>
        <d v="2021-08-20T16:20:00"/>
        <d v="2019-11-03T13:45:00"/>
        <d v="2020-04-12T19:30:00"/>
        <d v="2022-04-15T08:45:00"/>
        <d v="2023-02-10T17:00:00"/>
        <d v="2020-08-05T12:15:00"/>
        <d v="2021-12-01T15:30:00"/>
        <d v="2019-03-25T21:00:00"/>
        <d v="2017-06-18T14:45:00"/>
        <d v="2022-07-08T11:30:00"/>
        <d v="2023-05-15T16:20:00"/>
        <d v="2021-09-10T14:45:00"/>
        <d v="2020-02-28T18:30:00"/>
        <d v="2023-03-10T16:30:00"/>
        <d v="2021-05-02T11:45:00"/>
        <d v="2019-10-18T14:30:00"/>
        <d v="2020-01-05T20:00:00"/>
        <d v="2018-08-10T15:45:00"/>
        <d v="2022-01-15T10:30:00"/>
        <d v="2021-07-20T16:20:00"/>
        <d v="2019-12-03T13:45:00"/>
        <d v="2022-05-08T08:45:00"/>
        <d v="2023-02-22T17:00:00"/>
        <d v="2020-06-05T12:15:00"/>
        <d v="2021-11-30T15:30:00"/>
        <d v="2019-02-25T21:00:00"/>
        <d v="2017-05-18T14:45:00"/>
        <d v="2022-08-05T11:30:00"/>
        <d v="2023-06-15T16:20:00"/>
        <d v="2021-10-10T14:45:00"/>
        <d v="2020-05-12T19:30:00"/>
        <d v="2022-12-01T09:15:00"/>
        <d v="2018-07-12T17:45:00"/>
        <d v="2020-09-05T20:10:00"/>
        <d v="2022-04-18T08:00:00"/>
        <d v="2019-12-10T12:20:00"/>
        <d v="2023-02-28T09:45:00"/>
        <d v="2018-04-03T14:15:00"/>
        <d v="2022-06-20T10:30:00"/>
        <d v="2020-07-08T18:00:00"/>
        <d v="2021-08-15T11:10:00"/>
        <d v="2019-10-25T16:50:00"/>
        <d v="2023-10-05T07:30:00"/>
        <d v="2022-02-15T13:15:00"/>
        <d v="2021-05-08T22:00:00"/>
        <d v="2020-11-29T14:45:00"/>
        <d v="2019-09-14T10:20:00"/>
        <d v="2022-03-12T19:55:00"/>
        <d v="2023-03-30T16:30:00"/>
        <d v="2021-07-01T12:10:00"/>
        <d v="2020-01-05T08:45:00"/>
        <d v="2022-07-17T06:15:00"/>
        <d v="2018-08-22T17:20:00"/>
        <d v="2021-12-08T14:30:00"/>
        <d v="2019-04-27T09:50:00"/>
        <d v="2023-09-03T21:40:00"/>
        <d v="2020-06-10T10:05:00"/>
        <d v="2022-04-01T18:30:00"/>
        <d v="2021-01-15T13:00:00"/>
        <d v="2023-05-06T07:20:00"/>
        <d v="2019-11-18T15:15:00"/>
        <d v="2020-08-29T20:45:00"/>
        <d v="2022-10-30T11:40:00"/>
        <d v="2021-09-15T16:00:00"/>
        <d v="2019-03-08T14:20:00"/>
        <d v="2017-07-20T11:45:00"/>
        <d v="2020-11-02T19:30:00"/>
        <d v="2022-05-12T02:00:00"/>
        <d v="2023-04-08T13:15:00"/>
        <d v="2021-06-25T17:50:00"/>
        <d v="2019-08-30T10:10:00"/>
        <d v="2022-08-03T15:30:00"/>
        <d v="2020-12-17T09:20:00"/>
        <d v="2021-02-28T22:45:00"/>
        <d v="2018-05-10T14:00:00"/>
        <d v="2022-01-07T11:10:00"/>
        <d v="2019-09-19T03:30:00"/>
        <d v="2023-07-14T23:00:00"/>
        <d v="2020-04-05T16:20:00"/>
        <d v="2021-11-29T08:45:00"/>
        <d v="2019-12-12T17:00:00"/>
        <d v="2022-05-20T14:50:00"/>
        <d v="2020-09-03T12:15:00"/>
        <d v="2021-02-10T19:30:00"/>
        <d v="2018-08-18T14:40:00"/>
        <d v="2022-02-28T21:00:00"/>
        <d v="2019-10-15T10:30:00"/>
        <d v="2017-12-01T18:50:00"/>
        <d v="2020-04-18T16:15:00"/>
        <d v="2023-01-07T03:30:00"/>
        <d v="2021-06-10T10:00:00"/>
        <d v="2020-02-22T15:20:00"/>
        <d v="2018-03-17T14:45:00"/>
        <d v="2022-10-28T11:15:00"/>
        <d v="2020-11-01T12:30:00"/>
        <d v="2021-01-15T22:10:00"/>
        <d v="2018-08-18T14:00:00"/>
        <d v="2022-04-03T06:15:00"/>
        <d v="2023-10-12T10:30:00"/>
        <d v="2019-06-28T19:00:00"/>
        <d v="2020-09-15T14:45:00"/>
        <d v="2017-11-08T21:20:00"/>
        <d v="2021-05-20T17:30:00"/>
        <d v="2023-01-10T12:00:00"/>
        <d v="2018-12-05T08:45:00"/>
        <d v="2020-03-15T18:30:00"/>
        <d v="2016-08-22T15:10:00"/>
        <d v="2019-08-20T16:00:00"/>
        <d v="2021-12-08T19:30:00"/>
        <d v="2020-06-10T20:45:00"/>
        <d v="2022-02-28T07:15:00"/>
        <d v="2017-04-15T08:00:00"/>
        <d v="2018-09-05T14:20:00"/>
        <d v="2022-10-22T12:45:00"/>
        <d v="2016-07-02T23:30:00"/>
        <d v="2020-11-18T17:10:00"/>
        <d v="2023-03-05T15:00:00"/>
        <d v="2015-12-01T11:30:00"/>
        <d v="2021-09-10T09:45:00"/>
        <d v="2018-05-12T14:20:00"/>
        <d v="2022-07-25T10:00:00"/>
        <d v="2019-03-08T18:30:00"/>
        <d v="2017-01-28T21:15:00"/>
        <d v="2016-11-14T13:45:00"/>
        <d v="2020-04-02T17:30:00"/>
        <d v="2023-01-15T19:00:00"/>
        <d v="2018-08-07T12:15:00"/>
        <d v="2019-10-18T16:45:00"/>
        <d v="2022-06-30T07:00:00"/>
        <d v="2017-06-12T18:20:00"/>
        <d v="2021-07-05T09:30:00"/>
        <d v="2016-04-15T14:50:00"/>
        <d v="2020-02-10T11:15:00"/>
        <d v="2018-09-22T16:30:00"/>
        <d v="2015-11-08T10:00:00"/>
        <d v="2022-08-10T22:00:00"/>
        <d v="2019-04-05T17:30:00"/>
        <d v="2020-12-15T15:45:00"/>
        <d v="2017-10-20T08:15:00"/>
        <d v="2021-02-28T13:00:00"/>
        <d v="2018-06-12T20:30:00"/>
        <d v="2016-03-08T14:20:00"/>
        <d v="2023-04-18T17:10:00"/>
        <d v="2020-07-25T12:45:00"/>
        <d v="2019-11-30T19:30:00"/>
        <d v="2015-09-01T16:00:00"/>
        <d v="2022-05-05T10:15:00"/>
        <d v="2018-07-08T23:00:00"/>
        <d v="2021-09-20T14:30:00"/>
        <d v="2016-11-15T11:45:00"/>
        <d v="2020-01-12T18:00:00"/>
        <d v="2017-12-28T19:15:00"/>
        <d v="2019-03-02T20:20:00"/>
        <d v="2022-06-08T15:30:00"/>
        <d v="2018-08-18T14:45:00"/>
        <d v="2020-12-02T17:30:00"/>
        <d v="2017-06-10T12:15:00"/>
        <d v="2021-04-15T14:20:00"/>
        <d v="2019-09-28T19:45:00"/>
        <d v="2016-12-05T21:00:00"/>
        <d v="2018-02-10T23:30:00"/>
        <d v="2023-02-15T08:30:00"/>
        <d v="2015-08-22T15:00:00"/>
        <d v="2020-11-20T18:45:00"/>
        <d v="2019-08-05T21:00:00"/>
        <d v="2021-02-12T16:45:00"/>
        <d v="2020-11-28T14:20:00"/>
        <d v="2016-05-15T22:30:00"/>
        <d v="2018-09-10T13:15:00"/>
        <d v="2022-03-20T19:30:00"/>
        <d v="2017-07-18T17:45:00"/>
        <d v="2018-12-15T10:00:00"/>
        <d v="2015-06-28T21:15:00"/>
        <d v="2020-04-02T14:20:00"/>
        <d v="2019-10-08T18:30:00"/>
        <d v="2016-11-22T09:45:00"/>
        <d v="2022-08-18T22:00:00"/>
        <d v="2017-03-12T23:30:00"/>
        <d v="2015-12-15T16:15:00"/>
        <d v="2021-09-05T13:30:00"/>
        <d v="2018-05-22T20:45:00"/>
        <d v="2016-07-10T18:20:00"/>
        <d v="2019-04-30T14:00:00"/>
        <d v="2022-01-08T11:30:00"/>
        <d v="2017-09-10T19:15:00"/>
        <d v="2022-04-18T11:30:00"/>
        <d v="2018-12-05T21:45:00"/>
        <d v="2016-06-28T14:20:00"/>
        <d v="2019-10-22T17:00:00"/>
        <d v="2021-03-15T22:45:00"/>
        <d v="2017-08-10T19:30:00"/>
        <d v="2023-01-28T14:30:00"/>
        <d v="2016-12-12T10:00:00"/>
        <d v="2020-07-18T15:15:00"/>
        <d v="2022-05-20T20:30:00"/>
        <d v="2019-11-08T14:45:00"/>
        <d v="2017-03-28T22:00:00"/>
        <d v="2020-09-15T18:15:00"/>
        <d v="2018-06-10T13:30:00"/>
        <d v="2016-12-22T21:45:00"/>
        <d v="2021-01-05T16:20:00"/>
        <d v="2019-04-18T11:00:00"/>
        <d v="2017-08-28T19:30:00"/>
        <d v="2023-02-10T14:30:00"/>
        <d v="2022-07-10T22:15:00"/>
        <d v="2019-05-15T21:30:00"/>
        <d v="2018-11-28T14:00:00"/>
        <d v="2021-03-02T17:45:00"/>
        <d v="2016-10-18T19:30:00"/>
        <d v="2020-08-15T12:30:00"/>
        <d v="2017-04-28T16:20:00"/>
        <d v="2019-09-10T21:00:00"/>
        <d v="2022-01-28T13:45:00"/>
        <d v="2016-06-15T22:30:00"/>
        <d v="2021-08-20T15:45:00"/>
        <d v="2018-04-12T18:30:00"/>
        <d v="2022-02-15T12:20:00"/>
        <d v="2019-10-28T14:15:00"/>
        <d v="2017-12-22T21:00:00"/>
        <d v="2020-06-10T17:30:00"/>
        <d v="2016-09-18T19:45:00"/>
        <d v="2023-03-10T14:30:00"/>
        <d v="2019-05-05T12:15:00"/>
        <d v="2018-08-28T16:00:00"/>
        <d v="2022-11-15T20:45:00"/>
        <d v="2019-07-02T17:00:00"/>
        <d v="2021-04-18T14:20:00"/>
        <d v="2023-02-05T19:30:00"/>
        <d v="2018-09-22T12:45:00"/>
        <d v="2016-12-10T21:15:00"/>
        <d v="2020-05-28T16:00:00"/>
        <d v="2017-11-15T22:30:00"/>
        <d v="2021-08-02T19:00:00"/>
        <d v="2019-03-28T15:30:00"/>
        <d v="2018-05-12T17:30:00"/>
        <d v="2022-09-28T15:45:00"/>
        <d v="2019-11-10T14:00:00"/>
        <d v="2021-04-02T18:20:00"/>
        <d v="2017-08-22T21:30:00"/>
        <d v="2020-06-15T16:45:00"/>
        <d v="2016-09-10T19:15:00"/>
        <d v="2023-01-28T13:00:00"/>
        <d v="2019-04-18T16:30:00"/>
        <d v="2017-11-05T22:00:00"/>
        <d v="2022-07-20T21:45:00"/>
        <d v="2018-03-15T17:30:00"/>
        <d v="2021-06-10T16:00:00"/>
        <d v="2017-08-18T19:30:00"/>
        <d v="2020-04-15T05:30:00"/>
        <d v="2016-11-22T13:00:00"/>
        <d v="2019-01-10T14:45:00"/>
        <d v="2023-02-28T16:20:00"/>
        <d v="2018-05-28T18:30:00"/>
        <d v="2022-09-15T20:00:00"/>
        <d v="2019-07-28T21:30:00"/>
        <d v="2021-05-10T19:45:00"/>
        <d v="2018-12-02T22:15:00"/>
        <d v="2020-08-18T19:00:00"/>
        <d v="2017-03-28T20:30:00"/>
        <d v="2022-01-15T21:15:00"/>
        <d v="2019-06-10T18:45:00"/>
        <d v="2023-03-20T22:30:00"/>
        <d v="2018-08-05T20:00:00"/>
        <d v="2021-04-15T21:30:00"/>
        <d v="2019-11-28T19:45:00"/>
        <d v="2020-06-22T22:00:00"/>
        <d v="2017-09-10T20:15:00"/>
        <d v="2022-02-28T21:15:00"/>
        <d v="2016-05-15T19:30:00"/>
        <d v="2018-12-10T22:30:00"/>
        <d v="2023-01-22T20:00:00"/>
        <d v="2020-03-05T18:45:00"/>
        <d v="2018-10-12T20:00:00"/>
        <d v="2019-06-25T22:15:00"/>
        <d v="2020-07-08T19:30:00"/>
        <d v="2017-09-18T21:45:00"/>
        <d v="2021-01-15T18:00:00"/>
        <d v="2016-02-28T20:30:00"/>
        <d v="2022-04-20T17:30:00"/>
        <d v="2019-11-05T21:15:00"/>
        <d v="2015-07-12T22:00:00"/>
        <d v="2020-09-10T19:45:00"/>
        <d v="2018-07-15T21:30:00"/>
        <d v="2020-08-08T19:45:00"/>
        <d v="2021-11-07T17:30:00"/>
        <d v="2022-06-20T21:00:00"/>
        <d v="2016-04-10T18:30:00"/>
        <d v="2019-11-24T19:45:00"/>
        <d v="2015-09-28T22:30:00"/>
        <d v="2020-12-12T20:00:00"/>
        <d v="2019-11-02T18:45:00"/>
        <d v="2018-07-10T21:15:00"/>
        <d v="2020-09-18T19:30:00"/>
        <d v="2017-05-15T22:00:00"/>
        <d v="2021-04-05T20:15:00"/>
        <d v="2016-08-20T18:30:00"/>
        <d v="2019-02-12T19:45:00"/>
        <d v="2015-06-28T20:00:00"/>
        <d v="2022-01-08T21:30:00"/>
        <d v="2018-12-15T20:15:00"/>
        <d v="2021-07-10T19:00:00"/>
        <d v="2019-09-28T20:30:00"/>
        <d v="2022-03-15T18:45:00"/>
        <d v="2017-11-05T21:15:00"/>
        <d v="2020-05-20T16:30:00"/>
        <d v="2016-08-22T19:45:00"/>
        <d v="2023-04-10T17:15:00"/>
        <d v="2015-12-18T18:00:00"/>
        <d v="2021-10-08T20:30:00"/>
        <d v="2019-03-22T21:45:00"/>
        <d v="2018-06-15T22:00:00"/>
        <d v="2019-08-28T19:30:00"/>
        <d v="2022-12-01T17:45:00"/>
        <d v="2017-04-10T21:15:00"/>
        <d v="2020-05-15T18:30:00"/>
        <d v="2016-09-22T20:00:00"/>
        <d v="2023-02-12T19:45:00"/>
        <d v="2015-11-10T21:00:00"/>
        <d v="2021-07-20T18:15:00"/>
        <d v="2019-04-18T20:30:00"/>
        <d v="2023-05-20T19:45:00"/>
        <d v="2023-05-21T21:00:00"/>
        <d v="2023-05-22T14:30:00"/>
        <d v="2023-05-23T16:45:00"/>
        <d v="2023-05-24T13:15:00"/>
        <d v="2023-05-25T19:00:00"/>
        <d v="2023-05-26T14:20:00"/>
        <d v="2023-05-27T21:15:00"/>
        <d v="2023-05-28T12:00:00"/>
        <d v="2023-05-29T23:30:00"/>
        <d v="2023-05-30T20:45:00"/>
        <d v="2023-05-31T15:30:00"/>
        <d v="2023-06-01T18:00:00"/>
        <d v="2023-06-02T14:30:00"/>
        <d v="2023-06-03T21:15:00"/>
        <d v="2023-06-04T19:30:00"/>
        <d v="2023-06-05T10:00:00"/>
        <d v="2023-06-06T22:30:00"/>
        <d v="2023-06-07T12:45:00"/>
        <d v="2023-06-08T16:00:00"/>
        <d v="2023-06-09T14:00:00"/>
        <d v="2023-06-10T17:30:00"/>
        <d v="2023-06-11T15:30:00"/>
        <d v="2023-06-12T18:00:00"/>
        <d v="2023-06-13T14:45:00"/>
        <d v="2023-06-14T19:30:00"/>
        <d v="2023-06-15T12:15:00"/>
        <d v="2023-06-16T21:45:00"/>
        <d v="2023-06-17T15:00:00"/>
        <d v="2023-06-18T11:30:00"/>
        <d v="2023-06-19T16:30:00"/>
        <d v="2023-06-20T14:20:00"/>
        <d v="2023-06-21T19:00:00"/>
        <d v="2023-06-22T13:45:00"/>
        <d v="2023-06-23T18:45:00"/>
        <d v="2023-06-24T16:15:00"/>
        <d v="2023-06-25T20:30:00"/>
        <d v="2023-06-26T14:00:00"/>
        <d v="2023-06-27T17:45:00"/>
        <d v="2023-06-28T22:15:00"/>
        <d v="2023-06-29T16:30:00"/>
        <d v="2023-06-30T19:30:00"/>
        <d v="2023-07-01T14:00:00"/>
        <d v="2023-07-02T18:30:00"/>
        <d v="2023-07-03T12:45:00"/>
        <d v="2023-07-04T17:00:00"/>
        <d v="2023-07-05T20:15:00"/>
        <d v="2023-07-06T14:30:00"/>
        <d v="2023-07-07T19:45:00"/>
        <d v="2023-07-08T16:00:00"/>
        <d v="2023-07-09T22:30:00"/>
        <d v="2023-07-10T14:20:00"/>
        <d v="2023-07-11T18:45:00"/>
        <d v="2023-07-12T13:45:00"/>
        <d v="2023-07-13T20:00:00"/>
        <d v="2023-07-14T16:15:00"/>
        <d v="2023-07-15T19:30:00"/>
        <d v="2023-07-16T14:00:00"/>
        <d v="2023-07-17T22:15:00"/>
        <d v="2023-07-18T16:30:00"/>
        <d v="2023-07-19T19:45:00"/>
        <d v="2023-07-20T17:00:00"/>
        <d v="2023-08-01T13:30:00"/>
        <d v="2023-08-02T14:45:00"/>
        <d v="2023-08-03T12:15:00"/>
        <d v="2023-08-04T16:30:00"/>
        <d v="2023-08-05T19:45:00"/>
        <d v="2023-08-06T14:00:00"/>
        <d v="2023-08-07T19:45:00"/>
        <d v="2023-08-08T16:00:00"/>
        <d v="2023-08-09T22:30:00"/>
        <d v="2023-08-10T14:20:00"/>
        <d v="2023-08-11T18:45:00"/>
        <d v="2023-08-12T13:45:00"/>
        <d v="2023-08-13T20:00:00"/>
        <d v="2023-08-14T16:15:00"/>
        <d v="2023-08-15T19:30:00"/>
        <d v="2023-08-16T14:00:00"/>
        <d v="2023-08-17T22:15:00"/>
        <d v="2023-08-18T16:30:00"/>
        <d v="2023-08-19T19:45:00"/>
        <d v="2023-08-20T17:00:00"/>
        <d v="2023-08-21T15:45:00"/>
        <d v="2023-08-22T12:30:00"/>
        <d v="2023-08-23T16:45:00"/>
        <d v="2023-08-24T18:20:00"/>
        <d v="2023-08-25T14:15:00"/>
        <d v="2023-08-26T17:30:00"/>
        <d v="2023-08-27T20:45:00"/>
        <d v="2023-08-28T16:00:00"/>
        <d v="2023-08-29T13:45:00"/>
        <d v="2023-08-30T17:30:00"/>
        <d v="2023-08-31T20:15:00"/>
        <d v="2023-09-01T14:45:00"/>
        <d v="2023-09-02T18:30:00"/>
        <d v="2023-09-03T22:00:00"/>
        <d v="2023-09-04T15:15:00"/>
        <d v="2023-09-05T12:30:00"/>
        <d v="2023-09-06T16:45:00"/>
        <d v="2023-09-07T18:20:00"/>
        <d v="2023-09-08T14:15:00"/>
        <d v="2023-09-09T17:30:00"/>
        <d v="2023-09-10T20:45:00"/>
        <d v="2023-09-11T15:45:00"/>
        <d v="2023-09-12T12:30:00"/>
        <d v="2023-09-13T16:45:00"/>
        <d v="2023-09-14T18:20:00"/>
        <d v="2023-09-15T14:15:00"/>
        <d v="2023-09-16T17:30:00"/>
        <d v="2023-09-17T20:45:00"/>
        <d v="2023-09-18T22:00:00"/>
        <d v="2023-09-19T15:15:00"/>
        <d v="2023-09-20T12:30:00"/>
        <d v="2023-09-21T16:45:00"/>
        <d v="2023-09-22T18:20:00"/>
        <d v="2023-09-23T14:15:00"/>
        <d v="2023-09-24T17:30:00"/>
        <d v="2023-09-25T20:45:00"/>
        <d v="2023-09-26T14:15:00"/>
        <d v="2023-09-27T17:30:00"/>
        <d v="2023-09-28T22:00:00"/>
        <d v="2023-09-29T15:45:00"/>
        <d v="2023-09-30T18:20:00"/>
        <d v="2023-10-01T14:15:00"/>
        <d v="2023-10-02T16:45:00"/>
        <d v="2023-10-03T12:30:00"/>
        <d v="2023-10-04T18:20:00"/>
        <d v="2023-10-05T14:15:00"/>
        <d v="2023-10-06T17:30:00"/>
        <d v="2023-10-07T20:45:00"/>
        <d v="2023-10-08T15:15:00"/>
        <d v="2023-10-09T22:00:00"/>
        <d v="2023-10-10T14:15:00"/>
        <d v="2023-10-11T16:45:00"/>
        <d v="2023-10-12T18:20:00"/>
        <d v="2023-10-13T12:30:00"/>
        <d v="2023-10-14T17:30:00"/>
        <d v="2023-10-15T20:45:00"/>
        <d v="2023-10-16T15:45:00"/>
        <d v="2023-10-17T12:30:00"/>
        <d v="2023-10-18T16:45:00"/>
        <d v="2023-10-19T18:20:00"/>
        <d v="2023-10-20T14:15:00"/>
        <d v="2023-10-21T17:30:00"/>
        <d v="2023-10-22T20:45:00"/>
        <d v="2015-11-10T16:45:00"/>
        <d v="2016-09-14T12:30:00"/>
        <d v="2017-08-18T18:20:00"/>
        <d v="2018-06-22T14:15:00"/>
        <d v="2020-02-29T20:45:00"/>
        <d v="2020-11-15T15:15:00"/>
      </sharedItems>
    </cacheField>
    <cacheField name="Username (Cleaned)" numFmtId="0">
      <sharedItems/>
    </cacheField>
    <cacheField name="Platform (Cleaned)" numFmtId="0">
      <sharedItems count="4">
        <s v="Twitter"/>
        <s v="Instagram"/>
        <s v="Facebook"/>
        <s v="" u="1"/>
      </sharedItems>
    </cacheField>
    <cacheField name="Hashtags (Cleaned)" numFmtId="0">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Country (Cleaned)" numFmtId="0">
      <sharedItems count="34">
        <s v="USA"/>
        <s v="CANADA"/>
        <s v="UK"/>
        <s v="AUSTRALIA"/>
        <s v="INDIA"/>
        <s v="FRANCE"/>
        <s v="BRAZIL"/>
        <s v="JAPAN"/>
        <s v="GREECE"/>
        <s v="GERMANY"/>
        <s v="SWEDEN"/>
        <s v="ITALY"/>
        <s v="NETHERLANDS"/>
        <s v="SOUTH AFRICA"/>
        <s v="SPAIN"/>
        <s v="PORTUGAL"/>
        <s v="SWITZERLAND"/>
        <s v="AUSTRIA"/>
        <s v="BELGIUM"/>
        <s v="DENMARK"/>
        <s v="CZECH REPUBLIC"/>
        <s v="JORDAN"/>
        <s v="PERU"/>
        <s v="MALDIVES"/>
        <s v="CHINA"/>
        <s v="CAMBODIA"/>
        <s v="NORWAY"/>
        <s v="COLOMBIA"/>
        <s v="IRELAND"/>
        <s v="JAMAICA"/>
        <s v="KENYA"/>
        <s v="SCOTLAND"/>
        <s v="THAILAND"/>
        <s v="" u="1"/>
      </sharedItems>
    </cacheField>
    <cacheField name="Year" numFmtId="0">
      <sharedItems containsSemiMixedTypes="0" containsString="0" containsNumber="1" containsInteger="1" minValue="2010" maxValue="2023"/>
    </cacheField>
    <cacheField name="Month" numFmtId="0">
      <sharedItems containsSemiMixedTypes="0" containsString="0" containsNumber="1" containsInteger="1" minValue="1" maxValue="12" count="12">
        <n v="1"/>
        <n v="2"/>
        <n v="3"/>
        <n v="5"/>
        <n v="8"/>
        <n v="6"/>
        <n v="11"/>
        <n v="4"/>
        <n v="9"/>
        <n v="7"/>
        <n v="10"/>
        <n v="12"/>
      </sharedItems>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0" maxValue="23"/>
    </cacheField>
  </cacheFields>
  <extLst>
    <ext xmlns:x14="http://schemas.microsoft.com/office/spreadsheetml/2009/9/main" uri="{725AE2AE-9491-48be-B2B4-4EB974FC3084}">
      <x14:pivotCacheDefinition pivotCacheId="1770139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n v="0"/>
    <s v="Enjoying a beautiful day at the park!"/>
    <x v="0"/>
    <x v="0"/>
    <s v="User123"/>
    <x v="0"/>
    <s v="#Nature #Park"/>
    <n v="15"/>
    <n v="30"/>
    <x v="0"/>
    <n v="2023"/>
    <x v="0"/>
    <n v="15"/>
    <n v="12"/>
  </r>
  <r>
    <n v="1"/>
    <s v="Traffic was terrible this morning."/>
    <x v="1"/>
    <x v="1"/>
    <s v="CommuterX"/>
    <x v="0"/>
    <s v="#Traffic #Morning"/>
    <n v="5"/>
    <n v="30"/>
    <x v="1"/>
    <n v="2023"/>
    <x v="0"/>
    <n v="15"/>
    <n v="8"/>
  </r>
  <r>
    <n v="2"/>
    <s v="Just finished an amazing workout! 💪"/>
    <x v="0"/>
    <x v="2"/>
    <s v="FitnessFan"/>
    <x v="1"/>
    <s v="#Fitness #Workout"/>
    <n v="20"/>
    <n v="10"/>
    <x v="0"/>
    <n v="2023"/>
    <x v="0"/>
    <n v="15"/>
    <n v="15"/>
  </r>
  <r>
    <n v="3"/>
    <s v="Excited about the upcoming weekend getaway!"/>
    <x v="0"/>
    <x v="3"/>
    <s v="AdventureX"/>
    <x v="2"/>
    <s v="#Travel #Adventure"/>
    <n v="8"/>
    <n v="40"/>
    <x v="2"/>
    <n v="2023"/>
    <x v="0"/>
    <n v="15"/>
    <n v="18"/>
  </r>
  <r>
    <n v="4"/>
    <s v="Trying out a new recipe for dinner tonight."/>
    <x v="2"/>
    <x v="4"/>
    <s v="ChefCook"/>
    <x v="1"/>
    <s v="#Cooking #Food"/>
    <n v="12"/>
    <n v="15"/>
    <x v="3"/>
    <n v="2023"/>
    <x v="0"/>
    <n v="15"/>
    <n v="19"/>
  </r>
  <r>
    <n v="5"/>
    <s v="Feeling grateful for the little things in life."/>
    <x v="0"/>
    <x v="5"/>
    <s v="GratitudeNow"/>
    <x v="0"/>
    <s v="#Gratitude #PositiveVibes"/>
    <n v="25"/>
    <n v="25"/>
    <x v="4"/>
    <n v="2023"/>
    <x v="0"/>
    <n v="16"/>
    <n v="9"/>
  </r>
  <r>
    <n v="6"/>
    <s v="Rainy days call for cozy blankets and hot cocoa."/>
    <x v="0"/>
    <x v="6"/>
    <s v="RainyDays"/>
    <x v="2"/>
    <s v="#RainyDays #Cozy"/>
    <n v="10"/>
    <n v="50"/>
    <x v="1"/>
    <n v="2023"/>
    <x v="0"/>
    <n v="16"/>
    <n v="14"/>
  </r>
  <r>
    <n v="7"/>
    <s v="The new movie release is a must-watch!"/>
    <x v="0"/>
    <x v="7"/>
    <s v="MovieBuff"/>
    <x v="1"/>
    <s v="#MovieNight #MustWatch"/>
    <n v="15"/>
    <n v="20"/>
    <x v="0"/>
    <n v="2023"/>
    <x v="0"/>
    <n v="16"/>
    <n v="19"/>
  </r>
  <r>
    <n v="8"/>
    <s v="Political discussions heating up on the timeline."/>
    <x v="1"/>
    <x v="8"/>
    <s v="DebateTalk"/>
    <x v="0"/>
    <s v="#Politics #Debate"/>
    <n v="30"/>
    <n v="30"/>
    <x v="0"/>
    <n v="2023"/>
    <x v="0"/>
    <n v="17"/>
    <n v="8"/>
  </r>
  <r>
    <n v="9"/>
    <s v="Missing summer vibes and beach days."/>
    <x v="2"/>
    <x v="9"/>
    <s v="BeachLover"/>
    <x v="2"/>
    <s v="#Summer #BeachDays"/>
    <n v="18"/>
    <n v="60"/>
    <x v="3"/>
    <n v="2023"/>
    <x v="0"/>
    <n v="17"/>
    <n v="12"/>
  </r>
  <r>
    <n v="10"/>
    <s v="Just published a new blog post. Check it out!"/>
    <x v="0"/>
    <x v="10"/>
    <s v="BloggerX"/>
    <x v="1"/>
    <s v="#Blogging #NewPost"/>
    <n v="22"/>
    <n v="35"/>
    <x v="0"/>
    <n v="2023"/>
    <x v="0"/>
    <n v="17"/>
    <n v="15"/>
  </r>
  <r>
    <n v="11"/>
    <s v="Feeling a bit under the weather today."/>
    <x v="1"/>
    <x v="11"/>
    <s v="WellnessCheck"/>
    <x v="0"/>
    <s v="#SickDay #Health"/>
    <n v="7"/>
    <n v="45"/>
    <x v="1"/>
    <n v="2023"/>
    <x v="0"/>
    <n v="18"/>
    <n v="10"/>
  </r>
  <r>
    <n v="12"/>
    <s v="Exploring the city's hidden gems."/>
    <x v="0"/>
    <x v="12"/>
    <s v="UrbanExplorer"/>
    <x v="2"/>
    <s v="#CityExplore #HiddenGems"/>
    <n v="12"/>
    <n v="15"/>
    <x v="2"/>
    <n v="2023"/>
    <x v="0"/>
    <n v="18"/>
    <n v="14"/>
  </r>
  <r>
    <n v="13"/>
    <s v="New year, new fitness goals! 💪"/>
    <x v="0"/>
    <x v="13"/>
    <s v="FitJourney"/>
    <x v="1"/>
    <s v="#NewYear #FitnessGoals"/>
    <n v="28"/>
    <n v="25"/>
    <x v="0"/>
    <n v="2023"/>
    <x v="0"/>
    <n v="18"/>
    <n v="18"/>
  </r>
  <r>
    <n v="14"/>
    <s v="Technology is changing the way we live."/>
    <x v="2"/>
    <x v="14"/>
    <s v="TechEnthusiast"/>
    <x v="0"/>
    <s v="#Tech #Innovation"/>
    <n v="15"/>
    <n v="55"/>
    <x v="4"/>
    <n v="2023"/>
    <x v="0"/>
    <n v="19"/>
    <n v="9"/>
  </r>
  <r>
    <n v="15"/>
    <s v="Reflecting on the past and looking ahead."/>
    <x v="0"/>
    <x v="15"/>
    <s v="Reflections"/>
    <x v="2"/>
    <s v="#Reflection #Future"/>
    <n v="20"/>
    <n v="30"/>
    <x v="0"/>
    <n v="2023"/>
    <x v="0"/>
    <n v="19"/>
    <n v="13"/>
  </r>
  <r>
    <n v="16"/>
    <s v="Just adopted a cute furry friend! 🐾"/>
    <x v="0"/>
    <x v="16"/>
    <s v="PetAdopter"/>
    <x v="1"/>
    <s v="#PetAdoption #FurryFriend"/>
    <n v="15"/>
    <n v="40"/>
    <x v="1"/>
    <n v="2023"/>
    <x v="0"/>
    <n v="19"/>
    <n v="17"/>
  </r>
  <r>
    <n v="17"/>
    <s v="Late-night gaming session with friends."/>
    <x v="0"/>
    <x v="17"/>
    <s v="GamerX"/>
    <x v="0"/>
    <s v="#Gaming #LateNight"/>
    <n v="18"/>
    <n v="30"/>
    <x v="2"/>
    <n v="2023"/>
    <x v="0"/>
    <n v="20"/>
    <n v="0"/>
  </r>
  <r>
    <n v="18"/>
    <s v="Attending a virtual conference on AI."/>
    <x v="2"/>
    <x v="18"/>
    <s v="TechConference"/>
    <x v="2"/>
    <s v="#AI #TechConference"/>
    <n v="25"/>
    <n v="35"/>
    <x v="0"/>
    <n v="2023"/>
    <x v="0"/>
    <n v="20"/>
    <n v="11"/>
  </r>
  <r>
    <n v="19"/>
    <s v="Winter blues got me feeling low."/>
    <x v="1"/>
    <x v="19"/>
    <s v="WinterBlues"/>
    <x v="1"/>
    <s v="#WinterBlues #Mood"/>
    <n v="8"/>
    <n v="50"/>
    <x v="0"/>
    <n v="2023"/>
    <x v="0"/>
    <n v="20"/>
    <n v="15"/>
  </r>
  <r>
    <n v="20"/>
    <s v="Sipping coffee and enjoying a good book."/>
    <x v="0"/>
    <x v="20"/>
    <s v="Bookworm"/>
    <x v="0"/>
    <s v="#Reading #CoffeeTime"/>
    <n v="22"/>
    <n v="15"/>
    <x v="4"/>
    <n v="2023"/>
    <x v="0"/>
    <n v="21"/>
    <n v="8"/>
  </r>
  <r>
    <n v="21"/>
    <s v="Exploring the world of virtual reality."/>
    <x v="0"/>
    <x v="21"/>
    <s v="VRExplorer"/>
    <x v="2"/>
    <s v="#VR #VirtualReality"/>
    <n v="15"/>
    <n v="45"/>
    <x v="0"/>
    <n v="2023"/>
    <x v="0"/>
    <n v="21"/>
    <n v="13"/>
  </r>
  <r>
    <n v="22"/>
    <s v="Productive day ticking off my to-do list."/>
    <x v="0"/>
    <x v="22"/>
    <s v="ProductivityPro"/>
    <x v="1"/>
    <s v="#Productivity #WorkFromHome"/>
    <n v="30"/>
    <n v="30"/>
    <x v="0"/>
    <n v="2023"/>
    <x v="0"/>
    <n v="21"/>
    <n v="16"/>
  </r>
  <r>
    <n v="23"/>
    <s v="Just finished a challenging workout routine."/>
    <x v="0"/>
    <x v="23"/>
    <s v="FitnessWarrior"/>
    <x v="0"/>
    <s v="#Fitness #ChallengeAccepted"/>
    <n v="20"/>
    <n v="60"/>
    <x v="2"/>
    <n v="2023"/>
    <x v="0"/>
    <n v="22"/>
    <n v="9"/>
  </r>
  <r>
    <n v="24"/>
    <s v="Celebrating a milestone at work! 🎉"/>
    <x v="0"/>
    <x v="24"/>
    <s v="CareerMilestone"/>
    <x v="2"/>
    <s v="#Career #Milestone"/>
    <n v="12"/>
    <n v="40"/>
    <x v="1"/>
    <n v="2023"/>
    <x v="0"/>
    <n v="22"/>
    <n v="14"/>
  </r>
  <r>
    <n v="25"/>
    <s v="Sunday brunch with friends."/>
    <x v="0"/>
    <x v="25"/>
    <s v="BrunchBuddy"/>
    <x v="1"/>
    <s v="#Brunch #Friends"/>
    <n v="15"/>
    <n v="25"/>
    <x v="2"/>
    <n v="2023"/>
    <x v="0"/>
    <n v="22"/>
    <n v="12"/>
  </r>
  <r>
    <n v="27"/>
    <s v="Learning a new language for personal growth."/>
    <x v="0"/>
    <x v="26"/>
    <s v="LanguageLearner"/>
    <x v="2"/>
    <s v="#LanguageLearning #PersonalGrowth"/>
    <n v="25"/>
    <n v="30"/>
    <x v="4"/>
    <n v="2023"/>
    <x v="0"/>
    <n v="23"/>
    <n v="16"/>
  </r>
  <r>
    <n v="28"/>
    <s v="Quiet evening with a good book."/>
    <x v="0"/>
    <x v="27"/>
    <s v="BookLover"/>
    <x v="1"/>
    <s v="#Reading #QuietTime"/>
    <n v="15"/>
    <n v="50"/>
    <x v="3"/>
    <n v="2023"/>
    <x v="0"/>
    <n v="23"/>
    <n v="19"/>
  </r>
  <r>
    <n v="29"/>
    <s v="Reflecting on the importance of mental health."/>
    <x v="0"/>
    <x v="28"/>
    <s v="MentalHealthMatters"/>
    <x v="0"/>
    <s v="#MentalHealth #SelfCare"/>
    <n v="22"/>
    <n v="30"/>
    <x v="0"/>
    <n v="2023"/>
    <x v="0"/>
    <n v="24"/>
    <n v="11"/>
  </r>
  <r>
    <n v="30"/>
    <s v="New painting in progress! 🎨"/>
    <x v="0"/>
    <x v="29"/>
    <s v="ArtistInAction"/>
    <x v="2"/>
    <s v="#Art #PaintingInProgress"/>
    <n v="12"/>
    <n v="45"/>
    <x v="1"/>
    <n v="2023"/>
    <x v="0"/>
    <n v="24"/>
    <n v="15"/>
  </r>
  <r>
    <n v="31"/>
    <s v="Weekend road trip to explore scenic views."/>
    <x v="0"/>
    <x v="30"/>
    <s v="RoadTripper"/>
    <x v="1"/>
    <s v="#RoadTrip #ScenicViews"/>
    <n v="18"/>
    <n v="25"/>
    <x v="2"/>
    <n v="2023"/>
    <x v="0"/>
    <n v="24"/>
    <n v="17"/>
  </r>
  <r>
    <n v="32"/>
    <s v="Enjoying a cup of tea and watching the sunset."/>
    <x v="0"/>
    <x v="31"/>
    <s v="SunsetWatcher"/>
    <x v="0"/>
    <s v="#TeaTime #Sunset"/>
    <n v="15"/>
    <n v="35"/>
    <x v="4"/>
    <n v="2023"/>
    <x v="0"/>
    <n v="25"/>
    <n v="18"/>
  </r>
  <r>
    <n v="33"/>
    <s v="Coding a new project with enthusiasm."/>
    <x v="0"/>
    <x v="32"/>
    <s v="CodeEnthusiast"/>
    <x v="2"/>
    <s v="#Coding #Enthusiasm"/>
    <n v="30"/>
    <n v="30"/>
    <x v="0"/>
    <n v="2023"/>
    <x v="0"/>
    <n v="25"/>
    <n v="13"/>
  </r>
  <r>
    <n v="34"/>
    <s v="Feeling inspired after attending a workshop."/>
    <x v="0"/>
    <x v="33"/>
    <s v="WorkshopAttendee"/>
    <x v="1"/>
    <s v="#Inspiration #Workshop"/>
    <n v="25"/>
    <n v="60"/>
    <x v="0"/>
    <n v="2023"/>
    <x v="0"/>
    <n v="26"/>
    <n v="9"/>
  </r>
  <r>
    <n v="35"/>
    <s v="Winter sports day at the local park."/>
    <x v="0"/>
    <x v="34"/>
    <s v="WinterSports"/>
    <x v="0"/>
    <s v="#WinterSports #Fun"/>
    <n v="15"/>
    <n v="50"/>
    <x v="1"/>
    <n v="2023"/>
    <x v="0"/>
    <n v="26"/>
    <n v="14"/>
  </r>
  <r>
    <n v="36"/>
    <s v="Quality time with family this weekend."/>
    <x v="0"/>
    <x v="35"/>
    <s v="FamilyTime"/>
    <x v="2"/>
    <s v="#FamilyTime #Weekend"/>
    <n v="22"/>
    <n v="30"/>
    <x v="2"/>
    <n v="2023"/>
    <x v="0"/>
    <n v="26"/>
    <n v="17"/>
  </r>
  <r>
    <n v="37"/>
    <s v="Attending a live music concert tonight."/>
    <x v="0"/>
    <x v="36"/>
    <s v="MusicLover"/>
    <x v="1"/>
    <s v="#Music #ConcertNight"/>
    <n v="18"/>
    <n v="45"/>
    <x v="0"/>
    <n v="2023"/>
    <x v="0"/>
    <n v="27"/>
    <n v="20"/>
  </r>
  <r>
    <n v="38"/>
    <s v="Practicing mindfulness with meditation."/>
    <x v="0"/>
    <x v="37"/>
    <s v="MindfulMoments"/>
    <x v="0"/>
    <s v="#Mindfulness #Meditation"/>
    <n v="15"/>
    <n v="35"/>
    <x v="4"/>
    <n v="2023"/>
    <x v="0"/>
    <n v="27"/>
    <n v="12"/>
  </r>
  <r>
    <n v="39"/>
    <s v="Trying out a new dessert recipe."/>
    <x v="0"/>
    <x v="38"/>
    <s v="DessertExplorer"/>
    <x v="2"/>
    <s v="#Dessert #Cooking"/>
    <n v="12"/>
    <n v="30"/>
    <x v="1"/>
    <n v="2023"/>
    <x v="0"/>
    <n v="27"/>
    <n v="16"/>
  </r>
  <r>
    <n v="40"/>
    <s v="Excited about the upcoming gaming tournament."/>
    <x v="0"/>
    <x v="39"/>
    <s v="GamingEnthusiast"/>
    <x v="1"/>
    <s v="#Gaming #Tournament"/>
    <n v="30"/>
    <n v="25"/>
    <x v="0"/>
    <n v="2023"/>
    <x v="0"/>
    <n v="28"/>
    <n v="9"/>
  </r>
  <r>
    <n v="41"/>
    <s v="Planning a garden makeover for spring."/>
    <x v="0"/>
    <x v="40"/>
    <s v="GardenPlanner"/>
    <x v="0"/>
    <s v="#Gardening #Spring"/>
    <n v="25"/>
    <n v="60"/>
    <x v="0"/>
    <n v="2023"/>
    <x v="0"/>
    <n v="28"/>
    <n v="14"/>
  </r>
  <r>
    <n v="42"/>
    <s v="Celebrating a friend's birthday tonight! 🎂"/>
    <x v="0"/>
    <x v="41"/>
    <s v="BirthdayBash"/>
    <x v="2"/>
    <s v="#Birthday #Celebration"/>
    <n v="15"/>
    <n v="50"/>
    <x v="2"/>
    <n v="2023"/>
    <x v="0"/>
    <n v="28"/>
    <n v="19"/>
  </r>
  <r>
    <n v="43"/>
    <s v="Feeling accomplished after a productive day."/>
    <x v="0"/>
    <x v="42"/>
    <s v="ProductivityWin"/>
    <x v="1"/>
    <s v="#Accomplished #Success"/>
    <n v="22"/>
    <n v="30"/>
    <x v="4"/>
    <n v="2023"/>
    <x v="0"/>
    <n v="29"/>
    <n v="17"/>
  </r>
  <r>
    <n v="44"/>
    <s v="A cozy evening with a good movie."/>
    <x v="0"/>
    <x v="43"/>
    <s v="MovieNight"/>
    <x v="0"/>
    <s v="#CozyNight #MovieTime"/>
    <n v="18"/>
    <n v="45"/>
    <x v="1"/>
    <n v="2023"/>
    <x v="0"/>
    <n v="29"/>
    <n v="20"/>
  </r>
  <r>
    <n v="45"/>
    <s v="Exploring local art galleries this weekend."/>
    <x v="0"/>
    <x v="44"/>
    <s v="ArtExplorer"/>
    <x v="2"/>
    <s v="#Art #GalleryExplore"/>
    <n v="15"/>
    <n v="35"/>
    <x v="0"/>
    <n v="2023"/>
    <x v="0"/>
    <n v="30"/>
    <n v="11"/>
  </r>
  <r>
    <n v="46"/>
    <s v="New book release from my favorite author!"/>
    <x v="0"/>
    <x v="45"/>
    <s v="BookwormX"/>
    <x v="1"/>
    <s v="#BookRelease #FavoriteAuthor"/>
    <n v="12"/>
    <n v="30"/>
    <x v="2"/>
    <n v="2023"/>
    <x v="0"/>
    <n v="30"/>
    <n v="15"/>
  </r>
  <r>
    <n v="47"/>
    <s v="Attending a virtual reality meetup."/>
    <x v="0"/>
    <x v="46"/>
    <s v="VRMeetup"/>
    <x v="0"/>
    <s v="#VRMeetup #VirtualReality"/>
    <n v="28"/>
    <n v="25"/>
    <x v="4"/>
    <n v="2023"/>
    <x v="0"/>
    <n v="30"/>
    <n v="18"/>
  </r>
  <r>
    <n v="48"/>
    <s v="Reflecting on the beauty of nature."/>
    <x v="0"/>
    <x v="47"/>
    <s v="NatureLover"/>
    <x v="2"/>
    <s v="#Nature #Reflection"/>
    <n v="15"/>
    <n v="55"/>
    <x v="3"/>
    <n v="2023"/>
    <x v="0"/>
    <n v="31"/>
    <n v="10"/>
  </r>
  <r>
    <n v="49"/>
    <s v="Cooking a special dinner for loved ones."/>
    <x v="0"/>
    <x v="48"/>
    <s v="ChefAtHome"/>
    <x v="1"/>
    <s v="#Cooking #SpecialDinner"/>
    <n v="20"/>
    <n v="30"/>
    <x v="0"/>
    <n v="2023"/>
    <x v="0"/>
    <n v="31"/>
    <n v="19"/>
  </r>
  <r>
    <n v="50"/>
    <s v="Feeling optimistic about the week ahead."/>
    <x v="0"/>
    <x v="49"/>
    <s v="OptimisticMindset"/>
    <x v="0"/>
    <s v="#Optimism #NewWeek"/>
    <n v="15"/>
    <n v="40"/>
    <x v="1"/>
    <n v="2023"/>
    <x v="0"/>
    <n v="31"/>
    <n v="16"/>
  </r>
  <r>
    <n v="51"/>
    <s v="Starting a new fitness challenge tomorrow! 💪"/>
    <x v="0"/>
    <x v="50"/>
    <s v="FitnessChallenge"/>
    <x v="2"/>
    <s v="#FitnessChallenge #NewBeginnings"/>
    <n v="22"/>
    <n v="30"/>
    <x v="2"/>
    <n v="2023"/>
    <x v="1"/>
    <n v="1"/>
    <n v="8"/>
  </r>
  <r>
    <n v="52"/>
    <s v="Sunday bike ride through scenic trails."/>
    <x v="0"/>
    <x v="51"/>
    <s v="BikeExplorer"/>
    <x v="1"/>
    <s v="#BikeRide #ScenicTrails"/>
    <n v="18"/>
    <n v="45"/>
    <x v="0"/>
    <n v="2023"/>
    <x v="1"/>
    <n v="1"/>
    <n v="13"/>
  </r>
  <r>
    <n v="53"/>
    <s v="Can't believe the injustice happening in our society."/>
    <x v="3"/>
    <x v="52"/>
    <s v="SocialJustice"/>
    <x v="0"/>
    <s v="#Injustice #Angry"/>
    <n v="20"/>
    <n v="35"/>
    <x v="1"/>
    <n v="2023"/>
    <x v="1"/>
    <n v="11"/>
    <n v="9"/>
  </r>
  <r>
    <n v="54"/>
    <s v="Feeling a sense of fear after watching a thriller movie."/>
    <x v="4"/>
    <x v="53"/>
    <s v="ThrillerFan"/>
    <x v="1"/>
    <s v="#Fear #ThrillerMovie"/>
    <n v="15"/>
    <n v="40"/>
    <x v="0"/>
    <n v="2023"/>
    <x v="1"/>
    <n v="11"/>
    <n v="21"/>
  </r>
  <r>
    <n v="55"/>
    <s v="Heartbroken after hearing the news about a natural disaster."/>
    <x v="5"/>
    <x v="54"/>
    <s v="EmpathyFirst"/>
    <x v="2"/>
    <s v="#Sadness #NaturalDisaster"/>
    <n v="25"/>
    <n v="30"/>
    <x v="4"/>
    <n v="2023"/>
    <x v="1"/>
    <n v="12"/>
    <n v="14"/>
  </r>
  <r>
    <n v="56"/>
    <s v="The state of the world's environment is just disgusting."/>
    <x v="6"/>
    <x v="55"/>
    <s v="EcoAwareness"/>
    <x v="0"/>
    <s v="#Disgust #Environment"/>
    <n v="18"/>
    <n v="50"/>
    <x v="2"/>
    <n v="2023"/>
    <x v="1"/>
    <n v="12"/>
    <n v="18"/>
  </r>
  <r>
    <n v="57"/>
    <s v="Pure happiness: celebrating a loved one's achievement!"/>
    <x v="7"/>
    <x v="56"/>
    <s v="ProudFriend"/>
    <x v="1"/>
    <s v="#Happiness #Celebration"/>
    <n v="30"/>
    <n v="35"/>
    <x v="0"/>
    <n v="2023"/>
    <x v="1"/>
    <n v="13"/>
    <n v="10"/>
  </r>
  <r>
    <n v="58"/>
    <s v="Laughter is the best medicine—enjoying a comedy show."/>
    <x v="8"/>
    <x v="57"/>
    <s v="ComedyFan"/>
    <x v="2"/>
    <s v="#Joy #ComedyShow"/>
    <n v="22"/>
    <n v="60"/>
    <x v="1"/>
    <n v="2023"/>
    <x v="1"/>
    <n v="13"/>
    <n v="19"/>
  </r>
  <r>
    <n v="59"/>
    <s v="Sharing love and positive vibes with everyone! ❤️"/>
    <x v="9"/>
    <x v="58"/>
    <s v="LoveSpreader"/>
    <x v="0"/>
    <s v="#Love #SpreadLove"/>
    <n v="15"/>
    <n v="45"/>
    <x v="3"/>
    <n v="2023"/>
    <x v="1"/>
    <n v="14"/>
    <n v="8"/>
  </r>
  <r>
    <n v="60"/>
    <s v="An amusing incident brightened up my day!"/>
    <x v="10"/>
    <x v="59"/>
    <s v="AmusedSoul"/>
    <x v="1"/>
    <s v="#Amusement #FunTimes"/>
    <n v="18"/>
    <n v="30"/>
    <x v="2"/>
    <n v="2023"/>
    <x v="1"/>
    <n v="14"/>
    <n v="14"/>
  </r>
  <r>
    <n v="61"/>
    <s v="Enjoying a quiet evening with a book and some tea."/>
    <x v="11"/>
    <x v="60"/>
    <s v="BookLoverAgain"/>
    <x v="2"/>
    <s v="#Enjoyment #BookTime"/>
    <n v="25"/>
    <n v="35"/>
    <x v="1"/>
    <n v="2023"/>
    <x v="1"/>
    <n v="14"/>
    <n v="19"/>
  </r>
  <r>
    <n v="62"/>
    <s v="Admiring the beauty of nature during a peaceful hike."/>
    <x v="12"/>
    <x v="61"/>
    <s v="NatureAdmirer"/>
    <x v="0"/>
    <s v="#Admiration #Nature"/>
    <n v="20"/>
    <n v="50"/>
    <x v="0"/>
    <n v="2023"/>
    <x v="1"/>
    <n v="15"/>
    <n v="11"/>
  </r>
  <r>
    <n v="63"/>
    <s v="Sending affectionate vibes to all my followers!"/>
    <x v="13"/>
    <x v="62"/>
    <s v="AffectionSender"/>
    <x v="1"/>
    <s v="#Affection #PositiveVibes"/>
    <n v="15"/>
    <n v="40"/>
    <x v="0"/>
    <n v="2023"/>
    <x v="1"/>
    <n v="15"/>
    <n v="16"/>
  </r>
  <r>
    <n v="64"/>
    <s v="Experiencing awe at the breathtaking sunset."/>
    <x v="14"/>
    <x v="63"/>
    <s v="AweStruck"/>
    <x v="2"/>
    <s v="#Awe #Breathtaking"/>
    <n v="22"/>
    <n v="30"/>
    <x v="3"/>
    <n v="2023"/>
    <x v="1"/>
    <n v="15"/>
    <n v="20"/>
  </r>
  <r>
    <n v="65"/>
    <s v="Disappointed with the service at a local restaurant."/>
    <x v="15"/>
    <x v="64"/>
    <s v="FoodieGoneWrong"/>
    <x v="0"/>
    <s v="#Disappointed #BadService"/>
    <n v="18"/>
    <n v="45"/>
    <x v="4"/>
    <n v="2023"/>
    <x v="1"/>
    <n v="16"/>
    <n v="9"/>
  </r>
  <r>
    <n v="66"/>
    <s v="A surprise gift from a friend made my day!"/>
    <x v="16"/>
    <x v="65"/>
    <s v="HappySurprise"/>
    <x v="1"/>
    <s v="#Surprise #Gift"/>
    <n v="25"/>
    <n v="35"/>
    <x v="0"/>
    <n v="2023"/>
    <x v="1"/>
    <n v="16"/>
    <n v="14"/>
  </r>
  <r>
    <n v="67"/>
    <s v="Finding acceptance in the midst of life's challenges."/>
    <x v="17"/>
    <x v="66"/>
    <s v="AcceptanceSeeker"/>
    <x v="2"/>
    <s v="#Acceptance #Challenges"/>
    <n v="15"/>
    <n v="50"/>
    <x v="1"/>
    <n v="2023"/>
    <x v="1"/>
    <n v="16"/>
    <n v="18"/>
  </r>
  <r>
    <n v="68"/>
    <s v="Overflowing with adoration for my adorable pet! 🐾"/>
    <x v="18"/>
    <x v="67"/>
    <s v="PetAdorer"/>
    <x v="0"/>
    <s v="#Adoration #PetLove"/>
    <n v="22"/>
    <n v="30"/>
    <x v="2"/>
    <n v="2023"/>
    <x v="1"/>
    <n v="17"/>
    <n v="10"/>
  </r>
  <r>
    <n v="69"/>
    <s v="Anticipating a thrilling adventure in the coming weeks."/>
    <x v="19"/>
    <x v="68"/>
    <s v="AdventureAwaits"/>
    <x v="1"/>
    <s v="#Anticipation #Adventure"/>
    <n v="20"/>
    <n v="45"/>
    <x v="0"/>
    <n v="2023"/>
    <x v="1"/>
    <n v="17"/>
    <n v="7"/>
  </r>
  <r>
    <n v="70"/>
    <s v="A bitter experience turned into a valuable lesson."/>
    <x v="20"/>
    <x v="69"/>
    <s v="LearnFromBitter"/>
    <x v="2"/>
    <s v="#BitterLesson #Growth"/>
    <n v="18"/>
    <n v="40"/>
    <x v="0"/>
    <n v="2023"/>
    <x v="1"/>
    <n v="17"/>
    <n v="15"/>
  </r>
  <r>
    <n v="71"/>
    <s v="Finding calmness in the midst of a busy day."/>
    <x v="21"/>
    <x v="70"/>
    <s v="ZenMaster"/>
    <x v="0"/>
    <s v="#Calmness #PeacefulMind"/>
    <n v="15"/>
    <n v="35"/>
    <x v="4"/>
    <n v="2023"/>
    <x v="1"/>
    <n v="18"/>
    <n v="9"/>
  </r>
  <r>
    <n v="72"/>
    <s v="Confusion clouds my mind as I navigate through decisions."/>
    <x v="22"/>
    <x v="71"/>
    <s v="ConfusedMind"/>
    <x v="1"/>
    <s v="#Confusion #DecisionMaking"/>
    <n v="25"/>
    <n v="30"/>
    <x v="2"/>
    <n v="2023"/>
    <x v="1"/>
    <n v="18"/>
    <n v="14"/>
  </r>
  <r>
    <n v="73"/>
    <s v="Excitement building up for the upcoming vacation!"/>
    <x v="23"/>
    <x v="72"/>
    <s v="VacationDreamer"/>
    <x v="2"/>
    <s v="#Excitement #TravelPlans"/>
    <n v="22"/>
    <n v="50"/>
    <x v="1"/>
    <n v="2023"/>
    <x v="1"/>
    <n v="18"/>
    <n v="18"/>
  </r>
  <r>
    <n v="74"/>
    <s v="Kindness witnessed today restored my faith in humanity."/>
    <x v="24"/>
    <x v="73"/>
    <s v="KindnessPrevails"/>
    <x v="0"/>
    <s v="#Kindness #Humanity"/>
    <n v="20"/>
    <n v="45"/>
    <x v="0"/>
    <n v="2023"/>
    <x v="1"/>
    <n v="19"/>
    <n v="11"/>
  </r>
  <r>
    <n v="75"/>
    <s v="Pride in achieving a personal milestone."/>
    <x v="25"/>
    <x v="74"/>
    <s v="PersonalAchiever"/>
    <x v="1"/>
    <s v="#Pride #Milestone"/>
    <n v="30"/>
    <n v="40"/>
    <x v="3"/>
    <n v="2023"/>
    <x v="1"/>
    <n v="19"/>
    <n v="16"/>
  </r>
  <r>
    <n v="76"/>
    <s v="A moment of shame for not standing up against injustice."/>
    <x v="26"/>
    <x v="75"/>
    <s v="ReflectiveSelf"/>
    <x v="2"/>
    <s v="#Shame #Injustice"/>
    <n v="15"/>
    <n v="60"/>
    <x v="4"/>
    <n v="2023"/>
    <x v="1"/>
    <n v="19"/>
    <n v="19"/>
  </r>
  <r>
    <n v="77"/>
    <s v="Fuming with anger after a heated argument."/>
    <x v="3"/>
    <x v="76"/>
    <s v="AngryDebater"/>
    <x v="0"/>
    <s v="#Anger #Argument"/>
    <n v="20"/>
    <n v="30"/>
    <x v="1"/>
    <n v="2023"/>
    <x v="1"/>
    <n v="20"/>
    <n v="9"/>
  </r>
  <r>
    <n v="78"/>
    <s v="The fear of the unknown is keeping me up at night."/>
    <x v="4"/>
    <x v="77"/>
    <s v="FearfulDreamer"/>
    <x v="1"/>
    <s v="#Fear #Unknown"/>
    <n v="15"/>
    <n v="40"/>
    <x v="0"/>
    <n v="2023"/>
    <x v="1"/>
    <n v="20"/>
    <n v="21"/>
  </r>
  <r>
    <n v="79"/>
    <s v="Heartfelt sadness after bidding farewell to a dear friend."/>
    <x v="5"/>
    <x v="78"/>
    <s v="FarewellHeart"/>
    <x v="2"/>
    <s v="#Sadness #Farewell"/>
    <n v="25"/>
    <n v="30"/>
    <x v="4"/>
    <n v="2023"/>
    <x v="1"/>
    <n v="21"/>
    <n v="14"/>
  </r>
  <r>
    <n v="80"/>
    <s v="The state of corruption in our society is utterly disgusting."/>
    <x v="6"/>
    <x v="79"/>
    <s v="AntiCorruption"/>
    <x v="0"/>
    <s v="#Disgust #Corruption"/>
    <n v="18"/>
    <n v="50"/>
    <x v="2"/>
    <n v="2023"/>
    <x v="1"/>
    <n v="21"/>
    <n v="18"/>
  </r>
  <r>
    <n v="81"/>
    <s v="Overflowing happiness: welcoming a new family member!"/>
    <x v="7"/>
    <x v="80"/>
    <s v="NewParentJoy"/>
    <x v="1"/>
    <s v="#Happiness #NewFamilyMember"/>
    <n v="30"/>
    <n v="35"/>
    <x v="2"/>
    <n v="2023"/>
    <x v="1"/>
    <n v="22"/>
    <n v="10"/>
  </r>
  <r>
    <n v="82"/>
    <s v="Laughter is the key to joy—attending a stand-up comedy show."/>
    <x v="8"/>
    <x v="81"/>
    <s v="StandUpFan"/>
    <x v="2"/>
    <s v="#Joy #StandUpComedy"/>
    <n v="22"/>
    <n v="60"/>
    <x v="1"/>
    <n v="2023"/>
    <x v="1"/>
    <n v="22"/>
    <n v="19"/>
  </r>
  <r>
    <n v="83"/>
    <s v="Sending love to all my followers on this beautiful day! ❤️"/>
    <x v="9"/>
    <x v="82"/>
    <s v="LoveSender"/>
    <x v="0"/>
    <s v="#Love #SpreadLove"/>
    <n v="15"/>
    <n v="45"/>
    <x v="3"/>
    <n v="2023"/>
    <x v="1"/>
    <n v="23"/>
    <n v="8"/>
  </r>
  <r>
    <n v="84"/>
    <s v="Amused by the antics of my pet—it's pure amusement!"/>
    <x v="10"/>
    <x v="83"/>
    <s v="PetAmuser"/>
    <x v="1"/>
    <s v="#Amusement #PetAntics"/>
    <n v="18"/>
    <n v="30"/>
    <x v="2"/>
    <n v="2023"/>
    <x v="1"/>
    <n v="23"/>
    <n v="14"/>
  </r>
  <r>
    <n v="85"/>
    <s v="Enjoying every moment of this trip—pure enjoyment!"/>
    <x v="11"/>
    <x v="84"/>
    <s v="TravelExplorer"/>
    <x v="2"/>
    <s v="#Enjoyment #Travel"/>
    <n v="25"/>
    <n v="35"/>
    <x v="0"/>
    <n v="2023"/>
    <x v="1"/>
    <n v="23"/>
    <n v="19"/>
  </r>
  <r>
    <n v="86"/>
    <s v="Admiring the dedication of volunteers at a local charity."/>
    <x v="12"/>
    <x v="85"/>
    <s v="CharityAdmirer"/>
    <x v="0"/>
    <s v="#Admiration #Volunteers"/>
    <n v="20"/>
    <n v="50"/>
    <x v="0"/>
    <n v="2023"/>
    <x v="1"/>
    <n v="24"/>
    <n v="11"/>
  </r>
  <r>
    <n v="87"/>
    <s v="Sending affectionate vibes to friends and family."/>
    <x v="13"/>
    <x v="86"/>
    <s v="FamilyLover"/>
    <x v="1"/>
    <s v="#Affection #FamilyLove"/>
    <n v="15"/>
    <n v="40"/>
    <x v="0"/>
    <n v="2023"/>
    <x v="1"/>
    <n v="24"/>
    <n v="16"/>
  </r>
  <r>
    <n v="88"/>
    <s v="Awe-struck by the beauty of the night sky."/>
    <x v="14"/>
    <x v="87"/>
    <s v="Stargazer"/>
    <x v="2"/>
    <s v="#Awe #StarryNight"/>
    <n v="22"/>
    <n v="30"/>
    <x v="3"/>
    <n v="2023"/>
    <x v="1"/>
    <n v="24"/>
    <n v="20"/>
  </r>
  <r>
    <n v="89"/>
    <s v="Disappointed with the lack of progress in a personal project."/>
    <x v="15"/>
    <x v="88"/>
    <s v="ProjectStruggle"/>
    <x v="0"/>
    <s v="#Disappointed #Project"/>
    <n v="18"/>
    <n v="45"/>
    <x v="4"/>
    <n v="2023"/>
    <x v="1"/>
    <n v="25"/>
    <n v="9"/>
  </r>
  <r>
    <n v="90"/>
    <s v="A surprise visit from an old friend brought tears of joy."/>
    <x v="16"/>
    <x v="89"/>
    <s v="JoyfulReunion"/>
    <x v="1"/>
    <s v="#Surprise #OldFriends"/>
    <n v="25"/>
    <n v="35"/>
    <x v="0"/>
    <n v="2023"/>
    <x v="1"/>
    <n v="25"/>
    <n v="14"/>
  </r>
  <r>
    <n v="91"/>
    <s v="Embracing acceptance of life's ups and downs."/>
    <x v="17"/>
    <x v="90"/>
    <s v="LifeAcceptance"/>
    <x v="2"/>
    <s v="#Acceptance #LifeJourney"/>
    <n v="15"/>
    <n v="50"/>
    <x v="1"/>
    <n v="2023"/>
    <x v="1"/>
    <n v="25"/>
    <n v="18"/>
  </r>
  <r>
    <n v="92"/>
    <s v="Overflowing adoration for a cute rescue puppy! 🐶"/>
    <x v="18"/>
    <x v="91"/>
    <s v="PuppyAdmirer"/>
    <x v="0"/>
    <s v="#Adoration #PuppyLove"/>
    <n v="22"/>
    <n v="30"/>
    <x v="2"/>
    <n v="2023"/>
    <x v="1"/>
    <n v="26"/>
    <n v="10"/>
  </r>
  <r>
    <n v="93"/>
    <s v="Anticipating the release of a much-awaited movie."/>
    <x v="19"/>
    <x v="92"/>
    <s v="MovieBuff2"/>
    <x v="1"/>
    <s v="#Anticipation #MovieRelease"/>
    <n v="20"/>
    <n v="45"/>
    <x v="3"/>
    <n v="2023"/>
    <x v="1"/>
    <n v="26"/>
    <n v="7"/>
  </r>
  <r>
    <n v="94"/>
    <s v="Bitter experience at the customer service department."/>
    <x v="20"/>
    <x v="93"/>
    <s v="CustomerWoes"/>
    <x v="2"/>
    <s v="#BitterExperience #CustomerService"/>
    <n v="18"/>
    <n v="40"/>
    <x v="0"/>
    <n v="2023"/>
    <x v="1"/>
    <n v="26"/>
    <n v="15"/>
  </r>
  <r>
    <n v="95"/>
    <s v="Finding calmness amidst the chaos of daily life."/>
    <x v="21"/>
    <x v="94"/>
    <s v="CalmSoul"/>
    <x v="0"/>
    <s v="#Calmness #InnerPeace"/>
    <n v="15"/>
    <n v="35"/>
    <x v="4"/>
    <n v="2023"/>
    <x v="1"/>
    <n v="27"/>
    <n v="9"/>
  </r>
  <r>
    <n v="96"/>
    <s v="Confusion reigns as I try to make sense of recent events."/>
    <x v="22"/>
    <x v="95"/>
    <s v="ConfusedMind2"/>
    <x v="1"/>
    <s v="#Confusion #MakingSense"/>
    <n v="25"/>
    <n v="30"/>
    <x v="2"/>
    <n v="2023"/>
    <x v="1"/>
    <n v="27"/>
    <n v="14"/>
  </r>
  <r>
    <n v="97"/>
    <s v="Excitement building up for a surprise birthday party."/>
    <x v="23"/>
    <x v="96"/>
    <s v="BirthdayExcite"/>
    <x v="2"/>
    <s v="#Excitement #SurpriseParty"/>
    <n v="22"/>
    <n v="50"/>
    <x v="1"/>
    <n v="2023"/>
    <x v="1"/>
    <n v="27"/>
    <n v="18"/>
  </r>
  <r>
    <n v="98"/>
    <s v="Witnessed an act of kindness that made my day."/>
    <x v="24"/>
    <x v="97"/>
    <s v="KindnessObserver"/>
    <x v="0"/>
    <s v="#Kindness #ActsOfKindness"/>
    <n v="20"/>
    <n v="45"/>
    <x v="0"/>
    <n v="2023"/>
    <x v="1"/>
    <n v="28"/>
    <n v="11"/>
  </r>
  <r>
    <n v="99"/>
    <s v="Pride in completing a challenging fitness challenge."/>
    <x v="25"/>
    <x v="98"/>
    <s v="FitAchiever"/>
    <x v="1"/>
    <s v="#Pride #FitnessChallengeCompleted"/>
    <n v="30"/>
    <n v="40"/>
    <x v="2"/>
    <n v="2023"/>
    <x v="1"/>
    <n v="28"/>
    <n v="16"/>
  </r>
  <r>
    <n v="100"/>
    <s v="A moment of shame for not speaking up against injustice."/>
    <x v="26"/>
    <x v="99"/>
    <s v="ReflectiveSelf2"/>
    <x v="2"/>
    <s v="#Shame #Injustice"/>
    <n v="15"/>
    <n v="60"/>
    <x v="4"/>
    <n v="2023"/>
    <x v="1"/>
    <n v="28"/>
    <n v="19"/>
  </r>
  <r>
    <n v="101"/>
    <s v="Reflecting on the beauty of diversity in our world."/>
    <x v="17"/>
    <x v="100"/>
    <s v="DiversityLover"/>
    <x v="0"/>
    <s v="#Acceptance #Diversity"/>
    <n v="22"/>
    <n v="30"/>
    <x v="3"/>
    <n v="2023"/>
    <x v="2"/>
    <n v="1"/>
    <n v="10"/>
  </r>
  <r>
    <n v="102"/>
    <s v="Excitement for a quiet evening with a good book."/>
    <x v="23"/>
    <x v="101"/>
    <s v="BookwormJoy"/>
    <x v="1"/>
    <s v="#Excitement #BookTime"/>
    <n v="18"/>
    <n v="45"/>
    <x v="0"/>
    <n v="2023"/>
    <x v="2"/>
    <n v="1"/>
    <n v="13"/>
  </r>
  <r>
    <n v="103"/>
    <s v="Feeling bitter about the unfairness in the workplace."/>
    <x v="20"/>
    <x v="102"/>
    <s v="WorkplaceWoes"/>
    <x v="0"/>
    <s v="#Bitter #Unfairness"/>
    <n v="15"/>
    <n v="35"/>
    <x v="1"/>
    <n v="2023"/>
    <x v="2"/>
    <n v="1"/>
    <n v="17"/>
  </r>
  <r>
    <n v="104"/>
    <s v="Calmness prevails as I practice mindfulness."/>
    <x v="21"/>
    <x v="103"/>
    <s v="MindfulMe"/>
    <x v="2"/>
    <s v="#Calmness #Mindfulness"/>
    <n v="15"/>
    <n v="30"/>
    <x v="2"/>
    <n v="2023"/>
    <x v="2"/>
    <n v="2"/>
    <n v="18"/>
  </r>
  <r>
    <n v="105"/>
    <s v="Confusion surrounds me as I navigate through life's choices."/>
    <x v="22"/>
    <x v="104"/>
    <s v="ConfusedMind3"/>
    <x v="1"/>
    <s v="#Confusion #LifeChoices"/>
    <n v="30"/>
    <n v="30"/>
    <x v="0"/>
    <n v="2023"/>
    <x v="2"/>
    <n v="2"/>
    <n v="13"/>
  </r>
  <r>
    <n v="106"/>
    <s v="Excitement for a weekend road trip to explore new places."/>
    <x v="23"/>
    <x v="105"/>
    <s v="RoadTripper2"/>
    <x v="0"/>
    <s v="#Excitement #WeekendAdventure"/>
    <n v="25"/>
    <n v="60"/>
    <x v="4"/>
    <n v="2023"/>
    <x v="2"/>
    <n v="2"/>
    <n v="16"/>
  </r>
  <r>
    <n v="107"/>
    <s v="Kindness witnessed today restores my faith in humanity."/>
    <x v="24"/>
    <x v="106"/>
    <s v="KindnessPrevails2"/>
    <x v="2"/>
    <s v="#Kindness #HumanityRestored"/>
    <n v="22"/>
    <n v="50"/>
    <x v="0"/>
    <n v="2023"/>
    <x v="2"/>
    <n v="3"/>
    <n v="11"/>
  </r>
  <r>
    <n v="108"/>
    <s v="Pride in accomplishing personal and professional goals."/>
    <x v="25"/>
    <x v="107"/>
    <s v="GoalAchiever"/>
    <x v="1"/>
    <s v="#Pride #Accomplishments"/>
    <n v="12"/>
    <n v="45"/>
    <x v="1"/>
    <n v="2023"/>
    <x v="2"/>
    <n v="3"/>
    <n v="14"/>
  </r>
  <r>
    <n v="109"/>
    <s v="Shame for not being true to my values in a difficult situation."/>
    <x v="26"/>
    <x v="108"/>
    <s v="ReflectiveSelf3"/>
    <x v="0"/>
    <s v="#Shame #Integrity"/>
    <n v="15"/>
    <n v="25"/>
    <x v="2"/>
    <n v="2023"/>
    <x v="2"/>
    <n v="3"/>
    <n v="12"/>
  </r>
  <r>
    <n v="110"/>
    <s v="Revisiting old memories, feeling a sense of elation."/>
    <x v="27"/>
    <x v="109"/>
    <s v="NostalgiaFan"/>
    <x v="0"/>
    <s v="#Elation #Memories"/>
    <n v="20"/>
    <n v="30"/>
    <x v="1"/>
    <n v="2010"/>
    <x v="3"/>
    <n v="15"/>
    <n v="15"/>
  </r>
  <r>
    <n v="111"/>
    <s v="The victory of our team brought euphoria to the city."/>
    <x v="28"/>
    <x v="110"/>
    <s v="SportsFanatic"/>
    <x v="1"/>
    <s v="#Euphoria #Victory"/>
    <n v="15"/>
    <n v="40"/>
    <x v="0"/>
    <n v="2021"/>
    <x v="4"/>
    <n v="10"/>
    <n v="21"/>
  </r>
  <r>
    <n v="112"/>
    <s v="Embracing the beauty of nature, a moment of contentment."/>
    <x v="29"/>
    <x v="111"/>
    <s v="NatureLover2"/>
    <x v="2"/>
    <s v="#Contentment #Nature"/>
    <n v="25"/>
    <n v="30"/>
    <x v="4"/>
    <n v="2011"/>
    <x v="5"/>
    <n v="20"/>
    <n v="14"/>
  </r>
  <r>
    <n v="113"/>
    <s v="Meditating by the serene lake, finding inner peace."/>
    <x v="30"/>
    <x v="112"/>
    <s v="ZenMaster2"/>
    <x v="0"/>
    <s v="#Serenity #Meditation"/>
    <n v="18"/>
    <n v="50"/>
    <x v="2"/>
    <n v="2022"/>
    <x v="1"/>
    <n v="12"/>
    <n v="18"/>
  </r>
  <r>
    <n v="114"/>
    <s v="Overflowing with gratitude for life's blessings."/>
    <x v="31"/>
    <x v="113"/>
    <s v="ThankfulHeart"/>
    <x v="1"/>
    <s v="#Gratitude #Blessed"/>
    <n v="30"/>
    <n v="35"/>
    <x v="3"/>
    <n v="2012"/>
    <x v="6"/>
    <n v="25"/>
    <n v="10"/>
  </r>
  <r>
    <n v="115"/>
    <s v="Hopeful for a brighter tomorrow, despite challenges."/>
    <x v="32"/>
    <x v="114"/>
    <s v="OptimisticSoul"/>
    <x v="2"/>
    <s v="#Hope #Optimism"/>
    <n v="22"/>
    <n v="60"/>
    <x v="0"/>
    <n v="2013"/>
    <x v="7"/>
    <n v="5"/>
    <n v="19"/>
  </r>
  <r>
    <n v="116"/>
    <s v="Empowered to make a difference in my community."/>
    <x v="33"/>
    <x v="115"/>
    <s v="CommunityLeader"/>
    <x v="0"/>
    <s v="#Empowerment #Community"/>
    <n v="15"/>
    <n v="45"/>
    <x v="2"/>
    <n v="2014"/>
    <x v="8"/>
    <n v="14"/>
    <n v="8"/>
  </r>
  <r>
    <n v="117"/>
    <s v="Compassion in action: supporting a local charity event."/>
    <x v="34"/>
    <x v="116"/>
    <s v="CharitySupporter"/>
    <x v="1"/>
    <s v="#Compassion #CharityEvent"/>
    <n v="18"/>
    <n v="30"/>
    <x v="1"/>
    <n v="2015"/>
    <x v="9"/>
    <n v="18"/>
    <n v="14"/>
  </r>
  <r>
    <n v="118"/>
    <s v="A moment of tenderness, connecting with loved ones."/>
    <x v="35"/>
    <x v="117"/>
    <s v="LovingHeart"/>
    <x v="2"/>
    <s v="#Tenderness #FamilyTime"/>
    <n v="25"/>
    <n v="35"/>
    <x v="2"/>
    <n v="2016"/>
    <x v="1"/>
    <n v="23"/>
    <n v="19"/>
  </r>
  <r>
    <n v="119"/>
    <s v="Arousal of excitement as I await a special announcement."/>
    <x v="36"/>
    <x v="118"/>
    <s v="ExcitementFan"/>
    <x v="0"/>
    <s v="#Arousal #Excitement"/>
    <n v="20"/>
    <n v="50"/>
    <x v="3"/>
    <n v="2017"/>
    <x v="10"/>
    <n v="30"/>
    <n v="11"/>
  </r>
  <r>
    <n v="120"/>
    <s v="Enthusiastically diving into a new project."/>
    <x v="37"/>
    <x v="119"/>
    <s v="ProjectEnthusiast"/>
    <x v="1"/>
    <s v="#Enthusiasm #NewProject"/>
    <n v="15"/>
    <n v="40"/>
    <x v="0"/>
    <n v="2018"/>
    <x v="5"/>
    <n v="15"/>
    <n v="16"/>
  </r>
  <r>
    <n v="121"/>
    <s v="Feeling a sense of fulfillment after reaching a milestone."/>
    <x v="38"/>
    <x v="120"/>
    <s v="MilestoneAchiever"/>
    <x v="2"/>
    <s v="#Fulfillment #Milestone"/>
    <n v="22"/>
    <n v="30"/>
    <x v="4"/>
    <n v="2019"/>
    <x v="2"/>
    <n v="28"/>
    <n v="18"/>
  </r>
  <r>
    <n v="122"/>
    <s v="Reverence for the beauty of a historic landmark."/>
    <x v="39"/>
    <x v="121"/>
    <s v="HistoryLover"/>
    <x v="0"/>
    <s v="#Reverence #History"/>
    <n v="18"/>
    <n v="45"/>
    <x v="2"/>
    <n v="2019"/>
    <x v="6"/>
    <n v="11"/>
    <n v="15"/>
  </r>
  <r>
    <n v="123"/>
    <s v="Elation after a surprise reunion with old friends."/>
    <x v="27"/>
    <x v="122"/>
    <s v="JoyfulReunion2"/>
    <x v="1"/>
    <s v="#Elation #OldFriends"/>
    <n v="25"/>
    <n v="35"/>
    <x v="1"/>
    <n v="2020"/>
    <x v="7"/>
    <n v="2"/>
    <n v="9"/>
  </r>
  <r>
    <n v="124"/>
    <s v="The euphoria of a live music concert under the stars."/>
    <x v="28"/>
    <x v="123"/>
    <s v="MusicEnthusiast"/>
    <x v="2"/>
    <s v="#Euphoria #LiveMusic"/>
    <n v="15"/>
    <n v="50"/>
    <x v="0"/>
    <n v="2021"/>
    <x v="5"/>
    <n v="19"/>
    <n v="14"/>
  </r>
  <r>
    <n v="125"/>
    <s v="Contentment in the simplicity of a quiet Sunday."/>
    <x v="29"/>
    <x v="124"/>
    <s v="SimpleJoys"/>
    <x v="0"/>
    <s v="#Contentment #SundayMood"/>
    <n v="30"/>
    <n v="30"/>
    <x v="3"/>
    <n v="2010"/>
    <x v="4"/>
    <n v="15"/>
    <n v="10"/>
  </r>
  <r>
    <n v="126"/>
    <s v="Serenity found in the pages of a favorite book."/>
    <x v="30"/>
    <x v="125"/>
    <s v="BookLover3"/>
    <x v="1"/>
    <s v="#Serenity #BookTime"/>
    <n v="22"/>
    <n v="60"/>
    <x v="2"/>
    <n v="2011"/>
    <x v="8"/>
    <n v="22"/>
    <n v="19"/>
  </r>
  <r>
    <n v="127"/>
    <s v="Gratitude for the support received during tough times."/>
    <x v="31"/>
    <x v="126"/>
    <s v="SupportiveFriend"/>
    <x v="2"/>
    <s v="#Gratitude #Supportive"/>
    <n v="15"/>
    <n v="45"/>
    <x v="4"/>
    <n v="2012"/>
    <x v="2"/>
    <n v="10"/>
    <n v="8"/>
  </r>
  <r>
    <n v="128"/>
    <s v="Hopeful about the possibilities of a new journey."/>
    <x v="32"/>
    <x v="127"/>
    <s v="JourneyOptimist"/>
    <x v="0"/>
    <s v="#Hope #NewBeginnings"/>
    <n v="18"/>
    <n v="30"/>
    <x v="1"/>
    <n v="2013"/>
    <x v="11"/>
    <n v="5"/>
    <n v="16"/>
  </r>
  <r>
    <n v="129"/>
    <s v="Empowerment through learning and personal growth."/>
    <x v="33"/>
    <x v="128"/>
    <s v="GrowthSeeker"/>
    <x v="1"/>
    <s v="#Empowerment #PersonalGrowth"/>
    <n v="25"/>
    <n v="35"/>
    <x v="0"/>
    <n v="2014"/>
    <x v="9"/>
    <n v="20"/>
    <n v="11"/>
  </r>
  <r>
    <n v="130"/>
    <s v="Compassion towards those in need during the holidays."/>
    <x v="34"/>
    <x v="129"/>
    <s v="HolidayHelper"/>
    <x v="2"/>
    <s v="#Compassion #HolidaySupport"/>
    <n v="18"/>
    <n v="50"/>
    <x v="0"/>
    <n v="2015"/>
    <x v="11"/>
    <n v="22"/>
    <n v="14"/>
  </r>
  <r>
    <n v="131"/>
    <s v="Tenderness in the warmth of a cozy winter evening."/>
    <x v="35"/>
    <x v="130"/>
    <s v="WinterWarmth"/>
    <x v="0"/>
    <s v="#Tenderness #CozyEvening"/>
    <n v="25"/>
    <n v="35"/>
    <x v="2"/>
    <n v="2016"/>
    <x v="1"/>
    <n v="10"/>
    <n v="19"/>
  </r>
  <r>
    <n v="132"/>
    <s v="Arousal of excitement for an upcoming adventure."/>
    <x v="36"/>
    <x v="131"/>
    <s v="AdventureAwaits"/>
    <x v="1"/>
    <s v="#Arousal #AdventureTime"/>
    <n v="20"/>
    <n v="50"/>
    <x v="3"/>
    <n v="2017"/>
    <x v="7"/>
    <n v="30"/>
    <n v="11"/>
  </r>
  <r>
    <n v="133"/>
    <s v="Enthusiasm for a creative project in the making."/>
    <x v="37"/>
    <x v="132"/>
    <s v="CreativeSpirit"/>
    <x v="2"/>
    <s v="#Enthusiasm #Creativity"/>
    <n v="15"/>
    <n v="40"/>
    <x v="1"/>
    <n v="2018"/>
    <x v="8"/>
    <n v="15"/>
    <n v="16"/>
  </r>
  <r>
    <n v="134"/>
    <s v="Fulfillment in completing a challenging workout routine."/>
    <x v="38"/>
    <x v="133"/>
    <s v="FitnessAchiever"/>
    <x v="0"/>
    <s v="#Fulfillment #FitnessGoals"/>
    <n v="22"/>
    <n v="30"/>
    <x v="4"/>
    <n v="2019"/>
    <x v="5"/>
    <n v="28"/>
    <n v="18"/>
  </r>
  <r>
    <n v="135"/>
    <s v="Reverence for the artistry displayed in a museum."/>
    <x v="39"/>
    <x v="134"/>
    <s v="ArtAppreciator"/>
    <x v="1"/>
    <s v="#Reverence #ArtAppreciation"/>
    <n v="18"/>
    <n v="45"/>
    <x v="2"/>
    <n v="2020"/>
    <x v="6"/>
    <n v="11"/>
    <n v="15"/>
  </r>
  <r>
    <n v="136"/>
    <s v="Elation after achieving a personal goal."/>
    <x v="27"/>
    <x v="135"/>
    <s v="GoalAchiever2"/>
    <x v="2"/>
    <s v="#Elation #PersonalAchievement"/>
    <n v="25"/>
    <n v="35"/>
    <x v="0"/>
    <n v="2021"/>
    <x v="2"/>
    <n v="2"/>
    <n v="9"/>
  </r>
  <r>
    <n v="137"/>
    <s v="Elation over discovering a hidden gem in the city."/>
    <x v="27"/>
    <x v="136"/>
    <s v="UrbanExplorer2"/>
    <x v="0"/>
    <s v="#Elation #HiddenGem"/>
    <n v="20"/>
    <n v="50"/>
    <x v="0"/>
    <n v="2012"/>
    <x v="1"/>
    <n v="18"/>
    <n v="14"/>
  </r>
  <r>
    <n v="138"/>
    <s v="The euphoria of a surprise birthday celebration."/>
    <x v="28"/>
    <x v="137"/>
    <s v="BirthdayJoy"/>
    <x v="1"/>
    <s v="#Euphoria #BirthdaySurprise"/>
    <n v="15"/>
    <n v="40"/>
    <x v="2"/>
    <n v="2018"/>
    <x v="6"/>
    <n v="5"/>
    <n v="21"/>
  </r>
  <r>
    <n v="139"/>
    <s v="Contentment in the simplicity of a home-cooked meal."/>
    <x v="29"/>
    <x v="138"/>
    <s v="HomeChef"/>
    <x v="2"/>
    <s v="#Contentment #HomeCooking"/>
    <n v="25"/>
    <n v="30"/>
    <x v="4"/>
    <n v="2015"/>
    <x v="8"/>
    <n v="12"/>
    <n v="13"/>
  </r>
  <r>
    <n v="140"/>
    <s v="Serenity found in the melody of a peaceful piano."/>
    <x v="30"/>
    <x v="139"/>
    <s v="MusicLover4"/>
    <x v="0"/>
    <s v="#Serenity #PeacefulMelody"/>
    <n v="18"/>
    <n v="50"/>
    <x v="1"/>
    <n v="2016"/>
    <x v="9"/>
    <n v="30"/>
    <n v="18"/>
  </r>
  <r>
    <n v="141"/>
    <s v="Gratitude for the supportive community around me."/>
    <x v="31"/>
    <x v="140"/>
    <s v="CommunityLove"/>
    <x v="1"/>
    <s v="#Gratitude #CommunitySupport"/>
    <n v="30"/>
    <n v="35"/>
    <x v="0"/>
    <n v="2013"/>
    <x v="7"/>
    <n v="20"/>
    <n v="10"/>
  </r>
  <r>
    <n v="142"/>
    <s v="Hopeful about the prospects of a new business venture."/>
    <x v="32"/>
    <x v="141"/>
    <s v="EntrepreneurHope"/>
    <x v="2"/>
    <s v="#Hope #BusinessVenture"/>
    <n v="22"/>
    <n v="60"/>
    <x v="1"/>
    <n v="2017"/>
    <x v="11"/>
    <n v="8"/>
    <n v="19"/>
  </r>
  <r>
    <n v="143"/>
    <s v="Empowerment through mentoring and guiding others."/>
    <x v="33"/>
    <x v="142"/>
    <s v="MentorEmpower"/>
    <x v="0"/>
    <s v="#Empowerment #Mentorship"/>
    <n v="15"/>
    <n v="45"/>
    <x v="2"/>
    <n v="2014"/>
    <x v="5"/>
    <n v="3"/>
    <n v="8"/>
  </r>
  <r>
    <n v="144"/>
    <s v="Compassion shown through acts of kindness in the community."/>
    <x v="34"/>
    <x v="143"/>
    <s v="KindnessInAction"/>
    <x v="1"/>
    <s v="#Compassion #CommunityKindness"/>
    <n v="18"/>
    <n v="30"/>
    <x v="3"/>
    <n v="2019"/>
    <x v="0"/>
    <n v="15"/>
    <n v="14"/>
  </r>
  <r>
    <n v="145"/>
    <s v="Tenderness in a heartfelt message to a loved one."/>
    <x v="35"/>
    <x v="144"/>
    <s v="LoveExpress"/>
    <x v="2"/>
    <s v="#Tenderness #LoveNote"/>
    <n v="25"/>
    <n v="35"/>
    <x v="2"/>
    <n v="2016"/>
    <x v="11"/>
    <n v="25"/>
    <n v="19"/>
  </r>
  <r>
    <n v="146"/>
    <s v="Arousal of excitement before a much-awaited trip."/>
    <x v="36"/>
    <x v="145"/>
    <s v="TravelExcitement"/>
    <x v="0"/>
    <s v="#Arousal #TravelAdventure"/>
    <n v="20"/>
    <n v="50"/>
    <x v="4"/>
    <n v="2018"/>
    <x v="2"/>
    <n v="10"/>
    <n v="9"/>
  </r>
  <r>
    <n v="147"/>
    <s v="Enthusiasm for a new artistic project in the works."/>
    <x v="37"/>
    <x v="146"/>
    <s v="ArtisticSpirit"/>
    <x v="1"/>
    <s v="#Enthusiasm #ArtisticProject"/>
    <n v="15"/>
    <n v="40"/>
    <x v="0"/>
    <n v="2020"/>
    <x v="8"/>
    <n v="17"/>
    <n v="16"/>
  </r>
  <r>
    <n v="148"/>
    <s v="Feeling a sense of fulfillment after helping others."/>
    <x v="38"/>
    <x v="147"/>
    <s v="HelperHeart"/>
    <x v="2"/>
    <s v="#Fulfillment #HelpingOthers"/>
    <n v="22"/>
    <n v="30"/>
    <x v="1"/>
    <n v="2011"/>
    <x v="4"/>
    <n v="28"/>
    <n v="18"/>
  </r>
  <r>
    <n v="149"/>
    <s v="Reverence for the historical significance of a landmark."/>
    <x v="39"/>
    <x v="148"/>
    <s v="HistoryBuff"/>
    <x v="0"/>
    <s v="#Reverence #HistoricalSite"/>
    <n v="18"/>
    <n v="45"/>
    <x v="3"/>
    <n v="2017"/>
    <x v="6"/>
    <n v="1"/>
    <n v="15"/>
  </r>
  <r>
    <n v="150"/>
    <s v="Elation after achieving a fitness milestone."/>
    <x v="27"/>
    <x v="149"/>
    <s v="FitnessAchiever2"/>
    <x v="1"/>
    <s v="#Elation #FitnessMilestone"/>
    <n v="25"/>
    <n v="35"/>
    <x v="2"/>
    <n v="2019"/>
    <x v="5"/>
    <n v="15"/>
    <n v="10"/>
  </r>
  <r>
    <n v="151"/>
    <s v="The euphoria of a successful product launch."/>
    <x v="28"/>
    <x v="150"/>
    <s v="ProductLaunchJoy"/>
    <x v="2"/>
    <s v="#Euphoria #ProductLaunchSuccess"/>
    <n v="15"/>
    <n v="50"/>
    <x v="0"/>
    <n v="2022"/>
    <x v="7"/>
    <n v="3"/>
    <n v="11"/>
  </r>
  <r>
    <n v="152"/>
    <s v="Contentment in the embrace of a loved one."/>
    <x v="29"/>
    <x v="151"/>
    <s v="LovingEmbrace"/>
    <x v="0"/>
    <s v="#Contentment #Love"/>
    <n v="30"/>
    <n v="30"/>
    <x v="4"/>
    <n v="2010"/>
    <x v="6"/>
    <n v="12"/>
    <n v="20"/>
  </r>
  <r>
    <n v="153"/>
    <s v="Serenity found in the beauty of a sunset by the sea."/>
    <x v="30"/>
    <x v="152"/>
    <s v="SunsetWatcher2"/>
    <x v="1"/>
    <s v="#Serenity #SunsetViews"/>
    <n v="22"/>
    <n v="60"/>
    <x v="1"/>
    <n v="2011"/>
    <x v="9"/>
    <n v="22"/>
    <n v="18"/>
  </r>
  <r>
    <n v="154"/>
    <s v="Gratitude for the small joys that each day brings."/>
    <x v="31"/>
    <x v="153"/>
    <s v="JoyfulHeart2"/>
    <x v="2"/>
    <s v="#Gratitude #SmallJoys"/>
    <n v="15"/>
    <n v="45"/>
    <x v="3"/>
    <n v="2012"/>
    <x v="2"/>
    <n v="30"/>
    <n v="11"/>
  </r>
  <r>
    <n v="155"/>
    <s v="Hopeful about the potential for personal growth."/>
    <x v="32"/>
    <x v="154"/>
    <s v="GrowthOptimist"/>
    <x v="0"/>
    <s v="#Hope #PersonalDevelopment"/>
    <n v="18"/>
    <n v="30"/>
    <x v="2"/>
    <n v="2013"/>
    <x v="10"/>
    <n v="5"/>
    <n v="16"/>
  </r>
  <r>
    <n v="156"/>
    <s v="Empowerment through learning a new skill."/>
    <x v="33"/>
    <x v="155"/>
    <s v="SkillEmpower"/>
    <x v="1"/>
    <s v="#Empowerment #SkillBuilding"/>
    <n v="25"/>
    <n v="35"/>
    <x v="4"/>
    <n v="2014"/>
    <x v="9"/>
    <n v="10"/>
    <n v="13"/>
  </r>
  <r>
    <n v="157"/>
    <s v="Compassion in volunteering for a local charity."/>
    <x v="34"/>
    <x v="156"/>
    <s v="CharityVolunteer"/>
    <x v="2"/>
    <s v="#Compassion #VolunteerWork"/>
    <n v="18"/>
    <n v="50"/>
    <x v="0"/>
    <n v="2015"/>
    <x v="11"/>
    <n v="18"/>
    <n v="14"/>
  </r>
  <r>
    <n v="158"/>
    <s v="Tenderness in a quiet moment shared with a pet."/>
    <x v="35"/>
    <x v="130"/>
    <s v="PetLove"/>
    <x v="0"/>
    <s v="#Tenderness #PetLove"/>
    <n v="25"/>
    <n v="35"/>
    <x v="1"/>
    <n v="2016"/>
    <x v="1"/>
    <n v="10"/>
    <n v="19"/>
  </r>
  <r>
    <n v="159"/>
    <s v="Arousal of excitement for an upcoming festival."/>
    <x v="36"/>
    <x v="157"/>
    <s v="FestivalFan"/>
    <x v="1"/>
    <s v="#Arousal #FestivalExcitement"/>
    <n v="20"/>
    <n v="50"/>
    <x v="2"/>
    <n v="2017"/>
    <x v="8"/>
    <n v="25"/>
    <n v="11"/>
  </r>
  <r>
    <n v="160"/>
    <s v="Enthusiasm for a DIY home improvement project."/>
    <x v="37"/>
    <x v="158"/>
    <s v="DIYEnthusiast"/>
    <x v="2"/>
    <s v="#Enthusiasm #HomeImprovement"/>
    <n v="15"/>
    <n v="40"/>
    <x v="3"/>
    <n v="2018"/>
    <x v="7"/>
    <n v="15"/>
    <n v="16"/>
  </r>
  <r>
    <n v="161"/>
    <s v="Fulfillment in completing a challenging puzzle."/>
    <x v="38"/>
    <x v="159"/>
    <s v="PuzzleMaster"/>
    <x v="0"/>
    <s v="#Fulfillment #PuzzleChallenge"/>
    <n v="22"/>
    <n v="30"/>
    <x v="4"/>
    <n v="2019"/>
    <x v="6"/>
    <n v="28"/>
    <n v="18"/>
  </r>
  <r>
    <n v="162"/>
    <s v="Reverence for the wonders of nature on a hiking trail."/>
    <x v="39"/>
    <x v="160"/>
    <s v="NatureAdmirer"/>
    <x v="1"/>
    <s v="#Reverence #NatureExploration"/>
    <n v="18"/>
    <n v="45"/>
    <x v="0"/>
    <n v="2020"/>
    <x v="3"/>
    <n v="11"/>
    <n v="15"/>
  </r>
  <r>
    <n v="163"/>
    <s v="Elation after a surprise reunion with a childhood friend."/>
    <x v="27"/>
    <x v="161"/>
    <s v="ChildhoodJoy"/>
    <x v="2"/>
    <s v="#Elation #FriendshipReunion"/>
    <n v="25"/>
    <n v="35"/>
    <x v="1"/>
    <n v="2021"/>
    <x v="1"/>
    <n v="5"/>
    <n v="9"/>
  </r>
  <r>
    <n v="164"/>
    <s v="Suffering from despair after another setback."/>
    <x v="40"/>
    <x v="162"/>
    <s v="StrugglingSoul"/>
    <x v="0"/>
    <s v="#Despair #Struggle"/>
    <n v="5"/>
    <n v="50"/>
    <x v="0"/>
    <n v="2021"/>
    <x v="2"/>
    <n v="10"/>
    <n v="8"/>
  </r>
  <r>
    <n v="165"/>
    <s v="Overwhelmed by grief, missing a loved one dearly."/>
    <x v="41"/>
    <x v="163"/>
    <s v="MourningHeart"/>
    <x v="1"/>
    <s v="#Grief #Loss"/>
    <n v="8"/>
    <n v="10"/>
    <x v="1"/>
    <n v="2022"/>
    <x v="9"/>
    <n v="5"/>
    <n v="15"/>
  </r>
  <r>
    <n v="166"/>
    <s v="Loneliness creeps in as the night grows colder."/>
    <x v="42"/>
    <x v="164"/>
    <s v="SolitarySoul"/>
    <x v="2"/>
    <s v="#Loneliness #Isolation"/>
    <n v="10"/>
    <n v="15"/>
    <x v="2"/>
    <n v="2019"/>
    <x v="6"/>
    <n v="18"/>
    <n v="21"/>
  </r>
  <r>
    <n v="167"/>
    <s v="Jealousy consumes me as I witness others' success."/>
    <x v="43"/>
    <x v="165"/>
    <s v="EnviousObserver"/>
    <x v="0"/>
    <s v="#Jealousy #Envy"/>
    <n v="12"/>
    <n v="20"/>
    <x v="4"/>
    <n v="2020"/>
    <x v="4"/>
    <n v="12"/>
    <n v="11"/>
  </r>
  <r>
    <n v="168"/>
    <s v="Resentment building up over past betrayals."/>
    <x v="44"/>
    <x v="166"/>
    <s v="BitterHeart"/>
    <x v="1"/>
    <s v="#Resentment #Bitterness"/>
    <n v="7"/>
    <n v="25"/>
    <x v="3"/>
    <n v="2018"/>
    <x v="3"/>
    <n v="22"/>
    <n v="14"/>
  </r>
  <r>
    <n v="169"/>
    <s v="Frustration mounts as obstacles block my path."/>
    <x v="45"/>
    <x v="167"/>
    <s v="BlockedGoals"/>
    <x v="2"/>
    <s v="#Frustration #Obstacles"/>
    <n v="10"/>
    <n v="15"/>
    <x v="0"/>
    <n v="2017"/>
    <x v="0"/>
    <n v="30"/>
    <n v="16"/>
  </r>
  <r>
    <n v="170"/>
    <s v="Boredom sets in, the day feels endlessly dull."/>
    <x v="46"/>
    <x v="168"/>
    <s v="BoredMind"/>
    <x v="0"/>
    <s v="#Boredom #LackOfInterest"/>
    <n v="8"/>
    <n v="20"/>
    <x v="1"/>
    <n v="2016"/>
    <x v="8"/>
    <n v="28"/>
    <n v="19"/>
  </r>
  <r>
    <n v="171"/>
    <s v="Anxiety grips my heart, worry clouds my thoughts."/>
    <x v="47"/>
    <x v="169"/>
    <s v="WorriedMind"/>
    <x v="1"/>
    <s v="#Anxiety #Worry"/>
    <n v="12"/>
    <n v="15"/>
    <x v="2"/>
    <n v="2019"/>
    <x v="7"/>
    <n v="15"/>
    <n v="9"/>
  </r>
  <r>
    <n v="172"/>
    <s v="Intimidation by the unknown future ahead."/>
    <x v="48"/>
    <x v="170"/>
    <s v="FearfulSoul"/>
    <x v="2"/>
    <s v="#Intimidation #Fear"/>
    <n v="15"/>
    <n v="25"/>
    <x v="4"/>
    <n v="2021"/>
    <x v="11"/>
    <n v="3"/>
    <n v="18"/>
  </r>
  <r>
    <n v="173"/>
    <s v="Helplessness sinks in as challenges pile up."/>
    <x v="49"/>
    <x v="171"/>
    <s v="OverwhelmedHeart"/>
    <x v="0"/>
    <s v="#Helplessness #Overwhelmed"/>
    <n v="8"/>
    <n v="30"/>
    <x v="3"/>
    <n v="2020"/>
    <x v="5"/>
    <n v="20"/>
    <n v="14"/>
  </r>
  <r>
    <n v="174"/>
    <s v="Envy eats away at me as I see others' prosperity."/>
    <x v="50"/>
    <x v="172"/>
    <s v="CovetousMind"/>
    <x v="1"/>
    <s v="#Envy #Desire"/>
    <n v="10"/>
    <n v="15"/>
    <x v="1"/>
    <n v="2018"/>
    <x v="6"/>
    <n v="7"/>
    <n v="11"/>
  </r>
  <r>
    <n v="175"/>
    <s v="Regret over missed opportunities haunts my thoughts."/>
    <x v="51"/>
    <x v="173"/>
    <s v="RemorsefulSoul"/>
    <x v="2"/>
    <s v="#Regret #MissedChances"/>
    <n v="12"/>
    <n v="20"/>
    <x v="2"/>
    <n v="2017"/>
    <x v="4"/>
    <n v="25"/>
    <n v="16"/>
  </r>
  <r>
    <n v="176"/>
    <s v="Disgust at the sight of injustice and cruelty."/>
    <x v="6"/>
    <x v="174"/>
    <s v="DisgustedHeart"/>
    <x v="0"/>
    <s v="#Disgust #Injustice"/>
    <n v="7"/>
    <n v="25"/>
    <x v="4"/>
    <n v="2019"/>
    <x v="1"/>
    <n v="11"/>
    <n v="9"/>
  </r>
  <r>
    <n v="177"/>
    <s v="Drowning in despair, hope slipping through my fingers."/>
    <x v="40"/>
    <x v="175"/>
    <s v="HopelessHeart"/>
    <x v="1"/>
    <s v="#Despair #Hopeless"/>
    <n v="10"/>
    <n v="15"/>
    <x v="0"/>
    <n v="2016"/>
    <x v="7"/>
    <n v="2"/>
    <n v="20"/>
  </r>
  <r>
    <n v="178"/>
    <s v="Grief weighs heavy, tears a constant companion."/>
    <x v="41"/>
    <x v="176"/>
    <s v="TearfulSoul"/>
    <x v="2"/>
    <s v="#Grief #Tears"/>
    <n v="12"/>
    <n v="20"/>
    <x v="1"/>
    <n v="2015"/>
    <x v="10"/>
    <n v="18"/>
    <n v="15"/>
  </r>
  <r>
    <n v="179"/>
    <s v="Loneliness in a crowded room, a silent cry for connection."/>
    <x v="42"/>
    <x v="177"/>
    <s v="IsolatedMind"/>
    <x v="0"/>
    <s v="#Loneliness #SeekingConnection"/>
    <n v="15"/>
    <n v="25"/>
    <x v="2"/>
    <n v="2019"/>
    <x v="9"/>
    <n v="12"/>
    <n v="18"/>
  </r>
  <r>
    <n v="180"/>
    <s v="Jealousy gnaws at my confidence, a toxic emotion."/>
    <x v="43"/>
    <x v="178"/>
    <s v="SelfDoubt"/>
    <x v="1"/>
    <s v="#Jealousy #Insecurity"/>
    <n v="8"/>
    <n v="30"/>
    <x v="4"/>
    <n v="2018"/>
    <x v="5"/>
    <n v="3"/>
    <n v="16"/>
  </r>
  <r>
    <n v="181"/>
    <s v="Resentment festers, poisoning relationships."/>
    <x v="44"/>
    <x v="179"/>
    <s v="BrokenTrust"/>
    <x v="2"/>
    <s v="#Resentment #BrokenTrust"/>
    <n v="10"/>
    <n v="15"/>
    <x v="3"/>
    <n v="2022"/>
    <x v="0"/>
    <n v="15"/>
    <n v="12"/>
  </r>
  <r>
    <n v="182"/>
    <s v="Frustration boils over, a volcanic eruption of emotions."/>
    <x v="45"/>
    <x v="180"/>
    <s v="ExplosiveMind"/>
    <x v="0"/>
    <s v="#Frustration #EmotionalOutburst"/>
    <n v="12"/>
    <n v="20"/>
    <x v="0"/>
    <n v="2017"/>
    <x v="7"/>
    <n v="10"/>
    <n v="14"/>
  </r>
  <r>
    <n v="183"/>
    <s v="Boredom settles like dust, life feels mundane."/>
    <x v="46"/>
    <x v="181"/>
    <s v="MundaneHeart"/>
    <x v="1"/>
    <s v="#Boredom #Monotony"/>
    <n v="7"/>
    <n v="25"/>
    <x v="1"/>
    <n v="2016"/>
    <x v="6"/>
    <n v="28"/>
    <n v="19"/>
  </r>
  <r>
    <n v="184"/>
    <s v="Anxiety grips my chest, a relentless grip on my thoughts."/>
    <x v="47"/>
    <x v="182"/>
    <s v="RestlessMind"/>
    <x v="2"/>
    <s v="#Anxiety #Restlessness"/>
    <n v="10"/>
    <n v="15"/>
    <x v="2"/>
    <n v="2018"/>
    <x v="8"/>
    <n v="5"/>
    <n v="9"/>
  </r>
  <r>
    <n v="185"/>
    <s v="Intimidation by the challenges ahead, fear takes hold."/>
    <x v="48"/>
    <x v="183"/>
    <s v="FearfulJourney"/>
    <x v="0"/>
    <s v="#Intimidation #FacingFear"/>
    <n v="15"/>
    <n v="20"/>
    <x v="4"/>
    <n v="2021"/>
    <x v="10"/>
    <n v="22"/>
    <n v="18"/>
  </r>
  <r>
    <n v="186"/>
    <s v="Helplessness engulfs me, drowning in a sea of problems."/>
    <x v="49"/>
    <x v="184"/>
    <s v="OverwhelmedSoul"/>
    <x v="1"/>
    <s v="#Helplessness #Struggling"/>
    <n v="8"/>
    <n v="30"/>
    <x v="3"/>
    <n v="2019"/>
    <x v="3"/>
    <n v="8"/>
    <n v="14"/>
  </r>
  <r>
    <n v="187"/>
    <s v="Envy poisons my thoughts, coveting others' success."/>
    <x v="50"/>
    <x v="185"/>
    <s v="GreenEyedMonster"/>
    <x v="2"/>
    <s v="#Envy #Success"/>
    <n v="10"/>
    <n v="15"/>
    <x v="1"/>
    <n v="2017"/>
    <x v="2"/>
    <n v="20"/>
    <n v="11"/>
  </r>
  <r>
    <n v="188"/>
    <s v="Regret for decisions that led to a painful present."/>
    <x v="51"/>
    <x v="186"/>
    <s v="RegretfulMind"/>
    <x v="0"/>
    <s v="#Regret #PastChoices"/>
    <n v="12"/>
    <n v="20"/>
    <x v="0"/>
    <n v="2018"/>
    <x v="11"/>
    <n v="15"/>
    <n v="16"/>
  </r>
  <r>
    <n v="189"/>
    <s v="Disgust at the corruption that stains society."/>
    <x v="6"/>
    <x v="187"/>
    <s v="CorruptedHeart"/>
    <x v="1"/>
    <s v="#Disgust #Corruption"/>
    <n v="7"/>
    <n v="25"/>
    <x v="2"/>
    <n v="2016"/>
    <x v="9"/>
    <n v="1"/>
    <n v="9"/>
  </r>
  <r>
    <n v="190"/>
    <s v="Sinking in despair, each day darker than the last."/>
    <x v="40"/>
    <x v="188"/>
    <s v="DrowningSoul"/>
    <x v="2"/>
    <s v="#Despair #DarkDays"/>
    <n v="10"/>
    <n v="15"/>
    <x v="4"/>
    <n v="2020"/>
    <x v="4"/>
    <n v="20"/>
    <n v="20"/>
  </r>
  <r>
    <n v="191"/>
    <s v="Grief overwhelms, a storm of emotions within."/>
    <x v="41"/>
    <x v="189"/>
    <s v="StormyHeart"/>
    <x v="0"/>
    <s v="#Grief #EmotionalStorm"/>
    <n v="12"/>
    <n v="20"/>
    <x v="1"/>
    <n v="2021"/>
    <x v="1"/>
    <n v="25"/>
    <n v="15"/>
  </r>
  <r>
    <n v="192"/>
    <s v="Loneliness echoes in empty spaces, yearning for connection."/>
    <x v="42"/>
    <x v="190"/>
    <s v="EchoingSoul"/>
    <x v="1"/>
    <s v="#Loneliness #YearningForConnection"/>
    <n v="15"/>
    <n v="25"/>
    <x v="3"/>
    <n v="2019"/>
    <x v="8"/>
    <n v="12"/>
    <n v="18"/>
  </r>
  <r>
    <n v="193"/>
    <s v="Jealousy poisons my thoughts, resentment brewing within."/>
    <x v="43"/>
    <x v="191"/>
    <s v="PoisonedMind"/>
    <x v="2"/>
    <s v="#Jealousy #Resentment"/>
    <n v="8"/>
    <n v="30"/>
    <x v="0"/>
    <n v="2018"/>
    <x v="4"/>
    <n v="5"/>
    <n v="16"/>
  </r>
  <r>
    <n v="194"/>
    <s v="Resentment festers, a wound that refuses to heal."/>
    <x v="44"/>
    <x v="192"/>
    <s v="UnforgivingSoul"/>
    <x v="0"/>
    <s v="#Resentment #Unforgiving"/>
    <n v="10"/>
    <n v="15"/>
    <x v="4"/>
    <n v="2017"/>
    <x v="0"/>
    <n v="12"/>
    <n v="12"/>
  </r>
  <r>
    <n v="195"/>
    <s v="Frustration escalates, a thunderstorm of emotions."/>
    <x v="45"/>
    <x v="193"/>
    <s v="ThunderingMind"/>
    <x v="1"/>
    <s v="#Frustration #EmotionalOutburst"/>
    <n v="12"/>
    <n v="20"/>
    <x v="2"/>
    <n v="2022"/>
    <x v="7"/>
    <n v="5"/>
    <n v="14"/>
  </r>
  <r>
    <n v="196"/>
    <s v="Boredom lingers, a stagnant pool of indifference."/>
    <x v="46"/>
    <x v="194"/>
    <s v="StagnantHeart"/>
    <x v="2"/>
    <s v="#Boredom #Stagnation"/>
    <n v="7"/>
    <n v="25"/>
    <x v="1"/>
    <n v="2021"/>
    <x v="10"/>
    <n v="2"/>
    <n v="19"/>
  </r>
  <r>
    <n v="197"/>
    <s v="Embarking on a journey of discovery, fueled by curiosity and a thirst for knowledge."/>
    <x v="52"/>
    <x v="195"/>
    <s v="InquisitiveMind"/>
    <x v="0"/>
    <s v="#Curiosity #Learning"/>
    <n v="15"/>
    <n v="15"/>
    <x v="0"/>
    <n v="2023"/>
    <x v="7"/>
    <n v="15"/>
    <n v="10"/>
  </r>
  <r>
    <n v="198"/>
    <s v="Lost in the vast sea of information, an indifferent wave in the digital ocean."/>
    <x v="53"/>
    <x v="196"/>
    <s v="ApatheticObserver"/>
    <x v="1"/>
    <s v="#Indifference #DigitalOverload"/>
    <n v="7"/>
    <n v="30"/>
    <x v="1"/>
    <n v="2022"/>
    <x v="6"/>
    <n v="28"/>
    <n v="17"/>
  </r>
  <r>
    <n v="199"/>
    <s v="The complex puzzle of life leaves me in a state of perpetual confusion, seeking answers in the chaos."/>
    <x v="22"/>
    <x v="197"/>
    <s v="SeekingClarity"/>
    <x v="2"/>
    <s v="#Confusion #LifePuzzle"/>
    <n v="10"/>
    <n v="15"/>
    <x v="2"/>
    <n v="2020"/>
    <x v="7"/>
    <n v="2"/>
    <n v="9"/>
  </r>
  <r>
    <n v="200"/>
    <s v="A numbness settles over me, a shield against the overwhelming emotions life throws my way."/>
    <x v="54"/>
    <x v="198"/>
    <s v="EmotionallyDistant"/>
    <x v="0"/>
    <s v="#Numbness #EmotionalShield"/>
    <n v="8"/>
    <n v="20"/>
    <x v="4"/>
    <n v="2021"/>
    <x v="4"/>
    <n v="10"/>
    <n v="14"/>
  </r>
  <r>
    <n v="201"/>
    <s v="Gazing at the sunset, a melancholic longing for moments that slip through the fingers of time."/>
    <x v="55"/>
    <x v="199"/>
    <s v="SunsetDreamer"/>
    <x v="1"/>
    <s v="#Melancholy #SunsetMoments"/>
    <n v="12"/>
    <n v="15"/>
    <x v="3"/>
    <n v="2019"/>
    <x v="5"/>
    <n v="18"/>
    <n v="20"/>
  </r>
  <r>
    <n v="202"/>
    <s v="Revisiting old photographs, caught in the embrace of nostalgia's bittersweet symphony."/>
    <x v="56"/>
    <x v="200"/>
    <s v="MemoryLaneTraveler"/>
    <x v="2"/>
    <s v="#Nostalgia #MemoryLane"/>
    <n v="10"/>
    <n v="25"/>
    <x v="0"/>
    <n v="2018"/>
    <x v="1"/>
    <n v="5"/>
    <n v="15"/>
  </r>
  <r>
    <n v="203"/>
    <s v="Torn between conflicting emotions, an ambivalence that paints my decisions in shades of uncertainty."/>
    <x v="57"/>
    <x v="201"/>
    <s v="MixedFeelings"/>
    <x v="0"/>
    <s v="#Ambivalence #UncertainChoices"/>
    <n v="12"/>
    <n v="20"/>
    <x v="1"/>
    <n v="2022"/>
    <x v="3"/>
    <n v="30"/>
    <n v="11"/>
  </r>
  <r>
    <n v="204"/>
    <s v="Embracing the ebb and flow of life, finding acceptance in the dance of existence."/>
    <x v="17"/>
    <x v="202"/>
    <s v="ZenLifestyle"/>
    <x v="1"/>
    <s v="#Acceptance #LifeJourney"/>
    <n v="15"/>
    <n v="25"/>
    <x v="2"/>
    <n v="2023"/>
    <x v="0"/>
    <n v="10"/>
    <n v="16"/>
  </r>
  <r>
    <n v="205"/>
    <s v="Facing challenges head-on, a determination that fuels the fire within to achieve the impossible."/>
    <x v="58"/>
    <x v="203"/>
    <s v="ResilientSpirit"/>
    <x v="2"/>
    <s v="#Determination #AchieveTheImpossible"/>
    <n v="10"/>
    <n v="30"/>
    <x v="4"/>
    <n v="2020"/>
    <x v="8"/>
    <n v="18"/>
    <n v="13"/>
  </r>
  <r>
    <n v="206"/>
    <s v="Serenity found in the stillness of nature, a tranquil retreat from the chaos of the modern world."/>
    <x v="30"/>
    <x v="204"/>
    <s v="NatureSoul"/>
    <x v="0"/>
    <s v="#Serenity #NatureRetreat"/>
    <n v="12"/>
    <n v="20"/>
    <x v="3"/>
    <n v="2021"/>
    <x v="9"/>
    <n v="3"/>
    <n v="19"/>
  </r>
  <r>
    <n v="207"/>
    <s v="Curiosity leading me down the rabbit hole of knowledge, a perpetual student in life's classroom."/>
    <x v="52"/>
    <x v="205"/>
    <s v="EternalLearner"/>
    <x v="1"/>
    <s v="#Curiosity #KnowledgeQuest"/>
    <n v="20"/>
    <n v="25"/>
    <x v="0"/>
    <n v="2022"/>
    <x v="10"/>
    <n v="8"/>
    <n v="8"/>
  </r>
  <r>
    <n v="208"/>
    <s v="Floating through the day with an air of indifference, detached from the mundane happenings around."/>
    <x v="53"/>
    <x v="206"/>
    <s v="AloofObserver"/>
    <x v="2"/>
    <s v="#Indifference #FloatingThroughLife"/>
    <n v="10"/>
    <n v="40"/>
    <x v="1"/>
    <n v="2023"/>
    <x v="2"/>
    <n v="22"/>
    <n v="16"/>
  </r>
  <r>
    <n v="209"/>
    <s v="Entangled in the web of thoughts, confusion reigning as I navigate the labyrinth of ideas."/>
    <x v="22"/>
    <x v="207"/>
    <s v="ThoughtExplorer"/>
    <x v="0"/>
    <s v="#Confusion #ThoughtLabyrinth"/>
    <n v="15"/>
    <n v="20"/>
    <x v="2"/>
    <n v="2021"/>
    <x v="3"/>
    <n v="15"/>
    <n v="11"/>
  </r>
  <r>
    <n v="210"/>
    <s v="Numb to the chaos, emotions locked away, a stoic facade concealing the inner turmoil."/>
    <x v="54"/>
    <x v="208"/>
    <s v="StoicSoul"/>
    <x v="1"/>
    <s v="#Numbness #StoicFacade"/>
    <n v="8"/>
    <n v="30"/>
    <x v="3"/>
    <n v="2019"/>
    <x v="11"/>
    <n v="28"/>
    <n v="14"/>
  </r>
  <r>
    <n v="211"/>
    <s v="Melancholy whispers in the breeze, a silent conversation with the echoes of forgotten dreams."/>
    <x v="55"/>
    <x v="209"/>
    <s v="DreamerInSilence"/>
    <x v="2"/>
    <s v="#Melancholy #WhispersInTheBreeze"/>
    <n v="12"/>
    <n v="15"/>
    <x v="4"/>
    <n v="2020"/>
    <x v="2"/>
    <n v="1"/>
    <n v="19"/>
  </r>
  <r>
    <n v="212"/>
    <s v="Stumbling upon an old journal, nostalgia flooding in waves, carrying me to moments long gone."/>
    <x v="56"/>
    <x v="210"/>
    <s v="JournalKeeper"/>
    <x v="0"/>
    <s v="#Nostalgia #JournalMoments"/>
    <n v="10"/>
    <n v="25"/>
    <x v="1"/>
    <n v="2018"/>
    <x v="9"/>
    <n v="10"/>
    <n v="15"/>
  </r>
  <r>
    <n v="213"/>
    <s v="A tapestry of conflicting feelings, weaving through uncertainty, caught in the threads of ambivalence."/>
    <x v="57"/>
    <x v="211"/>
    <s v="ThreadWeaver"/>
    <x v="1"/>
    <s v="#Ambivalence #ConflictingFeelings"/>
    <n v="12"/>
    <n v="20"/>
    <x v="2"/>
    <n v="2022"/>
    <x v="0"/>
    <n v="5"/>
    <n v="10"/>
  </r>
  <r>
    <n v="214"/>
    <s v="Embracing the flaws, finding acceptance in imperfection, a journey towards self-love."/>
    <x v="17"/>
    <x v="212"/>
    <s v="SelfLoveAdvocate"/>
    <x v="2"/>
    <s v="#Acceptance #SelfLoveJourney"/>
    <n v="15"/>
    <n v="25"/>
    <x v="3"/>
    <n v="2021"/>
    <x v="4"/>
    <n v="20"/>
    <n v="16"/>
  </r>
  <r>
    <n v="215"/>
    <s v="Determination burning like a wildfire, overcoming obstacles, turning dreams into reality."/>
    <x v="58"/>
    <x v="213"/>
    <s v="DreamChaser"/>
    <x v="0"/>
    <s v="#Determination #DreamsIntoReality"/>
    <n v="18"/>
    <n v="30"/>
    <x v="0"/>
    <n v="2019"/>
    <x v="6"/>
    <n v="3"/>
    <n v="13"/>
  </r>
  <r>
    <n v="216"/>
    <s v="Tranquil moments by the ocean, serenity washing over, a peaceful retreat within the waves' embrace."/>
    <x v="30"/>
    <x v="214"/>
    <s v="OceanSoul"/>
    <x v="1"/>
    <s v="#Serenity #OceanRetreat"/>
    <n v="25"/>
    <n v="35"/>
    <x v="1"/>
    <n v="2020"/>
    <x v="7"/>
    <n v="12"/>
    <n v="19"/>
  </r>
  <r>
    <n v="217"/>
    <s v="Exploring new horizons with the spark of curiosity, an adventurer in the vast landscape of knowledge."/>
    <x v="52"/>
    <x v="215"/>
    <s v="HorizonExplorer"/>
    <x v="2"/>
    <s v="#Curiosity #NewHorizons"/>
    <n v="22"/>
    <n v="50"/>
    <x v="4"/>
    <n v="2022"/>
    <x v="7"/>
    <n v="15"/>
    <n v="8"/>
  </r>
  <r>
    <n v="218"/>
    <s v="Drifting through the day with a nonchalant demeanor, embracing the art of indifference."/>
    <x v="53"/>
    <x v="216"/>
    <s v="NonchalantSpirit"/>
    <x v="0"/>
    <s v="#Indifference #DriftingThroughLife"/>
    <n v="9"/>
    <n v="45"/>
    <x v="2"/>
    <n v="2023"/>
    <x v="1"/>
    <n v="10"/>
    <n v="17"/>
  </r>
  <r>
    <n v="219"/>
    <s v="Wrestling with thoughts, a perplexed mind lost in the labyrinth of life's complexities."/>
    <x v="22"/>
    <x v="217"/>
    <s v="ComplexThinker"/>
    <x v="1"/>
    <s v="#Confusion #PerplexedMind"/>
    <n v="14"/>
    <n v="18"/>
    <x v="3"/>
    <n v="2020"/>
    <x v="4"/>
    <n v="5"/>
    <n v="12"/>
  </r>
  <r>
    <n v="220"/>
    <s v="Immersed in a state of emotional numbness, a shield against the storm of daily struggles."/>
    <x v="54"/>
    <x v="218"/>
    <s v="ShieldedHeart"/>
    <x v="2"/>
    <s v="#Numbness #EmotionalShield"/>
    <n v="10"/>
    <n v="28"/>
    <x v="0"/>
    <n v="2021"/>
    <x v="11"/>
    <n v="1"/>
    <n v="15"/>
  </r>
  <r>
    <n v="221"/>
    <s v="A melancholic symphony playing in the background, the soundtrack of a wistful heart."/>
    <x v="55"/>
    <x v="219"/>
    <s v="SymphonySoul"/>
    <x v="0"/>
    <s v="#Melancholy #WistfulHeart"/>
    <n v="13"/>
    <n v="20"/>
    <x v="1"/>
    <n v="2019"/>
    <x v="2"/>
    <n v="25"/>
    <n v="21"/>
  </r>
  <r>
    <n v="222"/>
    <s v="Flipping through the pages of an old yearbook, nostalgia painting smiles and tears on my face."/>
    <x v="56"/>
    <x v="220"/>
    <s v="YearbookExplorer"/>
    <x v="1"/>
    <s v="#Nostalgia #YearbookMemories"/>
    <n v="12"/>
    <n v="26"/>
    <x v="4"/>
    <n v="2017"/>
    <x v="5"/>
    <n v="18"/>
    <n v="14"/>
  </r>
  <r>
    <n v="223"/>
    <s v="Torn between opposing emotions, an ambivalence that colors my decisions with shades of uncertainty."/>
    <x v="57"/>
    <x v="221"/>
    <s v="DecisiveDilemma"/>
    <x v="2"/>
    <s v="#Ambivalence #ShadesOfUncertainty"/>
    <n v="15"/>
    <n v="25"/>
    <x v="3"/>
    <n v="2022"/>
    <x v="9"/>
    <n v="8"/>
    <n v="11"/>
  </r>
  <r>
    <n v="224"/>
    <s v="Embracing life's imperfections, finding acceptance in the journey, scars and all."/>
    <x v="17"/>
    <x v="222"/>
    <s v="ImperfectHarmony"/>
    <x v="0"/>
    <s v="#Acceptance #ImperfectJourney"/>
    <n v="18"/>
    <n v="30"/>
    <x v="1"/>
    <n v="2023"/>
    <x v="3"/>
    <n v="15"/>
    <n v="16"/>
  </r>
  <r>
    <n v="225"/>
    <s v="A fiery determination burning within, fueled by the vision of reaching unparalleled heights."/>
    <x v="58"/>
    <x v="223"/>
    <s v="VisionarySpirit"/>
    <x v="1"/>
    <s v="#Determination #UnparalleledHeights"/>
    <n v="20"/>
    <n v="36"/>
    <x v="2"/>
    <n v="2021"/>
    <x v="8"/>
    <n v="10"/>
    <n v="14"/>
  </r>
  <r>
    <n v="226"/>
    <s v="Basking in the serenity of a quiet forest, where the whispers of nature bring peace to the soul."/>
    <x v="30"/>
    <x v="224"/>
    <s v="ForestDreamer"/>
    <x v="2"/>
    <s v="#Serenity #NatureWhispers"/>
    <n v="25"/>
    <n v="40"/>
    <x v="0"/>
    <n v="2020"/>
    <x v="1"/>
    <n v="28"/>
    <n v="18"/>
  </r>
  <r>
    <n v="227"/>
    <s v="Indifferent to the noise of the world, a silent observer in the midst of life's cacophony."/>
    <x v="53"/>
    <x v="225"/>
    <s v="SilentSpectator"/>
    <x v="1"/>
    <s v="#Indifference #SilentObserver"/>
    <n v="9"/>
    <n v="50"/>
    <x v="4"/>
    <n v="2023"/>
    <x v="2"/>
    <n v="10"/>
    <n v="16"/>
  </r>
  <r>
    <n v="228"/>
    <s v="Navigating through the labyrinth of thoughts, confusion a constant companion in the maze of ideas."/>
    <x v="22"/>
    <x v="226"/>
    <s v="MazeNavigator"/>
    <x v="2"/>
    <s v="#Confusion #ThoughtLabyrinth"/>
    <n v="14"/>
    <n v="18"/>
    <x v="3"/>
    <n v="2021"/>
    <x v="3"/>
    <n v="2"/>
    <n v="11"/>
  </r>
  <r>
    <n v="229"/>
    <s v="An impenetrable numbness shields me from the emotional storms, a fortress of stoic resilience."/>
    <x v="54"/>
    <x v="227"/>
    <s v="ResilientFortress"/>
    <x v="0"/>
    <s v="#Numbness #StoicResilience"/>
    <n v="11"/>
    <n v="28"/>
    <x v="2"/>
    <n v="2019"/>
    <x v="10"/>
    <n v="18"/>
    <n v="14"/>
  </r>
  <r>
    <n v="230"/>
    <s v="Melancholy painting the world in hues of nostalgia, a canvas of bittersweet memories."/>
    <x v="55"/>
    <x v="228"/>
    <s v="CanvasDreamer"/>
    <x v="1"/>
    <s v="#Melancholy #BittersweetMemories"/>
    <n v="13"/>
    <n v="22"/>
    <x v="0"/>
    <n v="2020"/>
    <x v="0"/>
    <n v="5"/>
    <n v="20"/>
  </r>
  <r>
    <n v="231"/>
    <s v="A journey into the past, flipping through the pages of an old diary, nostalgia taking the lead."/>
    <x v="56"/>
    <x v="229"/>
    <s v="DiaryExplorer"/>
    <x v="2"/>
    <s v="#Nostalgia #DiaryJourney"/>
    <n v="12"/>
    <n v="26"/>
    <x v="1"/>
    <n v="2018"/>
    <x v="4"/>
    <n v="10"/>
    <n v="15"/>
  </r>
  <r>
    <n v="232"/>
    <s v="Ambivalence clouding decisions, caught in the crossroads of conflicting emotions."/>
    <x v="57"/>
    <x v="230"/>
    <s v="CrossroadsTraveler"/>
    <x v="0"/>
    <s v="#Ambivalence #ConflictingEmotions"/>
    <n v="15"/>
    <n v="25"/>
    <x v="4"/>
    <n v="2022"/>
    <x v="0"/>
    <n v="15"/>
    <n v="10"/>
  </r>
  <r>
    <n v="233"/>
    <s v="Embracing imperfections, finding acceptance in the mosaic of life's beautiful chaos."/>
    <x v="17"/>
    <x v="231"/>
    <s v="MosaicDreamer"/>
    <x v="1"/>
    <s v="#Acceptance #BeautifulChaos"/>
    <n v="18"/>
    <n v="30"/>
    <x v="3"/>
    <n v="2021"/>
    <x v="9"/>
    <n v="20"/>
    <n v="16"/>
  </r>
  <r>
    <n v="234"/>
    <s v="Determination as the driving force, propelling me forward on the path to extraordinary achievements."/>
    <x v="58"/>
    <x v="232"/>
    <s v="PathfinderSpirit"/>
    <x v="2"/>
    <s v="#Determination #ExtraordinaryPath"/>
    <n v="20"/>
    <n v="36"/>
    <x v="0"/>
    <n v="2019"/>
    <x v="11"/>
    <n v="3"/>
    <n v="13"/>
  </r>
  <r>
    <n v="235"/>
    <s v="Seeking serenity in the melody of raindrops, a tranquil escape from the noise of everyday life."/>
    <x v="30"/>
    <x v="214"/>
    <s v="RaindropHarmony"/>
    <x v="0"/>
    <s v="#Serenity #RaindropMelody"/>
    <n v="25"/>
    <n v="40"/>
    <x v="1"/>
    <n v="2020"/>
    <x v="7"/>
    <n v="12"/>
    <n v="19"/>
  </r>
  <r>
    <n v="236"/>
    <s v="Curiosity driving the exploration of the unknown, a seeker of knowledge in uncharted territories."/>
    <x v="52"/>
    <x v="233"/>
    <s v="SeekerOfUnknowns"/>
    <x v="1"/>
    <s v="#Curiosity #SeekerOfKnowledge"/>
    <n v="22"/>
    <n v="50"/>
    <x v="2"/>
    <n v="2022"/>
    <x v="3"/>
    <n v="8"/>
    <n v="8"/>
  </r>
  <r>
    <n v="237"/>
    <s v="Drifting through the day with an air of nonchalance, indifferent to the trivialities of life."/>
    <x v="53"/>
    <x v="234"/>
    <s v="NonchalantWanderer"/>
    <x v="2"/>
    <s v="#Indifference #DriftingThroughLife"/>
    <n v="9"/>
    <n v="45"/>
    <x v="4"/>
    <n v="2023"/>
    <x v="1"/>
    <n v="22"/>
    <n v="17"/>
  </r>
  <r>
    <n v="238"/>
    <s v="Lost in the labyrinth of thoughts, confusion casting shadows on the quest for clarity."/>
    <x v="22"/>
    <x v="235"/>
    <s v="ShadowedSeeker"/>
    <x v="0"/>
    <s v="#Confusion #LabyrinthOfThoughts"/>
    <n v="14"/>
    <n v="18"/>
    <x v="3"/>
    <n v="2020"/>
    <x v="5"/>
    <n v="5"/>
    <n v="12"/>
  </r>
  <r>
    <n v="239"/>
    <s v="Wrapped in the cloak of emotional numbness, a shield against the storms of life's turbulence."/>
    <x v="54"/>
    <x v="236"/>
    <s v="TurbulentShield"/>
    <x v="1"/>
    <s v="#Numbness #EmotionalStorms"/>
    <n v="10"/>
    <n v="28"/>
    <x v="1"/>
    <n v="2021"/>
    <x v="6"/>
    <n v="30"/>
    <n v="15"/>
  </r>
  <r>
    <n v="240"/>
    <s v="Melancholy as a companion, painting the canvas of life with the brushstrokes of wistful yearning."/>
    <x v="55"/>
    <x v="237"/>
    <s v="WistfulPainter"/>
    <x v="2"/>
    <s v="#Melancholy #WistfulYearning"/>
    <n v="13"/>
    <n v="20"/>
    <x v="2"/>
    <n v="2019"/>
    <x v="1"/>
    <n v="25"/>
    <n v="21"/>
  </r>
  <r>
    <n v="241"/>
    <s v="Leafing through the pages of an old photo album, nostalgia weaving tales of laughter and tears."/>
    <x v="56"/>
    <x v="238"/>
    <s v="TaleWeaver"/>
    <x v="0"/>
    <s v="#Nostalgia #PhotoAlbumStories"/>
    <n v="12"/>
    <n v="26"/>
    <x v="0"/>
    <n v="2017"/>
    <x v="3"/>
    <n v="18"/>
    <n v="14"/>
  </r>
  <r>
    <n v="242"/>
    <s v="Ambivalence in the air, caught between the crossroads of conflicting emotions and decisions."/>
    <x v="57"/>
    <x v="239"/>
    <s v="CrossroadsExplorer"/>
    <x v="1"/>
    <s v="#Ambivalence #CrossroadsConfusion"/>
    <n v="15"/>
    <n v="25"/>
    <x v="1"/>
    <n v="2022"/>
    <x v="4"/>
    <n v="5"/>
    <n v="11"/>
  </r>
  <r>
    <n v="243"/>
    <s v="Embracing the beauty in imperfections, finding acceptance in the mosaic of life's unpredictable art."/>
    <x v="17"/>
    <x v="240"/>
    <s v="MosaicArtist"/>
    <x v="2"/>
    <s v="#Acceptance #UnpredictableArt"/>
    <n v="18"/>
    <n v="30"/>
    <x v="3"/>
    <n v="2023"/>
    <x v="5"/>
    <n v="15"/>
    <n v="16"/>
  </r>
  <r>
    <n v="244"/>
    <s v="Determination ablaze, forging a path through challenges, sculpting dreams into tangible realities."/>
    <x v="58"/>
    <x v="241"/>
    <s v="DreamSculptor"/>
    <x v="0"/>
    <s v="#Determination #SculptingDreams"/>
    <n v="20"/>
    <n v="36"/>
    <x v="2"/>
    <n v="2021"/>
    <x v="10"/>
    <n v="10"/>
    <n v="14"/>
  </r>
  <r>
    <n v="245"/>
    <s v="Immerse in the serenity of a moonlit night, where the quiet whispers of nature bring peace to the soul."/>
    <x v="30"/>
    <x v="242"/>
    <s v="MoonlitSoul"/>
    <x v="1"/>
    <s v="#Serenity #MoonlitPeace"/>
    <n v="25"/>
    <n v="40"/>
    <x v="0"/>
    <n v="2020"/>
    <x v="3"/>
    <n v="12"/>
    <n v="19"/>
  </r>
  <r>
    <n v="246"/>
    <s v="Fueled by curiosity, venturing into uncharted realms, a fearless explorer of the mysteries of the world."/>
    <x v="52"/>
    <x v="243"/>
    <s v="FearlessExplorer"/>
    <x v="2"/>
    <s v="#Curiosity #FearlessExplorer"/>
    <n v="22"/>
    <n v="50"/>
    <x v="4"/>
    <n v="2022"/>
    <x v="11"/>
    <n v="1"/>
    <n v="9"/>
  </r>
  <r>
    <n v="247"/>
    <s v="Wrapped in the cloak of emotional numbness, a shield against the storms of life's turbulence."/>
    <x v="54"/>
    <x v="236"/>
    <s v="TurbulentShield"/>
    <x v="1"/>
    <s v="#Numbness #EmotionalStorms"/>
    <n v="10"/>
    <n v="44"/>
    <x v="1"/>
    <n v="2021"/>
    <x v="6"/>
    <n v="30"/>
    <n v="15"/>
  </r>
  <r>
    <n v="248"/>
    <s v="Dancing through life with the exuberance of a carefree spirit, embracing joy and zest at every turn."/>
    <x v="59"/>
    <x v="244"/>
    <s v="JoyfulDancer"/>
    <x v="0"/>
    <s v="#Zest #CarefreeSpirit"/>
    <n v="15"/>
    <n v="20"/>
    <x v="0"/>
    <n v="2018"/>
    <x v="9"/>
    <n v="12"/>
    <n v="17"/>
  </r>
  <r>
    <n v="249"/>
    <s v="Basking in the golden glow of contentment, a serene river flowing through the landscape of the heart."/>
    <x v="29"/>
    <x v="245"/>
    <s v="SereneBasker"/>
    <x v="2"/>
    <s v="#Contentment #GoldenGlow"/>
    <n v="18"/>
    <n v="30"/>
    <x v="3"/>
    <n v="2020"/>
    <x v="8"/>
    <n v="5"/>
    <n v="20"/>
  </r>
  <r>
    <n v="250"/>
    <s v="Gazing towards the horizon with hopeful eyes, painting a canvas of dreams illuminated by the sun of optimism."/>
    <x v="60"/>
    <x v="246"/>
    <s v="DreamPainter"/>
    <x v="1"/>
    <s v="#Hopeful #CanvasOfDreams"/>
    <n v="12"/>
    <n v="36"/>
    <x v="4"/>
    <n v="2022"/>
    <x v="7"/>
    <n v="18"/>
    <n v="8"/>
  </r>
  <r>
    <n v="251"/>
    <s v="Standing tall, proud as an oak, the branches of achievement reaching towards the sky of accomplishment."/>
    <x v="61"/>
    <x v="247"/>
    <s v="OakAchiever"/>
    <x v="0"/>
    <s v="#Proud #BranchesOfAchievement"/>
    <n v="25"/>
    <n v="24"/>
    <x v="1"/>
    <n v="2019"/>
    <x v="11"/>
    <n v="10"/>
    <n v="12"/>
  </r>
  <r>
    <n v="252"/>
    <s v="A heart overflowing with gratitude, a garden where appreciation blooms in the soil of kindness and connection."/>
    <x v="62"/>
    <x v="248"/>
    <s v="HeartGardener"/>
    <x v="2"/>
    <s v="#Grateful #BlossomingConnection"/>
    <n v="20"/>
    <n v="50"/>
    <x v="0"/>
    <n v="2023"/>
    <x v="1"/>
    <n v="28"/>
    <n v="9"/>
  </r>
  <r>
    <n v="253"/>
    <s v="Extending a hand, empathetic threads weaving a tapestry of understanding, embracing the joys and sorrows of others."/>
    <x v="63"/>
    <x v="249"/>
    <s v="ThreadWeaver"/>
    <x v="1"/>
    <s v="#Empathetic #TapestryOfUnderstanding"/>
    <n v="15"/>
    <n v="40"/>
    <x v="2"/>
    <n v="2018"/>
    <x v="7"/>
    <n v="3"/>
    <n v="14"/>
  </r>
  <r>
    <n v="254"/>
    <s v="Compassionate clouds, heavy with care, showering empathy on the parched grounds of human suffering."/>
    <x v="64"/>
    <x v="250"/>
    <s v="CloudCaretaker"/>
    <x v="0"/>
    <s v="#Compassionate #ShowerOfEmpathy"/>
    <n v="18"/>
    <n v="30"/>
    <x v="3"/>
    <n v="2022"/>
    <x v="5"/>
    <n v="20"/>
    <n v="10"/>
  </r>
  <r>
    <n v="255"/>
    <s v="Playfully dancing in the rain of laughter, a whimsical spirit twirling in the puddles of joy and lightheartedness."/>
    <x v="65"/>
    <x v="251"/>
    <s v="RainDancer"/>
    <x v="2"/>
    <s v="#Playful #DanceInTheRain"/>
    <n v="22"/>
    <n v="36"/>
    <x v="1"/>
    <n v="2020"/>
    <x v="9"/>
    <n v="8"/>
    <n v="18"/>
  </r>
  <r>
    <n v="256"/>
    <s v="Soaring on the wings of a free spirit, unburdened by the chains of conformity, painting the sky with independence."/>
    <x v="66"/>
    <x v="252"/>
    <s v="SkyPainter"/>
    <x v="1"/>
    <s v="#FreeSpirit #PaintingTheSky"/>
    <n v="20"/>
    <n v="44"/>
    <x v="4"/>
    <n v="2021"/>
    <x v="4"/>
    <n v="15"/>
    <n v="11"/>
  </r>
  <r>
    <n v="257"/>
    <s v="Bathed in the glow of inspiration, a creative phoenix rising from the ashes of ordinary thoughts to explore new realms."/>
    <x v="67"/>
    <x v="253"/>
    <s v="PhoenixExplorer"/>
    <x v="0"/>
    <s v="#Inspired #CreativePhoenix"/>
    <n v="15"/>
    <n v="40"/>
    <x v="2"/>
    <n v="2019"/>
    <x v="10"/>
    <n v="25"/>
    <n v="16"/>
  </r>
  <r>
    <n v="258"/>
    <s v="Navigating the sea of hope, sailing towards the sunrise of possibilities, confident in the ship of positive anticipation."/>
    <x v="60"/>
    <x v="254"/>
    <s v="SunriseNavigator"/>
    <x v="2"/>
    <s v="#Hopeful #SunriseOfPossibilities"/>
    <n v="12"/>
    <n v="30"/>
    <x v="0"/>
    <n v="2023"/>
    <x v="10"/>
    <n v="5"/>
    <n v="7"/>
  </r>
  <r>
    <n v="259"/>
    <s v="Striding with confidence, footprints of self-assuredness imprinted on the sands of challenges conquered and victories claimed."/>
    <x v="68"/>
    <x v="255"/>
    <s v="SandStrider"/>
    <x v="1"/>
    <s v="#Confident #FootprintsOfAssuredness"/>
    <n v="25"/>
    <n v="24"/>
    <x v="3"/>
    <n v="2022"/>
    <x v="1"/>
    <n v="15"/>
    <n v="13"/>
  </r>
  <r>
    <n v="260"/>
    <s v="Lost in the symphony of the night, a moonlit serenade that whispers tales of wanderlust and moonlit dreams."/>
    <x v="30"/>
    <x v="256"/>
    <s v="NightSerenader"/>
    <x v="0"/>
    <s v="#Serenity #MoonlitSerenade"/>
    <n v="13"/>
    <n v="50"/>
    <x v="1"/>
    <n v="2021"/>
    <x v="3"/>
    <n v="8"/>
    <n v="22"/>
  </r>
  <r>
    <n v="261"/>
    <s v="Unveiling the layers of curiosity, a labyrinth of questions leading to the treasure troves of undiscovered knowledge."/>
    <x v="52"/>
    <x v="257"/>
    <s v="KnowledgeSeeker"/>
    <x v="1"/>
    <s v="#Curiosity #LabyrinthOfQuestions"/>
    <n v="17"/>
    <n v="26"/>
    <x v="0"/>
    <n v="2020"/>
    <x v="6"/>
    <n v="29"/>
    <n v="14"/>
  </r>
  <r>
    <n v="262"/>
    <s v="In the embrace of the autumn breeze, leaves of ambivalence dancing in a waltz between choices and uncertainties."/>
    <x v="57"/>
    <x v="258"/>
    <s v="BreezeWaltzer"/>
    <x v="2"/>
    <s v="#Ambivalence #AutumnWaltz"/>
    <n v="14"/>
    <n v="34"/>
    <x v="2"/>
    <n v="2019"/>
    <x v="8"/>
    <n v="14"/>
    <n v="10"/>
  </r>
  <r>
    <n v="263"/>
    <s v="Gratitude as a guiding star, navigating the constellation of blessings in the vast universe of life's precious moments."/>
    <x v="62"/>
    <x v="259"/>
    <s v="StarNavigator"/>
    <x v="0"/>
    <s v="#Grateful #GuidingStar"/>
    <n v="19"/>
    <n v="28"/>
    <x v="3"/>
    <n v="2022"/>
    <x v="2"/>
    <n v="12"/>
    <n v="19"/>
  </r>
  <r>
    <n v="264"/>
    <s v="With a zestful heart, sprinting through fields of enthusiasm, chasing sunbeams and laughter in the meadows of joy."/>
    <x v="59"/>
    <x v="260"/>
    <s v="MeadowSprinter"/>
    <x v="1"/>
    <s v="#Zest #FieldsOfEnthusiasm"/>
    <n v="16"/>
    <n v="38"/>
    <x v="4"/>
    <n v="2023"/>
    <x v="2"/>
    <n v="30"/>
    <n v="16"/>
  </r>
  <r>
    <n v="265"/>
    <s v="A compassionate rain, tears of empathy falling gently, nurturing the seeds of kindness in the garden of human connections."/>
    <x v="64"/>
    <x v="261"/>
    <s v="RainNurturer"/>
    <x v="2"/>
    <s v="#Compassionate #TearsOfEmpathy"/>
    <n v="21"/>
    <n v="32"/>
    <x v="1"/>
    <n v="2021"/>
    <x v="9"/>
    <n v="1"/>
    <n v="12"/>
  </r>
  <r>
    <n v="266"/>
    <s v="Proudly scaling the peaks of achievement, a mountaineer conquering challenges and planting the flag of success."/>
    <x v="61"/>
    <x v="262"/>
    <s v="PeakConqueror"/>
    <x v="0"/>
    <s v="#Proud #ScalingPeaks"/>
    <n v="23"/>
    <n v="42"/>
    <x v="0"/>
    <n v="2020"/>
    <x v="0"/>
    <n v="5"/>
    <n v="8"/>
  </r>
  <r>
    <n v="267"/>
    <s v="Embraced by the hopeful dawn, a gardener sowing seeds of optimism, tending to the blooms of a brighter tomorrow."/>
    <x v="60"/>
    <x v="263"/>
    <s v="DawnGardener"/>
    <x v="1"/>
    <s v="#Hopeful #SeedsOfOptimism"/>
    <n v="14"/>
    <n v="46"/>
    <x v="2"/>
    <n v="2022"/>
    <x v="9"/>
    <n v="17"/>
    <n v="6"/>
  </r>
  <r>
    <n v="268"/>
    <s v="A playful escapade in the carnival of life, carousel laughter and cotton candy dreams swirling in the joyous atmosphere."/>
    <x v="65"/>
    <x v="264"/>
    <s v="CarnivalDreamer"/>
    <x v="2"/>
    <s v="#Playful #CarnivalEscapade"/>
    <n v="24"/>
    <n v="28"/>
    <x v="3"/>
    <n v="2018"/>
    <x v="4"/>
    <n v="22"/>
    <n v="17"/>
  </r>
  <r>
    <n v="269"/>
    <s v="Floating on clouds of inspiration, an artist painting the sky with strokes of creativity, creating a masterpiece of dreams."/>
    <x v="67"/>
    <x v="265"/>
    <s v="SkyArtist"/>
    <x v="0"/>
    <s v="#Inspired #CloudsOfCreativity"/>
    <n v="18"/>
    <n v="48"/>
    <x v="4"/>
    <n v="2021"/>
    <x v="11"/>
    <n v="8"/>
    <n v="14"/>
  </r>
  <r>
    <n v="270"/>
    <s v="Navigating the river of contentment, a serene boat cruise through the tranquil waters of inner peace and acceptance."/>
    <x v="29"/>
    <x v="266"/>
    <s v="RiverNavigator"/>
    <x v="1"/>
    <s v="#Contentment #TranquilWaters"/>
    <n v="20"/>
    <n v="36"/>
    <x v="1"/>
    <n v="2019"/>
    <x v="7"/>
    <n v="27"/>
    <n v="9"/>
  </r>
  <r>
    <n v="271"/>
    <s v="With empathy as a lantern, wandering through the dark alleys of sorrow, illuminating the path with compassion and care."/>
    <x v="63"/>
    <x v="267"/>
    <s v="LanternWanderer"/>
    <x v="2"/>
    <s v="#Empathetic #LanternOfCompassion"/>
    <n v="16"/>
    <n v="40"/>
    <x v="0"/>
    <n v="2023"/>
    <x v="8"/>
    <n v="3"/>
    <n v="21"/>
  </r>
  <r>
    <n v="272"/>
    <s v="A free spirit soaring on the wings of dreams, leaving trails of independence in the azure sky of boundless possibilities."/>
    <x v="66"/>
    <x v="268"/>
    <s v="DreamSoarer"/>
    <x v="0"/>
    <s v="#FreeSpirit #WingsOfDreams"/>
    <n v="22"/>
    <n v="32"/>
    <x v="2"/>
    <n v="2020"/>
    <x v="5"/>
    <n v="10"/>
    <n v="10"/>
  </r>
  <r>
    <n v="273"/>
    <s v="Bathed in the golden hues of gratefulness, a sunset of appreciation casting its warm glow on the landscapes of the heart."/>
    <x v="62"/>
    <x v="269"/>
    <s v="SunsetAdmirer"/>
    <x v="1"/>
    <s v="#Grateful #GoldenHues"/>
    <n v="19"/>
    <n v="44"/>
    <x v="3"/>
    <n v="2022"/>
    <x v="7"/>
    <n v="1"/>
    <n v="18"/>
  </r>
  <r>
    <n v="274"/>
    <s v="Confident strides in the dance of life, a ballroom where self-assuredness leads, twirling through challenges with grace."/>
    <x v="68"/>
    <x v="270"/>
    <s v="DanceStrider"/>
    <x v="2"/>
    <s v="#Confident #DanceOfLife"/>
    <n v="23"/>
    <n v="38"/>
    <x v="1"/>
    <n v="2021"/>
    <x v="0"/>
    <n v="15"/>
    <n v="13"/>
  </r>
  <r>
    <n v="275"/>
    <s v="Hopeful whispers of wind, carrying the promises of a brighter tomorrow, a symphony of optimism in the air of possibilities."/>
    <x v="60"/>
    <x v="271"/>
    <s v="WindWhisperer"/>
    <x v="0"/>
    <s v="#Hopeful #BrighterTomorrows"/>
    <n v="15"/>
    <n v="46"/>
    <x v="4"/>
    <n v="2023"/>
    <x v="3"/>
    <n v="6"/>
    <n v="7"/>
  </r>
  <r>
    <n v="276"/>
    <s v="Playfully juggling responsibilities, a circus performer balancing the acts of work and joy, tossing laughter into the air."/>
    <x v="65"/>
    <x v="272"/>
    <s v="JugglingArtist"/>
    <x v="1"/>
    <s v="#Playful #JugglingResponsibilities"/>
    <n v="25"/>
    <n v="30"/>
    <x v="0"/>
    <n v="2019"/>
    <x v="6"/>
    <n v="18"/>
    <n v="15"/>
  </r>
  <r>
    <n v="277"/>
    <s v="Whispering tales of inspiration to the stars, a storyteller crafting constellations from the threads of imagination."/>
    <x v="67"/>
    <x v="273"/>
    <s v="StarStoryteller"/>
    <x v="2"/>
    <s v="#Inspired #TalesToTheStars"/>
    <n v="14"/>
    <n v="50"/>
    <x v="2"/>
    <n v="2020"/>
    <x v="4"/>
    <n v="29"/>
    <n v="20"/>
  </r>
  <r>
    <n v="278"/>
    <s v="Charting a course through the waves of hopeful anticipation, a sailor steering towards the shores of dreams yet unexplored."/>
    <x v="60"/>
    <x v="274"/>
    <s v="WaveNavigator"/>
    <x v="0"/>
    <s v="#Hopeful #SailorOfDreams"/>
    <n v="17"/>
    <n v="28"/>
    <x v="3"/>
    <n v="2022"/>
    <x v="10"/>
    <n v="30"/>
    <n v="11"/>
  </r>
  <r>
    <n v="279"/>
    <s v="A compassionate rain, tears of empathy falling gently, nurturing the seeds of kindness in the garden of human connections."/>
    <x v="64"/>
    <x v="261"/>
    <s v="RainNurturer"/>
    <x v="1"/>
    <s v="#Compassionate #TearsOfEmpathy"/>
    <n v="21"/>
    <n v="34"/>
    <x v="1"/>
    <n v="2021"/>
    <x v="9"/>
    <n v="1"/>
    <n v="12"/>
  </r>
  <r>
    <n v="280"/>
    <s v="Proudly scaling the peaks of achievement, a mountaineer conquering challenges and planting the flag of success."/>
    <x v="61"/>
    <x v="262"/>
    <s v="PeakConqueror"/>
    <x v="0"/>
    <s v="#Proud #ScalingPeaks"/>
    <n v="23"/>
    <n v="42"/>
    <x v="0"/>
    <n v="2020"/>
    <x v="0"/>
    <n v="5"/>
    <n v="8"/>
  </r>
  <r>
    <n v="281"/>
    <s v="Embraced by the hopeful dawn, a gardener sowing seeds of optimism, tending to the blooms of a brighter tomorrow."/>
    <x v="60"/>
    <x v="263"/>
    <s v="DawnGardener"/>
    <x v="1"/>
    <s v="#Hopeful #SeedsOfOptimism"/>
    <n v="14"/>
    <n v="46"/>
    <x v="2"/>
    <n v="2022"/>
    <x v="9"/>
    <n v="17"/>
    <n v="6"/>
  </r>
  <r>
    <n v="282"/>
    <s v="A playful escapade in the carnival of life, carousel laughter and cotton candy dreams swirling in the joyous atmosphere."/>
    <x v="65"/>
    <x v="264"/>
    <s v="CarnivalDreamer"/>
    <x v="2"/>
    <s v="#Playful #CarnivalEscapade"/>
    <n v="24"/>
    <n v="28"/>
    <x v="3"/>
    <n v="2018"/>
    <x v="4"/>
    <n v="22"/>
    <n v="17"/>
  </r>
  <r>
    <n v="283"/>
    <s v="Floating on clouds of inspiration, an artist painting the sky with strokes of creativity, creating a masterpiece of dreams."/>
    <x v="67"/>
    <x v="265"/>
    <s v="SkyArtist"/>
    <x v="0"/>
    <s v="#Inspired #CloudsOfCreativity"/>
    <n v="18"/>
    <n v="48"/>
    <x v="4"/>
    <n v="2021"/>
    <x v="11"/>
    <n v="8"/>
    <n v="14"/>
  </r>
  <r>
    <n v="284"/>
    <s v="Navigating the river of contentment, a serene boat cruise through the tranquil waters of inner peace and acceptance."/>
    <x v="29"/>
    <x v="266"/>
    <s v="RiverNavigator"/>
    <x v="1"/>
    <s v="#Contentment #TranquilWaters"/>
    <n v="20"/>
    <n v="36"/>
    <x v="1"/>
    <n v="2019"/>
    <x v="7"/>
    <n v="27"/>
    <n v="9"/>
  </r>
  <r>
    <n v="285"/>
    <s v="With empathy as a lantern, wandering through the dark alleys of sorrow, illuminating the path with compassion and care."/>
    <x v="63"/>
    <x v="267"/>
    <s v="LanternWanderer"/>
    <x v="2"/>
    <s v="#Empathetic #LanternOfCompassion"/>
    <n v="16"/>
    <n v="40"/>
    <x v="0"/>
    <n v="2023"/>
    <x v="8"/>
    <n v="3"/>
    <n v="21"/>
  </r>
  <r>
    <n v="286"/>
    <s v="A free spirit soaring on the wings of dreams, leaving trails of independence in the azure sky of boundless possibilities."/>
    <x v="66"/>
    <x v="268"/>
    <s v="DreamSoarer"/>
    <x v="0"/>
    <s v="#FreeSpirit #WingsOfDreams"/>
    <n v="22"/>
    <n v="32"/>
    <x v="2"/>
    <n v="2020"/>
    <x v="5"/>
    <n v="10"/>
    <n v="10"/>
  </r>
  <r>
    <n v="287"/>
    <s v="Bathed in the golden hues of gratefulness, a sunset of appreciation casting its warm glow on the landscapes of the heart."/>
    <x v="62"/>
    <x v="269"/>
    <s v="SunsetAdmirer"/>
    <x v="1"/>
    <s v="#Grateful #GoldenHues"/>
    <n v="19"/>
    <n v="44"/>
    <x v="3"/>
    <n v="2022"/>
    <x v="7"/>
    <n v="1"/>
    <n v="18"/>
  </r>
  <r>
    <n v="288"/>
    <s v="Confident strides in the dance of life, a ballroom where self-assuredness leads, twirling through challenges with grace."/>
    <x v="68"/>
    <x v="270"/>
    <s v="DanceStrider"/>
    <x v="2"/>
    <s v="#Confident #DanceOfLife"/>
    <n v="23"/>
    <n v="38"/>
    <x v="1"/>
    <n v="2021"/>
    <x v="0"/>
    <n v="15"/>
    <n v="13"/>
  </r>
  <r>
    <n v="289"/>
    <s v="Hopeful whispers of wind, carrying the promises of a brighter tomorrow, a symphony of optimism in the air of possibilities."/>
    <x v="60"/>
    <x v="271"/>
    <s v="WindWhisperer"/>
    <x v="0"/>
    <s v="#Hopeful #BrighterTomorrows"/>
    <n v="15"/>
    <n v="46"/>
    <x v="4"/>
    <n v="2023"/>
    <x v="3"/>
    <n v="6"/>
    <n v="7"/>
  </r>
  <r>
    <n v="290"/>
    <s v="Playfully juggling responsibilities, a circus performer balancing the acts of work and joy, tossing laughter into the air."/>
    <x v="65"/>
    <x v="272"/>
    <s v="JugglingArtist"/>
    <x v="1"/>
    <s v="#Playful #JugglingResponsibilities"/>
    <n v="25"/>
    <n v="30"/>
    <x v="0"/>
    <n v="2019"/>
    <x v="6"/>
    <n v="18"/>
    <n v="15"/>
  </r>
  <r>
    <n v="291"/>
    <s v="Whispering tales of inspiration to the stars, a storyteller crafting constellations from the threads of imagination."/>
    <x v="67"/>
    <x v="273"/>
    <s v="StarStoryteller"/>
    <x v="2"/>
    <s v="#Inspired #TalesToTheStars"/>
    <n v="14"/>
    <n v="50"/>
    <x v="2"/>
    <n v="2020"/>
    <x v="4"/>
    <n v="29"/>
    <n v="20"/>
  </r>
  <r>
    <n v="292"/>
    <s v="Charting a course through the waves of hopeful anticipation, a sailor steering towards the shores of dreams yet unexplored."/>
    <x v="60"/>
    <x v="274"/>
    <s v="WaveNavigator"/>
    <x v="0"/>
    <s v="#Hopeful #SailorOfDreams"/>
    <n v="17"/>
    <n v="28"/>
    <x v="3"/>
    <n v="2022"/>
    <x v="10"/>
    <n v="30"/>
    <n v="11"/>
  </r>
  <r>
    <n v="293"/>
    <s v="A compassionate rain, tears of empathy falling gently, nurturing the seeds of kindness in the garden of human connections."/>
    <x v="64"/>
    <x v="261"/>
    <s v="RainNurturer"/>
    <x v="1"/>
    <s v="#Compassionate #TearsOfEmpathy"/>
    <n v="21"/>
    <n v="34"/>
    <x v="1"/>
    <n v="2021"/>
    <x v="9"/>
    <n v="1"/>
    <n v="12"/>
  </r>
  <r>
    <n v="294"/>
    <s v="Proudly scaling the peaks of achievement, a mountaineer conquering challenges and planting the flag of success."/>
    <x v="61"/>
    <x v="262"/>
    <s v="PeakConqueror"/>
    <x v="0"/>
    <s v="#Proud #ScalingPeaks"/>
    <n v="23"/>
    <n v="42"/>
    <x v="0"/>
    <n v="2020"/>
    <x v="0"/>
    <n v="5"/>
    <n v="8"/>
  </r>
  <r>
    <n v="295"/>
    <s v="Embraced by the hopeful dawn, a gardener sowing seeds of optimism, tending to the blooms of a brighter tomorrow."/>
    <x v="60"/>
    <x v="263"/>
    <s v="DawnGardener"/>
    <x v="1"/>
    <s v="#Hopeful #SeedsOfOptimism"/>
    <n v="14"/>
    <n v="46"/>
    <x v="4"/>
    <n v="2022"/>
    <x v="9"/>
    <n v="17"/>
    <n v="6"/>
  </r>
  <r>
    <n v="296"/>
    <s v="A playful escapade in the carnival of life, carousel laughter and cotton candy dreams swirling in the joyous atmosphere."/>
    <x v="65"/>
    <x v="264"/>
    <s v="CarnivalDreamer"/>
    <x v="2"/>
    <s v="#Playful #CarnivalEscapade"/>
    <n v="24"/>
    <n v="28"/>
    <x v="3"/>
    <n v="2018"/>
    <x v="4"/>
    <n v="22"/>
    <n v="17"/>
  </r>
  <r>
    <n v="297"/>
    <s v="Drowning in the abyss of despair, a heart shattered into fragments, lost in the echoing silence of hopelessness."/>
    <x v="40"/>
    <x v="275"/>
    <s v="ShatteredHeart"/>
    <x v="1"/>
    <s v="#Despair #EchoingSilence"/>
    <n v="8"/>
    <n v="48"/>
    <x v="1"/>
    <n v="2021"/>
    <x v="8"/>
    <n v="15"/>
    <n v="16"/>
  </r>
  <r>
    <n v="298"/>
    <s v="Bitterness festering like a venomous vine, entwining the soul in a web of resentment, poisoning the garden of peace."/>
    <x v="69"/>
    <x v="276"/>
    <s v="VenomousSoul"/>
    <x v="2"/>
    <s v="#Bitterness #ResentmentWeb"/>
    <n v="12"/>
    <n v="16"/>
    <x v="2"/>
    <n v="2019"/>
    <x v="2"/>
    <n v="8"/>
    <n v="14"/>
  </r>
  <r>
    <n v="299"/>
    <s v="Wandering through the desert of loneliness, each step a heavy sigh, mirages of connection shimmering but never materializing."/>
    <x v="42"/>
    <x v="277"/>
    <s v="DesertWanderer"/>
    <x v="0"/>
    <s v="#Loneliness #MiragesOfConnection"/>
    <n v="15"/>
    <n v="24"/>
    <x v="0"/>
    <n v="2017"/>
    <x v="9"/>
    <n v="20"/>
    <n v="11"/>
  </r>
  <r>
    <n v="300"/>
    <s v="Yearning for a touch that's not there, echoes of a distant warmth haunting the heart in the cold embrace of solitude."/>
    <x v="70"/>
    <x v="278"/>
    <s v="ColdEmbrace"/>
    <x v="1"/>
    <s v="#Yearning #DistantWarmth"/>
    <n v="10"/>
    <n v="30"/>
    <x v="3"/>
    <n v="2020"/>
    <x v="6"/>
    <n v="2"/>
    <n v="19"/>
  </r>
  <r>
    <n v="301"/>
    <s v="Eyes wide open in the night, fearful shadows dancing on the walls, the mind a prisoner of imagined horrors."/>
    <x v="71"/>
    <x v="279"/>
    <s v="NightPrisoner"/>
    <x v="2"/>
    <s v="#Fearful #ImaginedHorrors"/>
    <n v="18"/>
    <n v="20"/>
    <x v="4"/>
    <n v="2022"/>
    <x v="3"/>
    <n v="12"/>
    <n v="2"/>
  </r>
  <r>
    <n v="302"/>
    <s v="Apprehensive steps on the tightrope of uncertainty, a balancing act where the fall seems inevitable, anxiety a constant companion."/>
    <x v="72"/>
    <x v="280"/>
    <s v="TightropeWalker"/>
    <x v="0"/>
    <s v="#Apprehensive #BalancingAct"/>
    <n v="14"/>
    <n v="36"/>
    <x v="2"/>
    <n v="2023"/>
    <x v="7"/>
    <n v="8"/>
    <n v="13"/>
  </r>
  <r>
    <n v="303"/>
    <s v="Overwhelmed by the weight of the world, Atlas with trembling shoulders, each responsibility a boulder in the landscape of exhaustion."/>
    <x v="73"/>
    <x v="281"/>
    <s v="AtlasBearer"/>
    <x v="1"/>
    <s v="#Overwhelmed #BouldersOfExhaustion"/>
    <n v="22"/>
    <n v="28"/>
    <x v="1"/>
    <n v="2021"/>
    <x v="5"/>
    <n v="25"/>
    <n v="17"/>
  </r>
  <r>
    <n v="304"/>
    <s v="Jealousy, a green-eyed monster, lurking in the shadows, casting a dark cloud over the sunshine of others' success."/>
    <x v="74"/>
    <x v="282"/>
    <s v="GreenMonster"/>
    <x v="2"/>
    <s v="#Jealous #GreenEyedMonster"/>
    <n v="16"/>
    <n v="44"/>
    <x v="0"/>
    <n v="2019"/>
    <x v="4"/>
    <n v="30"/>
    <n v="10"/>
  </r>
  <r>
    <n v="305"/>
    <s v="Devastated by the storm of betrayal, the wreckage of trust scattered like debris, a heart torn by the winds of broken promises."/>
    <x v="75"/>
    <x v="283"/>
    <s v="StormSurvivor"/>
    <x v="0"/>
    <s v="#Devastated #WindsOfBrokenPromises"/>
    <n v="25"/>
    <n v="32"/>
    <x v="3"/>
    <n v="2022"/>
    <x v="4"/>
    <n v="3"/>
    <n v="15"/>
  </r>
  <r>
    <n v="306"/>
    <s v="Frustrated fingers tapping on the keyboard, a symphony of annoyance composing an unsolvable puzzle of unmet expectations."/>
    <x v="76"/>
    <x v="284"/>
    <s v="PuzzleComposer"/>
    <x v="1"/>
    <s v="#Frustrated #UnsolvablePuzzle"/>
    <n v="12"/>
    <n v="50"/>
    <x v="4"/>
    <n v="2020"/>
    <x v="11"/>
    <n v="17"/>
    <n v="9"/>
  </r>
  <r>
    <n v="307"/>
    <s v="Envious eyes fixated on the gilded prize, a heartache fueled by the painful desire for possessions that seem forever out of reach."/>
    <x v="77"/>
    <x v="285"/>
    <s v="GildedHeartache"/>
    <x v="2"/>
    <s v="#Envious #GildedPrize"/>
    <n v="20"/>
    <n v="24"/>
    <x v="0"/>
    <n v="2021"/>
    <x v="1"/>
    <n v="28"/>
    <n v="22"/>
  </r>
  <r>
    <n v="308"/>
    <s v="Dismissive glances, a fortress built with indifference, walls impenetrable to the pleas of understanding and recognition."/>
    <x v="78"/>
    <x v="286"/>
    <s v="IndifferentFort"/>
    <x v="0"/>
    <s v="#Dismissive #ImpenetrableWalls"/>
    <n v="14"/>
    <n v="40"/>
    <x v="2"/>
    <n v="2018"/>
    <x v="3"/>
    <n v="10"/>
    <n v="14"/>
  </r>
  <r>
    <n v="309"/>
    <s v="Shattered dreams lie on the floor like fragments of glass, a mosaic of disappointment crafted by the hands of frustration."/>
    <x v="76"/>
    <x v="287"/>
    <s v="DreamMosaic"/>
    <x v="1"/>
    <s v="#Frustrated #MosaicOfDisappointment"/>
    <n v="15"/>
    <n v="28"/>
    <x v="1"/>
    <n v="2022"/>
    <x v="0"/>
    <n v="7"/>
    <n v="11"/>
  </r>
  <r>
    <n v="310"/>
    <s v="Loneliness, a silent companion in the night, the only echo in the chamber of solitude, a heart's solitary nocturne."/>
    <x v="42"/>
    <x v="288"/>
    <s v="NocturnalEcho"/>
    <x v="2"/>
    <s v="#Loneliness #SolitaryNocturne"/>
    <n v="18"/>
    <n v="30"/>
    <x v="3"/>
    <n v="2019"/>
    <x v="8"/>
    <n v="19"/>
    <n v="3"/>
  </r>
  <r>
    <n v="311"/>
    <s v="Fearful whispers in the dark, the mind haunted by the specter of the unknown, shadows dancing to the rhythm of anxiety's tune."/>
    <x v="71"/>
    <x v="289"/>
    <s v="DarkWhispers"/>
    <x v="0"/>
    <s v="#Fearful #SpecterOfTheUnknown"/>
    <n v="13"/>
    <n v="36"/>
    <x v="2"/>
    <n v="2023"/>
    <x v="9"/>
    <n v="14"/>
    <n v="23"/>
  </r>
  <r>
    <n v="312"/>
    <s v="Bitterness, a bitter aftertaste lingering on the tongue, each word a reminder of wounds that refuse to heal with the passing of time."/>
    <x v="69"/>
    <x v="290"/>
    <s v="LingeringTaste"/>
    <x v="1"/>
    <s v="#Bitterness #BitterAftertaste"/>
    <n v="10"/>
    <n v="26"/>
    <x v="4"/>
    <n v="2020"/>
    <x v="7"/>
    <n v="5"/>
    <n v="16"/>
  </r>
  <r>
    <n v="313"/>
    <s v="Overwhelmed by the cacophony of expectations, a drowning soul in the tempest of pressure, struggling to stay afloat."/>
    <x v="73"/>
    <x v="291"/>
    <s v="TempestSurvivor"/>
    <x v="2"/>
    <s v="#Overwhelmed #DrowningSoul"/>
    <n v="20"/>
    <n v="20"/>
    <x v="0"/>
    <n v="2021"/>
    <x v="6"/>
    <n v="29"/>
    <n v="8"/>
  </r>
  <r>
    <n v="314"/>
    <s v="Jealousy, a venom that seeps through the veins, poisoning the heart and turning it into a breeding ground for discontent."/>
    <x v="74"/>
    <x v="292"/>
    <s v="VenomousHeart"/>
    <x v="0"/>
    <s v="#Jealous #HeartOfDiscontent"/>
    <n v="16"/>
    <n v="40"/>
    <x v="3"/>
    <n v="2019"/>
    <x v="11"/>
    <n v="12"/>
    <n v="17"/>
  </r>
  <r>
    <n v="315"/>
    <s v="Devastated by the revelation of betrayal, the trust shattered like fragile glass, leaving shards of pain in its wake."/>
    <x v="75"/>
    <x v="293"/>
    <s v="FragileTrust"/>
    <x v="1"/>
    <s v="#Devastated #ShatteredTrust"/>
    <n v="25"/>
    <n v="32"/>
    <x v="1"/>
    <n v="2022"/>
    <x v="3"/>
    <n v="20"/>
    <n v="14"/>
  </r>
  <r>
    <n v="316"/>
    <s v="Frustrated attempts to mend a broken connection, the threads of understanding slipping through the fingers like grains of sand."/>
    <x v="76"/>
    <x v="294"/>
    <s v="BrokenThreads"/>
    <x v="2"/>
    <s v="#Frustrated #SlippingThreads"/>
    <n v="14"/>
    <n v="50"/>
    <x v="2"/>
    <n v="2020"/>
    <x v="8"/>
    <n v="3"/>
    <n v="12"/>
  </r>
  <r>
    <n v="317"/>
    <s v="Envious gazes cast upon the podium of success, a bitter pill swallowed, the taste lingering as a constant reminder of unattained heights."/>
    <x v="77"/>
    <x v="295"/>
    <s v="SuccessPill"/>
    <x v="0"/>
    <s v="#Envious #BitterPill"/>
    <n v="20"/>
    <n v="28"/>
    <x v="0"/>
    <n v="2021"/>
    <x v="1"/>
    <n v="10"/>
    <n v="19"/>
  </r>
  <r>
    <n v="318"/>
    <s v="Dismissive gestures, a curtain drawn to shield the vulnerability, a stage where emotions take a backseat to the performance of indifference."/>
    <x v="78"/>
    <x v="296"/>
    <s v="CurtainShield"/>
    <x v="1"/>
    <s v="#Dismissive #IndifferencePerformance"/>
    <n v="12"/>
    <n v="40"/>
    <x v="3"/>
    <n v="2018"/>
    <x v="4"/>
    <n v="18"/>
    <n v="14"/>
  </r>
  <r>
    <n v="319"/>
    <s v="Despair like a heavy fog, enveloping every thought, blurring the path ahead, a journey in the labyrinth of utter hopelessness."/>
    <x v="40"/>
    <x v="297"/>
    <s v="FoggyLabyrinth"/>
    <x v="2"/>
    <s v="#Despair #LabyrinthOfHopelessness"/>
    <n v="8"/>
    <n v="24"/>
    <x v="1"/>
    <n v="2022"/>
    <x v="1"/>
    <n v="28"/>
    <n v="21"/>
  </r>
  <r>
    <n v="320"/>
    <s v="Bitterness, a bitter chill in the air, freezing moments into icicles of resentment that dangle precariously over the landscape of memory."/>
    <x v="69"/>
    <x v="298"/>
    <s v="IcyResentment"/>
    <x v="0"/>
    <s v="#Bitterness #IciclesOfResentment"/>
    <n v="15"/>
    <n v="16"/>
    <x v="2"/>
    <n v="2019"/>
    <x v="10"/>
    <n v="15"/>
    <n v="10"/>
  </r>
  <r>
    <n v="321"/>
    <s v="Loneliness, a solitary moon in a starless sky, casting a cold glow on the landscape of isolation, where echoes bounce in empty spaces."/>
    <x v="42"/>
    <x v="299"/>
    <s v="SolitaryMoon"/>
    <x v="1"/>
    <s v="#Loneliness #StarlessSky"/>
    <n v="18"/>
    <n v="30"/>
    <x v="0"/>
    <n v="2017"/>
    <x v="11"/>
    <n v="1"/>
    <n v="18"/>
  </r>
  <r>
    <n v="322"/>
    <s v="Yearning for the warmth of a vanished sun, a heartache painted in the hues of a sunset that never graced the horizon."/>
    <x v="70"/>
    <x v="300"/>
    <s v="VanishedSunset"/>
    <x v="2"/>
    <s v="#Yearning #HuesOfSunset"/>
    <n v="10"/>
    <n v="36"/>
    <x v="3"/>
    <n v="2020"/>
    <x v="7"/>
    <n v="18"/>
    <n v="16"/>
  </r>
  <r>
    <n v="323"/>
    <s v="Fearful eyes scanning the shadows, a prisoner of the night, terrorized by the lurking monsters born from the mind's darkest corners."/>
    <x v="71"/>
    <x v="301"/>
    <s v="NightPrisoner"/>
    <x v="0"/>
    <s v="#Fearful #LurkingMonsters"/>
    <n v="18"/>
    <n v="20"/>
    <x v="4"/>
    <n v="2023"/>
    <x v="0"/>
    <n v="7"/>
    <n v="3"/>
  </r>
  <r>
    <n v="324"/>
    <s v="Apprehensive whispers in the wind, a forecast of uncertainty, the mind's weather vane spinning wildly in the storm of doubt."/>
    <x v="72"/>
    <x v="302"/>
    <s v="WindWhisperer"/>
    <x v="1"/>
    <s v="#Apprehensive #StormOfDoubt"/>
    <n v="14"/>
    <n v="36"/>
    <x v="1"/>
    <n v="2021"/>
    <x v="5"/>
    <n v="10"/>
    <n v="10"/>
  </r>
  <r>
    <n v="325"/>
    <s v="Overwhelmed by the maze of expectations, a minotaur of pressure lurking in the labyrinth, waiting to devour the spirit of resilience."/>
    <x v="73"/>
    <x v="303"/>
    <s v="MazeExplorer"/>
    <x v="2"/>
    <s v="#Overwhelmed #MinotaurOfPressure"/>
    <n v="22"/>
    <n v="28"/>
    <x v="0"/>
    <n v="2020"/>
    <x v="1"/>
    <n v="22"/>
    <n v="15"/>
  </r>
  <r>
    <n v="326"/>
    <s v="Jealousy, a festering wound, the pain intensifying with each glance at the garden of others' achievements, blooming beyond the fence."/>
    <x v="74"/>
    <x v="304"/>
    <s v="WoundedGarden"/>
    <x v="0"/>
    <s v="#Jealous #BloomingAchievements"/>
    <n v="16"/>
    <n v="44"/>
    <x v="2"/>
    <n v="2018"/>
    <x v="2"/>
    <n v="17"/>
    <n v="14"/>
  </r>
  <r>
    <n v="327"/>
    <s v="Devastated, a heart in ruins, the echoes of shattered dreams reverberating in the chambers, a requiem for what once was whole."/>
    <x v="75"/>
    <x v="305"/>
    <s v="RuinedHeart"/>
    <x v="1"/>
    <s v="#Devastated #EchoesOfShatteredDreams"/>
    <n v="25"/>
    <n v="32"/>
    <x v="3"/>
    <n v="2022"/>
    <x v="10"/>
    <n v="28"/>
    <n v="11"/>
  </r>
  <r>
    <n v="328"/>
    <s v="Frustrated attempts to untangle the knot of confusion, the threads of understanding slipping further into the labyrinth of miscommunication."/>
    <x v="76"/>
    <x v="306"/>
    <s v="KnotUntangler"/>
    <x v="2"/>
    <s v="#Frustrated #LabyrinthOfMiscommunication"/>
    <n v="14"/>
    <n v="50"/>
    <x v="4"/>
    <n v="2020"/>
    <x v="6"/>
    <n v="1"/>
    <n v="12"/>
  </r>
  <r>
    <n v="329"/>
    <s v="Envious eyes locked on the treasure chest of opportunities, a heartache fueled by the desire for keys that seem forever elusive."/>
    <x v="77"/>
    <x v="307"/>
    <s v="ElusiveKeys"/>
    <x v="0"/>
    <s v="#Envious #DesireForKeys"/>
    <n v="20"/>
    <n v="28"/>
    <x v="0"/>
    <n v="2021"/>
    <x v="0"/>
    <n v="15"/>
    <n v="22"/>
  </r>
  <r>
    <n v="330"/>
    <s v="Dismissive gestures, a curtain drawn to shield the vulnerability, a stage where emotions take a backseat to the performance of indifference."/>
    <x v="78"/>
    <x v="308"/>
    <s v="IndifferentFort"/>
    <x v="1"/>
    <s v="#Dismissive #IndifferencePerformance"/>
    <n v="12"/>
    <n v="40"/>
    <x v="3"/>
    <n v="2018"/>
    <x v="4"/>
    <n v="18"/>
    <n v="14"/>
  </r>
  <r>
    <n v="331"/>
    <s v="Shattered dreams lie on the floor like fragments of glass, a mosaic of disappointment crafted by the hands of frustration."/>
    <x v="76"/>
    <x v="287"/>
    <s v="DreamMosaic"/>
    <x v="0"/>
    <s v="#Frustrated #MosaicOfDisappointment"/>
    <n v="15"/>
    <n v="24"/>
    <x v="1"/>
    <n v="2022"/>
    <x v="0"/>
    <n v="7"/>
    <n v="11"/>
  </r>
  <r>
    <n v="332"/>
    <s v="Loneliness, a silent companion in the night, the only echo in the chamber of solitude, a heart's solitary nocturne."/>
    <x v="42"/>
    <x v="288"/>
    <s v="NocturnalEcho"/>
    <x v="2"/>
    <s v="#Loneliness #SolitaryNocturne"/>
    <n v="18"/>
    <n v="30"/>
    <x v="3"/>
    <n v="2019"/>
    <x v="8"/>
    <n v="19"/>
    <n v="3"/>
  </r>
  <r>
    <n v="333"/>
    <s v="Awe-struck by the breathtaking sunrise over the mountains."/>
    <x v="14"/>
    <x v="309"/>
    <s v="NatureAdmirer"/>
    <x v="1"/>
    <s v="#Awe #BreathtakingSunrise"/>
    <n v="28"/>
    <n v="36"/>
    <x v="0"/>
    <n v="2022"/>
    <x v="7"/>
    <n v="3"/>
    <n v="6"/>
  </r>
  <r>
    <n v="334"/>
    <s v="Navigating through the challenges with determination."/>
    <x v="58"/>
    <x v="310"/>
    <s v="GoalPursuer"/>
    <x v="0"/>
    <s v="#Determination #Challenges"/>
    <n v="15"/>
    <n v="55"/>
    <x v="1"/>
    <n v="2023"/>
    <x v="10"/>
    <n v="12"/>
    <n v="10"/>
  </r>
  <r>
    <n v="335"/>
    <s v="Nostalgia hits while flipping through an old photo album."/>
    <x v="56"/>
    <x v="311"/>
    <s v="MemoryLane"/>
    <x v="2"/>
    <s v="#Nostalgia #OldMemories"/>
    <n v="22"/>
    <n v="30"/>
    <x v="2"/>
    <n v="2019"/>
    <x v="5"/>
    <n v="28"/>
    <n v="19"/>
  </r>
  <r>
    <n v="336"/>
    <s v="Thrilled to witness the grandeur of a cultural festival."/>
    <x v="79"/>
    <x v="312"/>
    <s v="CultureEnthusiast"/>
    <x v="1"/>
    <s v="#Thrill #CulturalCelebration"/>
    <n v="40"/>
    <n v="45"/>
    <x v="4"/>
    <n v="2020"/>
    <x v="8"/>
    <n v="15"/>
    <n v="14"/>
  </r>
  <r>
    <n v="337"/>
    <s v="Calmness found in the rhythm of raindrops on the windowpane."/>
    <x v="21"/>
    <x v="313"/>
    <s v="RainWatcher"/>
    <x v="0"/>
    <s v="#Calmness #RainyDays"/>
    <n v="18"/>
    <n v="80"/>
    <x v="3"/>
    <n v="2017"/>
    <x v="6"/>
    <n v="8"/>
    <n v="21"/>
  </r>
  <r>
    <n v="338"/>
    <s v="Overwhelmed by the support received during a personal challenge."/>
    <x v="73"/>
    <x v="314"/>
    <s v="PersonalJourney"/>
    <x v="2"/>
    <s v="#Overwhelmed #SupportiveCommunity"/>
    <n v="25"/>
    <n v="35"/>
    <x v="0"/>
    <n v="2021"/>
    <x v="3"/>
    <n v="20"/>
    <n v="17"/>
  </r>
  <r>
    <n v="339"/>
    <s v="Excitement builds as the countdown to a long-awaited vacation begins."/>
    <x v="23"/>
    <x v="315"/>
    <s v="VacationDreamer"/>
    <x v="1"/>
    <s v="#Excitement #VacationCountdown"/>
    <n v="30"/>
    <n v="50"/>
    <x v="5"/>
    <n v="2023"/>
    <x v="0"/>
    <n v="10"/>
    <n v="12"/>
  </r>
  <r>
    <n v="340"/>
    <s v="Reflecting on life's journey, grateful for the lessons learned."/>
    <x v="31"/>
    <x v="316"/>
    <s v="LifeLearner"/>
    <x v="0"/>
    <s v="#Gratitude #LifeLessons"/>
    <n v="35"/>
    <n v="60"/>
    <x v="6"/>
    <n v="2018"/>
    <x v="11"/>
    <n v="5"/>
    <n v="8"/>
  </r>
  <r>
    <n v="341"/>
    <s v="Bittersweet emotions arise while bidding farewell to a dear friend."/>
    <x v="80"/>
    <x v="317"/>
    <s v="FarewellSender"/>
    <x v="1"/>
    <s v="#Bittersweet #Farewell"/>
    <n v="20"/>
    <n v="70"/>
    <x v="7"/>
    <n v="2020"/>
    <x v="2"/>
    <n v="15"/>
    <n v="18"/>
  </r>
  <r>
    <n v="342"/>
    <s v="Curiosity sparked by exploring a mysterious ancient ruin."/>
    <x v="52"/>
    <x v="318"/>
    <s v="HistoryExplorer"/>
    <x v="2"/>
    <s v="#Curiosity #AncientDiscovery"/>
    <n v="18"/>
    <n v="40"/>
    <x v="8"/>
    <n v="2016"/>
    <x v="4"/>
    <n v="22"/>
    <n v="15"/>
  </r>
  <r>
    <n v="343"/>
    <s v="Admiration for the intricate details of a handcrafted masterpiece."/>
    <x v="12"/>
    <x v="319"/>
    <s v="CraftEnthusiast"/>
    <x v="1"/>
    <s v="#Admiration #HandcraftedArt"/>
    <n v="25"/>
    <n v="35"/>
    <x v="0"/>
    <n v="2019"/>
    <x v="4"/>
    <n v="20"/>
    <n v="16"/>
  </r>
  <r>
    <n v="344"/>
    <s v="Overjoyed by the warmth of a cozy fireplace on a winter evening."/>
    <x v="81"/>
    <x v="320"/>
    <s v="WinterLover"/>
    <x v="0"/>
    <s v="#Overjoyed #WinterWarmth"/>
    <n v="18"/>
    <n v="50"/>
    <x v="1"/>
    <n v="2021"/>
    <x v="11"/>
    <n v="8"/>
    <n v="19"/>
  </r>
  <r>
    <n v="345"/>
    <s v="Inspiration strikes while observing the colors of a vibrant sunset."/>
    <x v="82"/>
    <x v="321"/>
    <s v="SunsetWatcher"/>
    <x v="1"/>
    <s v="#Inspiration #ColorfulSunset"/>
    <n v="30"/>
    <n v="35"/>
    <x v="2"/>
    <n v="2020"/>
    <x v="5"/>
    <n v="10"/>
    <n v="20"/>
  </r>
  <r>
    <n v="346"/>
    <s v="Motivated to achieve fitness goals after an invigorating workout."/>
    <x v="83"/>
    <x v="322"/>
    <s v="FitnessJunkie"/>
    <x v="2"/>
    <s v="#Motivation #FitnessGoals"/>
    <n v="40"/>
    <n v="60"/>
    <x v="3"/>
    <n v="2022"/>
    <x v="1"/>
    <n v="28"/>
    <n v="7"/>
  </r>
  <r>
    <n v="347"/>
    <s v="Gratitude for the simple joys found in a cup of morning coffee."/>
    <x v="31"/>
    <x v="323"/>
    <s v="CoffeeLover"/>
    <x v="0"/>
    <s v="#Gratitude #MorningCoffee"/>
    <n v="22"/>
    <n v="80"/>
    <x v="4"/>
    <n v="2017"/>
    <x v="7"/>
    <n v="15"/>
    <n v="8"/>
  </r>
  <r>
    <n v="348"/>
    <s v="Feeling empowered after conquering a challenging hiking trail."/>
    <x v="33"/>
    <x v="324"/>
    <s v="HikingExplorer"/>
    <x v="1"/>
    <s v="#Empowerment #HikingAdventure"/>
    <n v="35"/>
    <n v="45"/>
    <x v="0"/>
    <n v="2018"/>
    <x v="8"/>
    <n v="5"/>
    <n v="14"/>
  </r>
  <r>
    <n v="349"/>
    <s v="Amused by the antics of playful kittens during playtime."/>
    <x v="10"/>
    <x v="325"/>
    <s v="KittyObserver"/>
    <x v="2"/>
    <s v="#Amusement #PlayfulKittens"/>
    <n v="15"/>
    <n v="70"/>
    <x v="1"/>
    <n v="2022"/>
    <x v="10"/>
    <n v="22"/>
    <n v="12"/>
  </r>
  <r>
    <n v="350"/>
    <s v="Contemplating life's mysteries under the starry night sky."/>
    <x v="84"/>
    <x v="326"/>
    <s v="Stargazer"/>
    <x v="0"/>
    <s v="#Contemplation #StarryNight"/>
    <n v="28"/>
    <n v="30"/>
    <x v="2"/>
    <n v="2016"/>
    <x v="9"/>
    <n v="2"/>
    <n v="23"/>
  </r>
  <r>
    <n v="351"/>
    <s v="Joyful reunion with long-lost friends after years of separation."/>
    <x v="85"/>
    <x v="327"/>
    <s v="FriendshipRenewal"/>
    <x v="1"/>
    <s v="#JoyfulReunion #Friendship"/>
    <n v="20"/>
    <n v="55"/>
    <x v="4"/>
    <n v="2020"/>
    <x v="6"/>
    <n v="18"/>
    <n v="17"/>
  </r>
  <r>
    <n v="352"/>
    <s v="Excitement builds while preparing for a surprise celebration."/>
    <x v="23"/>
    <x v="328"/>
    <s v="CelebrationPlanner"/>
    <x v="2"/>
    <s v="#Excitement #SurpriseCelebration"/>
    <n v="30"/>
    <n v="40"/>
    <x v="3"/>
    <n v="2023"/>
    <x v="2"/>
    <n v="5"/>
    <n v="15"/>
  </r>
  <r>
    <n v="353"/>
    <s v="Satisfaction derived from successfully completing a DIY project."/>
    <x v="86"/>
    <x v="329"/>
    <s v="DIYEnthusiast"/>
    <x v="0"/>
    <s v="#Satisfaction #DIYProject"/>
    <n v="25"/>
    <n v="60"/>
    <x v="0"/>
    <n v="2015"/>
    <x v="11"/>
    <n v="1"/>
    <n v="11"/>
  </r>
  <r>
    <n v="354"/>
    <s v="Feeling blessed for the supportive community in times of need."/>
    <x v="87"/>
    <x v="330"/>
    <s v="CommunityHelper"/>
    <x v="1"/>
    <s v="#Blessed #SupportiveCommunity"/>
    <n v="18"/>
    <n v="50"/>
    <x v="2"/>
    <n v="2021"/>
    <x v="8"/>
    <n v="10"/>
    <n v="9"/>
  </r>
  <r>
    <n v="355"/>
    <s v="Captivated by the serenity of a tranquil garden in full bloom."/>
    <x v="30"/>
    <x v="331"/>
    <s v="GardenEnthusiast"/>
    <x v="2"/>
    <s v="#Serenity #TranquilGarden"/>
    <n v="22"/>
    <n v="35"/>
    <x v="1"/>
    <n v="2018"/>
    <x v="3"/>
    <n v="12"/>
    <n v="14"/>
  </r>
  <r>
    <n v="356"/>
    <s v="Anticipation for an upcoming adventure in an exotic destination."/>
    <x v="19"/>
    <x v="332"/>
    <s v="Wanderlust"/>
    <x v="0"/>
    <s v="#Anticipation #AdventureAwaits"/>
    <n v="40"/>
    <n v="45"/>
    <x v="4"/>
    <n v="2022"/>
    <x v="9"/>
    <n v="25"/>
    <n v="10"/>
  </r>
  <r>
    <n v="357"/>
    <s v="Reflecting on personal growth achieved through life experiences."/>
    <x v="88"/>
    <x v="333"/>
    <s v="GrowthSeeker"/>
    <x v="1"/>
    <s v="#Reflection #PersonalGrowth"/>
    <n v="35"/>
    <n v="80"/>
    <x v="0"/>
    <n v="2019"/>
    <x v="2"/>
    <n v="8"/>
    <n v="18"/>
  </r>
  <r>
    <n v="358"/>
    <s v="Nostalgic memories flood in while revisiting childhood favorites."/>
    <x v="56"/>
    <x v="334"/>
    <s v="ChildhoodMemories"/>
    <x v="2"/>
    <s v="#Nostalgia #ChildhoodFavorites"/>
    <n v="20"/>
    <n v="70"/>
    <x v="3"/>
    <n v="2017"/>
    <x v="0"/>
    <n v="28"/>
    <n v="21"/>
  </r>
  <r>
    <n v="359"/>
    <s v="Appreciation for the vibrant culture experienced during travel."/>
    <x v="89"/>
    <x v="335"/>
    <s v="CultureExplorer"/>
    <x v="0"/>
    <s v="#Appreciation #CulturalExperience"/>
    <n v="28"/>
    <n v="40"/>
    <x v="2"/>
    <n v="2016"/>
    <x v="6"/>
    <n v="14"/>
    <n v="13"/>
  </r>
  <r>
    <n v="360"/>
    <s v="Confidence soars after overcoming public speaking anxiety."/>
    <x v="90"/>
    <x v="336"/>
    <s v="PublicSpeaker"/>
    <x v="1"/>
    <s v="#Confidence #OvercomingAnxiety"/>
    <n v="15"/>
    <n v="55"/>
    <x v="0"/>
    <n v="2020"/>
    <x v="7"/>
    <n v="2"/>
    <n v="17"/>
  </r>
  <r>
    <n v="361"/>
    <s v="Contentment in the midst of a family gathering filled with laughter."/>
    <x v="29"/>
    <x v="337"/>
    <s v="FamilyCelebration"/>
    <x v="2"/>
    <s v="#Contentment #FamilyLaughter"/>
    <n v="25"/>
    <n v="30"/>
    <x v="1"/>
    <n v="2023"/>
    <x v="0"/>
    <n v="15"/>
    <n v="19"/>
  </r>
  <r>
    <n v="362"/>
    <s v="Enthusiasm for learning new skills and expanding knowledge."/>
    <x v="37"/>
    <x v="338"/>
    <s v="LifelongLearner"/>
    <x v="0"/>
    <s v="#Enthusiasm #SkillBuilding"/>
    <n v="30"/>
    <n v="50"/>
    <x v="4"/>
    <n v="2018"/>
    <x v="4"/>
    <n v="7"/>
    <n v="12"/>
  </r>
  <r>
    <n v="363"/>
    <s v="Surprise and delight at discovering a hidden gem in the city."/>
    <x v="16"/>
    <x v="339"/>
    <s v="CityExplorer"/>
    <x v="1"/>
    <s v="#Surprise #HiddenGem"/>
    <n v="18"/>
    <n v="60"/>
    <x v="2"/>
    <n v="2019"/>
    <x v="10"/>
    <n v="18"/>
    <n v="16"/>
  </r>
  <r>
    <n v="364"/>
    <s v="A sense of accomplishment after completing a challenging workout."/>
    <x v="91"/>
    <x v="340"/>
    <s v="FitnessAchiever"/>
    <x v="2"/>
    <s v="#Accomplishment #FitnessSuccess"/>
    <n v="22"/>
    <n v="35"/>
    <x v="3"/>
    <n v="2022"/>
    <x v="5"/>
    <n v="30"/>
    <n v="7"/>
  </r>
  <r>
    <n v="365"/>
    <s v="Wonderment at the beauty of a double rainbow after the rain."/>
    <x v="92"/>
    <x v="341"/>
    <s v="RainbowChaser"/>
    <x v="0"/>
    <s v="#Wonderment #DoubleRainbow"/>
    <n v="35"/>
    <n v="45"/>
    <x v="0"/>
    <n v="2017"/>
    <x v="5"/>
    <n v="12"/>
    <n v="18"/>
  </r>
  <r>
    <n v="366"/>
    <s v="Optimism for a bright future amidst challenging times."/>
    <x v="93"/>
    <x v="342"/>
    <s v="FutureOptimist"/>
    <x v="1"/>
    <s v="#Optimism #BrightFuture"/>
    <n v="20"/>
    <n v="70"/>
    <x v="1"/>
    <n v="2021"/>
    <x v="9"/>
    <n v="5"/>
    <n v="9"/>
  </r>
  <r>
    <n v="367"/>
    <s v="Pride in achieving a personal milestone in career progression."/>
    <x v="25"/>
    <x v="343"/>
    <s v="CareerAchiever"/>
    <x v="2"/>
    <s v="#Pride #CareerMilestone"/>
    <n v="28"/>
    <n v="40"/>
    <x v="2"/>
    <n v="2016"/>
    <x v="7"/>
    <n v="15"/>
    <n v="14"/>
  </r>
  <r>
    <n v="368"/>
    <s v="Happiness blooms like flowers in a garden on a sunny day."/>
    <x v="7"/>
    <x v="344"/>
    <s v="SunnyDayEnthusiast"/>
    <x v="0"/>
    <s v="#Happiness #SunnyDay"/>
    <n v="15"/>
    <n v="55"/>
    <x v="4"/>
    <n v="2020"/>
    <x v="1"/>
    <n v="10"/>
    <n v="11"/>
  </r>
  <r>
    <n v="369"/>
    <s v="Elation over discovering a rare book in a quaint bookstore."/>
    <x v="27"/>
    <x v="345"/>
    <s v="Bookworm"/>
    <x v="1"/>
    <s v="#Elation #RareBookDiscovery"/>
    <n v="40"/>
    <n v="30"/>
    <x v="0"/>
    <n v="2018"/>
    <x v="8"/>
    <n v="22"/>
    <n v="16"/>
  </r>
  <r>
    <n v="370"/>
    <s v="Curiosity piqued by the mysteries of an ancient archaeological site."/>
    <x v="52"/>
    <x v="346"/>
    <s v="ArchaeologyEnthusiast"/>
    <x v="2"/>
    <s v="#Curiosity #AncientMysteries"/>
    <n v="18"/>
    <n v="80"/>
    <x v="3"/>
    <n v="2015"/>
    <x v="6"/>
    <n v="8"/>
    <n v="10"/>
  </r>
  <r>
    <n v="371"/>
    <s v="Mesmerized by the cosmic dance of fireflies on a moonlit night."/>
    <x v="94"/>
    <x v="347"/>
    <s v="NightSkyObserver"/>
    <x v="1"/>
    <s v="#Enchantment #CosmicFireflies"/>
    <n v="25"/>
    <n v="35"/>
    <x v="6"/>
    <n v="2022"/>
    <x v="4"/>
    <n v="10"/>
    <n v="22"/>
  </r>
  <r>
    <n v="372"/>
    <s v="Intrigued by the symphony of colors in an abstract art exhibition."/>
    <x v="95"/>
    <x v="348"/>
    <s v="ArtConnoisseur"/>
    <x v="0"/>
    <s v="#Intrigue #AbstractArt"/>
    <n v="18"/>
    <n v="50"/>
    <x v="5"/>
    <n v="2019"/>
    <x v="7"/>
    <n v="5"/>
    <n v="17"/>
  </r>
  <r>
    <n v="373"/>
    <s v="Giggles and joy echo in the air during a children's playdate."/>
    <x v="96"/>
    <x v="349"/>
    <s v="PlayfulParent"/>
    <x v="2"/>
    <s v="#PlayfulJoy #ChildrensPlaydate"/>
    <n v="22"/>
    <n v="35"/>
    <x v="7"/>
    <n v="2020"/>
    <x v="11"/>
    <n v="15"/>
    <n v="15"/>
  </r>
  <r>
    <n v="374"/>
    <s v="Enveloped in serenity while practicing mindfulness by the lake."/>
    <x v="97"/>
    <x v="350"/>
    <s v="ZenSeeker"/>
    <x v="1"/>
    <s v="#Mindfulness #LakeTranquility"/>
    <n v="35"/>
    <n v="45"/>
    <x v="1"/>
    <n v="2017"/>
    <x v="10"/>
    <n v="20"/>
    <n v="8"/>
  </r>
  <r>
    <n v="375"/>
    <s v="Chasing dreams like a kite soaring high in the vast open sky."/>
    <x v="98"/>
    <x v="351"/>
    <s v="SkyDreamer"/>
    <x v="0"/>
    <s v="#DreamChaser #SkyHighDreams"/>
    <n v="30"/>
    <n v="70"/>
    <x v="3"/>
    <n v="2021"/>
    <x v="1"/>
    <n v="28"/>
    <n v="13"/>
  </r>
  <r>
    <n v="376"/>
    <s v="Spellbound by the elegance of a ballroom dance under crystal chandeliers."/>
    <x v="99"/>
    <x v="352"/>
    <s v="DanceEnthusiast"/>
    <x v="2"/>
    <s v="#Elegance #BallroomDance"/>
    <n v="28"/>
    <n v="60"/>
    <x v="2"/>
    <n v="2018"/>
    <x v="5"/>
    <n v="12"/>
    <n v="20"/>
  </r>
  <r>
    <n v="377"/>
    <s v="Whimsical delight in a world of fairy tales and magical creatures."/>
    <x v="100"/>
    <x v="353"/>
    <s v="FairyTaleExplorer"/>
    <x v="1"/>
    <s v="#Whimsy #MagicalWorld"/>
    <n v="20"/>
    <n v="55"/>
    <x v="0"/>
    <n v="2016"/>
    <x v="2"/>
    <n v="8"/>
    <n v="14"/>
  </r>
  <r>
    <n v="378"/>
    <s v="Pensive contemplation amid the ancient ruins of a forgotten civilization."/>
    <x v="101"/>
    <x v="354"/>
    <s v="RuinsExplorer"/>
    <x v="0"/>
    <s v="#Pensive #AncientCivilization"/>
    <n v="18"/>
    <n v="40"/>
    <x v="8"/>
    <n v="2023"/>
    <x v="7"/>
    <n v="18"/>
    <n v="17"/>
  </r>
  <r>
    <n v="379"/>
    <s v="Embracing the thrill of speed on a rollercoaster's exhilarating twists."/>
    <x v="79"/>
    <x v="355"/>
    <s v="RollercoasterFan"/>
    <x v="2"/>
    <s v="#Thrill #RollercoasterAdventure"/>
    <n v="22"/>
    <n v="35"/>
    <x v="9"/>
    <n v="2020"/>
    <x v="9"/>
    <n v="25"/>
    <n v="12"/>
  </r>
  <r>
    <n v="380"/>
    <s v="Harmony resonates as musicians play a melody of unity and togetherness."/>
    <x v="102"/>
    <x v="356"/>
    <s v="MusicHarmonist"/>
    <x v="1"/>
    <s v="#Harmony #MusicalUnity"/>
    <n v="35"/>
    <n v="45"/>
    <x v="10"/>
    <n v="2019"/>
    <x v="6"/>
    <n v="30"/>
    <n v="19"/>
  </r>
  <r>
    <n v="381"/>
    <s v="A burst of creativity in the quiet solitude of an artist's studio."/>
    <x v="103"/>
    <x v="357"/>
    <s v="StudioArtist"/>
    <x v="0"/>
    <s v="#Creativity #ArtistsHaven"/>
    <n v="15"/>
    <n v="70"/>
    <x v="11"/>
    <n v="2015"/>
    <x v="8"/>
    <n v="1"/>
    <n v="16"/>
  </r>
  <r>
    <n v="382"/>
    <s v="Radiant joy akin to blooming flowers on a sun-kissed spring morning."/>
    <x v="104"/>
    <x v="358"/>
    <s v="SpringEnthusiast"/>
    <x v="2"/>
    <s v="#Radiance #SpringBlooms"/>
    <n v="25"/>
    <n v="30"/>
    <x v="12"/>
    <n v="2022"/>
    <x v="3"/>
    <n v="5"/>
    <n v="10"/>
  </r>
  <r>
    <n v="383"/>
    <s v="A sense of wonder at the vastness of the cosmos on a stargazing night."/>
    <x v="105"/>
    <x v="359"/>
    <s v="CosmosExplorer"/>
    <x v="1"/>
    <s v="#Wonder #StargazingAdventure"/>
    <n v="40"/>
    <n v="50"/>
    <x v="13"/>
    <n v="2018"/>
    <x v="9"/>
    <n v="8"/>
    <n v="23"/>
  </r>
  <r>
    <n v="384"/>
    <s v="Rejuvenated by the salty breeze and the sound of waves at the seaside."/>
    <x v="106"/>
    <x v="360"/>
    <s v="SeaBreezeLover"/>
    <x v="0"/>
    <s v="#Rejuvenation #SeasideEscape"/>
    <n v="18"/>
    <n v="80"/>
    <x v="14"/>
    <n v="2021"/>
    <x v="8"/>
    <n v="20"/>
    <n v="14"/>
  </r>
  <r>
    <n v="385"/>
    <s v="Whispers of inspiration from the rustling leaves in a serene forest."/>
    <x v="82"/>
    <x v="361"/>
    <s v="ForestDreamer"/>
    <x v="2"/>
    <s v="#Inspiration #ForestWhispers"/>
    <n v="28"/>
    <n v="35"/>
    <x v="15"/>
    <n v="2016"/>
    <x v="6"/>
    <n v="15"/>
    <n v="11"/>
  </r>
  <r>
    <n v="386"/>
    <s v="Savoring the warmth of a cup of cocoa on a chilly winter evening."/>
    <x v="107"/>
    <x v="362"/>
    <s v="WinterWarmth"/>
    <x v="1"/>
    <s v="#Coziness #WarmWinterEvening"/>
    <n v="30"/>
    <n v="55"/>
    <x v="16"/>
    <n v="2020"/>
    <x v="0"/>
    <n v="12"/>
    <n v="18"/>
  </r>
  <r>
    <n v="387"/>
    <s v="Heartfelt gratitude for the laughter shared during a family reunion."/>
    <x v="31"/>
    <x v="363"/>
    <s v="FamilyGatherer"/>
    <x v="2"/>
    <s v="#Gratitude #FamilyLaughter"/>
    <n v="22"/>
    <n v="60"/>
    <x v="17"/>
    <n v="2017"/>
    <x v="11"/>
    <n v="28"/>
    <n v="19"/>
  </r>
  <r>
    <n v="388"/>
    <s v="Embarking on a culinary adventure, savoring exotic flavors around the world."/>
    <x v="108"/>
    <x v="364"/>
    <s v="CulinaryExplorer"/>
    <x v="0"/>
    <s v="#Adventure #CulinaryJourney"/>
    <n v="35"/>
    <n v="45"/>
    <x v="18"/>
    <n v="2019"/>
    <x v="2"/>
    <n v="2"/>
    <n v="20"/>
  </r>
  <r>
    <n v="389"/>
    <s v="Euphoria floods in as the final puzzle piece clicks into place."/>
    <x v="28"/>
    <x v="365"/>
    <s v="PuzzleSolver"/>
    <x v="1"/>
    <s v="#Euphoria #PuzzleCompletion"/>
    <n v="20"/>
    <n v="70"/>
    <x v="19"/>
    <n v="2022"/>
    <x v="5"/>
    <n v="8"/>
    <n v="15"/>
  </r>
  <r>
    <n v="390"/>
    <s v="Awe-inspired by the grandeur of an ancient cathedral's intricate architecture."/>
    <x v="14"/>
    <x v="366"/>
    <s v="CathedralVisitor"/>
    <x v="2"/>
    <s v="#Awe #ArchitecturalGrandeur"/>
    <n v="18"/>
    <n v="40"/>
    <x v="20"/>
    <n v="2018"/>
    <x v="4"/>
    <n v="18"/>
    <n v="14"/>
  </r>
  <r>
    <n v="391"/>
    <s v="Captivated by the ethereal beauty of a field filled with fireflies."/>
    <x v="94"/>
    <x v="347"/>
    <s v="NightSkyObserver"/>
    <x v="1"/>
    <s v="#Enchantment #FireflyField"/>
    <n v="25"/>
    <n v="35"/>
    <x v="6"/>
    <n v="2022"/>
    <x v="4"/>
    <n v="10"/>
    <n v="22"/>
  </r>
  <r>
    <n v="392"/>
    <s v="Immersed in the enchanting melodies of a street musician's violin."/>
    <x v="109"/>
    <x v="348"/>
    <s v="MusicLover"/>
    <x v="0"/>
    <s v="#Melodic #StreetMusic"/>
    <n v="18"/>
    <n v="50"/>
    <x v="5"/>
    <n v="2019"/>
    <x v="7"/>
    <n v="5"/>
    <n v="17"/>
  </r>
  <r>
    <n v="393"/>
    <s v="Joyful laughter resonates through a lively summer carnival."/>
    <x v="110"/>
    <x v="349"/>
    <s v="CarnivalGoer"/>
    <x v="2"/>
    <s v="#FestiveJoy #SummerCarnival"/>
    <n v="22"/>
    <n v="35"/>
    <x v="7"/>
    <n v="2020"/>
    <x v="11"/>
    <n v="15"/>
    <n v="15"/>
  </r>
  <r>
    <n v="394"/>
    <s v="Exploring the universe within during a mindful meditation session."/>
    <x v="111"/>
    <x v="350"/>
    <s v="MindfulExplorer"/>
    <x v="1"/>
    <s v="#InnerJourney #MeditationBliss"/>
    <n v="35"/>
    <n v="45"/>
    <x v="1"/>
    <n v="2017"/>
    <x v="10"/>
    <n v="20"/>
    <n v="8"/>
  </r>
  <r>
    <n v="395"/>
    <s v="Soaring like a free spirit on the winds of a coastal cliff."/>
    <x v="112"/>
    <x v="351"/>
    <s v="CoastalExplorer"/>
    <x v="0"/>
    <s v="#Freedom #CoastalAdventure"/>
    <n v="30"/>
    <n v="70"/>
    <x v="3"/>
    <n v="2021"/>
    <x v="1"/>
    <n v="28"/>
    <n v="13"/>
  </r>
  <r>
    <n v="396"/>
    <s v="Dazzled by the elegance of a masquerade ball's dazzling costumes."/>
    <x v="113"/>
    <x v="352"/>
    <s v="MasqueradeAttendee"/>
    <x v="2"/>
    <s v="#Dazzle #MasqueradeElegance"/>
    <n v="28"/>
    <n v="60"/>
    <x v="2"/>
    <n v="2018"/>
    <x v="5"/>
    <n v="12"/>
    <n v="20"/>
  </r>
  <r>
    <n v="397"/>
    <s v="Whimsical delight in a world of whimsical fairy tales."/>
    <x v="100"/>
    <x v="353"/>
    <s v="FairyTaleAdventurer"/>
    <x v="1"/>
    <s v="#Whimsy #FairyTaleMagic"/>
    <n v="20"/>
    <n v="55"/>
    <x v="0"/>
    <n v="2016"/>
    <x v="2"/>
    <n v="8"/>
    <n v="14"/>
  </r>
  <r>
    <n v="398"/>
    <s v="Reflective contemplation amid the ruins of a forgotten era."/>
    <x v="88"/>
    <x v="354"/>
    <s v="RuinsExplorer"/>
    <x v="0"/>
    <s v="#Reflection #ForgottenEra"/>
    <n v="18"/>
    <n v="40"/>
    <x v="8"/>
    <n v="2023"/>
    <x v="7"/>
    <n v="18"/>
    <n v="17"/>
  </r>
  <r>
    <n v="399"/>
    <s v="Riding the adrenaline rush on a rollercoaster's wild twists."/>
    <x v="114"/>
    <x v="355"/>
    <s v="ThrillSeeker"/>
    <x v="2"/>
    <s v="#Adrenaline #RollercoasterThrills"/>
    <n v="22"/>
    <n v="35"/>
    <x v="9"/>
    <n v="2020"/>
    <x v="9"/>
    <n v="25"/>
    <n v="12"/>
  </r>
  <r>
    <n v="400"/>
    <s v="Harmony resonates as musicians play a symphony of unity."/>
    <x v="102"/>
    <x v="356"/>
    <s v="MusicHarmonist"/>
    <x v="1"/>
    <s v="#Harmony #MusicalUnity"/>
    <n v="35"/>
    <n v="45"/>
    <x v="10"/>
    <n v="2019"/>
    <x v="6"/>
    <n v="30"/>
    <n v="19"/>
  </r>
  <r>
    <n v="401"/>
    <s v="A burst of artistic creativity in the quietude of an artist's studio."/>
    <x v="115"/>
    <x v="357"/>
    <s v="StudioArtist"/>
    <x v="0"/>
    <s v="#ArtisticBurst #StudioCreativity"/>
    <n v="15"/>
    <n v="70"/>
    <x v="11"/>
    <n v="2015"/>
    <x v="8"/>
    <n v="1"/>
    <n v="16"/>
  </r>
  <r>
    <n v="402"/>
    <s v="Radiant joy akin to blossoming flowers on a sunlit spring morning."/>
    <x v="104"/>
    <x v="358"/>
    <s v="SpringEnthusiast"/>
    <x v="2"/>
    <s v="#Radiance #SpringBlooms"/>
    <n v="25"/>
    <n v="30"/>
    <x v="12"/>
    <n v="2022"/>
    <x v="3"/>
    <n v="5"/>
    <n v="10"/>
  </r>
  <r>
    <n v="403"/>
    <s v="Awe-inspired by the vastness of the cosmos on a stargazing night."/>
    <x v="105"/>
    <x v="359"/>
    <s v="CosmosExplorer"/>
    <x v="1"/>
    <s v="#Wonder #StargazingAdventure"/>
    <n v="40"/>
    <n v="50"/>
    <x v="13"/>
    <n v="2018"/>
    <x v="9"/>
    <n v="8"/>
    <n v="23"/>
  </r>
  <r>
    <n v="404"/>
    <s v="Rejuvenated by the salty breeze and the sound of waves at the seaside."/>
    <x v="106"/>
    <x v="360"/>
    <s v="SeaBreezeLover"/>
    <x v="0"/>
    <s v="#Rejuvenation #SeasideEscape"/>
    <n v="18"/>
    <n v="80"/>
    <x v="14"/>
    <n v="2021"/>
    <x v="8"/>
    <n v="20"/>
    <n v="14"/>
  </r>
  <r>
    <n v="405"/>
    <s v="Whispers of inspiration from the rustling leaves in a serene forest."/>
    <x v="82"/>
    <x v="361"/>
    <s v="ForestDreamer"/>
    <x v="2"/>
    <s v="#Inspiration #ForestWhispers"/>
    <n v="28"/>
    <n v="35"/>
    <x v="15"/>
    <n v="2016"/>
    <x v="6"/>
    <n v="15"/>
    <n v="11"/>
  </r>
  <r>
    <n v="406"/>
    <s v="Savoring the warmth of a cup of cocoa on a chilly winter evening."/>
    <x v="107"/>
    <x v="362"/>
    <s v="WinterWarmth"/>
    <x v="1"/>
    <s v="#Coziness #WarmWinterEvening"/>
    <n v="30"/>
    <n v="55"/>
    <x v="16"/>
    <n v="2020"/>
    <x v="0"/>
    <n v="12"/>
    <n v="18"/>
  </r>
  <r>
    <n v="407"/>
    <s v="Heartfelt gratitude for the laughter shared during a family reunion."/>
    <x v="31"/>
    <x v="363"/>
    <s v="FamilyGatherer"/>
    <x v="2"/>
    <s v="#Gratitude #FamilyLaughter"/>
    <n v="22"/>
    <n v="60"/>
    <x v="17"/>
    <n v="2017"/>
    <x v="11"/>
    <n v="28"/>
    <n v="19"/>
  </r>
  <r>
    <n v="408"/>
    <s v="Embarking on a culinary odyssey, savoring flavors around the world."/>
    <x v="116"/>
    <x v="364"/>
    <s v="CulinaryExplorer"/>
    <x v="0"/>
    <s v="#CulinaryOdyssey #FlavorsAroundTheWorld"/>
    <n v="35"/>
    <n v="45"/>
    <x v="18"/>
    <n v="2019"/>
    <x v="2"/>
    <n v="2"/>
    <n v="20"/>
  </r>
  <r>
    <n v="409"/>
    <s v="Euphoria floods in as the final puzzle piece fits perfectly."/>
    <x v="28"/>
    <x v="365"/>
    <s v="PuzzleSolver"/>
    <x v="1"/>
    <s v="#Euphoria #PerfectPuzzle"/>
    <n v="20"/>
    <n v="70"/>
    <x v="19"/>
    <n v="2022"/>
    <x v="5"/>
    <n v="8"/>
    <n v="15"/>
  </r>
  <r>
    <n v="410"/>
    <s v="Awe-struck by the grandeur of an ancient cathedral's intricate architecture."/>
    <x v="14"/>
    <x v="366"/>
    <s v="CathedralVisitor"/>
    <x v="2"/>
    <s v="#Awe #ArchitecturalGrandeur"/>
    <n v="18"/>
    <n v="40"/>
    <x v="20"/>
    <n v="2018"/>
    <x v="4"/>
    <n v="18"/>
    <n v="14"/>
  </r>
  <r>
    <n v="411"/>
    <s v="Curiosity awakened by the mysteries of an ancient archaeological site."/>
    <x v="52"/>
    <x v="346"/>
    <s v="ArchaeologyEnthusiast"/>
    <x v="1"/>
    <s v="#Curiosity #AncientMysteries"/>
    <n v="18"/>
    <n v="35"/>
    <x v="3"/>
    <n v="2015"/>
    <x v="6"/>
    <n v="8"/>
    <n v="10"/>
  </r>
  <r>
    <n v="412"/>
    <s v="Giddy with excitement as the first snowflakes dance from the sky."/>
    <x v="23"/>
    <x v="367"/>
    <s v="SnowfallEnthusiast"/>
    <x v="0"/>
    <s v="#Excitement #SnowfallMagic"/>
    <n v="22"/>
    <n v="35"/>
    <x v="1"/>
    <n v="2020"/>
    <x v="11"/>
    <n v="2"/>
    <n v="17"/>
  </r>
  <r>
    <n v="413"/>
    <s v="Contentment envelops as the aroma of freshly baked bread fills the air."/>
    <x v="29"/>
    <x v="368"/>
    <s v="BreadLover"/>
    <x v="1"/>
    <s v="#Contentment #FreshBreadAroma"/>
    <n v="28"/>
    <n v="45"/>
    <x v="5"/>
    <n v="2017"/>
    <x v="5"/>
    <n v="10"/>
    <n v="12"/>
  </r>
  <r>
    <n v="414"/>
    <s v="Inspired by the resilience of a lone tree standing tall in a storm."/>
    <x v="117"/>
    <x v="369"/>
    <s v="NatureResilient"/>
    <x v="2"/>
    <s v="#Resilience #StandingTall"/>
    <n v="35"/>
    <n v="55"/>
    <x v="0"/>
    <n v="2021"/>
    <x v="7"/>
    <n v="15"/>
    <n v="14"/>
  </r>
  <r>
    <n v="415"/>
    <s v="Lost in the pages of a captivating novel, transported to another world."/>
    <x v="118"/>
    <x v="370"/>
    <s v="Bookworm"/>
    <x v="0"/>
    <s v="#Immersion #CaptivatingNovel"/>
    <n v="20"/>
    <n v="70"/>
    <x v="2"/>
    <n v="2019"/>
    <x v="8"/>
    <n v="28"/>
    <n v="19"/>
  </r>
  <r>
    <n v="416"/>
    <s v="Drenched in nostalgia while flipping through an old family photo album."/>
    <x v="56"/>
    <x v="371"/>
    <s v="FamilyHistorian"/>
    <x v="1"/>
    <s v="#Nostalgia #FamilyPhotoAlbum"/>
    <n v="25"/>
    <n v="40"/>
    <x v="4"/>
    <n v="2016"/>
    <x v="11"/>
    <n v="5"/>
    <n v="21"/>
  </r>
  <r>
    <n v="417"/>
    <s v="Spark of inspiration ignites like a shooting star in the night sky."/>
    <x v="119"/>
    <x v="372"/>
    <s v="NightSkyWatcher"/>
    <x v="2"/>
    <s v="#Spark #InspirationIgnited"/>
    <n v="30"/>
    <n v="50"/>
    <x v="3"/>
    <n v="2018"/>
    <x v="1"/>
    <n v="10"/>
    <n v="23"/>
  </r>
  <r>
    <n v="418"/>
    <s v="Imbued with gratitude for the simple pleasure of a warm cup of tea."/>
    <x v="31"/>
    <x v="373"/>
    <s v="TeaEnthusiast"/>
    <x v="0"/>
    <s v="#Gratitude #WarmTea"/>
    <n v="18"/>
    <n v="60"/>
    <x v="7"/>
    <n v="2023"/>
    <x v="1"/>
    <n v="15"/>
    <n v="8"/>
  </r>
  <r>
    <n v="419"/>
    <s v="Marveling at the kaleidoscope of colors in a vibrant street market."/>
    <x v="120"/>
    <x v="374"/>
    <s v="MarketExplorer"/>
    <x v="1"/>
    <s v="#Marvel #ColorfulStreetMarket"/>
    <n v="22"/>
    <n v="35"/>
    <x v="6"/>
    <n v="2015"/>
    <x v="4"/>
    <n v="22"/>
    <n v="15"/>
  </r>
  <r>
    <n v="420"/>
    <s v="Awash with serenity as the sun sets over a tranquil lakeside retreat."/>
    <x v="30"/>
    <x v="375"/>
    <s v="LakesideRetreater"/>
    <x v="2"/>
    <s v="#Serenity #TranquilSunset"/>
    <n v="28"/>
    <n v="45"/>
    <x v="9"/>
    <n v="2020"/>
    <x v="6"/>
    <n v="20"/>
    <n v="18"/>
  </r>
  <r>
    <n v="421"/>
    <s v="Drowning in sorrow as memories of lost love resurface."/>
    <x v="121"/>
    <x v="376"/>
    <s v="LostInLove"/>
    <x v="1"/>
    <s v="#Heartbreak #LostLove"/>
    <n v="15"/>
    <n v="55"/>
    <x v="0"/>
    <n v="2019"/>
    <x v="4"/>
    <n v="5"/>
    <n v="21"/>
  </r>
  <r>
    <n v="422"/>
    <s v="Numbness sets in as the weight of loneliness grows heavier."/>
    <x v="42"/>
    <x v="377"/>
    <s v="SolitudeSeeker"/>
    <x v="0"/>
    <s v="#Loneliness #HeavyHeart"/>
    <n v="18"/>
    <n v="30"/>
    <x v="1"/>
    <n v="2021"/>
    <x v="1"/>
    <n v="12"/>
    <n v="16"/>
  </r>
  <r>
    <n v="423"/>
    <s v="Tears fall like raindrops, mourning the end of a cherished friendship."/>
    <x v="41"/>
    <x v="378"/>
    <s v="FriendshipsEnd"/>
    <x v="2"/>
    <s v="#Grief #LostFriendship"/>
    <n v="22"/>
    <n v="35"/>
    <x v="2"/>
    <n v="2020"/>
    <x v="6"/>
    <n v="28"/>
    <n v="14"/>
  </r>
  <r>
    <n v="424"/>
    <s v="Despair clouds the mind, feeling adrift in an endless sea of darkness."/>
    <x v="40"/>
    <x v="379"/>
    <s v="LostInDarkness"/>
    <x v="1"/>
    <s v="#Despair #EndlessDarkness"/>
    <n v="28"/>
    <n v="45"/>
    <x v="3"/>
    <n v="2016"/>
    <x v="3"/>
    <n v="15"/>
    <n v="22"/>
  </r>
  <r>
    <n v="425"/>
    <s v="Shattered by betrayal, trust crumbles like fragile glass."/>
    <x v="122"/>
    <x v="380"/>
    <s v="BrokenTrust"/>
    <x v="0"/>
    <s v="#Betrayal #ShatteredTrust"/>
    <n v="22"/>
    <n v="55"/>
    <x v="9"/>
    <n v="2018"/>
    <x v="8"/>
    <n v="10"/>
    <n v="13"/>
  </r>
  <r>
    <n v="426"/>
    <s v="Aching heart, the symphony of pain plays in the silence of solitude."/>
    <x v="123"/>
    <x v="381"/>
    <s v="SilentSufferer"/>
    <x v="2"/>
    <s v="#Suffering #HeartacheSymphony"/>
    <n v="25"/>
    <n v="45"/>
    <x v="6"/>
    <n v="2022"/>
    <x v="2"/>
    <n v="20"/>
    <n v="19"/>
  </r>
  <r>
    <n v="427"/>
    <s v="Emotional storm, a whirlwind of sadness engulfs every thought."/>
    <x v="124"/>
    <x v="382"/>
    <s v="StormyFeelings"/>
    <x v="1"/>
    <s v="#EmotionalStorm #SadnessWhirlwind"/>
    <n v="30"/>
    <n v="50"/>
    <x v="4"/>
    <n v="2017"/>
    <x v="9"/>
    <n v="18"/>
    <n v="17"/>
  </r>
  <r>
    <n v="428"/>
    <s v="Haunted by regrets, the ghost of the past lingers relentlessly."/>
    <x v="51"/>
    <x v="383"/>
    <s v="LingeringGhost"/>
    <x v="0"/>
    <s v="#Regret #HauntedPast"/>
    <n v="18"/>
    <n v="60"/>
    <x v="5"/>
    <n v="2018"/>
    <x v="11"/>
    <n v="15"/>
    <n v="10"/>
  </r>
  <r>
    <n v="429"/>
    <s v="Torn apart by grief, the echoes of loss reverberate through the soul."/>
    <x v="41"/>
    <x v="384"/>
    <s v="EchoesOfLoss"/>
    <x v="2"/>
    <s v="#Grief #TornApart"/>
    <n v="28"/>
    <n v="35"/>
    <x v="11"/>
    <n v="2015"/>
    <x v="5"/>
    <n v="28"/>
    <n v="21"/>
  </r>
  <r>
    <n v="430"/>
    <s v="Isolation deepens, an emotional winter where warmth is but a distant memory."/>
    <x v="125"/>
    <x v="385"/>
    <s v="WinterOfEmotions"/>
    <x v="1"/>
    <s v="#Isolation #EmotionalWinter"/>
    <n v="35"/>
    <n v="55"/>
    <x v="7"/>
    <n v="2020"/>
    <x v="7"/>
    <n v="2"/>
    <n v="14"/>
  </r>
  <r>
    <n v="431"/>
    <s v="Soul-crushing disappointment, hopes shattered like fragile glass."/>
    <x v="126"/>
    <x v="386"/>
    <s v="ShatteredHopes"/>
    <x v="0"/>
    <s v="#Disappointment #CrushedHopes"/>
    <n v="20"/>
    <n v="70"/>
    <x v="14"/>
    <n v="2019"/>
    <x v="10"/>
    <n v="8"/>
    <n v="18"/>
  </r>
  <r>
    <n v="432"/>
    <s v="Painful echoes of a love once cherished, now lost in the abyss of time."/>
    <x v="127"/>
    <x v="387"/>
    <s v="AbyssOfTime"/>
    <x v="2"/>
    <s v="#LostLove #PainfulEchoes"/>
    <n v="22"/>
    <n v="40"/>
    <x v="12"/>
    <n v="2016"/>
    <x v="6"/>
    <n v="22"/>
    <n v="9"/>
  </r>
  <r>
    <n v="433"/>
    <s v="Heartache deepens, a solitary journey through the abyss of despair."/>
    <x v="40"/>
    <x v="388"/>
    <s v="SolitaryDescent"/>
    <x v="1"/>
    <s v="#Despair #AbyssOfHeartache"/>
    <n v="40"/>
    <n v="45"/>
    <x v="13"/>
    <n v="2022"/>
    <x v="4"/>
    <n v="18"/>
    <n v="22"/>
  </r>
  <r>
    <n v="434"/>
    <s v="Melancholy lingers, a bittersweet serenade in the quietude of solitude."/>
    <x v="55"/>
    <x v="389"/>
    <s v="SerenadeOfSolitude"/>
    <x v="0"/>
    <s v="#Melancholy #QuietSerenade"/>
    <n v="18"/>
    <n v="80"/>
    <x v="2"/>
    <n v="2017"/>
    <x v="2"/>
    <n v="12"/>
    <n v="23"/>
  </r>
  <r>
    <n v="435"/>
    <s v="Bitterness like a poison, seeping into every crevice of the wounded heart."/>
    <x v="69"/>
    <x v="390"/>
    <s v="PoisonedHeart"/>
    <x v="2"/>
    <s v="#Bitterness #WoundedHeart"/>
    <n v="25"/>
    <n v="35"/>
    <x v="3"/>
    <n v="2015"/>
    <x v="11"/>
    <n v="15"/>
    <n v="16"/>
  </r>
  <r>
    <n v="436"/>
    <s v="Emotional exhaustion, the weight of the world crushing weary shoulders."/>
    <x v="128"/>
    <x v="391"/>
    <s v="WearySoulCrushed"/>
    <x v="1"/>
    <s v="#Exhaustion #CrushedSpirit"/>
    <n v="35"/>
    <n v="50"/>
    <x v="1"/>
    <n v="2021"/>
    <x v="8"/>
    <n v="5"/>
    <n v="13"/>
  </r>
  <r>
    <n v="437"/>
    <s v="Sorrowful echoes, a symphony of pain played by the strings of loss."/>
    <x v="129"/>
    <x v="392"/>
    <s v="StringsOfSorrow"/>
    <x v="0"/>
    <s v="#Sorrow #SymphonyOfLoss"/>
    <n v="18"/>
    <n v="70"/>
    <x v="9"/>
    <n v="2018"/>
    <x v="3"/>
    <n v="22"/>
    <n v="20"/>
  </r>
  <r>
    <n v="438"/>
    <s v="Darkness descends, engulfing the soul in the shadows of despair."/>
    <x v="130"/>
    <x v="393"/>
    <s v="SoulInShadow"/>
    <x v="2"/>
    <s v="#Darkness #SoulEngulfed"/>
    <n v="28"/>
    <n v="35"/>
    <x v="0"/>
    <n v="2016"/>
    <x v="9"/>
    <n v="10"/>
    <n v="18"/>
  </r>
  <r>
    <n v="439"/>
    <s v="Desperation whispers, the silent plea for a glimmer of hope in the abyss."/>
    <x v="131"/>
    <x v="394"/>
    <s v="WhisperedDespair"/>
    <x v="1"/>
    <s v="#Desperation #GlimmerOfHope"/>
    <n v="22"/>
    <n v="55"/>
    <x v="5"/>
    <n v="2019"/>
    <x v="7"/>
    <n v="30"/>
    <n v="14"/>
  </r>
  <r>
    <n v="440"/>
    <s v="Heart in ruins, the remnants of shattered dreams scattered in the wind."/>
    <x v="132"/>
    <x v="395"/>
    <s v="DreamsInWind"/>
    <x v="0"/>
    <s v="#Ruins #ShatteredDreams"/>
    <n v="20"/>
    <n v="45"/>
    <x v="6"/>
    <n v="2022"/>
    <x v="0"/>
    <n v="8"/>
    <n v="11"/>
  </r>
  <r>
    <n v="441"/>
    <s v="Shattered by the echoes of a shattered dream, fragments of hope scattered."/>
    <x v="133"/>
    <x v="396"/>
    <s v="DreamEchoes"/>
    <x v="0"/>
    <s v="#Desolation #ScatteredHope"/>
    <n v="20"/>
    <n v="40"/>
    <x v="3"/>
    <n v="2017"/>
    <x v="8"/>
    <n v="10"/>
    <n v="19"/>
  </r>
  <r>
    <n v="442"/>
    <s v="Avoiding the thorns of regret, walking barefoot on the path of remorse."/>
    <x v="51"/>
    <x v="397"/>
    <s v="RemorseWalker"/>
    <x v="1"/>
    <s v="#Regret #PathOfRemorse"/>
    <n v="25"/>
    <n v="40"/>
    <x v="1"/>
    <n v="2022"/>
    <x v="7"/>
    <n v="18"/>
    <n v="11"/>
  </r>
  <r>
    <n v="443"/>
    <s v="In the labyrinth of grief, the walls echo with the footsteps of lost joy."/>
    <x v="41"/>
    <x v="398"/>
    <s v="JoyLabyrinth"/>
    <x v="2"/>
    <s v="#Grief #LostJoyFootsteps"/>
    <n v="18"/>
    <n v="50"/>
    <x v="0"/>
    <n v="2018"/>
    <x v="11"/>
    <n v="5"/>
    <n v="21"/>
  </r>
  <r>
    <n v="444"/>
    <s v="A soul adrift in the sea of solitude, waves of loneliness crashing relentlessly."/>
    <x v="42"/>
    <x v="399"/>
    <s v="SolitudeSeas"/>
    <x v="0"/>
    <s v="#Loneliness #CrashingWaves"/>
    <n v="22"/>
    <n v="35"/>
    <x v="2"/>
    <n v="2016"/>
    <x v="5"/>
    <n v="28"/>
    <n v="14"/>
  </r>
  <r>
    <n v="445"/>
    <s v="The bitterness of betrayal, a taste that lingers, staining the palate of trust."/>
    <x v="69"/>
    <x v="400"/>
    <s v="PalateStainer"/>
    <x v="1"/>
    <s v="#Bitterness #StainedTrust"/>
    <n v="15"/>
    <n v="45"/>
    <x v="9"/>
    <n v="2019"/>
    <x v="10"/>
    <n v="22"/>
    <n v="17"/>
  </r>
  <r>
    <n v="446"/>
    <s v="In the ruins of hope, echoes of shattered dreams whisper tales of loss."/>
    <x v="133"/>
    <x v="401"/>
    <s v="HopeRuins"/>
    <x v="2"/>
    <s v="#Desolation #WhisperedLoss"/>
    <n v="28"/>
    <n v="30"/>
    <x v="6"/>
    <n v="2021"/>
    <x v="2"/>
    <n v="15"/>
    <n v="22"/>
  </r>
  <r>
    <n v="447"/>
    <s v="Sinking like a stone in the ocean of heartbreak, each ripple a sigh of despair."/>
    <x v="121"/>
    <x v="402"/>
    <s v="OceanSinker"/>
    <x v="0"/>
    <s v="#Heartbreak #RippleOfDespair"/>
    <n v="22"/>
    <n v="55"/>
    <x v="5"/>
    <n v="2017"/>
    <x v="4"/>
    <n v="10"/>
    <n v="19"/>
  </r>
  <r>
    <n v="448"/>
    <s v="Tears, the ink staining the pages of a journal, a testament to silent grief."/>
    <x v="41"/>
    <x v="403"/>
    <s v="InkJournalist"/>
    <x v="1"/>
    <s v="#Grief #SilentTears"/>
    <n v="30"/>
    <n v="45"/>
    <x v="4"/>
    <n v="2023"/>
    <x v="0"/>
    <n v="28"/>
    <n v="14"/>
  </r>
  <r>
    <n v="449"/>
    <s v="In the wasteland of lost trust, the echoes of broken promises reverberate."/>
    <x v="122"/>
    <x v="404"/>
    <s v="TrustWasteland"/>
    <x v="2"/>
    <s v="#Betrayal #ReverberatingPromises"/>
    <n v="25"/>
    <n v="60"/>
    <x v="11"/>
    <n v="2016"/>
    <x v="11"/>
    <n v="12"/>
    <n v="10"/>
  </r>
  <r>
    <n v="450"/>
    <s v="Avoiding the shards of shattered dreams, walking the tightrope of resilience."/>
    <x v="117"/>
    <x v="405"/>
    <s v="DreamTightrope"/>
    <x v="0"/>
    <s v="#Resilience #TightropeWalk"/>
    <n v="35"/>
    <n v="50"/>
    <x v="7"/>
    <n v="2020"/>
    <x v="9"/>
    <n v="18"/>
    <n v="15"/>
  </r>
  <r>
    <n v="451"/>
    <s v="Suffocating in the silence of solitude, where echoes of laughter once thrived."/>
    <x v="125"/>
    <x v="406"/>
    <s v="EchoedLaughter"/>
    <x v="1"/>
    <s v="#Isolation #SilentSolitude"/>
    <n v="30"/>
    <n v="70"/>
    <x v="13"/>
    <n v="2022"/>
    <x v="3"/>
    <n v="20"/>
    <n v="20"/>
  </r>
  <r>
    <n v="452"/>
    <s v="Haunted by the specter of lost possibilities, a ghost that refuses to fade away."/>
    <x v="51"/>
    <x v="407"/>
    <s v="PossibilityGhost"/>
    <x v="0"/>
    <s v="#Regret #FadingPossibilities"/>
    <n v="18"/>
    <n v="60"/>
    <x v="14"/>
    <n v="2019"/>
    <x v="6"/>
    <n v="8"/>
    <n v="14"/>
  </r>
  <r>
    <n v="453"/>
    <s v="In the labyrinth of despair, the echoes of a broken heart reverberate endlessly."/>
    <x v="40"/>
    <x v="408"/>
    <s v="EndlessLabyrinth"/>
    <x v="2"/>
    <s v="#Despair #EndlessReverberation"/>
    <n v="28"/>
    <n v="35"/>
    <x v="3"/>
    <n v="2017"/>
    <x v="2"/>
    <n v="28"/>
    <n v="22"/>
  </r>
  <r>
    <n v="454"/>
    <s v="Sinking like autumn leaves in the river of sorrow, carried away by the current."/>
    <x v="129"/>
    <x v="409"/>
    <s v="RiverOfSorrow"/>
    <x v="1"/>
    <s v="#Sorrow #AutumnLeaves"/>
    <n v="22"/>
    <n v="55"/>
    <x v="1"/>
    <n v="2020"/>
    <x v="8"/>
    <n v="15"/>
    <n v="18"/>
  </r>
  <r>
    <n v="455"/>
    <s v="In the garden of broken dreams, petals fall, a silent testimony to shattered hopes."/>
    <x v="133"/>
    <x v="410"/>
    <s v="DreamGardener"/>
    <x v="0"/>
    <s v="#Desolation #ShatteredHopes"/>
    <n v="20"/>
    <n v="45"/>
    <x v="2"/>
    <n v="2018"/>
    <x v="5"/>
    <n v="10"/>
    <n v="13"/>
  </r>
  <r>
    <n v="456"/>
    <s v="Tears, the currency of grief, spent in the marketplace of lost love and longing."/>
    <x v="41"/>
    <x v="411"/>
    <s v="CurrencyOfTears"/>
    <x v="2"/>
    <s v="#Grief #LostLoveLonging"/>
    <n v="25"/>
    <n v="40"/>
    <x v="0"/>
    <n v="2016"/>
    <x v="11"/>
    <n v="22"/>
    <n v="21"/>
  </r>
  <r>
    <n v="457"/>
    <s v="Wandering in the maze of betrayal, the walls closing in with every wrong turn."/>
    <x v="122"/>
    <x v="412"/>
    <s v="MazeWanderer"/>
    <x v="1"/>
    <s v="#Betrayal #ClosingWalls"/>
    <n v="15"/>
    <n v="50"/>
    <x v="9"/>
    <n v="2021"/>
    <x v="0"/>
    <n v="5"/>
    <n v="16"/>
  </r>
  <r>
    <n v="458"/>
    <s v="A soul weathered by the storm of heartbreak, seeking refuge in the calm after."/>
    <x v="121"/>
    <x v="413"/>
    <s v="StormSeeker"/>
    <x v="0"/>
    <s v="#Heartbreak #CalmAfterStorm"/>
    <n v="22"/>
    <n v="30"/>
    <x v="6"/>
    <n v="2019"/>
    <x v="7"/>
    <n v="18"/>
    <n v="11"/>
  </r>
  <r>
    <n v="459"/>
    <s v="In the tapestry of despair, threads of hope unravel, leaving a portrait of sorrow."/>
    <x v="40"/>
    <x v="414"/>
    <s v="TapestrySorrow"/>
    <x v="2"/>
    <s v="#Despair #UnraveledHope"/>
    <n v="18"/>
    <n v="45"/>
    <x v="4"/>
    <n v="2017"/>
    <x v="4"/>
    <n v="28"/>
    <n v="19"/>
  </r>
  <r>
    <n v="460"/>
    <s v="Like a withered rose in the garden of love, petals fall, a silent surrender to time."/>
    <x v="134"/>
    <x v="415"/>
    <s v="WitheredRose"/>
    <x v="1"/>
    <s v="#Loss #SilentSurrender"/>
    <n v="28"/>
    <n v="35"/>
    <x v="5"/>
    <n v="2023"/>
    <x v="1"/>
    <n v="10"/>
    <n v="14"/>
  </r>
  <r>
    <n v="461"/>
    <s v="In the void of heartache, echoes of a love song play, each note a pang of longing."/>
    <x v="135"/>
    <x v="416"/>
    <s v="LoveSongEcho"/>
    <x v="1"/>
    <s v="#Heartache #LoveSongLonging"/>
    <n v="30"/>
    <n v="55"/>
    <x v="7"/>
    <n v="2022"/>
    <x v="9"/>
    <n v="10"/>
    <n v="22"/>
  </r>
  <r>
    <n v="462"/>
    <s v="Nostalgia, a bittersweet dance in the moonlit ballroom of cherished memories."/>
    <x v="56"/>
    <x v="417"/>
    <s v="MoonlitMemories"/>
    <x v="0"/>
    <s v="#Nostalgia #CherishedMemories"/>
    <n v="18"/>
    <n v="60"/>
    <x v="11"/>
    <n v="2019"/>
    <x v="3"/>
    <n v="15"/>
    <n v="21"/>
  </r>
  <r>
    <n v="463"/>
    <s v="In the symphony of grief, each tear is a note, composing a melancholic melody."/>
    <x v="41"/>
    <x v="418"/>
    <s v="SymphonyOfTears"/>
    <x v="2"/>
    <s v="#Grief #MelancholicMelody"/>
    <n v="22"/>
    <n v="35"/>
    <x v="9"/>
    <n v="2018"/>
    <x v="6"/>
    <n v="28"/>
    <n v="14"/>
  </r>
  <r>
    <n v="464"/>
    <s v="Betrayal, a venomous serpent slithering through the garden of trust, poisoning roots."/>
    <x v="122"/>
    <x v="419"/>
    <s v="VenomousGarden"/>
    <x v="1"/>
    <s v="#Betrayal #PoisonedTrust"/>
    <n v="25"/>
    <n v="45"/>
    <x v="1"/>
    <n v="2021"/>
    <x v="2"/>
    <n v="2"/>
    <n v="17"/>
  </r>
  <r>
    <n v="465"/>
    <s v="Sinking in the quicksand of despair, the harder you fight, the deeper you descend."/>
    <x v="40"/>
    <x v="420"/>
    <s v="QuicksandFighter"/>
    <x v="0"/>
    <s v="#Despair #DeepDescent"/>
    <n v="20"/>
    <n v="50"/>
    <x v="0"/>
    <n v="2016"/>
    <x v="10"/>
    <n v="18"/>
    <n v="19"/>
  </r>
  <r>
    <n v="466"/>
    <s v="Wandering through the cemetery of lost dreams, tombstones marking untold sorrows."/>
    <x v="133"/>
    <x v="421"/>
    <s v="DreamCemetery"/>
    <x v="2"/>
    <s v="#Desolation #UntoldSorrows"/>
    <n v="28"/>
    <n v="40"/>
    <x v="5"/>
    <n v="2020"/>
    <x v="4"/>
    <n v="15"/>
    <n v="12"/>
  </r>
  <r>
    <n v="467"/>
    <s v="Swept away by the river of regret, the currents of the past refusing to release."/>
    <x v="51"/>
    <x v="422"/>
    <s v="RegretRiver"/>
    <x v="1"/>
    <s v="#Regret #PastCurrents"/>
    <n v="18"/>
    <n v="55"/>
    <x v="2"/>
    <n v="2017"/>
    <x v="7"/>
    <n v="28"/>
    <n v="16"/>
  </r>
  <r>
    <n v="468"/>
    <s v="Whispers of lost love linger in the attic of the heart, forgotten but not erased."/>
    <x v="134"/>
    <x v="423"/>
    <s v="HeartAttic"/>
    <x v="0"/>
    <s v="#Loss #ForgottenLove"/>
    <n v="22"/>
    <n v="35"/>
    <x v="3"/>
    <n v="2019"/>
    <x v="8"/>
    <n v="10"/>
    <n v="21"/>
  </r>
  <r>
    <n v="469"/>
    <s v="In the gallery of broken promises, each shattered vow framed, a painful exhibition."/>
    <x v="122"/>
    <x v="424"/>
    <s v="PromiseGallery"/>
    <x v="2"/>
    <s v="#Betrayal #ShatteredVows"/>
    <n v="15"/>
    <n v="45"/>
    <x v="6"/>
    <n v="2022"/>
    <x v="0"/>
    <n v="28"/>
    <n v="13"/>
  </r>
  <r>
    <n v="470"/>
    <s v="The echoes of solitude, a silent conversation between a soul and its shadows."/>
    <x v="136"/>
    <x v="425"/>
    <s v="EchoedConversation"/>
    <x v="1"/>
    <s v="#Solitude #ShadowConversation"/>
    <n v="30"/>
    <n v="30"/>
    <x v="14"/>
    <n v="2016"/>
    <x v="5"/>
    <n v="15"/>
    <n v="22"/>
  </r>
  <r>
    <n v="471"/>
    <s v="Dancing on sunshine, each step a celebration of the joy found in simple moments."/>
    <x v="8"/>
    <x v="426"/>
    <s v="SunshineDancer"/>
    <x v="1"/>
    <s v="#Joy #SimpleMoments"/>
    <n v="40"/>
    <n v="60"/>
    <x v="0"/>
    <n v="2021"/>
    <x v="4"/>
    <n v="20"/>
    <n v="15"/>
  </r>
  <r>
    <n v="472"/>
    <s v="Laughter echoes in the air, a chorus of happiness that lifts the spirit higher."/>
    <x v="7"/>
    <x v="427"/>
    <s v="EchoedLaughter"/>
    <x v="0"/>
    <s v="#Happiness #SpiritLifter"/>
    <n v="35"/>
    <n v="80"/>
    <x v="1"/>
    <n v="2018"/>
    <x v="7"/>
    <n v="12"/>
    <n v="18"/>
  </r>
  <r>
    <n v="473"/>
    <s v="In the garden of contentment, each bloom whispers tales of inner peace and joy."/>
    <x v="29"/>
    <x v="428"/>
    <s v="GardenOfJoy"/>
    <x v="2"/>
    <s v="#Contentment #InnerPeace"/>
    <n v="25"/>
    <n v="70"/>
    <x v="2"/>
    <n v="2022"/>
    <x v="1"/>
    <n v="15"/>
    <n v="12"/>
  </r>
  <r>
    <n v="474"/>
    <s v="Chasing dreams under the vibrant sky, a journey fueled by hope and enthusiasm."/>
    <x v="37"/>
    <x v="429"/>
    <s v="DreamChaser"/>
    <x v="1"/>
    <s v="#Enthusiasm #HopefulJourney"/>
    <n v="30"/>
    <n v="50"/>
    <x v="3"/>
    <n v="2019"/>
    <x v="10"/>
    <n v="28"/>
    <n v="14"/>
  </r>
  <r>
    <n v="475"/>
    <s v="Serenading the stars with a heart full of gratitude, a melody of thankfulness."/>
    <x v="31"/>
    <x v="430"/>
    <s v="StarSerenader"/>
    <x v="0"/>
    <s v="#Gratitude #ThankfulMelody"/>
    <n v="22"/>
    <n v="60"/>
    <x v="4"/>
    <n v="2017"/>
    <x v="11"/>
    <n v="22"/>
    <n v="21"/>
  </r>
  <r>
    <n v="476"/>
    <s v="Basking in the glow of accomplishment, each milestone a stepping stone to happiness."/>
    <x v="91"/>
    <x v="431"/>
    <s v="GlowAchiever"/>
    <x v="2"/>
    <s v="#Accomplishment #HappinessMilestone"/>
    <n v="28"/>
    <n v="45"/>
    <x v="9"/>
    <n v="2020"/>
    <x v="5"/>
    <n v="10"/>
    <n v="17"/>
  </r>
  <r>
    <n v="477"/>
    <s v="In the dance of positivity, every step is a rhythm, uplifting the soul in harmony."/>
    <x v="137"/>
    <x v="432"/>
    <s v="DanceHarmony"/>
    <x v="1"/>
    <s v="#Positivity #SoulUpliftment"/>
    <n v="18"/>
    <n v="55"/>
    <x v="5"/>
    <n v="2016"/>
    <x v="8"/>
    <n v="18"/>
    <n v="19"/>
  </r>
  <r>
    <n v="478"/>
    <s v="Overflowing with joy, a cup of laughter shared with friends, a moment cherished."/>
    <x v="8"/>
    <x v="433"/>
    <s v="LaughterCup"/>
    <x v="0"/>
    <s v="#Joy #CherishedMoment"/>
    <n v="20"/>
    <n v="35"/>
    <x v="7"/>
    <n v="2023"/>
    <x v="2"/>
    <n v="10"/>
    <n v="14"/>
  </r>
  <r>
    <n v="479"/>
    <s v="Draped in the warmth of kindness, a quilt of compassion stitched with love."/>
    <x v="138"/>
    <x v="434"/>
    <s v="QuiltedCompassion"/>
    <x v="2"/>
    <s v="#Kindness #LoveStitches"/>
    <n v="25"/>
    <n v="40"/>
    <x v="6"/>
    <n v="2019"/>
    <x v="3"/>
    <n v="5"/>
    <n v="12"/>
  </r>
  <r>
    <n v="480"/>
    <s v="In the garden of friendships, each bloom a testament to the beauty of camaraderie."/>
    <x v="139"/>
    <x v="435"/>
    <s v="FriendshipGarden"/>
    <x v="1"/>
    <s v="#Friendship #CamaraderieBlooms"/>
    <n v="30"/>
    <n v="50"/>
    <x v="13"/>
    <n v="2018"/>
    <x v="4"/>
    <n v="28"/>
    <n v="16"/>
  </r>
  <r>
    <n v="481"/>
    <s v="In the embrace of love, each heartbeat is a melody, dancing to the rhythm of affection."/>
    <x v="9"/>
    <x v="436"/>
    <s v="MelodyOfLove"/>
    <x v="0"/>
    <s v="#Love #RhythmOfAffection"/>
    <n v="35"/>
    <n v="60"/>
    <x v="0"/>
    <n v="2022"/>
    <x v="6"/>
    <n v="15"/>
    <n v="20"/>
  </r>
  <r>
    <n v="482"/>
    <s v="Surrounded by the colors of joy, a canvas painted with laughter and endless smiles."/>
    <x v="8"/>
    <x v="437"/>
    <s v="ColorfulLaughter"/>
    <x v="1"/>
    <s v="#Joy #EndlessSmiles"/>
    <n v="40"/>
    <n v="70"/>
    <x v="1"/>
    <n v="2019"/>
    <x v="9"/>
    <n v="2"/>
    <n v="17"/>
  </r>
  <r>
    <n v="483"/>
    <s v="In the symphony of excitement, each note is a burst of energy, igniting the soul with fervor."/>
    <x v="23"/>
    <x v="438"/>
    <s v="SymphonyFervor"/>
    <x v="2"/>
    <s v="#Excitement #IgnitedSoul"/>
    <n v="30"/>
    <n v="80"/>
    <x v="2"/>
    <n v="2021"/>
    <x v="7"/>
    <n v="18"/>
    <n v="14"/>
  </r>
  <r>
    <n v="484"/>
    <s v="A surprise gift, wrapped in anticipation, unfolds a moment of delight and wonder."/>
    <x v="16"/>
    <x v="439"/>
    <s v="WrappedDelight"/>
    <x v="0"/>
    <s v="#Surprise #WonderfulMoment"/>
    <n v="25"/>
    <n v="60"/>
    <x v="3"/>
    <n v="2023"/>
    <x v="1"/>
    <n v="5"/>
    <n v="19"/>
  </r>
  <r>
    <n v="485"/>
    <s v="Lost in the maze of curiosity, each twist and turn unveils the treasures of discovery."/>
    <x v="52"/>
    <x v="440"/>
    <s v="MazeDiscovery"/>
    <x v="1"/>
    <s v="#Curiosity #TreasuresOfDiscovery"/>
    <n v="22"/>
    <n v="50"/>
    <x v="4"/>
    <n v="2018"/>
    <x v="8"/>
    <n v="22"/>
    <n v="12"/>
  </r>
  <r>
    <n v="486"/>
    <s v="Floating on clouds of gratitude, each raindrop a blessing, a shower of thankfulness."/>
    <x v="31"/>
    <x v="441"/>
    <s v="CloudsOfBlessings"/>
    <x v="2"/>
    <s v="#Gratitude #ShowerOfThankfulness"/>
    <n v="28"/>
    <n v="45"/>
    <x v="9"/>
    <n v="2016"/>
    <x v="11"/>
    <n v="10"/>
    <n v="21"/>
  </r>
  <r>
    <n v="487"/>
    <s v="Like a comet of inspiration, streaking through the sky of creativity, leaving trails of brilliance."/>
    <x v="82"/>
    <x v="442"/>
    <s v="CometCreativity"/>
    <x v="0"/>
    <s v="#Inspiration #BrilliantTrails"/>
    <n v="18"/>
    <n v="55"/>
    <x v="5"/>
    <n v="2020"/>
    <x v="3"/>
    <n v="28"/>
    <n v="16"/>
  </r>
  <r>
    <n v="488"/>
    <s v="In the celebration of success, fireworks of accomplishment light up the night sky of triumph."/>
    <x v="140"/>
    <x v="443"/>
    <s v="FireworksTriumph"/>
    <x v="1"/>
    <s v="#Success #NightSkyTriumph"/>
    <n v="22"/>
    <n v="35"/>
    <x v="7"/>
    <n v="2017"/>
    <x v="6"/>
    <n v="15"/>
    <n v="22"/>
  </r>
  <r>
    <n v="489"/>
    <s v="A symphony of laughter, each note a key to unlocking the door of boundless happiness."/>
    <x v="7"/>
    <x v="444"/>
    <s v="LaughterSymphony"/>
    <x v="2"/>
    <s v="#Happiness #BoundlessLaughter"/>
    <n v="30"/>
    <n v="45"/>
    <x v="6"/>
    <n v="2021"/>
    <x v="4"/>
    <n v="2"/>
    <n v="19"/>
  </r>
  <r>
    <n v="490"/>
    <s v="In the carnival of emotions, the rollercoaster of thrill sends the heart on a wild ride."/>
    <x v="79"/>
    <x v="445"/>
    <s v="EmotionCarnival"/>
    <x v="1"/>
    <s v="#Thrill #WildHeartRide"/>
    <n v="35"/>
    <n v="60"/>
    <x v="13"/>
    <n v="2019"/>
    <x v="2"/>
    <n v="28"/>
    <n v="15"/>
  </r>
  <r>
    <n v="491"/>
    <s v="Standing before the grandeur of the Eiffel Tower, a moment to reflect on the beauty of Parisian dreams."/>
    <x v="88"/>
    <x v="446"/>
    <s v="ParisDreamer"/>
    <x v="0"/>
    <s v="#Reflection #ParisianDreams"/>
    <n v="28"/>
    <n v="70"/>
    <x v="5"/>
    <n v="2018"/>
    <x v="3"/>
    <n v="12"/>
    <n v="17"/>
  </r>
  <r>
    <n v="492"/>
    <s v="Lost in the enchantment of Disneyland, each ride a journey into the realm of childhood fantasies."/>
    <x v="94"/>
    <x v="447"/>
    <s v="DisneylandExplorer"/>
    <x v="1"/>
    <s v="#Enchantment #ChildhoodFantasies"/>
    <n v="30"/>
    <n v="55"/>
    <x v="0"/>
    <n v="2022"/>
    <x v="8"/>
    <n v="28"/>
    <n v="15"/>
  </r>
  <r>
    <n v="493"/>
    <s v="Exploring the wonders of Ferrari World, the roar of engines creating a symphony of speed."/>
    <x v="23"/>
    <x v="448"/>
    <s v="FerrariSpeedster"/>
    <x v="2"/>
    <s v="#Excitement #SymphonyOfSpeed"/>
    <n v="22"/>
    <n v="60"/>
    <x v="11"/>
    <n v="2019"/>
    <x v="6"/>
    <n v="10"/>
    <n v="14"/>
  </r>
  <r>
    <n v="494"/>
    <s v="Amidst the tulip fields of Keukenhof, a tapestry of colors that paints the soul with springtime joy."/>
    <x v="8"/>
    <x v="449"/>
    <s v="KeukenhofAdventurer"/>
    <x v="1"/>
    <s v="#Joy #SpringtimeColors"/>
    <n v="35"/>
    <n v="45"/>
    <x v="12"/>
    <n v="2021"/>
    <x v="7"/>
    <n v="2"/>
    <n v="18"/>
  </r>
  <r>
    <n v="495"/>
    <s v="Wandering through the historical streets of Kyoto, each step a journey into the heart of Japan's traditions."/>
    <x v="141"/>
    <x v="450"/>
    <s v="KyotoAdventurer"/>
    <x v="0"/>
    <s v="#Exploration #JapaneseTraditions"/>
    <n v="18"/>
    <n v="70"/>
    <x v="7"/>
    <n v="2017"/>
    <x v="4"/>
    <n v="22"/>
    <n v="21"/>
  </r>
  <r>
    <n v="496"/>
    <s v="In the embrace of the Grand Canyon, nature's masterpiece, a moment to marvel at Earth's grandeur."/>
    <x v="14"/>
    <x v="451"/>
    <s v="CanyonMarveler"/>
    <x v="1"/>
    <s v="#Awe #EarthsGrandeur"/>
    <n v="25"/>
    <n v="35"/>
    <x v="0"/>
    <n v="2020"/>
    <x v="5"/>
    <n v="15"/>
    <n v="16"/>
  </r>
  <r>
    <n v="497"/>
    <s v="Journeying through the serenity of Santorini, where each sunset paints the sky with hues of tranquility."/>
    <x v="30"/>
    <x v="452"/>
    <s v="SantoriniTraveler"/>
    <x v="2"/>
    <s v="#Serenity #SunsetHues"/>
    <n v="22"/>
    <n v="50"/>
    <x v="8"/>
    <n v="2016"/>
    <x v="8"/>
    <n v="10"/>
    <n v="19"/>
  </r>
  <r>
    <n v="498"/>
    <s v="Amazed by the architectural marvels of Petra, each stone telling tales of an ancient civilization."/>
    <x v="142"/>
    <x v="453"/>
    <s v="PetraExplorer"/>
    <x v="0"/>
    <s v="#Amazement #AncientTales"/>
    <n v="30"/>
    <n v="45"/>
    <x v="21"/>
    <n v="2023"/>
    <x v="0"/>
    <n v="28"/>
    <n v="13"/>
  </r>
  <r>
    <n v="499"/>
    <s v="Embarking on a gondola ride in Venice, each canal reflecting the romance of this timeless city."/>
    <x v="143"/>
    <x v="454"/>
    <s v="VeniceRomantic"/>
    <x v="1"/>
    <s v="#Romance #TimelessCity"/>
    <n v="20"/>
    <n v="60"/>
    <x v="11"/>
    <n v="2019"/>
    <x v="7"/>
    <n v="18"/>
    <n v="16"/>
  </r>
  <r>
    <n v="500"/>
    <s v="At the summit of Machu Picchu, a breathtaking panorama that whispers the secrets of ancient civilizations."/>
    <x v="14"/>
    <x v="455"/>
    <s v="MachuPicchuAdventurer"/>
    <x v="2"/>
    <s v="#Awe #AncientCivilizations"/>
    <n v="28"/>
    <n v="40"/>
    <x v="22"/>
    <n v="2017"/>
    <x v="6"/>
    <n v="5"/>
    <n v="22"/>
  </r>
  <r>
    <n v="501"/>
    <s v="In the heart of New York City, Times Square dazzles with lights, a vibrant spectacle of urban energy."/>
    <x v="23"/>
    <x v="456"/>
    <s v="TimesSquareExplorer"/>
    <x v="1"/>
    <s v="#Excitement #UrbanEnergy"/>
    <n v="35"/>
    <n v="55"/>
    <x v="0"/>
    <n v="2022"/>
    <x v="9"/>
    <n v="20"/>
    <n v="21"/>
  </r>
  <r>
    <n v="502"/>
    <s v="Captivated by the historical charm of the Colosseum, each stone echoing tales of gladiator valor."/>
    <x v="144"/>
    <x v="457"/>
    <s v="ColosseumAdventurer"/>
    <x v="0"/>
    <s v="#Captivation #GladiatorTales"/>
    <n v="25"/>
    <n v="70"/>
    <x v="11"/>
    <n v="2018"/>
    <x v="2"/>
    <n v="15"/>
    <n v="17"/>
  </r>
  <r>
    <n v="503"/>
    <s v="Sailing the azure waters of the Maldives, each wave a whisper of serenity in paradise."/>
    <x v="30"/>
    <x v="429"/>
    <s v="MaldivesSailor"/>
    <x v="2"/>
    <s v="#Serenity #ParadiseWhispers"/>
    <n v="22"/>
    <n v="50"/>
    <x v="23"/>
    <n v="2019"/>
    <x v="10"/>
    <n v="28"/>
    <n v="14"/>
  </r>
  <r>
    <n v="504"/>
    <s v="In the midst of the Amazon rainforest, a symphony of wildlife creates an orchestra of nature's wonders."/>
    <x v="105"/>
    <x v="458"/>
    <s v="AmazonExplorer"/>
    <x v="1"/>
    <s v="#Wonder #NatureOrchestra"/>
    <n v="30"/>
    <n v="45"/>
    <x v="6"/>
    <n v="2021"/>
    <x v="5"/>
    <n v="10"/>
    <n v="16"/>
  </r>
  <r>
    <n v="505"/>
    <s v="Walking the Great Wall of China, each step a testament to ancient engineering marvels."/>
    <x v="14"/>
    <x v="459"/>
    <s v="GreatWallWalker"/>
    <x v="0"/>
    <s v="#Awe #EngineeringMarvels"/>
    <n v="18"/>
    <n v="60"/>
    <x v="24"/>
    <n v="2017"/>
    <x v="4"/>
    <n v="18"/>
    <n v="19"/>
  </r>
  <r>
    <n v="506"/>
    <s v="At the summit of Mount Fuji, a breathtaking sunrise that paints the sky with hues of accomplishment."/>
    <x v="91"/>
    <x v="460"/>
    <s v="FujiSummitAchiever"/>
    <x v="2"/>
    <s v="#Accomplishment #SunriseHues"/>
    <n v="28"/>
    <n v="35"/>
    <x v="7"/>
    <n v="2020"/>
    <x v="7"/>
    <n v="15"/>
    <n v="5"/>
  </r>
  <r>
    <n v="507"/>
    <s v="Exploring the ancient ruins of Angkor Wat, each stone whispering stories of Khmer civilization."/>
    <x v="141"/>
    <x v="461"/>
    <s v="AngkorWatAdventurer"/>
    <x v="1"/>
    <s v="#Exploration #KhmerStories"/>
    <n v="20"/>
    <n v="55"/>
    <x v="25"/>
    <n v="2016"/>
    <x v="6"/>
    <n v="22"/>
    <n v="13"/>
  </r>
  <r>
    <n v="508"/>
    <s v="Skiing down the slopes of the Swiss Alps, each turn a dance with the majesty of snow-capped peaks."/>
    <x v="108"/>
    <x v="462"/>
    <s v="AlpsSkiAdventurer"/>
    <x v="0"/>
    <s v="#Adventure #SnowPeakDance"/>
    <n v="22"/>
    <n v="40"/>
    <x v="16"/>
    <n v="2019"/>
    <x v="0"/>
    <n v="10"/>
    <n v="14"/>
  </r>
  <r>
    <n v="509"/>
    <s v="In the tranquility of Kyoto's bamboo forest, whispers of ancient Zen wisdom echo through the groves."/>
    <x v="145"/>
    <x v="463"/>
    <s v="KyotoBambooSeeker"/>
    <x v="2"/>
    <s v="#Tranquility #ZenWisdom"/>
    <n v="25"/>
    <n v="45"/>
    <x v="7"/>
    <n v="2023"/>
    <x v="1"/>
    <n v="28"/>
    <n v="16"/>
  </r>
  <r>
    <n v="510"/>
    <s v="Cruising the fjords of Norway, each icy landscape a breathtaking masterpiece of nature's grandeur."/>
    <x v="146"/>
    <x v="464"/>
    <s v="NorwayFjordExplorer"/>
    <x v="1"/>
    <s v="#Grandeur #IcyMasterpiece"/>
    <n v="22"/>
    <n v="50"/>
    <x v="26"/>
    <n v="2018"/>
    <x v="3"/>
    <n v="28"/>
    <n v="18"/>
  </r>
  <r>
    <n v="511"/>
    <s v="At the front row of Adele's concert, each note of 'Someone Like You' resonates with soul-stirring emotion."/>
    <x v="147"/>
    <x v="465"/>
    <s v="AdeleConcertGoer"/>
    <x v="1"/>
    <s v="#Emotion #AdeleConcert"/>
    <n v="40"/>
    <n v="45"/>
    <x v="0"/>
    <n v="2022"/>
    <x v="8"/>
    <n v="15"/>
    <n v="20"/>
  </r>
  <r>
    <n v="512"/>
    <s v="Dancing under the stars at Beyoncé's live show, feeling the power of 'Single Ladies' in every move."/>
    <x v="148"/>
    <x v="466"/>
    <s v="BeyonceDancer"/>
    <x v="0"/>
    <s v="#Energy #BeyonceConcert"/>
    <n v="35"/>
    <n v="80"/>
    <x v="0"/>
    <n v="2019"/>
    <x v="9"/>
    <n v="28"/>
    <n v="21"/>
  </r>
  <r>
    <n v="513"/>
    <s v="In the crowd of a Taylor Swift concert, the lyrics of 'Love Story' create an enchanting fairy tale."/>
    <x v="94"/>
    <x v="467"/>
    <s v="SwiftieDreamer"/>
    <x v="2"/>
    <s v="#Enchantment #TaylorSwift"/>
    <n v="30"/>
    <n v="70"/>
    <x v="0"/>
    <n v="2021"/>
    <x v="3"/>
    <n v="10"/>
    <n v="19"/>
  </r>
  <r>
    <n v="514"/>
    <s v="Rocking out to the guitar solos at a Queen tribute concert, a journey back in time with Freddie's spirit."/>
    <x v="56"/>
    <x v="468"/>
    <s v="QueenTributeFan"/>
    <x v="1"/>
    <s v="#Nostalgia #QueenTribute"/>
    <n v="22"/>
    <n v="60"/>
    <x v="2"/>
    <n v="2018"/>
    <x v="11"/>
    <n v="2"/>
    <n v="22"/>
  </r>
  <r>
    <n v="515"/>
    <s v="Swaying to Ed Sheeran's acoustic melodies, a serene evening filled with 'Perfect' moments."/>
    <x v="30"/>
    <x v="469"/>
    <s v="SheeranMelodyLover"/>
    <x v="0"/>
    <s v="#Serenity #EdSheeranConcert"/>
    <n v="18"/>
    <n v="45"/>
    <x v="2"/>
    <n v="2020"/>
    <x v="4"/>
    <n v="18"/>
    <n v="19"/>
  </r>
  <r>
    <n v="516"/>
    <s v="Immersed in the pulsating beats of a Bruno Mars concert, where 'Uptown Funk' becomes a city of joy."/>
    <x v="8"/>
    <x v="470"/>
    <s v="MarsJoyExplorer"/>
    <x v="2"/>
    <s v="#Joy #BrunoMars"/>
    <n v="28"/>
    <n v="35"/>
    <x v="0"/>
    <n v="2017"/>
    <x v="2"/>
    <n v="28"/>
    <n v="20"/>
  </r>
  <r>
    <n v="517"/>
    <s v="At a Michael Jackson tribute show, moonwalking through the hits, a celebration of the King of Pop."/>
    <x v="149"/>
    <x v="471"/>
    <s v="MJTributeDancer"/>
    <x v="1"/>
    <s v="#Celebration #MJTribute"/>
    <n v="25"/>
    <n v="55"/>
    <x v="0"/>
    <n v="2022"/>
    <x v="0"/>
    <n v="15"/>
    <n v="21"/>
  </r>
  <r>
    <n v="518"/>
    <s v="Swinging to the rhythms of a Frank Sinatra tribute, feeling the timeless charm of 'Fly Me to the Moon'."/>
    <x v="150"/>
    <x v="472"/>
    <s v="SinatraCharmListener"/>
    <x v="0"/>
    <s v="#Charm #SinatraTribute"/>
    <n v="22"/>
    <n v="50"/>
    <x v="0"/>
    <n v="2019"/>
    <x v="5"/>
    <n v="10"/>
    <n v="18"/>
  </r>
  <r>
    <n v="519"/>
    <s v="In the mosh pit of a Metallica concert, the thunderous chords create a symphony of headbanging ecstasy."/>
    <x v="151"/>
    <x v="473"/>
    <s v="MetallicaMoshWarrior"/>
    <x v="2"/>
    <s v="#Ecstasy #MetallicaConcert"/>
    <n v="35"/>
    <n v="45"/>
    <x v="0"/>
    <n v="2023"/>
    <x v="2"/>
    <n v="20"/>
    <n v="22"/>
  </r>
  <r>
    <n v="520"/>
    <s v="Experiencing the magic of a Coldplay concert, where 'Fix You' becomes a beacon of hope in the night."/>
    <x v="32"/>
    <x v="181"/>
    <s v="ColdplayHopeSeeker"/>
    <x v="1"/>
    <s v="#Hope #ColdplayMagic"/>
    <n v="30"/>
    <n v="70"/>
    <x v="2"/>
    <n v="2016"/>
    <x v="6"/>
    <n v="28"/>
    <n v="19"/>
  </r>
  <r>
    <n v="521"/>
    <s v="At a Justin Bieber concert, the infectious beats of 'Baby' create a dance floor of unbridled enthusiasm."/>
    <x v="37"/>
    <x v="474"/>
    <s v="BieberDanceEnthusiast"/>
    <x v="1"/>
    <s v="#Enthusiasm #JustinBieber"/>
    <n v="40"/>
    <n v="60"/>
    <x v="1"/>
    <n v="2018"/>
    <x v="4"/>
    <n v="5"/>
    <n v="20"/>
  </r>
  <r>
    <n v="522"/>
    <s v="In the spotlight at a Lady Gaga show, each costume change is a metamorphosis of creativity and artistry."/>
    <x v="103"/>
    <x v="475"/>
    <s v="GagaArtisticChameleon"/>
    <x v="0"/>
    <s v="#Creativity #LadyGaga"/>
    <n v="35"/>
    <n v="80"/>
    <x v="0"/>
    <n v="2021"/>
    <x v="7"/>
    <n v="15"/>
    <n v="21"/>
  </r>
  <r>
    <n v="523"/>
    <s v="Immersed in the soulful melodies of Adele, tears flow freely, moved by the emotion of 'Hello'."/>
    <x v="147"/>
    <x v="476"/>
    <s v="AdeleMelodyTearjerker"/>
    <x v="2"/>
    <s v="#Emotion #AdeleMelodies"/>
    <n v="30"/>
    <n v="70"/>
    <x v="2"/>
    <n v="2019"/>
    <x v="6"/>
    <n v="28"/>
    <n v="19"/>
  </r>
  <r>
    <n v="524"/>
    <s v="Drenched in confetti at a Katy Perry concert, a kaleidoscope of colors igniting the night sky."/>
    <x v="152"/>
    <x v="477"/>
    <s v="KatyPerryColorExplosion"/>
    <x v="1"/>
    <s v="#Colorful #KatyPerry"/>
    <n v="22"/>
    <n v="60"/>
    <x v="0"/>
    <n v="2020"/>
    <x v="5"/>
    <n v="22"/>
    <n v="22"/>
  </r>
  <r>
    <n v="525"/>
    <s v="In the audience of a Jay-Z performance, the lyrics of 'Empire State of Mind' become an anthem of pride."/>
    <x v="25"/>
    <x v="478"/>
    <s v="JayZEmpireListener"/>
    <x v="0"/>
    <s v="#Pride #JayZAnthem"/>
    <n v="18"/>
    <n v="45"/>
    <x v="0"/>
    <n v="2017"/>
    <x v="8"/>
    <n v="10"/>
    <n v="20"/>
  </r>
  <r>
    <n v="526"/>
    <s v="Dancing to Shakira's rhythmic beats, hips swaying to the hypnotic charm of 'Hips Don't Lie'."/>
    <x v="153"/>
    <x v="479"/>
    <s v="ShakiraHipsDancer"/>
    <x v="2"/>
    <s v="#Hypnotic #ShakiraRhythms"/>
    <n v="28"/>
    <n v="35"/>
    <x v="27"/>
    <n v="2022"/>
    <x v="1"/>
    <n v="28"/>
    <n v="21"/>
  </r>
  <r>
    <n v="527"/>
    <s v="At a U2 concert, the anthemic chords of 'With or Without You' create a timeless moment of connection."/>
    <x v="154"/>
    <x v="480"/>
    <s v="U2ConnectionSeeker"/>
    <x v="1"/>
    <s v="#Connection #U2Anthem"/>
    <n v="25"/>
    <n v="55"/>
    <x v="28"/>
    <n v="2016"/>
    <x v="3"/>
    <n v="15"/>
    <n v="19"/>
  </r>
  <r>
    <n v="528"/>
    <s v="Rocking out at a Guns N' Roses show, the iconic riffs of 'Sweet Child o' Mine' echoing in the night."/>
    <x v="155"/>
    <x v="481"/>
    <s v="GunsNRosesRiffRockstar"/>
    <x v="0"/>
    <s v="#Iconic #GNRConcert"/>
    <n v="22"/>
    <n v="50"/>
    <x v="0"/>
    <n v="2018"/>
    <x v="11"/>
    <n v="10"/>
    <n v="22"/>
  </r>
  <r>
    <n v="529"/>
    <s v="In the crowd of an Ariana Grande concert, the high notes of 'Into You' create a euphoric symphony."/>
    <x v="28"/>
    <x v="482"/>
    <s v="ArianaEuphoriaChaser"/>
    <x v="2"/>
    <s v="#Euphoria #ArianaGrande"/>
    <n v="35"/>
    <n v="45"/>
    <x v="0"/>
    <n v="2023"/>
    <x v="0"/>
    <n v="22"/>
    <n v="20"/>
  </r>
  <r>
    <n v="530"/>
    <s v="Swaying to the reggae vibes of Bob Marley's tribute concert, each chord a journey to Jamaica's soul."/>
    <x v="156"/>
    <x v="483"/>
    <s v="MarleyReggaeTraveler"/>
    <x v="1"/>
    <s v="#Journey #BobMarleyTribute"/>
    <n v="30"/>
    <n v="70"/>
    <x v="29"/>
    <n v="2020"/>
    <x v="2"/>
    <n v="5"/>
    <n v="18"/>
  </r>
  <r>
    <n v="531"/>
    <s v="Captivated by the spellbinding plot twists, the audience applauds, experiencing a rollercoaster of emotions at the movie premiere."/>
    <x v="23"/>
    <x v="484"/>
    <s v="MovieEnthusiastPremiereAttendee"/>
    <x v="0"/>
    <s v="#Excitement #MoviePremiereThrills"/>
    <n v="40"/>
    <n v="60"/>
    <x v="0"/>
    <n v="2018"/>
    <x v="10"/>
    <n v="12"/>
    <n v="20"/>
  </r>
  <r>
    <n v="532"/>
    <s v="As the credits roll, a profound sense of nostalgia washes over, reminiscent of cherished moments in classic films."/>
    <x v="56"/>
    <x v="485"/>
    <s v="FilmLoverNostalgiaSeeker"/>
    <x v="1"/>
    <s v="#Nostalgia #ClassicFilmMoments"/>
    <n v="35"/>
    <n v="80"/>
    <x v="2"/>
    <n v="2019"/>
    <x v="5"/>
    <n v="25"/>
    <n v="22"/>
  </r>
  <r>
    <n v="533"/>
    <s v="Streaming the latest web series, the viewer is engrossed in the characters' journey, feeling a sense of connection and empathy."/>
    <x v="157"/>
    <x v="486"/>
    <s v="WebSeriesViewerCharacterConnection"/>
    <x v="2"/>
    <s v="#Engagement #WebSeriesJourney"/>
    <n v="30"/>
    <n v="70"/>
    <x v="1"/>
    <n v="2020"/>
    <x v="9"/>
    <n v="8"/>
    <n v="19"/>
  </r>
  <r>
    <n v="534"/>
    <s v="At the film festival, the indie filmmaker's creation receives a standing ovation, evoking pride and a sense of accomplishment."/>
    <x v="25"/>
    <x v="487"/>
    <s v="IndieFilmmakerFestivalSuccess"/>
    <x v="0"/>
    <s v="#Pride #IndieFilmSuccess"/>
    <n v="22"/>
    <n v="60"/>
    <x v="3"/>
    <n v="2017"/>
    <x v="8"/>
    <n v="18"/>
    <n v="21"/>
  </r>
  <r>
    <n v="535"/>
    <s v="Watching a heartwarming family drama, tears flow freely as the characters overcome challenges, leaving the viewer with a warm glow."/>
    <x v="158"/>
    <x v="488"/>
    <s v="DramaEnthusiastHeartwarmingMoments"/>
    <x v="1"/>
    <s v="#Touched #FamilyDramaMoments"/>
    <n v="28"/>
    <n v="45"/>
    <x v="4"/>
    <n v="2021"/>
    <x v="0"/>
    <n v="15"/>
    <n v="18"/>
  </r>
  <r>
    <n v="536"/>
    <s v="At the Oscars, the actor graciously accepts an award, radiating joy and gratitude for the recognition of their outstanding performance."/>
    <x v="31"/>
    <x v="489"/>
    <s v="AwardWinningActorOscarsRecipient"/>
    <x v="2"/>
    <s v="#Gratitude #OscarWinningMoment"/>
    <n v="18"/>
    <n v="55"/>
    <x v="0"/>
    <n v="2016"/>
    <x v="1"/>
    <n v="28"/>
    <n v="20"/>
  </r>
  <r>
    <n v="537"/>
    <s v="Discovering a hidden gem in the world of documentaries, the viewer is enlightened and inspired, feeling a renewed sense of curiosity."/>
    <x v="82"/>
    <x v="490"/>
    <s v="DocumentaryEnthusiastHiddenGemFinder"/>
    <x v="0"/>
    <s v="#Inspiration #HiddenGemDiscovery"/>
    <n v="22"/>
    <n v="35"/>
    <x v="5"/>
    <n v="2022"/>
    <x v="7"/>
    <n v="20"/>
    <n v="17"/>
  </r>
  <r>
    <n v="538"/>
    <s v="As the movie credits roll, the viewer experiences a mix of awe and contemplation, pondering the deeper meanings woven into the storyline."/>
    <x v="84"/>
    <x v="491"/>
    <s v="FilmBuffContemplativeViewer"/>
    <x v="1"/>
    <s v="#Contemplation #DeepMeanings"/>
    <n v="28"/>
    <n v="45"/>
    <x v="9"/>
    <n v="2019"/>
    <x v="6"/>
    <n v="5"/>
    <n v="21"/>
  </r>
  <r>
    <n v="539"/>
    <s v="Binge-watching a thrilling crime series, the suspense keeps the viewer on the edge of their seat, creating a rush of adrenaline."/>
    <x v="159"/>
    <x v="492"/>
    <s v="CrimeSeriesEnthusiastThrillSeeker"/>
    <x v="2"/>
    <s v="#Suspense #CrimeSeriesThrills"/>
    <n v="35"/>
    <n v="55"/>
    <x v="7"/>
    <n v="2015"/>
    <x v="9"/>
    <n v="12"/>
    <n v="22"/>
  </r>
  <r>
    <n v="540"/>
    <s v="As the closing scene unfolds, a sense of satisfaction washes over, completing the cinematic journey with a profound and fulfilling ending."/>
    <x v="86"/>
    <x v="493"/>
    <s v="FilmCriticSatisfactionSeeker"/>
    <x v="0"/>
    <s v="#Satisfaction #FulfillingEnding"/>
    <n v="22"/>
    <n v="70"/>
    <x v="6"/>
    <n v="2020"/>
    <x v="8"/>
    <n v="10"/>
    <n v="19"/>
  </r>
  <r>
    <n v="541"/>
    <s v="Celebrating a historic victory in the World Cup, the nation erupts in joy, united by the triumph of their football team."/>
    <x v="8"/>
    <x v="494"/>
    <s v="FootballFanWorldCupCelebration"/>
    <x v="1"/>
    <s v="#Joy #WorldCupTriumph"/>
    <n v="40"/>
    <n v="45"/>
    <x v="6"/>
    <n v="2018"/>
    <x v="9"/>
    <n v="15"/>
    <n v="21"/>
  </r>
  <r>
    <n v="542"/>
    <s v="At the Olympics, the athlete's perseverance shines through, earning a gold medal and inspiring a generation with their remarkable achievement."/>
    <x v="82"/>
    <x v="495"/>
    <s v="OlympicsEnthusiastGoldMedalWinner"/>
    <x v="0"/>
    <s v="#Inspiration #OlympicAchievement"/>
    <n v="35"/>
    <n v="80"/>
    <x v="0"/>
    <n v="2020"/>
    <x v="4"/>
    <n v="8"/>
    <n v="19"/>
  </r>
  <r>
    <n v="543"/>
    <s v="In the cricket championship, a nail-biting finish leaves fans on the edge of their seats, experiencing a rollercoaster of emotions."/>
    <x v="23"/>
    <x v="485"/>
    <s v="CricketFanChampionshipThrills"/>
    <x v="2"/>
    <s v="#Excitement #CricketChampionship"/>
    <n v="30"/>
    <n v="70"/>
    <x v="4"/>
    <n v="2019"/>
    <x v="5"/>
    <n v="25"/>
    <n v="22"/>
  </r>
  <r>
    <n v="544"/>
    <s v="Witnessing a record-breaking marathon, spectators are filled with awe and admiration for the endurance and dedication of the runners."/>
    <x v="12"/>
    <x v="496"/>
    <s v="MarathonSpectatorRecordBreaking"/>
    <x v="1"/>
    <s v="#Admiration #MarathonRecords"/>
    <n v="22"/>
    <n v="60"/>
    <x v="30"/>
    <n v="2021"/>
    <x v="6"/>
    <n v="7"/>
    <n v="17"/>
  </r>
  <r>
    <n v="545"/>
    <s v="In the tennis grand slam, a fierce rivalry unfolds, captivating fans with a display of skill and sportsmanship on the world stage."/>
    <x v="144"/>
    <x v="478"/>
    <s v="TennisEnthusiastGrandSlamDrama"/>
    <x v="0"/>
    <s v="#Captivation #TennisRivalry"/>
    <n v="28"/>
    <n v="45"/>
    <x v="2"/>
    <n v="2017"/>
    <x v="8"/>
    <n v="10"/>
    <n v="20"/>
  </r>
  <r>
    <n v="546"/>
    <s v="Cheering for the underdog in the basketball finals, the crowd erupts in applause as the team defies odds to claim the championship title."/>
    <x v="160"/>
    <x v="497"/>
    <s v="BasketballFanUnderdogTriumph"/>
    <x v="2"/>
    <s v="#Triumph #BasketballFinals"/>
    <n v="18"/>
    <n v="55"/>
    <x v="0"/>
    <n v="2022"/>
    <x v="5"/>
    <n v="20"/>
    <n v="21"/>
  </r>
  <r>
    <n v="547"/>
    <s v="At the golf tournament, the golfer's precision and focus lead to a stunning victory, leaving spectators in awe of their exceptional skill."/>
    <x v="14"/>
    <x v="498"/>
    <s v="GolfEnthusiastPrecisionVictory"/>
    <x v="1"/>
    <s v="#Awe #GolfVictory"/>
    <n v="22"/>
    <n v="35"/>
    <x v="31"/>
    <n v="2016"/>
    <x v="7"/>
    <n v="10"/>
    <n v="18"/>
  </r>
  <r>
    <n v="548"/>
    <s v="Experiencing the thrill of a high-speed Formula 1 race, fans are on the edge of their seats as drivers compete for the championship."/>
    <x v="79"/>
    <x v="499"/>
    <s v="F1FanHighSpeedRaceExcitement"/>
    <x v="0"/>
    <s v="#Thrill #Formula1Championship"/>
    <n v="28"/>
    <n v="45"/>
    <x v="9"/>
    <n v="2019"/>
    <x v="6"/>
    <n v="24"/>
    <n v="19"/>
  </r>
  <r>
    <n v="549"/>
    <s v="In the cycling world championship, the climber conquers challenging terrains, symbolizing determination and achievement against all odds."/>
    <x v="58"/>
    <x v="500"/>
    <s v="CyclingEnthusiastWorldChampion"/>
    <x v="2"/>
    <s v="#Determination #CyclingChampion"/>
    <n v="35"/>
    <n v="55"/>
    <x v="11"/>
    <n v="2015"/>
    <x v="8"/>
    <n v="28"/>
    <n v="22"/>
  </r>
  <r>
    <n v="550"/>
    <s v="Witnessing a heartwarming comeback in the hockey finals, fans share tears of joy as the team secures a historic victory after adversity."/>
    <x v="161"/>
    <x v="501"/>
    <s v="HockeyFanComebackVictory"/>
    <x v="1"/>
    <s v="#Heartwarming #HockeyFinalsComeback"/>
    <n v="22"/>
    <n v="70"/>
    <x v="1"/>
    <n v="2020"/>
    <x v="11"/>
    <n v="12"/>
    <n v="20"/>
  </r>
  <r>
    <n v="551"/>
    <s v="After a series of defeats, the soccer team faces disappointment, struggling to find the silver lining in a challenging season."/>
    <x v="126"/>
    <x v="502"/>
    <s v="SoccerFanTeamDefeats"/>
    <x v="0"/>
    <s v="#Disappointment #SoccerDefeats"/>
    <n v="40"/>
    <n v="45"/>
    <x v="6"/>
    <n v="2019"/>
    <x v="6"/>
    <n v="2"/>
    <n v="18"/>
  </r>
  <r>
    <n v="552"/>
    <s v="In the tennis tournament, a highly anticipated player experiences a setback, leaving fans in shock and questioning the unforeseen turn of events."/>
    <x v="45"/>
    <x v="503"/>
    <s v="TennisEnthusiastUnexpectedSetback"/>
    <x v="1"/>
    <s v="#Frustration #TennisSetback"/>
    <n v="35"/>
    <n v="80"/>
    <x v="0"/>
    <n v="2018"/>
    <x v="9"/>
    <n v="10"/>
    <n v="21"/>
  </r>
  <r>
    <n v="553"/>
    <s v="Facing a defeat in the championship, the boxer reflects on the challenges, vowing to return stronger and more determined in the next bout."/>
    <x v="88"/>
    <x v="504"/>
    <s v="BoxingFanChampionshipDefeat"/>
    <x v="2"/>
    <s v="#Reflection #BoxingDefeat"/>
    <n v="30"/>
    <n v="70"/>
    <x v="2"/>
    <n v="2020"/>
    <x v="8"/>
    <n v="18"/>
    <n v="19"/>
  </r>
  <r>
    <n v="554"/>
    <s v="In the midst of a cycling race, a tire blowout leads to frustration for the cyclist, who valiantly tries to overcome the unexpected obstacle."/>
    <x v="162"/>
    <x v="505"/>
    <s v="CyclingEnthusiastTireBlowout"/>
    <x v="0"/>
    <s v="#Obstacle #CyclingFrustration"/>
    <n v="22"/>
    <n v="60"/>
    <x v="5"/>
    <n v="2017"/>
    <x v="3"/>
    <n v="15"/>
    <n v="22"/>
  </r>
  <r>
    <n v="555"/>
    <s v="The gymnast's unexpected fall during a routine sparks a wave of sympathy from the audience, highlighting the vulnerability of sports."/>
    <x v="163"/>
    <x v="506"/>
    <s v="GymnasticsFanRoutineFall"/>
    <x v="1"/>
    <s v="#Sympathy #GymnasticsFall"/>
    <n v="28"/>
    <n v="45"/>
    <x v="7"/>
    <n v="2021"/>
    <x v="7"/>
    <n v="5"/>
    <n v="20"/>
  </r>
  <r>
    <n v="556"/>
    <s v="In the golf tournament, a missed crucial putt results in defeat, causing the golfer to reflect on the pressure of high-stakes competition."/>
    <x v="164"/>
    <x v="507"/>
    <s v="GolfEnthusiastMissedPutt"/>
    <x v="2"/>
    <s v="#Pressure #GolfDefeat"/>
    <n v="18"/>
    <n v="55"/>
    <x v="0"/>
    <n v="2016"/>
    <x v="4"/>
    <n v="20"/>
    <n v="18"/>
  </r>
  <r>
    <n v="557"/>
    <s v="Experiencing a series of losses in the basketball season, the team grapples with frustration, determined to turn the tide with renewed effort."/>
    <x v="165"/>
    <x v="508"/>
    <s v="BasketballFanTeamLosses"/>
    <x v="0"/>
    <s v="#RenewedEffort #BasketballStruggles"/>
    <n v="22"/>
    <n v="35"/>
    <x v="1"/>
    <n v="2019"/>
    <x v="1"/>
    <n v="12"/>
    <n v="19"/>
  </r>
  <r>
    <n v="558"/>
    <s v="Despite meticulous training, the swimmer faces disappointment as a split-second miscalculation costs them the lead in a crucial race."/>
    <x v="166"/>
    <x v="509"/>
    <s v="SwimmingEnthusiastRaceSetback"/>
    <x v="1"/>
    <s v="#Miscalculation #SwimmingDisappointment"/>
    <n v="28"/>
    <n v="45"/>
    <x v="3"/>
    <n v="2015"/>
    <x v="5"/>
    <n v="28"/>
    <n v="20"/>
  </r>
  <r>
    <n v="559"/>
    <s v="The weightlifter's failed attempt at a personal record results in frustration, highlighting the challenging nature of pushing physical limits."/>
    <x v="167"/>
    <x v="510"/>
    <s v="WeightliftingFanFailedRecord"/>
    <x v="2"/>
    <s v="#Challenge #WeightliftingFailure"/>
    <n v="35"/>
    <n v="55"/>
    <x v="9"/>
    <n v="2022"/>
    <x v="0"/>
    <n v="8"/>
    <n v="21"/>
  </r>
  <r>
    <n v="560"/>
    <s v="In the midst of a soccer match, an unexpected own goal creates a moment of despair for the player, as teammates console and encourage them."/>
    <x v="40"/>
    <x v="511"/>
    <s v="SoccerPlayerOwnGoalMoment"/>
    <x v="0"/>
    <s v="#Despair #OwnGoal"/>
    <n v="22"/>
    <n v="70"/>
    <x v="14"/>
    <n v="2018"/>
    <x v="11"/>
    <n v="15"/>
    <n v="20"/>
  </r>
  <r>
    <n v="561"/>
    <s v="In the serene beauty of a sunset, nature unfolds a canvas of colors, evoking a sense of tranquility and wonder."/>
    <x v="145"/>
    <x v="512"/>
    <s v="NatureEnthusiastSunsetWonder"/>
    <x v="1"/>
    <s v="#Tranquility #SunsetBeauty"/>
    <n v="40"/>
    <n v="45"/>
    <x v="1"/>
    <n v="2021"/>
    <x v="9"/>
    <n v="10"/>
    <n v="19"/>
  </r>
  <r>
    <n v="562"/>
    <s v="Embarking on a spontaneous road trip, the traveler discovers hidden gems, creating memories that will be cherished for a lifetime."/>
    <x v="108"/>
    <x v="513"/>
    <s v="TravelEnthusiastRoadTripDiscovery"/>
    <x v="0"/>
    <s v="#Adventure #RoadTripMemories"/>
    <n v="35"/>
    <n v="80"/>
    <x v="0"/>
    <n v="2019"/>
    <x v="8"/>
    <n v="28"/>
    <n v="20"/>
  </r>
  <r>
    <n v="563"/>
    <s v="Amidst the bustling city, a quiet café becomes a sanctuary for reflection, where a cup of coffee brings solace to the wandering mind."/>
    <x v="168"/>
    <x v="514"/>
    <s v="UrbanExplorerCafeSolitude"/>
    <x v="2"/>
    <s v="#Solace #CafeReflection"/>
    <n v="30"/>
    <n v="70"/>
    <x v="5"/>
    <n v="2022"/>
    <x v="2"/>
    <n v="15"/>
    <n v="18"/>
  </r>
  <r>
    <n v="564"/>
    <s v="Exploring the vibrant street art of a cultural neighborhood, each mural tells a story, infusing the city with creativity and expression."/>
    <x v="103"/>
    <x v="515"/>
    <s v="ArtEnthusiastStreetArtExploration"/>
    <x v="1"/>
    <s v="#Creativity #StreetArtVibes"/>
    <n v="22"/>
    <n v="60"/>
    <x v="6"/>
    <n v="2017"/>
    <x v="6"/>
    <n v="5"/>
    <n v="21"/>
  </r>
  <r>
    <n v="565"/>
    <s v="In the world of science, a breakthrough discovery unfolds, pushing the boundaries of knowledge and opening new frontiers of exploration."/>
    <x v="169"/>
    <x v="516"/>
    <s v="ScienceEnthusiastDiscoveryMoment"/>
    <x v="0"/>
    <s v="#Breakthrough #ScientificDiscovery"/>
    <n v="28"/>
    <n v="45"/>
    <x v="9"/>
    <n v="2020"/>
    <x v="3"/>
    <n v="20"/>
    <n v="16"/>
  </r>
  <r>
    <n v="566"/>
    <s v="Connecting with the melody of a live orchestra, the music enthusiast experiences a symphony that resonates deep within the soul."/>
    <x v="102"/>
    <x v="517"/>
    <s v="MusicLoverLiveOrchestraExperience"/>
    <x v="2"/>
    <s v="#Harmony #OrchestraMelody"/>
    <n v="18"/>
    <n v="55"/>
    <x v="2"/>
    <n v="2016"/>
    <x v="4"/>
    <n v="22"/>
    <n v="19"/>
  </r>
  <r>
    <n v="567"/>
    <s v="Embracing the aroma of freshly baked bread, the home chef finds joy in the art of baking, creating delicious memories for loved ones."/>
    <x v="170"/>
    <x v="518"/>
    <s v="HomeBakerDeliciousMemories"/>
    <x v="1"/>
    <s v="#JoyInBaking #HomemadeDelights"/>
    <n v="22"/>
    <n v="35"/>
    <x v="4"/>
    <n v="2023"/>
    <x v="7"/>
    <n v="10"/>
    <n v="17"/>
  </r>
  <r>
    <n v="568"/>
    <s v="Wandering through a historical museum, the history enthusiast becomes immersed in the tales of the past, envisioning bygone eras."/>
    <x v="171"/>
    <x v="519"/>
    <s v="HistoryBuffMuseumExploration"/>
    <x v="0"/>
    <s v="#EnvisioningHistory #MuseumTales"/>
    <n v="28"/>
    <n v="45"/>
    <x v="11"/>
    <n v="2015"/>
    <x v="11"/>
    <n v="18"/>
    <n v="18"/>
  </r>
  <r>
    <n v="569"/>
    <s v="In the realm of literature, a captivating novel transports the reader to distant lands, weaving a tapestry of imagination and escape."/>
    <x v="172"/>
    <x v="520"/>
    <s v="BookwormCaptivatingNovelEscape"/>
    <x v="2"/>
    <s v="#Imagination #LiteraryEscape"/>
    <n v="35"/>
    <n v="55"/>
    <x v="7"/>
    <n v="2021"/>
    <x v="10"/>
    <n v="8"/>
    <n v="20"/>
  </r>
  <r>
    <n v="570"/>
    <s v="Capturing the essence of a bustling market, the photographer freezes moments in time, each frame telling a unique and vibrant story."/>
    <x v="173"/>
    <x v="521"/>
    <s v="PhotographyEnthusiastMarketMoments"/>
    <x v="1"/>
    <s v="#Vibrancy #MarketStories"/>
    <n v="22"/>
    <n v="70"/>
    <x v="3"/>
    <n v="2019"/>
    <x v="2"/>
    <n v="22"/>
    <n v="21"/>
  </r>
  <r>
    <n v="571"/>
    <s v="Underneath the city lights, the dancer expresses emotions through graceful movements, creating a mesmerizing performance under the night sky."/>
    <x v="174"/>
    <x v="522"/>
    <s v="DanceEnthusiastCityNightPerformance"/>
    <x v="0"/>
    <s v="#Mesmerizing #NightDancePerformance"/>
    <n v="40"/>
    <n v="45"/>
    <x v="0"/>
    <n v="2018"/>
    <x v="5"/>
    <n v="15"/>
    <n v="22"/>
  </r>
  <r>
    <n v="572"/>
    <s v="In the heart of a bustling market, the street food connoisseur indulges in a culinary adventure, savoring diverse flavors and aromas."/>
    <x v="175"/>
    <x v="523"/>
    <s v="FoodieMarketStreetFoodExploration"/>
    <x v="1"/>
    <s v="#CulinaryAdventure #StreetFoodDelights"/>
    <n v="35"/>
    <n v="80"/>
    <x v="32"/>
    <n v="2019"/>
    <x v="4"/>
    <n v="28"/>
    <n v="19"/>
  </r>
  <r>
    <n v="573"/>
    <s v="As the first snowflake descends, the winter enthusiast eagerly prepares for a season of frosty delights, anticipating the magic of snow-covered landscapes."/>
    <x v="176"/>
    <x v="524"/>
    <s v="SnowLoverWinterEnthusiast"/>
    <x v="2"/>
    <s v="#WinterMagic #SnowyLandscapes"/>
    <n v="30"/>
    <n v="70"/>
    <x v="1"/>
    <n v="2022"/>
    <x v="11"/>
    <n v="1"/>
    <n v="17"/>
  </r>
  <r>
    <n v="574"/>
    <s v="Amidst the pages of a captivating mystery novel, the reader unravels clues and secrets, experiencing a thrilling journey of suspense and revelation."/>
    <x v="177"/>
    <x v="525"/>
    <s v="MysteryBookwormSuspensefulRead"/>
    <x v="0"/>
    <s v="#ThrillingJourney #MysteryNovel"/>
    <n v="22"/>
    <n v="60"/>
    <x v="2"/>
    <n v="2017"/>
    <x v="7"/>
    <n v="10"/>
    <n v="21"/>
  </r>
  <r>
    <n v="575"/>
    <s v="Surrounded by the vibrant colors of a flower garden, the gardener nurtures blossoms, finding joy in the beauty of nature's ever-changing canvas."/>
    <x v="178"/>
    <x v="526"/>
    <s v="GardeningEnthusiastFlowerGarden"/>
    <x v="1"/>
    <s v="#NaturesBeauty #FloralJoy"/>
    <n v="28"/>
    <n v="45"/>
    <x v="3"/>
    <n v="2020"/>
    <x v="3"/>
    <n v="15"/>
    <n v="18"/>
  </r>
  <r>
    <n v="576"/>
    <s v="At the astronomy observatory, the stargazer marvels at the vastness of the cosmos, contemplating the mysteries hidden within the celestial expanse."/>
    <x v="179"/>
    <x v="527"/>
    <s v="AstronomyEnthusiastStargazing"/>
    <x v="2"/>
    <s v="#CelestialWonder #Stargazing"/>
    <n v="18"/>
    <n v="55"/>
    <x v="0"/>
    <n v="2016"/>
    <x v="8"/>
    <n v="22"/>
    <n v="20"/>
  </r>
  <r>
    <n v="577"/>
    <s v="Engulfed in the aroma of freshly brewed coffee, the writer finds inspiration in every sip, embarking on a journey of creativity and prose."/>
    <x v="180"/>
    <x v="528"/>
    <s v="CoffeeLoverWritersRetreat"/>
    <x v="0"/>
    <s v="#CreativeInspiration #CoffeeJourney"/>
    <n v="22"/>
    <n v="35"/>
    <x v="5"/>
    <n v="2023"/>
    <x v="1"/>
    <n v="12"/>
    <n v="19"/>
  </r>
  <r>
    <n v="578"/>
    <s v="In the realm of fashion, the designer unveils a collection that tells a story, blending innovation and tradition on the runway of creativity."/>
    <x v="181"/>
    <x v="529"/>
    <s v="FashionEnthusiastDesignerShowcase"/>
    <x v="1"/>
    <s v="#RunwayCreativity #FashionInnovation"/>
    <n v="28"/>
    <n v="45"/>
    <x v="11"/>
    <n v="2015"/>
    <x v="6"/>
    <n v="10"/>
    <n v="21"/>
  </r>
  <r>
    <n v="579"/>
    <s v="As the waves crash against the shore, the surfer embraces the thrill of riding the ocean's energy, capturing the essence of freedom in each wave."/>
    <x v="182"/>
    <x v="530"/>
    <s v="SurfingEnthusiastWaveRider"/>
    <x v="2"/>
    <s v="#OceansFreedom #SurfingThrills"/>
    <n v="22"/>
    <n v="55"/>
    <x v="6"/>
    <n v="2021"/>
    <x v="9"/>
    <n v="20"/>
    <n v="18"/>
  </r>
  <r>
    <n v="580"/>
    <s v="Exploring the historical architecture of an ancient city, the traveler is transported to a bygone era, where each monument whispers tales of the past."/>
    <x v="183"/>
    <x v="531"/>
    <s v="HistoryExplorerAncientCityTour"/>
    <x v="0"/>
    <s v="#WhispersOfThePast #HistoricalTour"/>
    <n v="35"/>
    <n v="45"/>
    <x v="8"/>
    <n v="2019"/>
    <x v="7"/>
    <n v="18"/>
    <n v="20"/>
  </r>
  <r>
    <n v="581"/>
    <s v="Successfully avoided eye contact with my crush in the hallway. Mission accomplished. #TeenCrush #StealthMode"/>
    <x v="23"/>
    <x v="532"/>
    <s v="CrushAvoider"/>
    <x v="0"/>
    <s v="#CrushStruggles #AvoidingEyeContact"/>
    <n v="15"/>
    <n v="70"/>
    <x v="0"/>
    <n v="2023"/>
    <x v="3"/>
    <n v="20"/>
    <n v="19"/>
  </r>
  <r>
    <n v="582"/>
    <s v="Ran out of snacks during a movie marathon. Crisis level: Emergency! #MovieNightStruggles #TeenProblems"/>
    <x v="46"/>
    <x v="533"/>
    <s v="MovieBuff"/>
    <x v="1"/>
    <s v="#SnackCrisis #TeenLife"/>
    <n v="18"/>
    <n v="30"/>
    <x v="1"/>
    <n v="2023"/>
    <x v="3"/>
    <n v="21"/>
    <n v="21"/>
  </r>
  <r>
    <n v="583"/>
    <s v="Spent an hour choosing the perfect filter for a selfie. The struggle for that Instagram aesthetic is real. #SelfieQueen #TeenVibes"/>
    <x v="8"/>
    <x v="534"/>
    <s v="SelfieAddict"/>
    <x v="2"/>
    <s v="#SelfieStruggle #TeenConfessions"/>
    <n v="22"/>
    <n v="35"/>
    <x v="2"/>
    <n v="2023"/>
    <x v="3"/>
    <n v="22"/>
    <n v="14"/>
  </r>
  <r>
    <n v="584"/>
    <s v="Lost my headphones again. How do they vanish into thin air? #HeadphoneMystery #TeenLife"/>
    <x v="45"/>
    <x v="535"/>
    <s v="AudioExplorer"/>
    <x v="0"/>
    <s v="#TeenProblems #LostHeadphones"/>
    <n v="20"/>
    <n v="45"/>
    <x v="0"/>
    <n v="2023"/>
    <x v="3"/>
    <n v="23"/>
    <n v="16"/>
  </r>
  <r>
    <n v="585"/>
    <s v="Decided to study for exams but ended up making memes about studying instead. Procrastination level: Expert. #ProcrastinationNation #TeenConfessions"/>
    <x v="16"/>
    <x v="536"/>
    <s v="MemeCreator"/>
    <x v="1"/>
    <s v="#StudyingMemes #TeenLife"/>
    <n v="25"/>
    <n v="40"/>
    <x v="1"/>
    <n v="2023"/>
    <x v="3"/>
    <n v="24"/>
    <n v="13"/>
  </r>
  <r>
    <n v="586"/>
    <s v="Got dressed for the day, then remembered it's Saturday. Oops. #WeekendVibes #TeenStruggles"/>
    <x v="53"/>
    <x v="537"/>
    <s v="FashionBlunder"/>
    <x v="2"/>
    <s v="#WeekendOops #TeenFashion"/>
    <n v="20"/>
    <n v="50"/>
    <x v="0"/>
    <n v="2023"/>
    <x v="3"/>
    <n v="25"/>
    <n v="19"/>
  </r>
  <r>
    <n v="587"/>
    <s v="Survived a group project without any drama. Miracles do happen. #GroupProjectSuccess #TeenAchievements"/>
    <x v="86"/>
    <x v="538"/>
    <s v="GroupGenius"/>
    <x v="0"/>
    <s v="#TeenSuccess #ProjectMiracle"/>
    <n v="28"/>
    <n v="40"/>
    <x v="2"/>
    <n v="2023"/>
    <x v="3"/>
    <n v="26"/>
    <n v="14"/>
  </r>
  <r>
    <n v="588"/>
    <s v="Entered the kitchen with the intention to cook. Left with a bag of chips. Cooking is overrated, anyway. #MasterChefInTraining #TeenHumor"/>
    <x v="6"/>
    <x v="539"/>
    <s v="ChipExplorer"/>
    <x v="1"/>
    <s v="#TeenChef #CookingFail"/>
    <n v="22"/>
    <n v="55"/>
    <x v="1"/>
    <n v="2023"/>
    <x v="3"/>
    <n v="27"/>
    <n v="21"/>
  </r>
  <r>
    <n v="589"/>
    <s v="Staring at the clock in class, waiting for the bell to ring like it's the most exciting event of the day. #ClassCountdown #TeenLife"/>
    <x v="16"/>
    <x v="540"/>
    <s v="ExcitementSeeker"/>
    <x v="2"/>
    <s v="#ClassEvent #TeenExcitement"/>
    <n v="18"/>
    <n v="45"/>
    <x v="0"/>
    <n v="2023"/>
    <x v="3"/>
    <n v="28"/>
    <n v="12"/>
  </r>
  <r>
    <n v="590"/>
    <s v="Discovered a new book series and spent the whole night reading. Who needs sleep, anyway? #BookwormLife #LateNightReading"/>
    <x v="8"/>
    <x v="541"/>
    <s v="NightReader"/>
    <x v="0"/>
    <s v="#BookDiscoveries #TeenReading"/>
    <n v="30"/>
    <n v="35"/>
    <x v="2"/>
    <n v="2023"/>
    <x v="3"/>
    <n v="29"/>
    <n v="23"/>
  </r>
  <r>
    <n v="591"/>
    <s v="Bought a new video game, played for hours, forgot to eat. The ultimate gaming session. #GamerLife #NoFoodGaming"/>
    <x v="23"/>
    <x v="542"/>
    <s v="GamingEnthusiast"/>
    <x v="1"/>
    <s v="#GameOn #TeenGamer"/>
    <n v="22"/>
    <n v="60"/>
    <x v="0"/>
    <n v="2023"/>
    <x v="3"/>
    <n v="30"/>
    <n v="20"/>
  </r>
  <r>
    <n v="592"/>
    <s v="Spent the day binge-watching a new series. Productivity level: Zero. #LazyDay #TVSeriesMarathon"/>
    <x v="8"/>
    <x v="543"/>
    <s v="LazyWatcher"/>
    <x v="2"/>
    <s v="#BingeWatchDay #TeenLife"/>
    <n v="35"/>
    <n v="45"/>
    <x v="1"/>
    <n v="2023"/>
    <x v="3"/>
    <n v="31"/>
    <n v="15"/>
  </r>
  <r>
    <n v="593"/>
    <s v="Caught up on the latest fashion trends and now planning a shopping spree. #Fashionista #TrendyTeen"/>
    <x v="23"/>
    <x v="544"/>
    <s v="TrendExplorer"/>
    <x v="0"/>
    <s v="#FashionGoals #TeenStyle"/>
    <n v="20"/>
    <n v="70"/>
    <x v="0"/>
    <n v="2023"/>
    <x v="5"/>
    <n v="1"/>
    <n v="18"/>
  </r>
  <r>
    <n v="594"/>
    <s v="Decided to learn a new instrument. Day one: Still trying to figure out how to hold it. #MusicNovice #LearningJourney"/>
    <x v="45"/>
    <x v="545"/>
    <s v="MusicalExplorer"/>
    <x v="1"/>
    <s v="#InstrumentLearning #TeenMusic"/>
    <n v="28"/>
    <n v="40"/>
    <x v="2"/>
    <n v="2023"/>
    <x v="5"/>
    <n v="2"/>
    <n v="14"/>
  </r>
  <r>
    <n v="595"/>
    <s v="Spent hours creating the perfect playlist for every mood. Music is my therapy. #PlaylistMaker #TeenMusicLover"/>
    <x v="8"/>
    <x v="546"/>
    <s v="MusicAficionado"/>
    <x v="2"/>
    <s v="#MusicTherapy #TeenPlaylist"/>
    <n v="22"/>
    <n v="55"/>
    <x v="1"/>
    <n v="2023"/>
    <x v="5"/>
    <n v="3"/>
    <n v="21"/>
  </r>
  <r>
    <n v="596"/>
    <s v="Successfully cooked a gourmet meal for the family. Chef skills unlocked! #ChefMode #TeenChef"/>
    <x v="25"/>
    <x v="547"/>
    <s v="HomeChef"/>
    <x v="0"/>
    <s v="#CookingSuccess #TeenCook"/>
    <n v="25"/>
    <n v="45"/>
    <x v="0"/>
    <n v="2023"/>
    <x v="5"/>
    <n v="4"/>
    <n v="19"/>
  </r>
  <r>
    <n v="597"/>
    <s v="Spontaneously booked a weekend getaway. Adventure awaits! #TravelBug #WeekendEscape"/>
    <x v="23"/>
    <x v="548"/>
    <s v="AdventureSeeker"/>
    <x v="1"/>
    <s v="#GetawayGoals #TeenTravel"/>
    <n v="18"/>
    <n v="50"/>
    <x v="2"/>
    <n v="2023"/>
    <x v="5"/>
    <n v="5"/>
    <n v="10"/>
  </r>
  <r>
    <n v="598"/>
    <s v="Attended a concert and danced the night away. Music is the heartbeat of life. #ConcertVibes #DanceAllNight"/>
    <x v="8"/>
    <x v="549"/>
    <s v="DanceEnthusiast"/>
    <x v="2"/>
    <s v="#MusicMagic #TeenConcert"/>
    <n v="28"/>
    <n v="35"/>
    <x v="1"/>
    <n v="2023"/>
    <x v="5"/>
    <n v="6"/>
    <n v="22"/>
  </r>
  <r>
    <n v="599"/>
    <s v="Rediscovered childhood cartoons and had a nostalgia-filled marathon. #CartoonNostalgia #TeenMemories"/>
    <x v="8"/>
    <x v="550"/>
    <s v="NostalgiaExplorer"/>
    <x v="0"/>
    <s v="#ChildhoodMemories #TeenCartoons"/>
    <n v="22"/>
    <n v="55"/>
    <x v="0"/>
    <n v="2023"/>
    <x v="5"/>
    <n v="7"/>
    <n v="12"/>
  </r>
  <r>
    <n v="600"/>
    <s v="Embarked on a DIY home decor project. Let's hope it turns out better than last time. #DIYAdventure #TeenHomeDecor"/>
    <x v="23"/>
    <x v="551"/>
    <s v="HomeDecorator"/>
    <x v="1"/>
    <s v="#DIYGoals #TeenCreative"/>
    <n v="35"/>
    <n v="45"/>
    <x v="2"/>
    <n v="2023"/>
    <x v="5"/>
    <n v="8"/>
    <n v="16"/>
  </r>
  <r>
    <n v="601"/>
    <s v="Spent the afternoon at a museum, pretending to be cultured. Art enthusiast in the making. #MuseumDay #TeenArtLover"/>
    <x v="52"/>
    <x v="552"/>
    <s v="ArtExplorer"/>
    <x v="2"/>
    <s v="#CulturalDay #TeenCuriosity"/>
    <n v="20"/>
    <n v="70"/>
    <x v="0"/>
    <n v="2023"/>
    <x v="5"/>
    <n v="9"/>
    <n v="14"/>
  </r>
  <r>
    <n v="602"/>
    <s v="Started a blog about random thoughts and musings. Blogging is the new diary. #BloggerLife #TeenBlogger"/>
    <x v="52"/>
    <x v="553"/>
    <s v="ThoughtfulBlogger"/>
    <x v="0"/>
    <s v="#BloggingJourney #TeenThoughts"/>
    <n v="30"/>
    <n v="40"/>
    <x v="1"/>
    <n v="2023"/>
    <x v="5"/>
    <n v="10"/>
    <n v="17"/>
  </r>
  <r>
    <n v="603"/>
    <s v="Relishing a peaceful afternoon with a classic novel. Quiet moments are the best moments. #BookLover #PeacefulAfternoon"/>
    <x v="29"/>
    <x v="554"/>
    <s v="NovelEnthusiast"/>
    <x v="1"/>
    <s v="#QuietMoments #BookishEscape"/>
    <n v="35"/>
    <n v="60"/>
    <x v="0"/>
    <n v="2023"/>
    <x v="5"/>
    <n v="11"/>
    <n v="15"/>
  </r>
  <r>
    <n v="604"/>
    <s v="Reflecting on a lifetime of memories, each wrinkle tells a story. Embracing the beauty of aging. #LifeReflections #BeautyInAging"/>
    <x v="31"/>
    <x v="555"/>
    <s v="WiseSoul"/>
    <x v="0"/>
    <s v="#AgingGracefully #Memories"/>
    <n v="28"/>
    <n v="70"/>
    <x v="2"/>
    <n v="2023"/>
    <x v="5"/>
    <n v="12"/>
    <n v="18"/>
  </r>
  <r>
    <n v="605"/>
    <s v="Exploring the world of digital art. It's never too late to discover new passions. #DigitalArtistry #LateBloomer"/>
    <x v="52"/>
    <x v="556"/>
    <s v="ArtAdventurer"/>
    <x v="2"/>
    <s v="#ArtDiscovery #SeniorArtist"/>
    <n v="22"/>
    <n v="55"/>
    <x v="1"/>
    <n v="2023"/>
    <x v="5"/>
    <n v="13"/>
    <n v="14"/>
  </r>
  <r>
    <n v="606"/>
    <s v="Savoring the flavors of a home-cooked meal. Simple joys are the heart of happiness. #HomeCooking #SimpleJoys"/>
    <x v="29"/>
    <x v="557"/>
    <s v="HomeChefSenior"/>
    <x v="1"/>
    <s v="#HappinessInFood #SeniorLife"/>
    <n v="25"/>
    <n v="45"/>
    <x v="0"/>
    <n v="2023"/>
    <x v="5"/>
    <n v="14"/>
    <n v="19"/>
  </r>
  <r>
    <n v="607"/>
    <s v="Embarking on a journey of learning a new language. The mind stays young with every new word. #LanguageLearning #NeverTooLate"/>
    <x v="52"/>
    <x v="558"/>
    <s v="LinguisticExplorer"/>
    <x v="0"/>
    <s v="#MindEnrichment #SeniorLearning"/>
    <n v="30"/>
    <n v="50"/>
    <x v="2"/>
    <n v="2023"/>
    <x v="5"/>
    <n v="15"/>
    <n v="12"/>
  </r>
  <r>
    <n v="608"/>
    <s v="Attended a classical music concert, feeling the timeless melodies resonate. Music transcends generations. #ClassicalMusic #TimelessMelodies"/>
    <x v="8"/>
    <x v="559"/>
    <s v="MusicConnoisseur"/>
    <x v="2"/>
    <s v="#MusicLover #SeniorConcert"/>
    <n v="18"/>
    <n v="60"/>
    <x v="1"/>
    <n v="2023"/>
    <x v="5"/>
    <n v="16"/>
    <n v="21"/>
  </r>
  <r>
    <n v="609"/>
    <s v="Capturing the beauty of nature through photography. Every snapshot is a treasure. #NaturePhotography #SeniorPhotographer"/>
    <x v="8"/>
    <x v="560"/>
    <s v="PhotographySenior"/>
    <x v="1"/>
    <s v="#NatureCapture #SeniorMoments"/>
    <n v="35"/>
    <n v="35"/>
    <x v="0"/>
    <n v="2023"/>
    <x v="5"/>
    <n v="17"/>
    <n v="15"/>
  </r>
  <r>
    <n v="610"/>
    <s v="Reconnecting with old friends over a cup of tea. Friendship, the true essence of companionship. #OldFriends #Companionship"/>
    <x v="29"/>
    <x v="561"/>
    <s v="TeaTimeSenior"/>
    <x v="0"/>
    <s v="#FriendshipGoals #SeniorBonding"/>
    <n v="28"/>
    <n v="70"/>
    <x v="2"/>
    <n v="2023"/>
    <x v="5"/>
    <n v="18"/>
    <n v="11"/>
  </r>
  <r>
    <n v="611"/>
    <s v="Embarked on a road trip to revisit cherished places from the past. Nostalgia, the ultimate travel companion. #RoadTrip #NostalgiaTour"/>
    <x v="8"/>
    <x v="562"/>
    <s v="RoadTripSenior"/>
    <x v="2"/>
    <s v="#CherishedPlaces #SeniorTravel"/>
    <n v="22"/>
    <n v="55"/>
    <x v="1"/>
    <n v="2023"/>
    <x v="5"/>
    <n v="19"/>
    <n v="16"/>
  </r>
  <r>
    <n v="612"/>
    <s v="Joined a community choir, harmonizing with fellow voices. Music creates bonds that withstand time. #CommunityChoir #HarmonyInAging"/>
    <x v="8"/>
    <x v="563"/>
    <s v="ChoirEnthusiast"/>
    <x v="1"/>
    <s v="#MusicHarmony #SeniorVoices"/>
    <n v="20"/>
    <n v="45"/>
    <x v="0"/>
    <n v="2023"/>
    <x v="5"/>
    <n v="20"/>
    <n v="14"/>
  </r>
  <r>
    <n v="613"/>
    <s v="Exploring the art of meditation, finding tranquility in the stillness of the mind. #MeditationJourney #TranquilMind"/>
    <x v="29"/>
    <x v="564"/>
    <s v="MeditationSenior"/>
    <x v="0"/>
    <s v="#MindfulLiving #SeniorCalm"/>
    <n v="18"/>
    <n v="40"/>
    <x v="2"/>
    <n v="2023"/>
    <x v="5"/>
    <n v="21"/>
    <n v="19"/>
  </r>
  <r>
    <n v="614"/>
    <s v="Taking a stroll in the garden, appreciating the beauty of blooming flowers. Nature's wonders never cease. #GardenWalk #FloralBeauty"/>
    <x v="29"/>
    <x v="565"/>
    <s v="GardenEnthusiast"/>
    <x v="2"/>
    <s v="#NatureWonders #SeniorGarden"/>
    <n v="25"/>
    <n v="35"/>
    <x v="0"/>
    <n v="2023"/>
    <x v="5"/>
    <n v="22"/>
    <n v="13"/>
  </r>
  <r>
    <n v="615"/>
    <s v="Sipping on a favorite vintage wine, each sip telling a story of the years gone by. Cheers to a life well-lived. #WineLover #VintageCheers"/>
    <x v="29"/>
    <x v="566"/>
    <s v="WineConnoisseur"/>
    <x v="1"/>
    <s v="#LifeWellLived #SeniorWine"/>
    <n v="28"/>
    <n v="50"/>
    <x v="2"/>
    <n v="2023"/>
    <x v="5"/>
    <n v="23"/>
    <n v="18"/>
  </r>
  <r>
    <n v="616"/>
    <s v="Participated in a community art class, unleashing creativity in the golden years. Art has no age limit. #ArtClass #SeniorArtistry"/>
    <x v="8"/>
    <x v="567"/>
    <s v="ArtisticSenior"/>
    <x v="0"/>
    <s v="#CreativityAtAnyAge #SeniorCreativity"/>
    <n v="22"/>
    <n v="55"/>
    <x v="1"/>
    <n v="2023"/>
    <x v="5"/>
    <n v="24"/>
    <n v="16"/>
  </r>
  <r>
    <n v="617"/>
    <s v="Embarking on a journey of writing a memoir, documenting a lifetime of experiences. Every story matters. #MemoirWriting #SeniorStories"/>
    <x v="31"/>
    <x v="568"/>
    <s v="MemoiristSenior"/>
    <x v="2"/>
    <s v="#LifetimeExperiences #SeniorMemoir"/>
    <n v="35"/>
    <n v="45"/>
    <x v="0"/>
    <n v="2023"/>
    <x v="5"/>
    <n v="25"/>
    <n v="20"/>
  </r>
  <r>
    <n v="618"/>
    <s v="Attended a lecture on history, always fascinated by the lessons from the past. Learning is a lifelong adventure. #HistoryLecture #SeniorLearning"/>
    <x v="52"/>
    <x v="569"/>
    <s v="HistoryEnthusiast"/>
    <x v="1"/>
    <s v="#LifetimeAdventure #SeniorCuriosity"/>
    <n v="30"/>
    <n v="70"/>
    <x v="2"/>
    <n v="2023"/>
    <x v="5"/>
    <n v="26"/>
    <n v="14"/>
  </r>
  <r>
    <n v="619"/>
    <s v="Rediscovered the joy of cooking traditional family recipes. The kitchen, a place of cherished memories. #FamilyRecipes #SeniorCooking"/>
    <x v="29"/>
    <x v="570"/>
    <s v="FamilyChefSenior"/>
    <x v="0"/>
    <s v="#KitchenMemories #SeniorCulinary"/>
    <n v="20"/>
    <n v="60"/>
    <x v="0"/>
    <n v="2023"/>
    <x v="5"/>
    <n v="27"/>
    <n v="17"/>
  </r>
  <r>
    <n v="620"/>
    <s v="Joined a nature photography club, capturing the beauty of the great outdoors. Every click is a connection to nature. #NaturePhotography #SeniorPhotographer"/>
    <x v="8"/>
    <x v="571"/>
    <s v="NaturePhotographySenior"/>
    <x v="2"/>
    <s v="#OutdoorBeauty #SeniorClicks"/>
    <n v="18"/>
    <n v="40"/>
    <x v="2"/>
    <n v="2023"/>
    <x v="5"/>
    <n v="28"/>
    <n v="22"/>
  </r>
  <r>
    <n v="621"/>
    <s v="Attended a jazz concert and swayed to the rhythm of timeless tunes. Music, a constant companion in the golden years. #JazzConcert #SeniorMusic"/>
    <x v="8"/>
    <x v="572"/>
    <s v="JazzMusicLover"/>
    <x v="1"/>
    <s v="#TimelessTunes #SeniorJazz"/>
    <n v="25"/>
    <n v="35"/>
    <x v="0"/>
    <n v="2023"/>
    <x v="5"/>
    <n v="29"/>
    <n v="16"/>
  </r>
  <r>
    <n v="622"/>
    <s v="Joined a writing group, penning down thoughts and reflections. Writing, a journey into the depths of the soul. #WritingGroup #SeniorWriter"/>
    <x v="31"/>
    <x v="573"/>
    <s v="SeniorWordsmith"/>
    <x v="0"/>
    <s v="#SoulfulWriting #SeniorReflections"/>
    <n v="28"/>
    <n v="50"/>
    <x v="2"/>
    <n v="2023"/>
    <x v="5"/>
    <n v="30"/>
    <n v="19"/>
  </r>
  <r>
    <n v="623"/>
    <s v="Embarked on a solo travel adventure, discovering the beauty of new places at my own pace. #SoloTravel #SeniorExplorer"/>
    <x v="23"/>
    <x v="574"/>
    <s v="SoloAdventurer"/>
    <x v="1"/>
    <s v="#DiscoverNewPlaces #SeniorTravel"/>
    <n v="30"/>
    <n v="55"/>
    <x v="0"/>
    <n v="2023"/>
    <x v="9"/>
    <n v="1"/>
    <n v="14"/>
  </r>
  <r>
    <n v="624"/>
    <s v="Attended a vintage car show, reminiscing about the classics that once ruled the roads. Nostalgia in every rev. #VintageCars #ClassicRides"/>
    <x v="8"/>
    <x v="575"/>
    <s v="CarEnthusiastSenior"/>
    <x v="2"/>
    <s v="#RoadTripDownMemoryLane #SeniorCars"/>
    <n v="22"/>
    <n v="60"/>
    <x v="2"/>
    <n v="2023"/>
    <x v="9"/>
    <n v="2"/>
    <n v="18"/>
  </r>
  <r>
    <n v="625"/>
    <s v="Started a community garden, growing not just plants but friendships too. Green thumbs unite! #CommunityGarden #SeniorGardener"/>
    <x v="8"/>
    <x v="576"/>
    <s v="GreenThumbSenior"/>
    <x v="0"/>
    <s v="#GardenFriends #SeniorGreenThumb"/>
    <n v="28"/>
    <n v="45"/>
    <x v="1"/>
    <n v="2023"/>
    <x v="9"/>
    <n v="3"/>
    <n v="12"/>
  </r>
  <r>
    <n v="626"/>
    <s v="Hosted a family dinner, where laughter echoed louder than the clinking of utensils. Family, the heart of happiness. #FamilyDinner #SeniorHost"/>
    <x v="29"/>
    <x v="577"/>
    <s v="FamilyHostSenior"/>
    <x v="1"/>
    <s v="#HeartwarmingMoments #SeniorFamily"/>
    <n v="35"/>
    <n v="55"/>
    <x v="0"/>
    <n v="2023"/>
    <x v="9"/>
    <n v="4"/>
    <n v="17"/>
  </r>
  <r>
    <n v="627"/>
    <s v="Enrolled in a dance class for seniors, moving to the rhythm of life. Age is just a number on the dance floor. #DanceClass #SeniorDancer"/>
    <x v="8"/>
    <x v="578"/>
    <s v="DanceEnthusiastSenior"/>
    <x v="0"/>
    <s v="#DanceLife #SeniorMoves"/>
    <n v="18"/>
    <n v="70"/>
    <x v="2"/>
    <n v="2023"/>
    <x v="9"/>
    <n v="5"/>
    <n v="20"/>
  </r>
  <r>
    <n v="628"/>
    <s v="Visited an art gallery, appreciating the brushstrokes that tell tales of creativity. Art, an eternal companion. #ArtGallery #SeniorArtLover"/>
    <x v="8"/>
    <x v="579"/>
    <s v="ArtGalleryVisitor"/>
    <x v="2"/>
    <s v="#CreativeExpressions #SeniorArt"/>
    <n v="25"/>
    <n v="35"/>
    <x v="0"/>
    <n v="2023"/>
    <x v="9"/>
    <n v="6"/>
    <n v="14"/>
  </r>
  <r>
    <n v="629"/>
    <s v="Started a book club for seniors, where discussions are as lively as the characters in the novels. #BookClub #SeniorReaders"/>
    <x v="8"/>
    <x v="580"/>
    <s v="SeniorBookClub"/>
    <x v="1"/>
    <s v="#BookishTalks #SeniorBookworms"/>
    <n v="22"/>
    <n v="50"/>
    <x v="2"/>
    <n v="2023"/>
    <x v="9"/>
    <n v="7"/>
    <n v="19"/>
  </r>
  <r>
    <n v="630"/>
    <s v="Hosted a picnic in the park, basking in the warmth of friendship and sunshine. Simple joys, timeless memories. #ParkPicnic #SeniorJoy"/>
    <x v="29"/>
    <x v="581"/>
    <s v="SeniorPicnicHost"/>
    <x v="0"/>
    <s v="#FriendshipSunshine #SeniorMemories"/>
    <n v="30"/>
    <n v="45"/>
    <x v="1"/>
    <n v="2023"/>
    <x v="9"/>
    <n v="8"/>
    <n v="16"/>
  </r>
  <r>
    <n v="631"/>
    <s v="Participated in a local theater production, proving that the stage belongs to every age. #TheaterProduction #SeniorActor"/>
    <x v="8"/>
    <x v="582"/>
    <s v="SeniorActor"/>
    <x v="2"/>
    <s v="#StagePassion #SeniorTheater"/>
    <n v="20"/>
    <n v="60"/>
    <x v="0"/>
    <n v="2023"/>
    <x v="9"/>
    <n v="9"/>
    <n v="22"/>
  </r>
  <r>
    <n v="632"/>
    <s v="Embarked on a hiking adventure, conquering trails and relishing the beauty of nature. Age is just a number on the mountaintop. #HikingAdventure #SeniorHiker"/>
    <x v="23"/>
    <x v="583"/>
    <s v="SeniorHikerExplorer"/>
    <x v="1"/>
    <s v="#NatureTrailBlazer #SeniorExplorer"/>
    <n v="28"/>
    <n v="40"/>
    <x v="2"/>
    <n v="2023"/>
    <x v="9"/>
    <n v="10"/>
    <n v="14"/>
  </r>
  <r>
    <n v="633"/>
    <s v="Hosted a photography exhibition featuring snapshots of a life well-lived. Every photo has a story to tell. #PhotographyExhibition #SeniorPhotographer"/>
    <x v="31"/>
    <x v="584"/>
    <s v="SeniorPhotographerExhibitor"/>
    <x v="0"/>
    <s v="#LifeInPictures #SeniorExhibition"/>
    <n v="22"/>
    <n v="55"/>
    <x v="1"/>
    <n v="2023"/>
    <x v="9"/>
    <n v="11"/>
    <n v="18"/>
  </r>
  <r>
    <n v="634"/>
    <s v="Joined a seniors' cycling club, feeling the wind in my hair and the freedom of the open road. #CyclingClub #SeniorCyclist"/>
    <x v="23"/>
    <x v="585"/>
    <s v="SeniorCyclingEnthusiast"/>
    <x v="2"/>
    <s v="#OpenRoadAdventures #SeniorCycling"/>
    <n v="25"/>
    <n v="45"/>
    <x v="0"/>
    <n v="2023"/>
    <x v="9"/>
    <n v="12"/>
    <n v="13"/>
  </r>
  <r>
    <n v="635"/>
    <s v="Attended a wine tasting event, savoring the richness of flavors that age like fine wine. Cheers to the golden years! #WineTasting #SeniorWineLover"/>
    <x v="8"/>
    <x v="586"/>
    <s v="SeniorWineConnoisseur"/>
    <x v="1"/>
    <s v="#AgedToPerfection #SeniorCheers"/>
    <n v="35"/>
    <n v="50"/>
    <x v="2"/>
    <n v="2023"/>
    <x v="9"/>
    <n v="13"/>
    <n v="20"/>
  </r>
  <r>
    <n v="636"/>
    <s v="Started learning ballroom dancing, gliding gracefully across the dance floor. Ageless elegance in every step. #BallroomDancing #SeniorDancer"/>
    <x v="8"/>
    <x v="587"/>
    <s v="SeniorBallroomDancer"/>
    <x v="0"/>
    <s v="#GracefulMoves #SeniorDance"/>
    <n v="20"/>
    <n v="70"/>
    <x v="0"/>
    <n v="2023"/>
    <x v="9"/>
    <n v="14"/>
    <n v="16"/>
  </r>
  <r>
    <n v="637"/>
    <s v="Organized a community painting event, turning blank canvases into a masterpiece of shared creativity. #PaintingEvent #SeniorArtist"/>
    <x v="8"/>
    <x v="588"/>
    <s v="SeniorPaintingOrganizer"/>
    <x v="2"/>
    <s v="#CommunityArt #SeniorCreativity"/>
    <n v="28"/>
    <n v="40"/>
    <x v="1"/>
    <n v="2023"/>
    <x v="9"/>
    <n v="15"/>
    <n v="19"/>
  </r>
  <r>
    <n v="638"/>
    <s v="Hosted a 'memory lane' evening with old friends, reminiscing about the adventures that shaped our lives. #MemoryLane #SeniorReminiscing"/>
    <x v="31"/>
    <x v="589"/>
    <s v="SeniorMemoriesHost"/>
    <x v="1"/>
    <s v="#FriendshipAdventures #SeniorNostalgia"/>
    <n v="30"/>
    <n v="55"/>
    <x v="0"/>
    <n v="2023"/>
    <x v="9"/>
    <n v="16"/>
    <n v="14"/>
  </r>
  <r>
    <n v="639"/>
    <s v="Joined a seniors' astronomy club, stargazing and finding wonder in the vastness of the cosmos. #AstronomyClub #SeniorStargazer"/>
    <x v="52"/>
    <x v="590"/>
    <s v="SeniorStargazer"/>
    <x v="0"/>
    <s v="#CelestialWonders #SeniorAstronomy"/>
    <n v="18"/>
    <n v="60"/>
    <x v="2"/>
    <n v="2023"/>
    <x v="9"/>
    <n v="17"/>
    <n v="22"/>
  </r>
  <r>
    <n v="640"/>
    <s v="Attended a local jazz festival, tapping toes to the tunes that have stood the test of time. Music, a lifelong love affair. #JazzFestival #SeniorMusicLover"/>
    <x v="8"/>
    <x v="591"/>
    <s v="SeniorJazzFestivalGoer"/>
    <x v="2"/>
    <s v="#TimelessTunes #SeniorJazz"/>
    <n v="25"/>
    <n v="35"/>
    <x v="0"/>
    <n v="2023"/>
    <x v="9"/>
    <n v="18"/>
    <n v="16"/>
  </r>
  <r>
    <n v="641"/>
    <s v="Started a blog sharing the wisdom gained through the years, proving that every day is a chance to learn and grow. #SeniorWisdom #Blog"/>
    <x v="31"/>
    <x v="592"/>
    <s v="WisdomBloggerSenior"/>
    <x v="1"/>
    <s v="#LifeLessons #SeniorBlog"/>
    <n v="22"/>
    <n v="50"/>
    <x v="2"/>
    <n v="2023"/>
    <x v="9"/>
    <n v="19"/>
    <n v="19"/>
  </r>
  <r>
    <n v="642"/>
    <s v="Participated in a charity run, proving that age is no barrier to supporting meaningful causes. #CharityRun #SeniorRunner"/>
    <x v="23"/>
    <x v="593"/>
    <s v="SeniorCharityRunner"/>
    <x v="0"/>
    <s v="#RunForACause #SeniorSupport"/>
    <n v="30"/>
    <n v="45"/>
    <x v="1"/>
    <n v="2023"/>
    <x v="9"/>
    <n v="20"/>
    <n v="17"/>
  </r>
  <r>
    <n v="643"/>
    <s v="Survived a challenging physics exam. Equations, you won't defeat me!"/>
    <x v="184"/>
    <x v="594"/>
    <s v="PhysicsWhizHighSchool"/>
    <x v="1"/>
    <s v="#PhysicsSurvivor #HighSchoolAdventures"/>
    <n v="20"/>
    <n v="60"/>
    <x v="0"/>
    <n v="2023"/>
    <x v="4"/>
    <n v="1"/>
    <n v="13"/>
  </r>
  <r>
    <n v="644"/>
    <s v="Exploring the world of coding. Debugging is an adventure on its own! #CodingJourney #HighSchoolCoder"/>
    <x v="23"/>
    <x v="595"/>
    <s v="CodeExplorerHighSchool"/>
    <x v="0"/>
    <s v="#CodingAdventure #HighSchoolCoderLife"/>
    <n v="25"/>
    <n v="40"/>
    <x v="2"/>
    <n v="2023"/>
    <x v="4"/>
    <n v="2"/>
    <n v="14"/>
  </r>
  <r>
    <n v="645"/>
    <s v="Joined the school debate team. Words are my weapons, and I'm ready for battle!"/>
    <x v="23"/>
    <x v="596"/>
    <s v="DebateWarriorHighSchool"/>
    <x v="2"/>
    <s v="#DebateWarrior #HighSchoolDebater"/>
    <n v="18"/>
    <n v="50"/>
    <x v="1"/>
    <n v="2023"/>
    <x v="4"/>
    <n v="3"/>
    <n v="12"/>
  </r>
  <r>
    <n v="646"/>
    <s v="Started a photography club at school. Capturing moments, one snapshot at a time!"/>
    <x v="8"/>
    <x v="597"/>
    <s v="PhotoClubHighSchool"/>
    <x v="1"/>
    <s v="#PhotographyClub #HighSchoolPhotographer"/>
    <n v="22"/>
    <n v="35"/>
    <x v="0"/>
    <n v="2023"/>
    <x v="4"/>
    <n v="4"/>
    <n v="16"/>
  </r>
  <r>
    <n v="647"/>
    <s v="Daydreaming about the upcoming prom. The dress, the dance – it's a fairytale in the making!"/>
    <x v="23"/>
    <x v="598"/>
    <s v="PromDreamerHighSchool"/>
    <x v="0"/>
    <s v="#PromDreams #HighSchoolFairytale"/>
    <n v="30"/>
    <n v="45"/>
    <x v="1"/>
    <n v="2023"/>
    <x v="4"/>
    <n v="5"/>
    <n v="19"/>
  </r>
  <r>
    <n v="648"/>
    <s v="Convinced the teacher to have class outdoors. Learning equations with a side of fresh air!"/>
    <x v="0"/>
    <x v="599"/>
    <s v="OutdoorClassHighSchool"/>
    <x v="2"/>
    <s v="#OutdoorClassroom #HighSchoolExplorer"/>
    <n v="28"/>
    <n v="60"/>
    <x v="0"/>
    <n v="2023"/>
    <x v="4"/>
    <n v="6"/>
    <n v="14"/>
  </r>
  <r>
    <n v="649"/>
    <s v="Accidentally spilled paint in art class. Abstract art, right? #ArtClassAdventures #HighSchoolArtist"/>
    <x v="185"/>
    <x v="600"/>
    <s v="PaintSpillHighSchool"/>
    <x v="1"/>
    <s v="#ArtisticMishaps #HighSchoolArt"/>
    <n v="22"/>
    <n v="55"/>
    <x v="2"/>
    <n v="2023"/>
    <x v="4"/>
    <n v="7"/>
    <n v="19"/>
  </r>
  <r>
    <n v="650"/>
    <s v="Trying to master the perfect kickflip on my skateboard. Skating into the weekend like a pro!"/>
    <x v="23"/>
    <x v="601"/>
    <s v="SkateProHighSchool"/>
    <x v="0"/>
    <s v="#SkaterLife #HighSchoolSkater"/>
    <n v="30"/>
    <n v="45"/>
    <x v="1"/>
    <n v="2023"/>
    <x v="4"/>
    <n v="8"/>
    <n v="16"/>
  </r>
  <r>
    <n v="651"/>
    <s v="Bonding with friends over the latest K-pop sensation. Fangirling at its finest!"/>
    <x v="8"/>
    <x v="602"/>
    <s v="KpopFangirlHighSchool"/>
    <x v="2"/>
    <s v="#KpopFangirl #HighSchoolMusic"/>
    <n v="20"/>
    <n v="60"/>
    <x v="0"/>
    <n v="2023"/>
    <x v="4"/>
    <n v="9"/>
    <n v="22"/>
  </r>
  <r>
    <n v="652"/>
    <s v="Spent hours perfecting a chemistry experiment. Mixing potions like a wizard!"/>
    <x v="8"/>
    <x v="603"/>
    <s v="ChemistryWizardHighSchool"/>
    <x v="1"/>
    <s v="#ChemistryWizard #HighSchoolScientist"/>
    <n v="28"/>
    <n v="40"/>
    <x v="2"/>
    <n v="2023"/>
    <x v="4"/>
    <n v="10"/>
    <n v="14"/>
  </r>
  <r>
    <n v="653"/>
    <s v="Successfully organized a surprise birthday party for a friend. Party planning expert mode: Achieved!"/>
    <x v="8"/>
    <x v="604"/>
    <s v="BirthdayPartyPlannerHighSchool"/>
    <x v="0"/>
    <s v="#BirthdayParty #HighSchoolCelebration"/>
    <n v="22"/>
    <n v="55"/>
    <x v="1"/>
    <n v="2023"/>
    <x v="4"/>
    <n v="11"/>
    <n v="18"/>
  </r>
  <r>
    <n v="654"/>
    <s v="Joined the drama club to unleash my inner actor. Lights, camera, action!"/>
    <x v="23"/>
    <x v="605"/>
    <s v="DramaClubStarHighSchool"/>
    <x v="2"/>
    <s v="#DramaClubStar #HighSchoolActor"/>
    <n v="25"/>
    <n v="45"/>
    <x v="0"/>
    <n v="2023"/>
    <x v="4"/>
    <n v="12"/>
    <n v="13"/>
  </r>
  <r>
    <n v="655"/>
    <s v="Got my hands on the latest fantasy novel. Diving into realms of magic and adventure!"/>
    <x v="23"/>
    <x v="606"/>
    <s v="FantasyBookNerdHighSchool"/>
    <x v="1"/>
    <s v="#FantasyBookNerd #HighSchoolReader"/>
    <n v="35"/>
    <n v="50"/>
    <x v="2"/>
    <n v="2023"/>
    <x v="4"/>
    <n v="13"/>
    <n v="20"/>
  </r>
  <r>
    <n v="656"/>
    <s v="Mastering the art of the perfect doodle during boring classes. Doodles: A+!"/>
    <x v="8"/>
    <x v="607"/>
    <s v="DoodleMasterHighSchool"/>
    <x v="0"/>
    <s v="#DoodleMaster #HighSchoolArt"/>
    <n v="20"/>
    <n v="70"/>
    <x v="0"/>
    <n v="2023"/>
    <x v="4"/>
    <n v="14"/>
    <n v="16"/>
  </r>
  <r>
    <n v="657"/>
    <s v="Attempting to break the school record for the longest handstand. Wish me luck!"/>
    <x v="23"/>
    <x v="608"/>
    <s v="HandstandChallengeHighSchool"/>
    <x v="2"/>
    <s v="#HandstandChallenge #HighSchoolAthlete"/>
    <n v="28"/>
    <n v="40"/>
    <x v="1"/>
    <n v="2023"/>
    <x v="4"/>
    <n v="15"/>
    <n v="19"/>
  </r>
  <r>
    <n v="658"/>
    <s v="Sneaking snacks into class like a pro. The art of snack-smuggling is a sacred skill!"/>
    <x v="186"/>
    <x v="609"/>
    <s v="SnackSmugglerHighSchool"/>
    <x v="1"/>
    <s v="#SnackSmuggler #HighSchoolSnacks"/>
    <n v="30"/>
    <n v="55"/>
    <x v="0"/>
    <n v="2023"/>
    <x v="4"/>
    <n v="16"/>
    <n v="14"/>
  </r>
  <r>
    <n v="659"/>
    <s v="Hosting a sleepover with friends this weekend. Preparing for a night of laughter and memories!"/>
    <x v="23"/>
    <x v="610"/>
    <s v="SleepoverHostHighSchool"/>
    <x v="0"/>
    <s v="#SleepoverFun #HighSchoolMemories"/>
    <n v="18"/>
    <n v="60"/>
    <x v="2"/>
    <n v="2023"/>
    <x v="4"/>
    <n v="17"/>
    <n v="22"/>
  </r>
  <r>
    <n v="660"/>
    <s v="Spent hours on a TikTok dance, only to realize I have two left feet. Dance fail: Unleashed!"/>
    <x v="185"/>
    <x v="611"/>
    <s v="TikTokFailHighSchool"/>
    <x v="2"/>
    <s v="#DanceFail #HighSchoolTikTok"/>
    <n v="25"/>
    <n v="35"/>
    <x v="0"/>
    <n v="2023"/>
    <x v="4"/>
    <n v="18"/>
    <n v="16"/>
  </r>
  <r>
    <n v="661"/>
    <s v="Accidentally liked my crush's old photo while stalking their profile. Awkward level: Maximum!"/>
    <x v="185"/>
    <x v="612"/>
    <s v="SocialMediaBlunderHighSchool"/>
    <x v="1"/>
    <s v="#SocialMediaBlunder #HighSchoolAwkward"/>
    <n v="22"/>
    <n v="50"/>
    <x v="2"/>
    <n v="2023"/>
    <x v="4"/>
    <n v="19"/>
    <n v="19"/>
  </r>
  <r>
    <n v="662"/>
    <s v="Tried to impress my crush with a smooth conversation. Ended up spilling my drink. Smooth level: Nonexistent!"/>
    <x v="185"/>
    <x v="613"/>
    <s v="CrushFailHighSchool"/>
    <x v="0"/>
    <s v="#CrushFail #HighSchoolEmbarrassment"/>
    <n v="30"/>
    <n v="45"/>
    <x v="1"/>
    <n v="2023"/>
    <x v="4"/>
    <n v="20"/>
    <n v="17"/>
  </r>
  <r>
    <n v="663"/>
    <s v="Mastered the art of creating paper airplanes during lecture. Paper planes: Soaring to new heights!"/>
    <x v="8"/>
    <x v="614"/>
    <s v="PaperPlaneExpertHighSchool"/>
    <x v="1"/>
    <s v="#PaperPlaneExpert #HighSchoolArt"/>
    <n v="15"/>
    <n v="60"/>
    <x v="0"/>
    <n v="2023"/>
    <x v="4"/>
    <n v="21"/>
    <n v="15"/>
  </r>
  <r>
    <n v="664"/>
    <s v="Trying to set a new trend by juggling textbooks between classes. Academic juggling: A unique skill!"/>
    <x v="23"/>
    <x v="615"/>
    <s v="JugglingProHighSchool"/>
    <x v="2"/>
    <s v="#TextbookJuggling #HighSchoolSkills"/>
    <n v="22"/>
    <n v="30"/>
    <x v="1"/>
    <n v="2023"/>
    <x v="4"/>
    <n v="22"/>
    <n v="12"/>
  </r>
  <r>
    <n v="665"/>
    <s v="Hiding a snack stash in my backpack for emergency cravings. Snack ninja mode: Activated!"/>
    <x v="186"/>
    <x v="616"/>
    <s v="SnackNinjaHighSchool"/>
    <x v="0"/>
    <s v="#SnackNinja #HighSchoolSnacks"/>
    <n v="28"/>
    <n v="40"/>
    <x v="0"/>
    <n v="2023"/>
    <x v="4"/>
    <n v="23"/>
    <n v="16"/>
  </r>
  <r>
    <n v="666"/>
    <s v="Planning a surprise scavenger hunt for friends. Anticipating the thrill and excitement!"/>
    <x v="23"/>
    <x v="617"/>
    <s v="ScavengerHuntMasterHighSchool"/>
    <x v="1"/>
    <s v="#SurpriseAdventure #HighSchoolFun"/>
    <n v="20"/>
    <n v="55"/>
    <x v="2"/>
    <n v="2023"/>
    <x v="4"/>
    <n v="24"/>
    <n v="18"/>
  </r>
  <r>
    <n v="667"/>
    <s v="Danced in the rain to celebrate the end of exams. Rain dance: Unexpectedly refreshing!"/>
    <x v="8"/>
    <x v="618"/>
    <s v="RainDanceCelebrationHighSchool"/>
    <x v="2"/>
    <s v="#RainDance #HighSchoolJoy"/>
    <n v="25"/>
    <n v="38"/>
    <x v="1"/>
    <n v="2023"/>
    <x v="4"/>
    <n v="25"/>
    <n v="14"/>
  </r>
  <r>
    <n v="668"/>
    <s v="Accidentally sent a text meant for a friend to the class group chat. Texting fail: Oops moment!"/>
    <x v="185"/>
    <x v="619"/>
    <s v="GroupChatBlunderHighSchool"/>
    <x v="0"/>
    <s v="#TextingFail #HighSchoolAwkward"/>
    <n v="18"/>
    <n v="50"/>
    <x v="0"/>
    <n v="2023"/>
    <x v="4"/>
    <n v="26"/>
    <n v="17"/>
  </r>
  <r>
    <n v="669"/>
    <s v="Tried a magic trick to impress classmates. Magic fail: Where did that rabbit go?"/>
    <x v="185"/>
    <x v="620"/>
    <s v="MagicFailHighSchool"/>
    <x v="1"/>
    <s v="#MagicFail #HighSchoolMagic"/>
    <n v="22"/>
    <n v="35"/>
    <x v="2"/>
    <n v="2023"/>
    <x v="4"/>
    <n v="27"/>
    <n v="20"/>
  </r>
  <r>
    <n v="670"/>
    <s v="Perfecting the art of creating origami during a dull lecture. Origami mastery: A+!"/>
    <x v="8"/>
    <x v="621"/>
    <s v="OrigamiProHighSchool"/>
    <x v="0"/>
    <s v="#OrigamiMaster #HighSchoolArt"/>
    <n v="18"/>
    <n v="45"/>
    <x v="0"/>
    <n v="2023"/>
    <x v="4"/>
    <n v="28"/>
    <n v="16"/>
  </r>
  <r>
    <n v="671"/>
    <s v="Attempting to set a new record for the most consecutive hacky sack kicks. Hacky sack skills: Unleashed!"/>
    <x v="23"/>
    <x v="622"/>
    <s v="HackySackChampionHighSchool"/>
    <x v="1"/>
    <s v="#HackySackChallenge #HighSchoolAthlete"/>
    <n v="26"/>
    <n v="36"/>
    <x v="1"/>
    <n v="2023"/>
    <x v="4"/>
    <n v="29"/>
    <n v="13"/>
  </r>
  <r>
    <n v="672"/>
    <s v="Creating a secret handshake with friends. Friendship level: Expert!"/>
    <x v="8"/>
    <x v="623"/>
    <s v="SecretHandshakeHighSchool"/>
    <x v="2"/>
    <s v="#FriendshipGoals #HighSchoolMemories"/>
    <n v="20"/>
    <n v="48"/>
    <x v="0"/>
    <n v="2023"/>
    <x v="4"/>
    <n v="30"/>
    <n v="17"/>
  </r>
  <r>
    <n v="673"/>
    <s v="Embarking on a mission to find the best burger joint in town. Burger connoisseur: Reporting for duty!"/>
    <x v="23"/>
    <x v="624"/>
    <s v="BurgerQuestHighSchool"/>
    <x v="0"/>
    <s v="#BurgerQuest #HighSchoolFoodie"/>
    <n v="24"/>
    <n v="40"/>
    <x v="2"/>
    <n v="2023"/>
    <x v="4"/>
    <n v="31"/>
    <n v="20"/>
  </r>
  <r>
    <n v="674"/>
    <s v="Practicing a stand-up comedy routine for the upcoming talent show. Comedy gig: In the making!"/>
    <x v="8"/>
    <x v="625"/>
    <s v="ComedyGeniusHighSchool"/>
    <x v="1"/>
    <s v="#StandUpComedy #HighSchoolTalent"/>
    <n v="21"/>
    <n v="42"/>
    <x v="1"/>
    <n v="2023"/>
    <x v="8"/>
    <n v="1"/>
    <n v="14"/>
  </r>
  <r>
    <n v="675"/>
    <s v="Accidentally sent a love letter to the wrong person. Love note fail: Maximum embarrassment!"/>
    <x v="185"/>
    <x v="626"/>
    <s v="LoveLetterBlunderHighSchool"/>
    <x v="2"/>
    <s v="#LoveLetterFail #HighSchoolAwkward"/>
    <n v="17"/>
    <n v="39"/>
    <x v="0"/>
    <n v="2023"/>
    <x v="8"/>
    <n v="2"/>
    <n v="18"/>
  </r>
  <r>
    <n v="676"/>
    <s v="Attempting to impress the teacher with an elaborate science experiment. Science geek mode: Activated!"/>
    <x v="23"/>
    <x v="627"/>
    <s v="ScienceExperimentProHighSchool"/>
    <x v="0"/>
    <s v="#ScienceGeek #HighSchoolExperiments"/>
    <n v="23"/>
    <n v="33"/>
    <x v="2"/>
    <n v="2023"/>
    <x v="8"/>
    <n v="3"/>
    <n v="22"/>
  </r>
  <r>
    <n v="677"/>
    <s v="Crafting intricate friendship bracelets for the whole squad. Friendship level: Expert weaver!"/>
    <x v="8"/>
    <x v="628"/>
    <s v="BraceletCraftsmanHighSchool"/>
    <x v="1"/>
    <s v="#FriendshipBracelets #HighSchoolCrafts"/>
    <n v="19"/>
    <n v="44"/>
    <x v="0"/>
    <n v="2023"/>
    <x v="8"/>
    <n v="4"/>
    <n v="15"/>
  </r>
  <r>
    <n v="678"/>
    <s v="Attempting to beat the record for the most consecutive cartwheels. Cartwheel challenge: Underway!"/>
    <x v="23"/>
    <x v="629"/>
    <s v="CartwheelMasterHighSchool"/>
    <x v="0"/>
    <s v="#CartwheelChallenge #HighSchoolAthlete"/>
    <n v="27"/>
    <n v="37"/>
    <x v="1"/>
    <n v="2023"/>
    <x v="8"/>
    <n v="5"/>
    <n v="12"/>
  </r>
  <r>
    <n v="679"/>
    <s v="Organizing a movie marathon with friends. Popcorn and cinematic adventures await!"/>
    <x v="8"/>
    <x v="630"/>
    <s v="MovieMarathonHostHighSchool"/>
    <x v="2"/>
    <s v="#MovieNight #HighSchoolMemories"/>
    <n v="22"/>
    <n v="52"/>
    <x v="2"/>
    <n v="2023"/>
    <x v="8"/>
    <n v="6"/>
    <n v="16"/>
  </r>
  <r>
    <n v="680"/>
    <s v="Experimenting with a new hair color. A bold change for a bold semester!"/>
    <x v="23"/>
    <x v="631"/>
    <s v="HairColorExperimentHighSchool"/>
    <x v="1"/>
    <s v="#HairExperiment #HighSchoolStyle"/>
    <n v="20"/>
    <n v="43"/>
    <x v="0"/>
    <n v="2023"/>
    <x v="8"/>
    <n v="7"/>
    <n v="18"/>
  </r>
  <r>
    <n v="681"/>
    <s v="Building a time capsule to capture memories for the future. Time-traveling emotions!"/>
    <x v="8"/>
    <x v="632"/>
    <s v="TimeCapsuleCreatorHighSchool"/>
    <x v="2"/>
    <s v="#TimeCapsule #HighSchoolNostalgia"/>
    <n v="26"/>
    <n v="39"/>
    <x v="1"/>
    <n v="2023"/>
    <x v="8"/>
    <n v="8"/>
    <n v="14"/>
  </r>
  <r>
    <n v="682"/>
    <s v="Accidentally walked into the wrong classroom on the first day. Classroom mix-up: Awkward start!"/>
    <x v="185"/>
    <x v="633"/>
    <s v="ClassroomBlunderHighSchool"/>
    <x v="0"/>
    <s v="#FirstDayOops #HighSchoolEmbarrassment"/>
    <n v="16"/>
    <n v="48"/>
    <x v="0"/>
    <n v="2023"/>
    <x v="8"/>
    <n v="9"/>
    <n v="17"/>
  </r>
  <r>
    <n v="683"/>
    <s v="Trying out a new smoothie recipe for a healthy start to the week. Smoothie enthusiast: Level up!"/>
    <x v="23"/>
    <x v="634"/>
    <s v="SmoothieConnoisseurHighSchool"/>
    <x v="1"/>
    <s v="#HealthyLiving #HighSchoolWellness"/>
    <n v="23"/>
    <n v="32"/>
    <x v="2"/>
    <n v="2023"/>
    <x v="8"/>
    <n v="10"/>
    <n v="20"/>
  </r>
  <r>
    <n v="684"/>
    <s v="Reflecting on the challenges of the school year. Feeling a bit overwhelmed with assignments."/>
    <x v="187"/>
    <x v="635"/>
    <s v="OverwhelmedHighSchoolStudent"/>
    <x v="0"/>
    <s v="#SchoolChallenges #HighSchoolStruggles"/>
    <n v="15"/>
    <n v="42"/>
    <x v="0"/>
    <n v="2023"/>
    <x v="8"/>
    <n v="11"/>
    <n v="15"/>
  </r>
  <r>
    <n v="685"/>
    <s v="Encountered some mean-spirited comments online. Dealing with online hate is never easy."/>
    <x v="188"/>
    <x v="636"/>
    <s v="DealingWithHateHighSchool"/>
    <x v="1"/>
    <s v="#OnlineHate #HighSchoolReality"/>
    <n v="18"/>
    <n v="28"/>
    <x v="1"/>
    <n v="2023"/>
    <x v="8"/>
    <n v="12"/>
    <n v="12"/>
  </r>
  <r>
    <n v="686"/>
    <s v="Had a bad day at school. Everything seems to be going wrong."/>
    <x v="189"/>
    <x v="637"/>
    <s v="ToughDayHighSchool"/>
    <x v="2"/>
    <s v="#BadDay #HighSchoolBlues"/>
    <n v="20"/>
    <n v="36"/>
    <x v="2"/>
    <n v="2023"/>
    <x v="8"/>
    <n v="13"/>
    <n v="16"/>
  </r>
  <r>
    <n v="687"/>
    <s v="Feeling down after not making the sports team. Disappointment lingers."/>
    <x v="187"/>
    <x v="638"/>
    <s v="SportsTeamRejectionHighSchool"/>
    <x v="0"/>
    <s v="#Disappointment #HighSchoolSports"/>
    <n v="17"/>
    <n v="40"/>
    <x v="0"/>
    <n v="2023"/>
    <x v="8"/>
    <n v="14"/>
    <n v="18"/>
  </r>
  <r>
    <n v="688"/>
    <s v="Witnessed a heated argument in the cafeteria. Unpleasant atmosphere at lunch."/>
    <x v="188"/>
    <x v="639"/>
    <s v="CafeteriaConflictHighSchool"/>
    <x v="1"/>
    <s v="#CafeteriaDrama #HighSchoolTension"/>
    <n v="21"/>
    <n v="34"/>
    <x v="1"/>
    <n v="2023"/>
    <x v="8"/>
    <n v="15"/>
    <n v="14"/>
  </r>
  <r>
    <n v="689"/>
    <s v="Received a not-so-great grade on a major project. Academic frustration setting in."/>
    <x v="189"/>
    <x v="640"/>
    <s v="ProjectGradeDisappointmentHighSchool"/>
    <x v="2"/>
    <s v="#AcademicFrustration #HighSchoolStress"/>
    <n v="19"/>
    <n v="41"/>
    <x v="2"/>
    <n v="2023"/>
    <x v="8"/>
    <n v="16"/>
    <n v="17"/>
  </r>
  <r>
    <n v="690"/>
    <s v="Dealing with a personal setback. Sometimes life throws unexpected challenges."/>
    <x v="187"/>
    <x v="641"/>
    <s v="PersonalSetbackHighSchool"/>
    <x v="0"/>
    <s v="#LifeChallenges #HighSchoolStruggles"/>
    <n v="22"/>
    <n v="38"/>
    <x v="0"/>
    <n v="2023"/>
    <x v="8"/>
    <n v="17"/>
    <n v="20"/>
  </r>
  <r>
    <n v="691"/>
    <s v="Feeling lonely on a Saturday night. Sometimes solitude hits harder than expected."/>
    <x v="187"/>
    <x v="642"/>
    <s v="LonelySaturdayHighSchool"/>
    <x v="1"/>
    <s v="#LonelyNights #HighSchoolEmotions"/>
    <n v="16"/>
    <n v="44"/>
    <x v="1"/>
    <n v="2023"/>
    <x v="8"/>
    <n v="18"/>
    <n v="22"/>
  </r>
  <r>
    <n v="692"/>
    <s v="Experiencing cyberbullying. Hateful messages online are disheartening."/>
    <x v="188"/>
    <x v="643"/>
    <s v="CyberbullyingVictimHighSchool"/>
    <x v="2"/>
    <s v="#StopCyberbullying #HighSchoolReality"/>
    <n v="14"/>
    <n v="31"/>
    <x v="2"/>
    <n v="2023"/>
    <x v="8"/>
    <n v="19"/>
    <n v="15"/>
  </r>
  <r>
    <n v="693"/>
    <s v="Caught in a torrential rainstorm without an umbrella. Today's weather is just bad luck."/>
    <x v="189"/>
    <x v="644"/>
    <s v="RainyDayBluesHighSchool"/>
    <x v="0"/>
    <s v="#BadLuck #HighSchoolWeather"/>
    <n v="18"/>
    <n v="27"/>
    <x v="0"/>
    <n v="2023"/>
    <x v="8"/>
    <n v="20"/>
    <n v="12"/>
  </r>
  <r>
    <n v="694"/>
    <s v="Missing an important event due to unforeseen circumstances. A day filled with sadness."/>
    <x v="187"/>
    <x v="645"/>
    <s v="MissedOpportunityHighSchool"/>
    <x v="1"/>
    <s v="#MissedChances #HighSchoolRegret"/>
    <n v="20"/>
    <n v="35"/>
    <x v="1"/>
    <n v="2023"/>
    <x v="8"/>
    <n v="21"/>
    <n v="16"/>
  </r>
  <r>
    <n v="695"/>
    <s v="Dealing with unfounded rumors circulating about personal life. Rumors can be hurtful."/>
    <x v="188"/>
    <x v="646"/>
    <s v="RumorVictimHighSchool"/>
    <x v="2"/>
    <s v="#RumorMills #HighSchoolDrama"/>
    <n v="23"/>
    <n v="39"/>
    <x v="2"/>
    <n v="2023"/>
    <x v="8"/>
    <n v="22"/>
    <n v="18"/>
  </r>
  <r>
    <n v="696"/>
    <s v="Got a flat tire on the way to an important meeting. Talk about a series of bad events!"/>
    <x v="189"/>
    <x v="647"/>
    <s v="FlatTireWoesHighSchool"/>
    <x v="0"/>
    <s v="#BadLuckDay #HighSchoolStruggles"/>
    <n v="25"/>
    <n v="46"/>
    <x v="0"/>
    <n v="2023"/>
    <x v="8"/>
    <n v="23"/>
    <n v="14"/>
  </r>
  <r>
    <n v="697"/>
    <s v="Feeling a sense of emptiness after a close friend moves away. Farewells are always sad."/>
    <x v="187"/>
    <x v="648"/>
    <s v="FriendMovingAwayHighSchool"/>
    <x v="1"/>
    <s v="#SayingGoodbye #HighSchoolEmotions"/>
    <n v="21"/>
    <n v="50"/>
    <x v="1"/>
    <n v="2023"/>
    <x v="8"/>
    <n v="24"/>
    <n v="17"/>
  </r>
  <r>
    <n v="698"/>
    <s v="Facing rejection from a dream college. Disheartened but determined to explore other paths."/>
    <x v="187"/>
    <x v="649"/>
    <s v="CollegeRejectionHighSchool"/>
    <x v="2"/>
    <s v="#CollegeDreams #HighSchoolJourney"/>
    <n v="19"/>
    <n v="42"/>
    <x v="2"/>
    <n v="2023"/>
    <x v="8"/>
    <n v="25"/>
    <n v="20"/>
  </r>
  <r>
    <n v="699"/>
    <s v="Encountering online toxicity during a gaming session. Hateful comments can ruin the fun."/>
    <x v="188"/>
    <x v="650"/>
    <s v="GamingToxicityHighSchool"/>
    <x v="0"/>
    <s v="#OnlineGaming #HighSchoolGamer"/>
    <n v="16"/>
    <n v="37"/>
    <x v="0"/>
    <n v="2023"/>
    <x v="8"/>
    <n v="26"/>
    <n v="14"/>
  </r>
  <r>
    <n v="700"/>
    <s v="Having a bad hair day and feeling self-conscious. Bad hair days can affect confidence."/>
    <x v="189"/>
    <x v="651"/>
    <s v="BadHairDayBluesHighSchool"/>
    <x v="1"/>
    <s v="#BadHairDay #HighSchoolConfidence"/>
    <n v="18"/>
    <n v="32"/>
    <x v="1"/>
    <n v="2023"/>
    <x v="8"/>
    <n v="27"/>
    <n v="17"/>
  </r>
  <r>
    <n v="701"/>
    <s v="Feeling a sense of despair after a major project failure. Hard work didn't pay off this time."/>
    <x v="187"/>
    <x v="652"/>
    <s v="ProjectFailureDespairHighSchool"/>
    <x v="2"/>
    <s v="#ProjectStruggles #HighSchoolHardships"/>
    <n v="21"/>
    <n v="36"/>
    <x v="2"/>
    <n v="2023"/>
    <x v="8"/>
    <n v="28"/>
    <n v="22"/>
  </r>
  <r>
    <n v="702"/>
    <s v="Experiencing hate comments for expressing personal opinions. Online negativity prevails."/>
    <x v="188"/>
    <x v="653"/>
    <s v="OpinionsHateHighSchool"/>
    <x v="0"/>
    <s v="#OnlineOpinions #HighSchoolCriticism"/>
    <n v="24"/>
    <n v="41"/>
    <x v="0"/>
    <n v="2023"/>
    <x v="8"/>
    <n v="29"/>
    <n v="15"/>
  </r>
  <r>
    <n v="703"/>
    <s v="Having a string of bad luck with constant technology malfunctions. Tech troubles galore!"/>
    <x v="189"/>
    <x v="654"/>
    <s v="TechMalfunctionWoesHighSchool"/>
    <x v="1"/>
    <s v="#TechIssues #HighSchoolTech"/>
    <n v="22"/>
    <n v="48"/>
    <x v="1"/>
    <n v="2023"/>
    <x v="8"/>
    <n v="30"/>
    <n v="18"/>
  </r>
  <r>
    <n v="704"/>
    <s v="Missing out on a long-anticipated event due to unexpected circumstances. A day filled with sadness."/>
    <x v="187"/>
    <x v="655"/>
    <s v="MissedEventBluesHighSchool"/>
    <x v="2"/>
    <s v="#MissedMoments #HighSchoolRegret"/>
    <n v="20"/>
    <n v="43"/>
    <x v="2"/>
    <n v="2023"/>
    <x v="10"/>
    <n v="1"/>
    <n v="14"/>
  </r>
  <r>
    <n v="705"/>
    <s v="Trying out a new study technique for upcoming exams. Exploring different learning strategies."/>
    <x v="2"/>
    <x v="656"/>
    <s v="StudyTechniqueExperimentHighSchool"/>
    <x v="1"/>
    <s v="#StudyStrategies #HighSchoolExams"/>
    <n v="23"/>
    <n v="39"/>
    <x v="0"/>
    <n v="2023"/>
    <x v="10"/>
    <n v="2"/>
    <n v="16"/>
  </r>
  <r>
    <n v="706"/>
    <s v="Organizing a community cleanup event for a cleaner neighborhood. Promoting environmental awareness."/>
    <x v="2"/>
    <x v="657"/>
    <s v="CommunityCleanupHighSchool"/>
    <x v="0"/>
    <s v="#EnvironmentalEfforts #HighSchoolCommunity"/>
    <n v="26"/>
    <n v="42"/>
    <x v="1"/>
    <n v="2023"/>
    <x v="10"/>
    <n v="3"/>
    <n v="12"/>
  </r>
  <r>
    <n v="707"/>
    <s v="Sharing favorite book recommendations with classmates. Building a mini book club."/>
    <x v="2"/>
    <x v="658"/>
    <s v="BookRecommendationsHighSchool"/>
    <x v="2"/>
    <s v="#BookClub #HighSchoolReads"/>
    <n v="19"/>
    <n v="50"/>
    <x v="2"/>
    <n v="2023"/>
    <x v="10"/>
    <n v="4"/>
    <n v="18"/>
  </r>
  <r>
    <n v="708"/>
    <s v="Experimenting with a new recipe for a school bake sale. Baking adventures in the kitchen."/>
    <x v="2"/>
    <x v="659"/>
    <s v="BakeSaleRecipeExperimentHighSchool"/>
    <x v="1"/>
    <s v="#BakingAdventures #HighSchoolBakes"/>
    <n v="21"/>
    <n v="38"/>
    <x v="0"/>
    <n v="2023"/>
    <x v="10"/>
    <n v="5"/>
    <n v="14"/>
  </r>
  <r>
    <n v="709"/>
    <s v="Collaborating on a school project with peers. Teamwork makes the dream work."/>
    <x v="2"/>
    <x v="660"/>
    <s v="SchoolProjectCollaborationHighSchool"/>
    <x v="0"/>
    <s v="#Teamwork #HighSchoolProjects"/>
    <n v="18"/>
    <n v="43"/>
    <x v="1"/>
    <n v="2023"/>
    <x v="10"/>
    <n v="6"/>
    <n v="17"/>
  </r>
  <r>
    <n v="710"/>
    <s v="Attending a school club meeting to explore new interests. Dabbling in extracurricular activities."/>
    <x v="2"/>
    <x v="661"/>
    <s v="ExtracurricularExplorationHighSchool"/>
    <x v="1"/>
    <s v="#SchoolClubs #HighSchoolInterests"/>
    <n v="22"/>
    <n v="36"/>
    <x v="2"/>
    <n v="2023"/>
    <x v="10"/>
    <n v="7"/>
    <n v="20"/>
  </r>
  <r>
    <n v="711"/>
    <s v="Exploring a new part-time job opportunity for gaining work experience. Career development in progress."/>
    <x v="2"/>
    <x v="662"/>
    <s v="PartTimeJobExplorationHighSchool"/>
    <x v="2"/>
    <s v="#CareerDevelopment #HighSchoolJobs"/>
    <n v="24"/>
    <n v="45"/>
    <x v="0"/>
    <n v="2023"/>
    <x v="10"/>
    <n v="8"/>
    <n v="15"/>
  </r>
  <r>
    <n v="712"/>
    <s v="Attending a school assembly to stay informed about upcoming events and announcements. Staying connected with school activities."/>
    <x v="2"/>
    <x v="663"/>
    <s v="SchoolAssemblyParticipationHighSchool"/>
    <x v="0"/>
    <s v="#SchoolEvents #HighSchoolConnectivity"/>
    <n v="20"/>
    <n v="48"/>
    <x v="1"/>
    <n v="2023"/>
    <x v="10"/>
    <n v="9"/>
    <n v="22"/>
  </r>
  <r>
    <n v="713"/>
    <s v="Exploring a new hobby of photography during free time. Capturing moments through a lens."/>
    <x v="2"/>
    <x v="664"/>
    <s v="PhotographyHobbyHighSchool"/>
    <x v="1"/>
    <s v="#PhotographyJourney #HighSchoolHobbies"/>
    <n v="25"/>
    <n v="40"/>
    <x v="2"/>
    <n v="2023"/>
    <x v="10"/>
    <n v="10"/>
    <n v="14"/>
  </r>
  <r>
    <n v="714"/>
    <s v="Participating in a science fair to showcase a unique experiment. Sharing knowledge with peers."/>
    <x v="2"/>
    <x v="665"/>
    <s v="ScienceFairParticipationHighSchool"/>
    <x v="2"/>
    <s v="#ScienceFair #HighSchoolScience"/>
    <n v="19"/>
    <n v="49"/>
    <x v="0"/>
    <n v="2023"/>
    <x v="10"/>
    <n v="11"/>
    <n v="16"/>
  </r>
  <r>
    <n v="715"/>
    <s v="Attending a workshop on time management to enhance organizational skills. Striving for efficiency."/>
    <x v="2"/>
    <x v="666"/>
    <s v="TimeManagementWorkshopHighSchool"/>
    <x v="0"/>
    <s v="#EfficiencyGoals #HighSchoolSkills"/>
    <n v="23"/>
    <n v="37"/>
    <x v="1"/>
    <n v="2023"/>
    <x v="10"/>
    <n v="12"/>
    <n v="18"/>
  </r>
  <r>
    <n v="716"/>
    <s v="Volunteering at a local charity event to give back to the community. Contributing to social causes."/>
    <x v="2"/>
    <x v="667"/>
    <s v="CharityEventVolunteerHighSchool"/>
    <x v="1"/>
    <s v="#CommunityService #HighSchoolVolunteer"/>
    <n v="20"/>
    <n v="44"/>
    <x v="2"/>
    <n v="2023"/>
    <x v="10"/>
    <n v="13"/>
    <n v="12"/>
  </r>
  <r>
    <n v="717"/>
    <s v="Collaborating on a group project to promote teamwork and shared responsibilities. Group effort in action."/>
    <x v="2"/>
    <x v="668"/>
    <s v="GroupProjectCollaborationHighSchool"/>
    <x v="2"/>
    <s v="#TeamSpirit #HighSchoolProjects"/>
    <n v="18"/>
    <n v="39"/>
    <x v="0"/>
    <n v="2023"/>
    <x v="10"/>
    <n v="14"/>
    <n v="17"/>
  </r>
  <r>
    <n v="718"/>
    <s v="Participating in a debate club to enhance critical thinking and communication skills. Intellectual engagement in progress."/>
    <x v="2"/>
    <x v="669"/>
    <s v="DebateClubParticipationHighSchool"/>
    <x v="0"/>
    <s v="#DebateSkills #HighSchoolIntellect"/>
    <n v="22"/>
    <n v="35"/>
    <x v="1"/>
    <n v="2023"/>
    <x v="10"/>
    <n v="15"/>
    <n v="20"/>
  </r>
  <r>
    <n v="719"/>
    <s v="Celebrating a friend's birthday with a surprise party. Joyful moments and laughter all around!"/>
    <x v="190"/>
    <x v="670"/>
    <s v="BirthdaySurpriseHighSchool"/>
    <x v="1"/>
    <s v="#SurpriseParty #HighSchoolCelebration"/>
    <n v="27"/>
    <n v="43"/>
    <x v="2"/>
    <n v="2023"/>
    <x v="10"/>
    <n v="16"/>
    <n v="15"/>
  </r>
  <r>
    <n v="720"/>
    <s v="Successfully completing a challenging coding project. Excitement for overcoming coding hurdles!"/>
    <x v="190"/>
    <x v="671"/>
    <s v="CodingSuccessHighSchool"/>
    <x v="0"/>
    <s v="#CodingTriumph #HighSchoolTech"/>
    <n v="24"/>
    <n v="52"/>
    <x v="0"/>
    <n v="2023"/>
    <x v="10"/>
    <n v="17"/>
    <n v="12"/>
  </r>
  <r>
    <n v="721"/>
    <s v="Attending a school talent show to support classmates. Applauding the diverse talents on display!"/>
    <x v="190"/>
    <x v="672"/>
    <s v="TalentShowSupportHighSchool"/>
    <x v="2"/>
    <s v="#TalentShow #HighSchoolEntertainment"/>
    <n v="19"/>
    <n v="48"/>
    <x v="1"/>
    <n v="2023"/>
    <x v="10"/>
    <n v="18"/>
    <n v="16"/>
  </r>
  <r>
    <n v="722"/>
    <s v="Exploring a new hiking trail with friends over the weekend. Nature, laughter, and good vibes!"/>
    <x v="190"/>
    <x v="673"/>
    <s v="WeekendHikeHighSchool"/>
    <x v="1"/>
    <s v="#NatureAdventures #HighSchoolFriends"/>
    <n v="21"/>
    <n v="38"/>
    <x v="2"/>
    <n v="2023"/>
    <x v="10"/>
    <n v="19"/>
    <n v="18"/>
  </r>
  <r>
    <n v="723"/>
    <s v="Winning a friendly sports competition against rival schools. Victory celebrations in full swing!"/>
    <x v="190"/>
    <x v="674"/>
    <s v="SportsVictoryHighSchool"/>
    <x v="0"/>
    <s v="#SportsTriumph #HighSchoolAthletics"/>
    <n v="26"/>
    <n v="42"/>
    <x v="0"/>
    <n v="2023"/>
    <x v="10"/>
    <n v="20"/>
    <n v="14"/>
  </r>
  <r>
    <n v="724"/>
    <s v="Receiving a heartfelt letter from a pen pal in another country. Connecting across the globe!"/>
    <x v="190"/>
    <x v="675"/>
    <s v="PenPalConnectionHighSchool"/>
    <x v="2"/>
    <s v="#GlobalFriendship #HighSchoolCorrespondence"/>
    <n v="23"/>
    <n v="50"/>
    <x v="1"/>
    <n v="2023"/>
    <x v="10"/>
    <n v="21"/>
    <n v="17"/>
  </r>
  <r>
    <n v="725"/>
    <s v="Creating a beautiful mural with fellow art enthusiasts. The power of collaboration and creativity!"/>
    <x v="190"/>
    <x v="676"/>
    <s v="MuralCreationHighSchool"/>
    <x v="1"/>
    <s v="#ArtCollaboration #HighSchoolCreativity"/>
    <n v="22"/>
    <n v="45"/>
    <x v="2"/>
    <n v="2023"/>
    <x v="10"/>
    <n v="22"/>
    <n v="20"/>
  </r>
  <r>
    <n v="726"/>
    <s v="Participating in a school-wide art exhibition. Witnessing creativity and spreading positive vibes!"/>
    <x v="190"/>
    <x v="677"/>
    <s v="ArtExhibitionJoyHighSchool"/>
    <x v="1"/>
    <s v="#ArtisticExpression #HighSchoolCreativity"/>
    <n v="23"/>
    <n v="43"/>
    <x v="0"/>
    <n v="2015"/>
    <x v="6"/>
    <n v="10"/>
    <n v="16"/>
  </r>
  <r>
    <n v="727"/>
    <s v="Achieving a personal best in a track and field competition. The thrill of victory and self-improvement!"/>
    <x v="190"/>
    <x v="678"/>
    <s v="TrackFieldSuccessHighSchool"/>
    <x v="0"/>
    <s v="#AthleticAchievement #HighSchoolSports"/>
    <n v="26"/>
    <n v="44"/>
    <x v="1"/>
    <n v="2016"/>
    <x v="8"/>
    <n v="14"/>
    <n v="12"/>
  </r>
  <r>
    <n v="728"/>
    <s v="Collaborating on a science project that received recognition at a regional fair. Science triumphs and smiles!"/>
    <x v="190"/>
    <x v="679"/>
    <s v="ScienceProjectSuccessHighSchool"/>
    <x v="2"/>
    <s v="#ScienceFairWinner #HighSchoolScience"/>
    <n v="20"/>
    <n v="51"/>
    <x v="2"/>
    <n v="2017"/>
    <x v="4"/>
    <n v="18"/>
    <n v="18"/>
  </r>
  <r>
    <n v="729"/>
    <s v="Attending a surprise birthday party organized by friends. Surrounded by love, laughter, and good company!"/>
    <x v="190"/>
    <x v="680"/>
    <s v="BirthdayPartyJoyHighSchool"/>
    <x v="1"/>
    <s v="#SurpriseCelebration #HighSchoolFriendship"/>
    <n v="25"/>
    <n v="39"/>
    <x v="0"/>
    <n v="2018"/>
    <x v="5"/>
    <n v="22"/>
    <n v="14"/>
  </r>
  <r>
    <n v="730"/>
    <s v="Successfully fundraising for a school charity initiative. The joy of giving back to the community!"/>
    <x v="190"/>
    <x v="348"/>
    <s v="CharityFundraisingTriumphHighSchool"/>
    <x v="0"/>
    <s v="#CommunityGiving #HighSchoolPhilanthropy"/>
    <n v="22"/>
    <n v="48"/>
    <x v="1"/>
    <n v="2019"/>
    <x v="7"/>
    <n v="5"/>
    <n v="17"/>
  </r>
  <r>
    <n v="731"/>
    <s v="Participating in a multicultural festival, celebrating diversity with music, dance, and delicious food!"/>
    <x v="190"/>
    <x v="681"/>
    <s v="MulticulturalFestivalJoyHighSchool"/>
    <x v="2"/>
    <s v="#CulturalCelebration #HighSchoolUnity"/>
    <n v="21"/>
    <n v="42"/>
    <x v="2"/>
    <n v="2020"/>
    <x v="1"/>
    <n v="29"/>
    <n v="20"/>
  </r>
  <r>
    <n v="732"/>
    <s v="Organizing a virtual talent show during challenging times, bringing smiles to classmates' faces!"/>
    <x v="190"/>
    <x v="682"/>
    <s v="VirtualTalentShowSuccessHighSchool"/>
    <x v="1"/>
    <s v="#VirtualEntertainment #HighSchoolPositivity"/>
    <n v="24"/>
    <n v="43"/>
    <x v="0"/>
    <n v="2020"/>
    <x v="6"/>
    <n v="15"/>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E2010-33BD-43DA-91E1-B15A55BF0B1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9:GU24" firstHeaderRow="1" firstDataRow="2" firstDataCol="1"/>
  <pivotFields count="14">
    <pivotField dataField="1" showAll="0"/>
    <pivotField showAll="0"/>
    <pivotField axis="axisCol" showAll="0">
      <items count="193">
        <item m="1" x="191"/>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pivotField showAll="0"/>
    <pivotField axis="axisRow" showAll="0">
      <items count="5">
        <item m="1" x="3"/>
        <item x="2"/>
        <item x="1"/>
        <item x="0"/>
        <item t="default"/>
      </items>
    </pivotField>
    <pivotField showAll="0"/>
    <pivotField showAll="0"/>
    <pivotField showAll="0"/>
    <pivotField showAll="0">
      <items count="35">
        <item m="1" x="33"/>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s>
  <rowFields count="1">
    <field x="5"/>
  </rowFields>
  <rowItems count="4">
    <i>
      <x v="1"/>
    </i>
    <i>
      <x v="2"/>
    </i>
    <i>
      <x v="3"/>
    </i>
    <i t="grand">
      <x/>
    </i>
  </rowItems>
  <colFields count="1">
    <field x="2"/>
  </colFields>
  <colItems count="19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t="grand">
      <x/>
    </i>
  </colItems>
  <dataFields count="1">
    <dataField name="Post Count" fld="0" subtotal="count" baseField="5" baseItem="1"/>
  </dataFields>
  <pivotTableStyleInfo name="PivotStyleMedium1"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0CDD37-7BE9-41DA-9F45-03DF4606527A}"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4:L17" firstHeaderRow="1" firstDataRow="1" firstDataCol="1"/>
  <pivotFields count="14">
    <pivotField dataField="1" showAll="0"/>
    <pivotField showAll="0"/>
    <pivotField showAll="0">
      <items count="193">
        <item m="1" x="191"/>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pivotField showAll="0"/>
    <pivotField showAll="0">
      <items count="5">
        <item m="1" x="3"/>
        <item x="2"/>
        <item x="1"/>
        <item x="0"/>
        <item t="default"/>
      </items>
    </pivotField>
    <pivotField showAll="0"/>
    <pivotField showAll="0"/>
    <pivotField showAll="0"/>
    <pivotField showAll="0">
      <items count="35">
        <item m="1" x="33"/>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axis="axisRow" showAll="0">
      <items count="13">
        <item x="0"/>
        <item x="1"/>
        <item x="2"/>
        <item x="7"/>
        <item x="3"/>
        <item x="5"/>
        <item x="9"/>
        <item x="4"/>
        <item x="8"/>
        <item x="10"/>
        <item x="6"/>
        <item x="11"/>
        <item t="default"/>
      </items>
    </pivotField>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Total Values" fld="0" baseField="11"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328E88-1F1B-42BD-85E5-415290E8A9F6}"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4:B196" firstHeaderRow="1" firstDataRow="1" firstDataCol="1"/>
  <pivotFields count="14">
    <pivotField showAll="0"/>
    <pivotField dataField="1" showAll="0"/>
    <pivotField axis="axisRow" showAll="0">
      <items count="193">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m="1" x="191"/>
        <item t="default"/>
      </items>
    </pivotField>
    <pivotField numFmtId="22" showAll="0">
      <items count="684">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t="default"/>
      </items>
    </pivotField>
    <pivotField showAll="0"/>
    <pivotField showAll="0">
      <items count="5">
        <item m="1" x="3"/>
        <item x="2"/>
        <item x="1"/>
        <item x="0"/>
        <item t="default"/>
      </items>
    </pivotField>
    <pivotField showAll="0"/>
    <pivotField showAll="0"/>
    <pivotField showAll="0"/>
    <pivotField showAll="0">
      <items count="35">
        <item m="1" x="33"/>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s>
  <rowFields count="1">
    <field x="2"/>
  </rowFields>
  <rowItems count="1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t="grand">
      <x/>
    </i>
  </rowItems>
  <colItems count="1">
    <i/>
  </colItems>
  <dataFields count="1">
    <dataField name="Count of Post Text (Cleaned)" fld="1"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28"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87B10-2D89-439B-A298-F0B07DF832E4}"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I48" firstHeaderRow="0" firstDataRow="1" firstDataCol="1"/>
  <pivotFields count="14">
    <pivotField showAll="0"/>
    <pivotField showAll="0"/>
    <pivotField showAll="0">
      <items count="193">
        <item m="1" x="191"/>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pivotField showAll="0"/>
    <pivotField showAll="0">
      <items count="5">
        <item m="1" x="3"/>
        <item x="2"/>
        <item x="1"/>
        <item x="0"/>
        <item t="default"/>
      </items>
    </pivotField>
    <pivotField showAll="0"/>
    <pivotField dataField="1" showAll="0"/>
    <pivotField dataField="1" showAll="0"/>
    <pivotField axis="axisRow" showAll="0">
      <items count="35">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m="1" x="33"/>
        <item t="default"/>
      </items>
    </pivotField>
    <pivotField showAll="0"/>
    <pivotField showAll="0"/>
    <pivotField showAll="0"/>
    <pivotField showAll="0"/>
  </pivotFields>
  <rowFields count="1">
    <field x="9"/>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Average of Likes" fld="8" subtotal="average" baseField="9" baseItem="0"/>
    <dataField name="Average of Retweets" fld="7" subtotal="average" baseField="9" baseItem="0"/>
  </dataField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5075B0-B804-4F8B-BDC9-79C12595DB36}"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H8" firstHeaderRow="1" firstDataRow="1" firstDataCol="1"/>
  <pivotFields count="14">
    <pivotField showAll="0"/>
    <pivotField dataField="1" showAll="0"/>
    <pivotField showAll="0">
      <items count="193">
        <item m="1" x="191"/>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t="default"/>
      </items>
    </pivotField>
    <pivotField numFmtId="22" showAll="0"/>
    <pivotField showAll="0"/>
    <pivotField axis="axisRow" showAll="0">
      <items count="5">
        <item x="2"/>
        <item x="1"/>
        <item x="0"/>
        <item m="1" x="3"/>
        <item t="default"/>
      </items>
    </pivotField>
    <pivotField showAll="0"/>
    <pivotField showAll="0"/>
    <pivotField showAll="0"/>
    <pivotField showAll="0">
      <items count="35">
        <item m="1" x="33"/>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Total Posts" fld="1" subtotal="count" baseField="5"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s>
  <pivotTableStyleInfo name="PivotStyleDark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__Cleaned" xr10:uid="{B07F1370-D586-44CD-A6EF-E26F28FA5B67}" sourceName="Sentiment (Cleaned)">
  <pivotTables>
    <pivotTable tabId="9" name="PivotTable4"/>
    <pivotTable tabId="9" name="PivotTable5"/>
    <pivotTable tabId="9" name="PivotTable6"/>
    <pivotTable tabId="9" name="PivotTable1"/>
    <pivotTable tabId="9" name="PivotTable2"/>
  </pivotTables>
  <data>
    <tabular pivotCacheId="1770139173">
      <items count="192">
        <i x="17" s="1"/>
        <i x="91" s="1"/>
        <i x="12" s="1"/>
        <i x="18" s="1"/>
        <i x="114" s="1"/>
        <i x="108" s="1"/>
        <i x="13" s="1"/>
        <i x="142" s="1"/>
        <i x="57" s="1"/>
        <i x="10" s="1"/>
        <i x="3" s="1"/>
        <i x="19" s="1"/>
        <i x="47" s="1"/>
        <i x="89" s="1"/>
        <i x="72" s="1"/>
        <i x="36" s="1"/>
        <i x="115" s="1"/>
        <i x="14" s="1"/>
        <i x="189" s="1"/>
        <i x="122" s="1"/>
        <i x="20" s="1"/>
        <i x="69" s="1"/>
        <i x="80" s="1"/>
        <i x="87" s="1"/>
        <i x="46" s="1"/>
        <i x="169" s="1"/>
        <i x="21" s="1"/>
        <i x="144" s="1"/>
        <i x="149" s="1"/>
        <i x="179" s="1"/>
        <i x="167" s="1"/>
        <i x="150" s="1"/>
        <i x="152" s="1"/>
        <i x="34" s="1"/>
        <i x="64" s="1"/>
        <i x="90" s="1"/>
        <i x="68" s="1"/>
        <i x="22" s="1"/>
        <i x="154" s="1"/>
        <i x="84" s="1"/>
        <i x="29" s="1"/>
        <i x="107" s="1"/>
        <i x="180" s="1"/>
        <i x="103" s="1"/>
        <i x="175" s="1"/>
        <i x="116" s="1"/>
        <i x="52" s="1"/>
        <i x="130" s="1"/>
        <i x="113" s="1"/>
        <i x="133" s="1"/>
        <i x="40" s="1"/>
        <i x="131" s="1"/>
        <i x="58" s="1"/>
        <i x="75" s="1"/>
        <i x="15" s="1"/>
        <i x="126" s="1"/>
        <i x="6" s="1"/>
        <i x="78" s="1"/>
        <i x="98" s="1"/>
        <i x="151" s="1"/>
        <i x="27" s="1"/>
        <i x="99" s="1"/>
        <i x="185" s="1"/>
        <i x="147" s="1"/>
        <i x="124" s="1"/>
        <i x="63" s="1"/>
        <i x="33" s="1"/>
        <i x="94" s="1"/>
        <i x="148" s="1"/>
        <i x="157" s="1"/>
        <i x="11" s="1"/>
        <i x="37" s="1"/>
        <i x="77" s="1"/>
        <i x="171" s="1"/>
        <i x="50" s="1"/>
        <i x="28" s="1"/>
        <i x="23" s="1"/>
        <i x="128" s="1"/>
        <i x="141" s="1"/>
        <i x="4" s="1"/>
        <i x="71" s="1"/>
        <i x="110" s="1"/>
        <i x="112" s="1"/>
        <i x="66" s="1"/>
        <i x="139" s="1"/>
        <i x="76" s="1"/>
        <i x="45" s="1"/>
        <i x="38" s="1"/>
        <i x="146" s="1"/>
        <i x="62" s="1"/>
        <i x="31" s="1"/>
        <i x="41" s="1"/>
        <i x="7" s="1"/>
        <i x="190" s="1"/>
        <i x="102" s="1"/>
        <i x="188" s="1"/>
        <i x="135" s="1"/>
        <i x="121" s="1"/>
        <i x="161" s="1"/>
        <i x="49" s="1"/>
        <i x="32" s="1"/>
        <i x="60" s="1"/>
        <i x="153" s="1"/>
        <i x="155" s="1"/>
        <i x="172" s="1"/>
        <i x="118" s="1"/>
        <i x="53" s="1"/>
        <i x="111" s="1"/>
        <i x="82" s="1"/>
        <i x="67" s="1"/>
        <i x="48" s="1"/>
        <i x="95" s="1"/>
        <i x="125" s="1"/>
        <i x="74" s="1"/>
        <i x="43" s="1"/>
        <i x="156" s="1"/>
        <i x="8" s="1"/>
        <i x="170" s="1"/>
        <i x="85" s="1"/>
        <i x="24" s="1"/>
        <i x="138" s="1"/>
        <i x="42" s="1"/>
        <i x="134" s="1"/>
        <i x="127" s="1"/>
        <i x="9" s="1"/>
        <i x="120" s="1"/>
        <i x="55" s="1"/>
        <i x="109" s="1"/>
        <i x="174" s="1"/>
        <i x="97" s="1"/>
        <i x="166" s="1"/>
        <i x="186" s="1"/>
        <i x="83" s="1"/>
        <i x="178" s="1"/>
        <i x="1" s="1"/>
        <i x="2" s="1"/>
        <i x="56" s="1"/>
        <i x="54" s="1"/>
        <i x="162" s="1"/>
        <i x="182" s="1"/>
        <i x="93" s="1"/>
        <i x="81" s="1"/>
        <i x="73" s="1"/>
        <i x="101" s="1"/>
        <i x="65" s="1"/>
        <i x="96" s="1"/>
        <i x="0" s="1"/>
        <i x="137" s="1"/>
        <i x="164" s="1"/>
        <i x="25" s="1"/>
        <i x="61" s="1"/>
        <i x="104" s="1"/>
        <i x="88" s="1"/>
        <i x="51" s="1"/>
        <i x="106" s="1"/>
        <i x="184" s="1"/>
        <i x="165" s="1"/>
        <i x="44" s="1"/>
        <i x="117" s="1"/>
        <i x="39" s="1"/>
        <i x="143" s="1"/>
        <i x="132" s="1"/>
        <i x="181" s="1"/>
        <i x="187" s="1"/>
        <i x="5" s="1"/>
        <i x="86" s="1"/>
        <i x="30" s="1"/>
        <i x="26" s="1"/>
        <i x="168" s="1"/>
        <i x="136" s="1"/>
        <i x="129" s="1"/>
        <i x="119" s="1"/>
        <i x="140" s="1"/>
        <i x="123" s="1"/>
        <i x="16" s="1"/>
        <i x="159" s="1"/>
        <i x="163" s="1"/>
        <i x="35" s="1"/>
        <i x="79" s="1"/>
        <i x="177" s="1"/>
        <i x="158" s="1"/>
        <i x="145" s="1"/>
        <i x="160" s="1"/>
        <i x="173" s="1"/>
        <i x="100" s="1"/>
        <i x="183" s="1"/>
        <i x="176" s="1"/>
        <i x="105" s="1"/>
        <i x="92" s="1"/>
        <i x="70" s="1"/>
        <i x="59" s="1"/>
        <i x="19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_Cleaned" xr10:uid="{3FC8C3A8-8C5B-4F10-830D-17F620590E80}" sourceName="Platform (Cleaned)">
  <pivotTables>
    <pivotTable tabId="9" name="PivotTable4"/>
    <pivotTable tabId="9" name="PivotTable5"/>
    <pivotTable tabId="9" name="PivotTable6"/>
    <pivotTable tabId="9" name="PivotTable1"/>
    <pivotTable tabId="9" name="PivotTable2"/>
  </pivotTables>
  <data>
    <tabular pivotCacheId="1770139173">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_Cleaned" xr10:uid="{B1CCB434-7247-43BE-B0C2-C05E495F2BE3}" sourceName="Country (Cleaned)">
  <pivotTables>
    <pivotTable tabId="9" name="PivotTable4"/>
    <pivotTable tabId="9" name="PivotTable5"/>
    <pivotTable tabId="9" name="PivotTable6"/>
    <pivotTable tabId="9" name="PivotTable1"/>
    <pivotTable tabId="9" name="PivotTable2"/>
  </pivotTables>
  <data>
    <tabular pivotCacheId="1770139173">
      <items count="34">
        <i x="3" s="1"/>
        <i x="17" s="1"/>
        <i x="18" s="1"/>
        <i x="6" s="1"/>
        <i x="25" s="1"/>
        <i x="1" s="1"/>
        <i x="24" s="1"/>
        <i x="27" s="1"/>
        <i x="20" s="1"/>
        <i x="19" s="1"/>
        <i x="5" s="1"/>
        <i x="9" s="1"/>
        <i x="8" s="1"/>
        <i x="4" s="1"/>
        <i x="28" s="1"/>
        <i x="11" s="1"/>
        <i x="29" s="1"/>
        <i x="7" s="1"/>
        <i x="21" s="1"/>
        <i x="30" s="1"/>
        <i x="23" s="1"/>
        <i x="12" s="1"/>
        <i x="26" s="1"/>
        <i x="22" s="1"/>
        <i x="15" s="1"/>
        <i x="31" s="1"/>
        <i x="13" s="1"/>
        <i x="14" s="1"/>
        <i x="10" s="1"/>
        <i x="16" s="1"/>
        <i x="32" s="1"/>
        <i x="2" s="1"/>
        <i x="0" s="1"/>
        <i x="3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timent (Cleaned)" xr10:uid="{C9D0AF51-A487-4ACF-A3FA-3BA3E63A83E5}" cache="Slicer_Sentiment__Cleaned" caption="Sentiment (Cleaned)" style="SlicerStyleLight6" rowHeight="257175"/>
  <slicer name="Platform (Cleaned)" xr10:uid="{4014A02B-EE9F-4D06-8FE3-F854C6B9DDB8}" cache="Slicer_Platform__Cleaned" caption="Platform (Cleaned)" style="SlicerStyleLight6" rowHeight="257175"/>
  <slicer name="Country (Cleaned)" xr10:uid="{51F3F3FC-A68A-4600-A74F-70779EE19007}" cache="Slicer_Country__Cleaned" caption="Country (Cleaned)" startItem="26" style="SlicerStyleLigh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F34B9E-BD37-4C51-A0DE-2809E49EAB03}" name="Table3" displayName="Table3" ref="A2:N734" totalsRowShown="0" headerRowDxfId="18">
  <autoFilter ref="A2:N734" xr:uid="{44F34B9E-BD37-4C51-A0DE-2809E49EAB03}"/>
  <tableColumns count="14">
    <tableColumn id="1" xr3:uid="{3D06ACC1-9737-46EE-A14F-1B741ECF5E7C}" name="ID" dataDxfId="17">
      <calculatedColumnFormula>'Raw Data'!A3</calculatedColumnFormula>
    </tableColumn>
    <tableColumn id="2" xr3:uid="{0F956901-A231-4A8C-996E-1F1F4C9077E7}" name="Post Text (Cleaned)" dataDxfId="16">
      <calculatedColumnFormula>TRIM(CLEAN('Raw Data'!B3))</calculatedColumnFormula>
    </tableColumn>
    <tableColumn id="3" xr3:uid="{977E7EF2-E273-43A0-9133-13EFCEDFC47B}" name="Sentiment (Cleaned)" dataDxfId="15">
      <calculatedColumnFormula>TRIM(PROPER('Raw Data'!C3))</calculatedColumnFormula>
    </tableColumn>
    <tableColumn id="4" xr3:uid="{32DAED87-BE51-49C2-AAF4-8D896A74F5AA}" name="Timestamp" dataDxfId="14">
      <calculatedColumnFormula>'Raw Data'!D3</calculatedColumnFormula>
    </tableColumn>
    <tableColumn id="5" xr3:uid="{A69A2A19-E27D-409F-A632-00E761903C9D}" name="Username (Cleaned)" dataDxfId="13">
      <calculatedColumnFormula>TRIM(SUBSTITUTE('Raw Data'!E3," "," "))</calculatedColumnFormula>
    </tableColumn>
    <tableColumn id="6" xr3:uid="{FB2DC81B-A2B3-44F3-9826-1C9A71D487DC}" name="Platform (Cleaned)" dataDxfId="12">
      <calculatedColumnFormula>TRIM(PROPER('Raw Data'!F3))</calculatedColumnFormula>
    </tableColumn>
    <tableColumn id="7" xr3:uid="{E476FAA6-B672-4F41-A820-138602C9944A}" name="Hashtags (Cleaned)" dataDxfId="11">
      <calculatedColumnFormula>TRIM(CLEAN('Raw Data'!G3))</calculatedColumnFormula>
    </tableColumn>
    <tableColumn id="8" xr3:uid="{8FCFFC7A-AA68-4FDF-89A2-98704E4F0883}" name="Retweets" dataDxfId="10">
      <calculatedColumnFormula>'Raw Data'!H3</calculatedColumnFormula>
    </tableColumn>
    <tableColumn id="9" xr3:uid="{F2714354-622A-444B-94AC-D3C32B13C648}" name="Likes" dataDxfId="9"/>
    <tableColumn id="10" xr3:uid="{C03C0C76-2F40-4C11-9698-374A32F910BD}" name="Country (Cleaned)" dataDxfId="8">
      <calculatedColumnFormula>TRIM(UPPER('Raw Data'!J3))</calculatedColumnFormula>
    </tableColumn>
    <tableColumn id="11" xr3:uid="{5ED63EA0-E296-4729-8FE4-F14AF178D98D}" name="Year" dataDxfId="7">
      <calculatedColumnFormula>'Raw Data'!K3</calculatedColumnFormula>
    </tableColumn>
    <tableColumn id="12" xr3:uid="{91C514CD-1E6D-4F07-BF87-A63CB3741D58}" name="Month" dataDxfId="6">
      <calculatedColumnFormula>'Raw Data'!L3</calculatedColumnFormula>
    </tableColumn>
    <tableColumn id="13" xr3:uid="{3CE7A419-6600-4403-8447-68D6978C7403}" name="Day" dataDxfId="5">
      <calculatedColumnFormula>'Raw Data'!M3</calculatedColumnFormula>
    </tableColumn>
    <tableColumn id="14" xr3:uid="{6ED498BB-73F3-4D58-AA8B-4B62E31DB040}" name="Hour">
      <calculatedColumnFormula>'Raw Data'!N3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stamp" xr10:uid="{CAE8CD48-6630-4BEB-8B2C-6CC9E923D038}" sourceName="Timestamp">
  <pivotTables>
    <pivotTable tabId="9" name="PivotTable4"/>
  </pivotTables>
  <state minimalRefreshVersion="6" lastRefreshVersion="6" pivotCacheId="1770139173" filterType="unknown">
    <bounds startDate="2010-01-01T15:30:00" endDate="2024-01-01T20:45: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stamp" xr10:uid="{B295EF73-C00B-41F0-BAD2-A033AFCA61DF}" cache="NativeTimeline_Timestamp" caption="Timestamp" level="2" selectionLevel="2" scrollPosition="2023-06-07T00:00:00" style="TimeSlicerStyleLight3"/>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2964-3260-4E4D-A255-F98EA8172903}">
  <dimension ref="A1:N734"/>
  <sheetViews>
    <sheetView zoomScale="55" zoomScaleNormal="55" workbookViewId="0">
      <selection activeCell="I3" sqref="I3:I734"/>
    </sheetView>
  </sheetViews>
  <sheetFormatPr defaultRowHeight="15" x14ac:dyDescent="0.25"/>
  <cols>
    <col min="1" max="1" width="8.7109375" customWidth="1"/>
    <col min="2" max="2" width="50.7109375" style="9" customWidth="1"/>
    <col min="3" max="3" width="16.7109375" customWidth="1"/>
    <col min="4" max="4" width="22.7109375" customWidth="1"/>
    <col min="5" max="5" width="18.7109375" customWidth="1"/>
    <col min="6" max="6" width="14.7109375" customWidth="1"/>
    <col min="7" max="7" width="38.7109375" style="9" customWidth="1"/>
    <col min="8" max="8" width="12.7109375" customWidth="1"/>
    <col min="9" max="9" width="10.7109375" customWidth="1"/>
    <col min="10" max="10" width="14.7109375" customWidth="1"/>
    <col min="11" max="14" width="8.7109375" customWidth="1"/>
  </cols>
  <sheetData>
    <row r="1" spans="1:14" ht="30" customHeight="1" x14ac:dyDescent="0.25">
      <c r="A1" s="25" t="s">
        <v>2501</v>
      </c>
      <c r="B1" s="25"/>
      <c r="C1" s="25"/>
      <c r="D1" s="25"/>
      <c r="E1" s="25"/>
      <c r="F1" s="25"/>
      <c r="G1" s="25"/>
      <c r="H1" s="25"/>
      <c r="I1" s="25"/>
      <c r="J1" s="25"/>
      <c r="K1" s="25"/>
      <c r="L1" s="25"/>
      <c r="M1" s="25"/>
      <c r="N1" s="25"/>
    </row>
    <row r="2" spans="1:14" ht="30" customHeight="1" x14ac:dyDescent="0.25">
      <c r="A2" s="1" t="s">
        <v>2498</v>
      </c>
      <c r="B2" s="6" t="s">
        <v>2499</v>
      </c>
      <c r="C2" s="1" t="s">
        <v>0</v>
      </c>
      <c r="D2" s="1" t="s">
        <v>1</v>
      </c>
      <c r="E2" s="1" t="s">
        <v>2500</v>
      </c>
      <c r="F2" s="1" t="s">
        <v>2</v>
      </c>
      <c r="G2" s="6" t="s">
        <v>3</v>
      </c>
      <c r="H2" s="1" t="s">
        <v>4</v>
      </c>
      <c r="I2" s="1" t="s">
        <v>5</v>
      </c>
      <c r="J2" s="1" t="s">
        <v>6</v>
      </c>
      <c r="K2" s="1" t="s">
        <v>7</v>
      </c>
      <c r="L2" s="1" t="s">
        <v>8</v>
      </c>
      <c r="M2" s="1" t="s">
        <v>9</v>
      </c>
      <c r="N2" s="1" t="s">
        <v>10</v>
      </c>
    </row>
    <row r="3" spans="1:14" x14ac:dyDescent="0.25">
      <c r="A3" s="2">
        <v>0</v>
      </c>
      <c r="B3" s="7" t="s">
        <v>11</v>
      </c>
      <c r="C3" s="2" t="s">
        <v>12</v>
      </c>
      <c r="D3" s="3">
        <v>44941.520833333336</v>
      </c>
      <c r="E3" s="2" t="s">
        <v>13</v>
      </c>
      <c r="F3" s="2" t="s">
        <v>14</v>
      </c>
      <c r="G3" s="7" t="s">
        <v>15</v>
      </c>
      <c r="H3" s="2">
        <v>15</v>
      </c>
      <c r="I3" s="2">
        <v>30</v>
      </c>
      <c r="J3" s="2" t="s">
        <v>16</v>
      </c>
      <c r="K3" s="2">
        <v>2023</v>
      </c>
      <c r="L3" s="2">
        <v>1</v>
      </c>
      <c r="M3" s="2">
        <v>15</v>
      </c>
      <c r="N3" s="2">
        <v>12</v>
      </c>
    </row>
    <row r="4" spans="1:14" x14ac:dyDescent="0.25">
      <c r="A4" s="4">
        <v>1</v>
      </c>
      <c r="B4" s="8" t="s">
        <v>17</v>
      </c>
      <c r="C4" s="4" t="s">
        <v>18</v>
      </c>
      <c r="D4" s="5">
        <v>44941.364583333336</v>
      </c>
      <c r="E4" s="4" t="s">
        <v>19</v>
      </c>
      <c r="F4" s="4" t="s">
        <v>14</v>
      </c>
      <c r="G4" s="8" t="s">
        <v>20</v>
      </c>
      <c r="H4" s="4">
        <v>5</v>
      </c>
      <c r="I4" s="4">
        <v>10</v>
      </c>
      <c r="J4" s="4" t="s">
        <v>21</v>
      </c>
      <c r="K4" s="4">
        <v>2023</v>
      </c>
      <c r="L4" s="4">
        <v>1</v>
      </c>
      <c r="M4" s="4">
        <v>15</v>
      </c>
      <c r="N4" s="4">
        <v>8</v>
      </c>
    </row>
    <row r="5" spans="1:14" x14ac:dyDescent="0.25">
      <c r="A5" s="2">
        <v>2</v>
      </c>
      <c r="B5" s="7" t="s">
        <v>22</v>
      </c>
      <c r="C5" s="2" t="s">
        <v>12</v>
      </c>
      <c r="D5" s="3">
        <v>44941.65625</v>
      </c>
      <c r="E5" s="2" t="s">
        <v>23</v>
      </c>
      <c r="F5" s="2" t="s">
        <v>24</v>
      </c>
      <c r="G5" s="7" t="s">
        <v>25</v>
      </c>
      <c r="H5" s="2">
        <v>20</v>
      </c>
      <c r="I5" s="2">
        <v>40</v>
      </c>
      <c r="J5" s="2" t="s">
        <v>26</v>
      </c>
      <c r="K5" s="2">
        <v>2023</v>
      </c>
      <c r="L5" s="2">
        <v>1</v>
      </c>
      <c r="M5" s="2">
        <v>15</v>
      </c>
      <c r="N5" s="2">
        <v>15</v>
      </c>
    </row>
    <row r="6" spans="1:14" x14ac:dyDescent="0.25">
      <c r="A6" s="4">
        <v>3</v>
      </c>
      <c r="B6" s="8" t="s">
        <v>27</v>
      </c>
      <c r="C6" s="4" t="s">
        <v>12</v>
      </c>
      <c r="D6" s="5">
        <v>44941.763888888891</v>
      </c>
      <c r="E6" s="4" t="s">
        <v>28</v>
      </c>
      <c r="F6" s="4" t="s">
        <v>29</v>
      </c>
      <c r="G6" s="8" t="s">
        <v>30</v>
      </c>
      <c r="H6" s="4">
        <v>8</v>
      </c>
      <c r="I6" s="4">
        <v>15</v>
      </c>
      <c r="J6" s="4" t="s">
        <v>31</v>
      </c>
      <c r="K6" s="4">
        <v>2023</v>
      </c>
      <c r="L6" s="4">
        <v>1</v>
      </c>
      <c r="M6" s="4">
        <v>15</v>
      </c>
      <c r="N6" s="4">
        <v>18</v>
      </c>
    </row>
    <row r="7" spans="1:14" x14ac:dyDescent="0.25">
      <c r="A7" s="2">
        <v>4</v>
      </c>
      <c r="B7" s="7" t="s">
        <v>32</v>
      </c>
      <c r="C7" s="2" t="s">
        <v>33</v>
      </c>
      <c r="D7" s="3">
        <v>44941.829861111109</v>
      </c>
      <c r="E7" s="2" t="s">
        <v>34</v>
      </c>
      <c r="F7" s="2" t="s">
        <v>24</v>
      </c>
      <c r="G7" s="7" t="s">
        <v>35</v>
      </c>
      <c r="H7" s="2">
        <v>12</v>
      </c>
      <c r="I7" s="2">
        <v>25</v>
      </c>
      <c r="J7" s="2" t="s">
        <v>36</v>
      </c>
      <c r="K7" s="2">
        <v>2023</v>
      </c>
      <c r="L7" s="2">
        <v>1</v>
      </c>
      <c r="M7" s="2">
        <v>15</v>
      </c>
      <c r="N7" s="2">
        <v>19</v>
      </c>
    </row>
    <row r="8" spans="1:14" x14ac:dyDescent="0.25">
      <c r="A8" s="4">
        <v>5</v>
      </c>
      <c r="B8" s="8" t="s">
        <v>37</v>
      </c>
      <c r="C8" s="4" t="s">
        <v>12</v>
      </c>
      <c r="D8" s="5">
        <v>44942.381944444445</v>
      </c>
      <c r="E8" s="4" t="s">
        <v>38</v>
      </c>
      <c r="F8" s="4" t="s">
        <v>14</v>
      </c>
      <c r="G8" s="8" t="s">
        <v>39</v>
      </c>
      <c r="H8" s="4">
        <v>25</v>
      </c>
      <c r="I8" s="4">
        <v>50</v>
      </c>
      <c r="J8" s="4" t="s">
        <v>40</v>
      </c>
      <c r="K8" s="4">
        <v>2023</v>
      </c>
      <c r="L8" s="4">
        <v>1</v>
      </c>
      <c r="M8" s="4">
        <v>16</v>
      </c>
      <c r="N8" s="4">
        <v>9</v>
      </c>
    </row>
    <row r="9" spans="1:14" x14ac:dyDescent="0.25">
      <c r="A9" s="2">
        <v>6</v>
      </c>
      <c r="B9" s="7" t="s">
        <v>41</v>
      </c>
      <c r="C9" s="2" t="s">
        <v>12</v>
      </c>
      <c r="D9" s="3">
        <v>44942.614583333336</v>
      </c>
      <c r="E9" s="2" t="s">
        <v>42</v>
      </c>
      <c r="F9" s="2" t="s">
        <v>29</v>
      </c>
      <c r="G9" s="7" t="s">
        <v>43</v>
      </c>
      <c r="H9" s="2">
        <v>10</v>
      </c>
      <c r="I9" s="2">
        <v>20</v>
      </c>
      <c r="J9" s="2" t="s">
        <v>21</v>
      </c>
      <c r="K9" s="2">
        <v>2023</v>
      </c>
      <c r="L9" s="2">
        <v>1</v>
      </c>
      <c r="M9" s="2">
        <v>16</v>
      </c>
      <c r="N9" s="2">
        <v>14</v>
      </c>
    </row>
    <row r="10" spans="1:14" x14ac:dyDescent="0.25">
      <c r="A10" s="4">
        <v>7</v>
      </c>
      <c r="B10" s="8" t="s">
        <v>44</v>
      </c>
      <c r="C10" s="4" t="s">
        <v>12</v>
      </c>
      <c r="D10" s="5">
        <v>44942.8125</v>
      </c>
      <c r="E10" s="4" t="s">
        <v>45</v>
      </c>
      <c r="F10" s="4" t="s">
        <v>24</v>
      </c>
      <c r="G10" s="8" t="s">
        <v>46</v>
      </c>
      <c r="H10" s="4">
        <v>15</v>
      </c>
      <c r="I10" s="4">
        <v>30</v>
      </c>
      <c r="J10" s="4" t="s">
        <v>47</v>
      </c>
      <c r="K10" s="4">
        <v>2023</v>
      </c>
      <c r="L10" s="4">
        <v>1</v>
      </c>
      <c r="M10" s="4">
        <v>16</v>
      </c>
      <c r="N10" s="4">
        <v>19</v>
      </c>
    </row>
    <row r="11" spans="1:14" x14ac:dyDescent="0.25">
      <c r="A11" s="2">
        <v>8</v>
      </c>
      <c r="B11" s="7" t="s">
        <v>48</v>
      </c>
      <c r="C11" s="2" t="s">
        <v>18</v>
      </c>
      <c r="D11" s="3">
        <v>44943.333333333336</v>
      </c>
      <c r="E11" s="2" t="s">
        <v>49</v>
      </c>
      <c r="F11" s="2" t="s">
        <v>14</v>
      </c>
      <c r="G11" s="7" t="s">
        <v>50</v>
      </c>
      <c r="H11" s="2">
        <v>30</v>
      </c>
      <c r="I11" s="2">
        <v>60</v>
      </c>
      <c r="J11" s="2" t="s">
        <v>16</v>
      </c>
      <c r="K11" s="2">
        <v>2023</v>
      </c>
      <c r="L11" s="2">
        <v>1</v>
      </c>
      <c r="M11" s="2">
        <v>17</v>
      </c>
      <c r="N11" s="2">
        <v>8</v>
      </c>
    </row>
    <row r="12" spans="1:14" x14ac:dyDescent="0.25">
      <c r="A12" s="4">
        <v>9</v>
      </c>
      <c r="B12" s="8" t="s">
        <v>51</v>
      </c>
      <c r="C12" s="4" t="s">
        <v>33</v>
      </c>
      <c r="D12" s="5">
        <v>44943.513888888891</v>
      </c>
      <c r="E12" s="4" t="s">
        <v>52</v>
      </c>
      <c r="F12" s="4" t="s">
        <v>29</v>
      </c>
      <c r="G12" s="8" t="s">
        <v>53</v>
      </c>
      <c r="H12" s="4">
        <v>18</v>
      </c>
      <c r="I12" s="4">
        <v>35</v>
      </c>
      <c r="J12" s="4" t="s">
        <v>36</v>
      </c>
      <c r="K12" s="4">
        <v>2023</v>
      </c>
      <c r="L12" s="4">
        <v>1</v>
      </c>
      <c r="M12" s="4">
        <v>17</v>
      </c>
      <c r="N12" s="4">
        <v>12</v>
      </c>
    </row>
    <row r="13" spans="1:14" x14ac:dyDescent="0.25">
      <c r="A13" s="2">
        <v>10</v>
      </c>
      <c r="B13" s="7" t="s">
        <v>54</v>
      </c>
      <c r="C13" s="2" t="s">
        <v>12</v>
      </c>
      <c r="D13" s="3">
        <v>44943.635416666664</v>
      </c>
      <c r="E13" s="2" t="s">
        <v>55</v>
      </c>
      <c r="F13" s="2" t="s">
        <v>24</v>
      </c>
      <c r="G13" s="7" t="s">
        <v>56</v>
      </c>
      <c r="H13" s="2">
        <v>22</v>
      </c>
      <c r="I13" s="2">
        <v>45</v>
      </c>
      <c r="J13" s="2" t="s">
        <v>57</v>
      </c>
      <c r="K13" s="2">
        <v>2023</v>
      </c>
      <c r="L13" s="2">
        <v>1</v>
      </c>
      <c r="M13" s="2">
        <v>17</v>
      </c>
      <c r="N13" s="2">
        <v>15</v>
      </c>
    </row>
    <row r="14" spans="1:14" x14ac:dyDescent="0.25">
      <c r="A14" s="4">
        <v>11</v>
      </c>
      <c r="B14" s="8" t="s">
        <v>58</v>
      </c>
      <c r="C14" s="4" t="s">
        <v>18</v>
      </c>
      <c r="D14" s="5">
        <v>44944.4375</v>
      </c>
      <c r="E14" s="4" t="s">
        <v>59</v>
      </c>
      <c r="F14" s="4" t="s">
        <v>14</v>
      </c>
      <c r="G14" s="8" t="s">
        <v>60</v>
      </c>
      <c r="H14" s="4">
        <v>7</v>
      </c>
      <c r="I14" s="4">
        <v>15</v>
      </c>
      <c r="J14" s="4" t="s">
        <v>21</v>
      </c>
      <c r="K14" s="4">
        <v>2023</v>
      </c>
      <c r="L14" s="4">
        <v>1</v>
      </c>
      <c r="M14" s="4">
        <v>18</v>
      </c>
      <c r="N14" s="4">
        <v>10</v>
      </c>
    </row>
    <row r="15" spans="1:14" x14ac:dyDescent="0.25">
      <c r="A15" s="2">
        <v>12</v>
      </c>
      <c r="B15" s="7" t="s">
        <v>61</v>
      </c>
      <c r="C15" s="2" t="s">
        <v>12</v>
      </c>
      <c r="D15" s="3">
        <v>44944.618055555555</v>
      </c>
      <c r="E15" s="2" t="s">
        <v>62</v>
      </c>
      <c r="F15" s="2" t="s">
        <v>29</v>
      </c>
      <c r="G15" s="7" t="s">
        <v>63</v>
      </c>
      <c r="H15" s="2">
        <v>12</v>
      </c>
      <c r="I15" s="2">
        <v>25</v>
      </c>
      <c r="J15" s="2" t="s">
        <v>31</v>
      </c>
      <c r="K15" s="2">
        <v>2023</v>
      </c>
      <c r="L15" s="2">
        <v>1</v>
      </c>
      <c r="M15" s="2">
        <v>18</v>
      </c>
      <c r="N15" s="2">
        <v>14</v>
      </c>
    </row>
    <row r="16" spans="1:14" x14ac:dyDescent="0.25">
      <c r="A16" s="4">
        <v>13</v>
      </c>
      <c r="B16" s="8" t="s">
        <v>64</v>
      </c>
      <c r="C16" s="4" t="s">
        <v>12</v>
      </c>
      <c r="D16" s="5">
        <v>44944.75</v>
      </c>
      <c r="E16" s="4" t="s">
        <v>65</v>
      </c>
      <c r="F16" s="4" t="s">
        <v>24</v>
      </c>
      <c r="G16" s="8" t="s">
        <v>66</v>
      </c>
      <c r="H16" s="4">
        <v>28</v>
      </c>
      <c r="I16" s="4">
        <v>55</v>
      </c>
      <c r="J16" s="4" t="s">
        <v>26</v>
      </c>
      <c r="K16" s="4">
        <v>2023</v>
      </c>
      <c r="L16" s="4">
        <v>1</v>
      </c>
      <c r="M16" s="4">
        <v>18</v>
      </c>
      <c r="N16" s="4">
        <v>18</v>
      </c>
    </row>
    <row r="17" spans="1:14" x14ac:dyDescent="0.25">
      <c r="A17" s="2">
        <v>14</v>
      </c>
      <c r="B17" s="7" t="s">
        <v>67</v>
      </c>
      <c r="C17" s="2" t="s">
        <v>33</v>
      </c>
      <c r="D17" s="3">
        <v>44945.40625</v>
      </c>
      <c r="E17" s="2" t="s">
        <v>68</v>
      </c>
      <c r="F17" s="2" t="s">
        <v>14</v>
      </c>
      <c r="G17" s="7" t="s">
        <v>69</v>
      </c>
      <c r="H17" s="2">
        <v>15</v>
      </c>
      <c r="I17" s="2">
        <v>30</v>
      </c>
      <c r="J17" s="2" t="s">
        <v>40</v>
      </c>
      <c r="K17" s="2">
        <v>2023</v>
      </c>
      <c r="L17" s="2">
        <v>1</v>
      </c>
      <c r="M17" s="2">
        <v>19</v>
      </c>
      <c r="N17" s="2">
        <v>9</v>
      </c>
    </row>
    <row r="18" spans="1:14" x14ac:dyDescent="0.25">
      <c r="A18" s="4">
        <v>15</v>
      </c>
      <c r="B18" s="8" t="s">
        <v>70</v>
      </c>
      <c r="C18" s="4" t="s">
        <v>12</v>
      </c>
      <c r="D18" s="5">
        <v>44945.555555555555</v>
      </c>
      <c r="E18" s="4" t="s">
        <v>71</v>
      </c>
      <c r="F18" s="4" t="s">
        <v>29</v>
      </c>
      <c r="G18" s="8" t="s">
        <v>72</v>
      </c>
      <c r="H18" s="4">
        <v>20</v>
      </c>
      <c r="I18" s="4">
        <v>40</v>
      </c>
      <c r="J18" s="4" t="s">
        <v>16</v>
      </c>
      <c r="K18" s="4">
        <v>2023</v>
      </c>
      <c r="L18" s="4">
        <v>1</v>
      </c>
      <c r="M18" s="4">
        <v>19</v>
      </c>
      <c r="N18" s="4">
        <v>13</v>
      </c>
    </row>
    <row r="19" spans="1:14" x14ac:dyDescent="0.25">
      <c r="A19" s="2">
        <v>16</v>
      </c>
      <c r="B19" s="7" t="s">
        <v>73</v>
      </c>
      <c r="C19" s="2" t="s">
        <v>12</v>
      </c>
      <c r="D19" s="3">
        <v>44945.715277777781</v>
      </c>
      <c r="E19" s="2" t="s">
        <v>74</v>
      </c>
      <c r="F19" s="2" t="s">
        <v>24</v>
      </c>
      <c r="G19" s="7" t="s">
        <v>75</v>
      </c>
      <c r="H19" s="2">
        <v>15</v>
      </c>
      <c r="I19" s="2">
        <v>30</v>
      </c>
      <c r="J19" s="2" t="s">
        <v>76</v>
      </c>
      <c r="K19" s="2">
        <v>2023</v>
      </c>
      <c r="L19" s="2">
        <v>1</v>
      </c>
      <c r="M19" s="2">
        <v>19</v>
      </c>
      <c r="N19" s="2">
        <v>17</v>
      </c>
    </row>
    <row r="20" spans="1:14" x14ac:dyDescent="0.25">
      <c r="A20" s="4">
        <v>17</v>
      </c>
      <c r="B20" s="8" t="s">
        <v>77</v>
      </c>
      <c r="C20" s="4" t="s">
        <v>12</v>
      </c>
      <c r="D20" s="5">
        <v>44946.003472222219</v>
      </c>
      <c r="E20" s="4" t="s">
        <v>78</v>
      </c>
      <c r="F20" s="4" t="s">
        <v>14</v>
      </c>
      <c r="G20" s="8" t="s">
        <v>79</v>
      </c>
      <c r="H20" s="4">
        <v>18</v>
      </c>
      <c r="I20" s="4">
        <v>35</v>
      </c>
      <c r="J20" s="4" t="s">
        <v>31</v>
      </c>
      <c r="K20" s="4">
        <v>2023</v>
      </c>
      <c r="L20" s="4">
        <v>1</v>
      </c>
      <c r="M20" s="4">
        <v>20</v>
      </c>
      <c r="N20" s="4">
        <v>0</v>
      </c>
    </row>
    <row r="21" spans="1:14" x14ac:dyDescent="0.25">
      <c r="A21" s="2">
        <v>18</v>
      </c>
      <c r="B21" s="7" t="s">
        <v>80</v>
      </c>
      <c r="C21" s="2" t="s">
        <v>33</v>
      </c>
      <c r="D21" s="3">
        <v>44946.479166666664</v>
      </c>
      <c r="E21" s="2" t="s">
        <v>81</v>
      </c>
      <c r="F21" s="2" t="s">
        <v>29</v>
      </c>
      <c r="G21" s="7" t="s">
        <v>82</v>
      </c>
      <c r="H21" s="2">
        <v>25</v>
      </c>
      <c r="I21" s="2">
        <v>50</v>
      </c>
      <c r="J21" s="2" t="s">
        <v>57</v>
      </c>
      <c r="K21" s="2">
        <v>2023</v>
      </c>
      <c r="L21" s="2">
        <v>1</v>
      </c>
      <c r="M21" s="2">
        <v>20</v>
      </c>
      <c r="N21" s="2">
        <v>11</v>
      </c>
    </row>
    <row r="22" spans="1:14" x14ac:dyDescent="0.25">
      <c r="A22" s="4">
        <v>19</v>
      </c>
      <c r="B22" s="8" t="s">
        <v>83</v>
      </c>
      <c r="C22" s="4" t="s">
        <v>18</v>
      </c>
      <c r="D22" s="5">
        <v>44946.635416666664</v>
      </c>
      <c r="E22" s="4" t="s">
        <v>84</v>
      </c>
      <c r="F22" s="4" t="s">
        <v>24</v>
      </c>
      <c r="G22" s="8" t="s">
        <v>85</v>
      </c>
      <c r="H22" s="4">
        <v>8</v>
      </c>
      <c r="I22" s="4">
        <v>15</v>
      </c>
      <c r="J22" s="4" t="s">
        <v>86</v>
      </c>
      <c r="K22" s="4">
        <v>2023</v>
      </c>
      <c r="L22" s="4">
        <v>1</v>
      </c>
      <c r="M22" s="4">
        <v>20</v>
      </c>
      <c r="N22" s="4">
        <v>15</v>
      </c>
    </row>
    <row r="23" spans="1:14" x14ac:dyDescent="0.25">
      <c r="A23" s="2">
        <v>20</v>
      </c>
      <c r="B23" s="7" t="s">
        <v>87</v>
      </c>
      <c r="C23" s="2" t="s">
        <v>12</v>
      </c>
      <c r="D23" s="3">
        <v>44947.361111111109</v>
      </c>
      <c r="E23" s="2" t="s">
        <v>88</v>
      </c>
      <c r="F23" s="2" t="s">
        <v>14</v>
      </c>
      <c r="G23" s="7" t="s">
        <v>89</v>
      </c>
      <c r="H23" s="2">
        <v>22</v>
      </c>
      <c r="I23" s="2">
        <v>45</v>
      </c>
      <c r="J23" s="2" t="s">
        <v>40</v>
      </c>
      <c r="K23" s="2">
        <v>2023</v>
      </c>
      <c r="L23" s="2">
        <v>1</v>
      </c>
      <c r="M23" s="2">
        <v>21</v>
      </c>
      <c r="N23" s="2">
        <v>8</v>
      </c>
    </row>
    <row r="24" spans="1:14" x14ac:dyDescent="0.25">
      <c r="A24" s="4">
        <v>21</v>
      </c>
      <c r="B24" s="8" t="s">
        <v>90</v>
      </c>
      <c r="C24" s="4" t="s">
        <v>12</v>
      </c>
      <c r="D24" s="5">
        <v>44947.555555555555</v>
      </c>
      <c r="E24" s="4" t="s">
        <v>91</v>
      </c>
      <c r="F24" s="4" t="s">
        <v>29</v>
      </c>
      <c r="G24" s="8" t="s">
        <v>92</v>
      </c>
      <c r="H24" s="4">
        <v>15</v>
      </c>
      <c r="I24" s="4">
        <v>30</v>
      </c>
      <c r="J24" s="4" t="s">
        <v>57</v>
      </c>
      <c r="K24" s="4">
        <v>2023</v>
      </c>
      <c r="L24" s="4">
        <v>1</v>
      </c>
      <c r="M24" s="4">
        <v>21</v>
      </c>
      <c r="N24" s="4">
        <v>13</v>
      </c>
    </row>
    <row r="25" spans="1:14" x14ac:dyDescent="0.25">
      <c r="A25" s="2">
        <v>22</v>
      </c>
      <c r="B25" s="7" t="s">
        <v>93</v>
      </c>
      <c r="C25" s="2" t="s">
        <v>12</v>
      </c>
      <c r="D25" s="3">
        <v>44947.697916666664</v>
      </c>
      <c r="E25" s="2" t="s">
        <v>94</v>
      </c>
      <c r="F25" s="2" t="s">
        <v>24</v>
      </c>
      <c r="G25" s="7" t="s">
        <v>95</v>
      </c>
      <c r="H25" s="2">
        <v>30</v>
      </c>
      <c r="I25" s="2">
        <v>60</v>
      </c>
      <c r="J25" s="2" t="s">
        <v>96</v>
      </c>
      <c r="K25" s="2">
        <v>2023</v>
      </c>
      <c r="L25" s="2">
        <v>1</v>
      </c>
      <c r="M25" s="2">
        <v>21</v>
      </c>
      <c r="N25" s="2">
        <v>16</v>
      </c>
    </row>
    <row r="26" spans="1:14" x14ac:dyDescent="0.25">
      <c r="A26" s="4">
        <v>23</v>
      </c>
      <c r="B26" s="8" t="s">
        <v>97</v>
      </c>
      <c r="C26" s="4" t="s">
        <v>12</v>
      </c>
      <c r="D26" s="5">
        <v>44948.385416666664</v>
      </c>
      <c r="E26" s="4" t="s">
        <v>98</v>
      </c>
      <c r="F26" s="4" t="s">
        <v>14</v>
      </c>
      <c r="G26" s="8" t="s">
        <v>99</v>
      </c>
      <c r="H26" s="4">
        <v>20</v>
      </c>
      <c r="I26" s="4">
        <v>40</v>
      </c>
      <c r="J26" s="4" t="s">
        <v>31</v>
      </c>
      <c r="K26" s="4">
        <v>2023</v>
      </c>
      <c r="L26" s="4">
        <v>1</v>
      </c>
      <c r="M26" s="4">
        <v>22</v>
      </c>
      <c r="N26" s="4">
        <v>9</v>
      </c>
    </row>
    <row r="27" spans="1:14" x14ac:dyDescent="0.25">
      <c r="A27" s="2">
        <v>24</v>
      </c>
      <c r="B27" s="7" t="s">
        <v>100</v>
      </c>
      <c r="C27" s="2" t="s">
        <v>12</v>
      </c>
      <c r="D27" s="3">
        <v>44948.604166666664</v>
      </c>
      <c r="E27" s="2" t="s">
        <v>101</v>
      </c>
      <c r="F27" s="2" t="s">
        <v>29</v>
      </c>
      <c r="G27" s="7" t="s">
        <v>102</v>
      </c>
      <c r="H27" s="2">
        <v>12</v>
      </c>
      <c r="I27" s="2">
        <v>25</v>
      </c>
      <c r="J27" s="2" t="s">
        <v>103</v>
      </c>
      <c r="K27" s="2">
        <v>2023</v>
      </c>
      <c r="L27" s="2">
        <v>1</v>
      </c>
      <c r="M27" s="2">
        <v>22</v>
      </c>
      <c r="N27" s="2">
        <v>14</v>
      </c>
    </row>
    <row r="28" spans="1:14" x14ac:dyDescent="0.25">
      <c r="A28" s="4">
        <v>25</v>
      </c>
      <c r="B28" s="8" t="s">
        <v>104</v>
      </c>
      <c r="C28" s="4" t="s">
        <v>12</v>
      </c>
      <c r="D28" s="5">
        <v>44948.5</v>
      </c>
      <c r="E28" s="4" t="s">
        <v>105</v>
      </c>
      <c r="F28" s="4" t="s">
        <v>24</v>
      </c>
      <c r="G28" s="8" t="s">
        <v>106</v>
      </c>
      <c r="H28" s="4">
        <v>15</v>
      </c>
      <c r="I28" s="4">
        <v>30</v>
      </c>
      <c r="J28" s="4" t="s">
        <v>107</v>
      </c>
      <c r="K28" s="4">
        <v>2023</v>
      </c>
      <c r="L28" s="4">
        <v>1</v>
      </c>
      <c r="M28" s="4">
        <v>22</v>
      </c>
      <c r="N28" s="4">
        <v>12</v>
      </c>
    </row>
    <row r="29" spans="1:14" x14ac:dyDescent="0.25">
      <c r="A29" s="2">
        <v>27</v>
      </c>
      <c r="B29" s="7" t="s">
        <v>108</v>
      </c>
      <c r="C29" s="2" t="s">
        <v>12</v>
      </c>
      <c r="D29" s="3">
        <v>44949.680555555555</v>
      </c>
      <c r="E29" s="2" t="s">
        <v>109</v>
      </c>
      <c r="F29" s="2" t="s">
        <v>29</v>
      </c>
      <c r="G29" s="7" t="s">
        <v>110</v>
      </c>
      <c r="H29" s="2">
        <v>25</v>
      </c>
      <c r="I29" s="2">
        <v>50</v>
      </c>
      <c r="J29" s="2" t="s">
        <v>111</v>
      </c>
      <c r="K29" s="2">
        <v>2023</v>
      </c>
      <c r="L29" s="2">
        <v>1</v>
      </c>
      <c r="M29" s="2">
        <v>23</v>
      </c>
      <c r="N29" s="2">
        <v>16</v>
      </c>
    </row>
    <row r="30" spans="1:14" x14ac:dyDescent="0.25">
      <c r="A30" s="4">
        <v>28</v>
      </c>
      <c r="B30" s="8" t="s">
        <v>112</v>
      </c>
      <c r="C30" s="4" t="s">
        <v>12</v>
      </c>
      <c r="D30" s="5">
        <v>44949.822916666664</v>
      </c>
      <c r="E30" s="4" t="s">
        <v>113</v>
      </c>
      <c r="F30" s="4" t="s">
        <v>24</v>
      </c>
      <c r="G30" s="8" t="s">
        <v>114</v>
      </c>
      <c r="H30" s="4">
        <v>15</v>
      </c>
      <c r="I30" s="4">
        <v>30</v>
      </c>
      <c r="J30" s="4" t="s">
        <v>36</v>
      </c>
      <c r="K30" s="4">
        <v>2023</v>
      </c>
      <c r="L30" s="4">
        <v>1</v>
      </c>
      <c r="M30" s="4">
        <v>23</v>
      </c>
      <c r="N30" s="4">
        <v>19</v>
      </c>
    </row>
    <row r="31" spans="1:14" ht="45" x14ac:dyDescent="0.25">
      <c r="A31" s="2">
        <v>29</v>
      </c>
      <c r="B31" s="7" t="s">
        <v>115</v>
      </c>
      <c r="C31" s="2" t="s">
        <v>12</v>
      </c>
      <c r="D31" s="3">
        <v>44950.479166666664</v>
      </c>
      <c r="E31" s="2" t="s">
        <v>116</v>
      </c>
      <c r="F31" s="2" t="s">
        <v>14</v>
      </c>
      <c r="G31" s="7" t="s">
        <v>117</v>
      </c>
      <c r="H31" s="2">
        <v>22</v>
      </c>
      <c r="I31" s="2">
        <v>45</v>
      </c>
      <c r="J31" s="2" t="s">
        <v>16</v>
      </c>
      <c r="K31" s="2">
        <v>2023</v>
      </c>
      <c r="L31" s="2">
        <v>1</v>
      </c>
      <c r="M31" s="2">
        <v>24</v>
      </c>
      <c r="N31" s="2">
        <v>11</v>
      </c>
    </row>
    <row r="32" spans="1:14" x14ac:dyDescent="0.25">
      <c r="A32" s="4">
        <v>30</v>
      </c>
      <c r="B32" s="8" t="s">
        <v>118</v>
      </c>
      <c r="C32" s="4" t="s">
        <v>12</v>
      </c>
      <c r="D32" s="5">
        <v>44950.625</v>
      </c>
      <c r="E32" s="4" t="s">
        <v>119</v>
      </c>
      <c r="F32" s="4" t="s">
        <v>29</v>
      </c>
      <c r="G32" s="8" t="s">
        <v>120</v>
      </c>
      <c r="H32" s="4">
        <v>12</v>
      </c>
      <c r="I32" s="4">
        <v>25</v>
      </c>
      <c r="J32" s="4" t="s">
        <v>121</v>
      </c>
      <c r="K32" s="4">
        <v>2023</v>
      </c>
      <c r="L32" s="4">
        <v>1</v>
      </c>
      <c r="M32" s="4">
        <v>24</v>
      </c>
      <c r="N32" s="4">
        <v>15</v>
      </c>
    </row>
    <row r="33" spans="1:14" x14ac:dyDescent="0.25">
      <c r="A33" s="2">
        <v>31</v>
      </c>
      <c r="B33" s="7" t="s">
        <v>122</v>
      </c>
      <c r="C33" s="2" t="s">
        <v>12</v>
      </c>
      <c r="D33" s="3">
        <v>44950.729166666664</v>
      </c>
      <c r="E33" s="2" t="s">
        <v>123</v>
      </c>
      <c r="F33" s="2" t="s">
        <v>24</v>
      </c>
      <c r="G33" s="7" t="s">
        <v>124</v>
      </c>
      <c r="H33" s="2">
        <v>18</v>
      </c>
      <c r="I33" s="2">
        <v>35</v>
      </c>
      <c r="J33" s="2" t="s">
        <v>125</v>
      </c>
      <c r="K33" s="2">
        <v>2023</v>
      </c>
      <c r="L33" s="2">
        <v>1</v>
      </c>
      <c r="M33" s="2">
        <v>24</v>
      </c>
      <c r="N33" s="2">
        <v>17</v>
      </c>
    </row>
    <row r="34" spans="1:14" x14ac:dyDescent="0.25">
      <c r="A34" s="4">
        <v>32</v>
      </c>
      <c r="B34" s="8" t="s">
        <v>126</v>
      </c>
      <c r="C34" s="4" t="s">
        <v>12</v>
      </c>
      <c r="D34" s="5">
        <v>44951.75</v>
      </c>
      <c r="E34" s="4" t="s">
        <v>127</v>
      </c>
      <c r="F34" s="4" t="s">
        <v>14</v>
      </c>
      <c r="G34" s="8" t="s">
        <v>128</v>
      </c>
      <c r="H34" s="4">
        <v>15</v>
      </c>
      <c r="I34" s="4">
        <v>30</v>
      </c>
      <c r="J34" s="4" t="s">
        <v>40</v>
      </c>
      <c r="K34" s="4">
        <v>2023</v>
      </c>
      <c r="L34" s="4">
        <v>1</v>
      </c>
      <c r="M34" s="4">
        <v>25</v>
      </c>
      <c r="N34" s="4">
        <v>18</v>
      </c>
    </row>
    <row r="35" spans="1:14" x14ac:dyDescent="0.25">
      <c r="A35" s="2">
        <v>33</v>
      </c>
      <c r="B35" s="7" t="s">
        <v>129</v>
      </c>
      <c r="C35" s="2" t="s">
        <v>12</v>
      </c>
      <c r="D35" s="3">
        <v>44951.552083333336</v>
      </c>
      <c r="E35" s="2" t="s">
        <v>130</v>
      </c>
      <c r="F35" s="2" t="s">
        <v>29</v>
      </c>
      <c r="G35" s="7" t="s">
        <v>131</v>
      </c>
      <c r="H35" s="2">
        <v>30</v>
      </c>
      <c r="I35" s="2">
        <v>60</v>
      </c>
      <c r="J35" s="2" t="s">
        <v>96</v>
      </c>
      <c r="K35" s="2">
        <v>2023</v>
      </c>
      <c r="L35" s="2">
        <v>1</v>
      </c>
      <c r="M35" s="2">
        <v>25</v>
      </c>
      <c r="N35" s="2">
        <v>13</v>
      </c>
    </row>
    <row r="36" spans="1:14" x14ac:dyDescent="0.25">
      <c r="A36" s="4">
        <v>34</v>
      </c>
      <c r="B36" s="8" t="s">
        <v>132</v>
      </c>
      <c r="C36" s="4" t="s">
        <v>12</v>
      </c>
      <c r="D36" s="5">
        <v>44952.40625</v>
      </c>
      <c r="E36" s="4" t="s">
        <v>133</v>
      </c>
      <c r="F36" s="4" t="s">
        <v>24</v>
      </c>
      <c r="G36" s="8" t="s">
        <v>134</v>
      </c>
      <c r="H36" s="4">
        <v>25</v>
      </c>
      <c r="I36" s="4">
        <v>50</v>
      </c>
      <c r="J36" s="4" t="s">
        <v>57</v>
      </c>
      <c r="K36" s="4">
        <v>2023</v>
      </c>
      <c r="L36" s="4">
        <v>1</v>
      </c>
      <c r="M36" s="4">
        <v>26</v>
      </c>
      <c r="N36" s="4">
        <v>9</v>
      </c>
    </row>
    <row r="37" spans="1:14" x14ac:dyDescent="0.25">
      <c r="A37" s="2">
        <v>35</v>
      </c>
      <c r="B37" s="7" t="s">
        <v>135</v>
      </c>
      <c r="C37" s="2" t="s">
        <v>12</v>
      </c>
      <c r="D37" s="3">
        <v>44952.597222222219</v>
      </c>
      <c r="E37" s="2" t="s">
        <v>136</v>
      </c>
      <c r="F37" s="2" t="s">
        <v>14</v>
      </c>
      <c r="G37" s="7" t="s">
        <v>137</v>
      </c>
      <c r="H37" s="2">
        <v>15</v>
      </c>
      <c r="I37" s="2">
        <v>30</v>
      </c>
      <c r="J37" s="2" t="s">
        <v>21</v>
      </c>
      <c r="K37" s="2">
        <v>2023</v>
      </c>
      <c r="L37" s="2">
        <v>1</v>
      </c>
      <c r="M37" s="2">
        <v>26</v>
      </c>
      <c r="N37" s="2">
        <v>14</v>
      </c>
    </row>
    <row r="38" spans="1:14" x14ac:dyDescent="0.25">
      <c r="A38" s="4">
        <v>36</v>
      </c>
      <c r="B38" s="8" t="s">
        <v>138</v>
      </c>
      <c r="C38" s="4" t="s">
        <v>12</v>
      </c>
      <c r="D38" s="5">
        <v>44952.736111111109</v>
      </c>
      <c r="E38" s="4" t="s">
        <v>139</v>
      </c>
      <c r="F38" s="4" t="s">
        <v>29</v>
      </c>
      <c r="G38" s="8" t="s">
        <v>140</v>
      </c>
      <c r="H38" s="4">
        <v>22</v>
      </c>
      <c r="I38" s="4">
        <v>45</v>
      </c>
      <c r="J38" s="4" t="s">
        <v>125</v>
      </c>
      <c r="K38" s="4">
        <v>2023</v>
      </c>
      <c r="L38" s="4">
        <v>1</v>
      </c>
      <c r="M38" s="4">
        <v>26</v>
      </c>
      <c r="N38" s="4">
        <v>17</v>
      </c>
    </row>
    <row r="39" spans="1:14" x14ac:dyDescent="0.25">
      <c r="A39" s="2">
        <v>37</v>
      </c>
      <c r="B39" s="7" t="s">
        <v>141</v>
      </c>
      <c r="C39" s="2" t="s">
        <v>12</v>
      </c>
      <c r="D39" s="3">
        <v>44953.833333333336</v>
      </c>
      <c r="E39" s="2" t="s">
        <v>142</v>
      </c>
      <c r="F39" s="2" t="s">
        <v>24</v>
      </c>
      <c r="G39" s="7" t="s">
        <v>143</v>
      </c>
      <c r="H39" s="2">
        <v>18</v>
      </c>
      <c r="I39" s="2">
        <v>35</v>
      </c>
      <c r="J39" s="2" t="s">
        <v>96</v>
      </c>
      <c r="K39" s="2">
        <v>2023</v>
      </c>
      <c r="L39" s="2">
        <v>1</v>
      </c>
      <c r="M39" s="2">
        <v>27</v>
      </c>
      <c r="N39" s="2">
        <v>20</v>
      </c>
    </row>
    <row r="40" spans="1:14" x14ac:dyDescent="0.25">
      <c r="A40" s="4">
        <v>38</v>
      </c>
      <c r="B40" s="8" t="s">
        <v>144</v>
      </c>
      <c r="C40" s="4" t="s">
        <v>12</v>
      </c>
      <c r="D40" s="5">
        <v>44953.520833333336</v>
      </c>
      <c r="E40" s="4" t="s">
        <v>145</v>
      </c>
      <c r="F40" s="4" t="s">
        <v>14</v>
      </c>
      <c r="G40" s="8" t="s">
        <v>146</v>
      </c>
      <c r="H40" s="4">
        <v>15</v>
      </c>
      <c r="I40" s="4">
        <v>30</v>
      </c>
      <c r="J40" s="4" t="s">
        <v>40</v>
      </c>
      <c r="K40" s="4">
        <v>2023</v>
      </c>
      <c r="L40" s="4">
        <v>1</v>
      </c>
      <c r="M40" s="4">
        <v>27</v>
      </c>
      <c r="N40" s="4">
        <v>12</v>
      </c>
    </row>
    <row r="41" spans="1:14" x14ac:dyDescent="0.25">
      <c r="A41" s="2">
        <v>39</v>
      </c>
      <c r="B41" s="7" t="s">
        <v>147</v>
      </c>
      <c r="C41" s="2" t="s">
        <v>12</v>
      </c>
      <c r="D41" s="3">
        <v>44953.673611111109</v>
      </c>
      <c r="E41" s="2" t="s">
        <v>148</v>
      </c>
      <c r="F41" s="2" t="s">
        <v>29</v>
      </c>
      <c r="G41" s="7" t="s">
        <v>149</v>
      </c>
      <c r="H41" s="2">
        <v>12</v>
      </c>
      <c r="I41" s="2">
        <v>25</v>
      </c>
      <c r="J41" s="2" t="s">
        <v>121</v>
      </c>
      <c r="K41" s="2">
        <v>2023</v>
      </c>
      <c r="L41" s="2">
        <v>1</v>
      </c>
      <c r="M41" s="2">
        <v>27</v>
      </c>
      <c r="N41" s="2">
        <v>16</v>
      </c>
    </row>
    <row r="42" spans="1:14" x14ac:dyDescent="0.25">
      <c r="A42" s="4">
        <v>40</v>
      </c>
      <c r="B42" s="8" t="s">
        <v>150</v>
      </c>
      <c r="C42" s="4" t="s">
        <v>12</v>
      </c>
      <c r="D42" s="5">
        <v>44954.375</v>
      </c>
      <c r="E42" s="4" t="s">
        <v>151</v>
      </c>
      <c r="F42" s="4" t="s">
        <v>24</v>
      </c>
      <c r="G42" s="8" t="s">
        <v>152</v>
      </c>
      <c r="H42" s="4">
        <v>30</v>
      </c>
      <c r="I42" s="4">
        <v>60</v>
      </c>
      <c r="J42" s="4" t="s">
        <v>57</v>
      </c>
      <c r="K42" s="4">
        <v>2023</v>
      </c>
      <c r="L42" s="4">
        <v>1</v>
      </c>
      <c r="M42" s="4">
        <v>28</v>
      </c>
      <c r="N42" s="4">
        <v>9</v>
      </c>
    </row>
    <row r="43" spans="1:14" x14ac:dyDescent="0.25">
      <c r="A43" s="2">
        <v>41</v>
      </c>
      <c r="B43" s="7" t="s">
        <v>153</v>
      </c>
      <c r="C43" s="2" t="s">
        <v>12</v>
      </c>
      <c r="D43" s="3">
        <v>44954.614583333336</v>
      </c>
      <c r="E43" s="2" t="s">
        <v>154</v>
      </c>
      <c r="F43" s="2" t="s">
        <v>14</v>
      </c>
      <c r="G43" s="7" t="s">
        <v>155</v>
      </c>
      <c r="H43" s="2">
        <v>25</v>
      </c>
      <c r="I43" s="2">
        <v>50</v>
      </c>
      <c r="J43" s="2" t="s">
        <v>16</v>
      </c>
      <c r="K43" s="2">
        <v>2023</v>
      </c>
      <c r="L43" s="2">
        <v>1</v>
      </c>
      <c r="M43" s="2">
        <v>28</v>
      </c>
      <c r="N43" s="2">
        <v>14</v>
      </c>
    </row>
    <row r="44" spans="1:14" x14ac:dyDescent="0.25">
      <c r="A44" s="4">
        <v>42</v>
      </c>
      <c r="B44" s="8" t="s">
        <v>156</v>
      </c>
      <c r="C44" s="4" t="s">
        <v>12</v>
      </c>
      <c r="D44" s="5">
        <v>44954.8125</v>
      </c>
      <c r="E44" s="4" t="s">
        <v>157</v>
      </c>
      <c r="F44" s="4" t="s">
        <v>29</v>
      </c>
      <c r="G44" s="8" t="s">
        <v>158</v>
      </c>
      <c r="H44" s="4">
        <v>15</v>
      </c>
      <c r="I44" s="4">
        <v>30</v>
      </c>
      <c r="J44" s="4" t="s">
        <v>107</v>
      </c>
      <c r="K44" s="4">
        <v>2023</v>
      </c>
      <c r="L44" s="4">
        <v>1</v>
      </c>
      <c r="M44" s="4">
        <v>28</v>
      </c>
      <c r="N44" s="4">
        <v>19</v>
      </c>
    </row>
    <row r="45" spans="1:14" x14ac:dyDescent="0.25">
      <c r="A45" s="2">
        <v>43</v>
      </c>
      <c r="B45" s="7" t="s">
        <v>159</v>
      </c>
      <c r="C45" s="2" t="s">
        <v>12</v>
      </c>
      <c r="D45" s="3">
        <v>44955.708333333336</v>
      </c>
      <c r="E45" s="2" t="s">
        <v>160</v>
      </c>
      <c r="F45" s="2" t="s">
        <v>24</v>
      </c>
      <c r="G45" s="7" t="s">
        <v>161</v>
      </c>
      <c r="H45" s="2">
        <v>22</v>
      </c>
      <c r="I45" s="2">
        <v>45</v>
      </c>
      <c r="J45" s="2" t="s">
        <v>162</v>
      </c>
      <c r="K45" s="2">
        <v>2023</v>
      </c>
      <c r="L45" s="2">
        <v>1</v>
      </c>
      <c r="M45" s="2">
        <v>29</v>
      </c>
      <c r="N45" s="2">
        <v>17</v>
      </c>
    </row>
    <row r="46" spans="1:14" x14ac:dyDescent="0.25">
      <c r="A46" s="4">
        <v>44</v>
      </c>
      <c r="B46" s="8" t="s">
        <v>163</v>
      </c>
      <c r="C46" s="4" t="s">
        <v>12</v>
      </c>
      <c r="D46" s="5">
        <v>44955.847222222219</v>
      </c>
      <c r="E46" s="4" t="s">
        <v>164</v>
      </c>
      <c r="F46" s="4" t="s">
        <v>14</v>
      </c>
      <c r="G46" s="8" t="s">
        <v>165</v>
      </c>
      <c r="H46" s="4">
        <v>18</v>
      </c>
      <c r="I46" s="4">
        <v>35</v>
      </c>
      <c r="J46" s="4" t="s">
        <v>21</v>
      </c>
      <c r="K46" s="4">
        <v>2023</v>
      </c>
      <c r="L46" s="4">
        <v>1</v>
      </c>
      <c r="M46" s="4">
        <v>29</v>
      </c>
      <c r="N46" s="4">
        <v>20</v>
      </c>
    </row>
    <row r="47" spans="1:14" x14ac:dyDescent="0.25">
      <c r="A47" s="2">
        <v>45</v>
      </c>
      <c r="B47" s="7" t="s">
        <v>166</v>
      </c>
      <c r="C47" s="2" t="s">
        <v>12</v>
      </c>
      <c r="D47" s="3">
        <v>44956.479166666664</v>
      </c>
      <c r="E47" s="2" t="s">
        <v>167</v>
      </c>
      <c r="F47" s="2" t="s">
        <v>29</v>
      </c>
      <c r="G47" s="7" t="s">
        <v>168</v>
      </c>
      <c r="H47" s="2">
        <v>15</v>
      </c>
      <c r="I47" s="2">
        <v>30</v>
      </c>
      <c r="J47" s="2" t="s">
        <v>16</v>
      </c>
      <c r="K47" s="2">
        <v>2023</v>
      </c>
      <c r="L47" s="2">
        <v>1</v>
      </c>
      <c r="M47" s="2">
        <v>30</v>
      </c>
      <c r="N47" s="2">
        <v>11</v>
      </c>
    </row>
    <row r="48" spans="1:14" x14ac:dyDescent="0.25">
      <c r="A48" s="4">
        <v>46</v>
      </c>
      <c r="B48" s="8" t="s">
        <v>169</v>
      </c>
      <c r="C48" s="4" t="s">
        <v>12</v>
      </c>
      <c r="D48" s="5">
        <v>44956.65625</v>
      </c>
      <c r="E48" s="4" t="s">
        <v>170</v>
      </c>
      <c r="F48" s="4" t="s">
        <v>24</v>
      </c>
      <c r="G48" s="8" t="s">
        <v>171</v>
      </c>
      <c r="H48" s="4">
        <v>12</v>
      </c>
      <c r="I48" s="4">
        <v>25</v>
      </c>
      <c r="J48" s="4" t="s">
        <v>172</v>
      </c>
      <c r="K48" s="4">
        <v>2023</v>
      </c>
      <c r="L48" s="4">
        <v>1</v>
      </c>
      <c r="M48" s="4">
        <v>30</v>
      </c>
      <c r="N48" s="4">
        <v>15</v>
      </c>
    </row>
    <row r="49" spans="1:14" x14ac:dyDescent="0.25">
      <c r="A49" s="2">
        <v>47</v>
      </c>
      <c r="B49" s="7" t="s">
        <v>173</v>
      </c>
      <c r="C49" s="2" t="s">
        <v>12</v>
      </c>
      <c r="D49" s="3">
        <v>44956.770833333336</v>
      </c>
      <c r="E49" s="2" t="s">
        <v>174</v>
      </c>
      <c r="F49" s="2" t="s">
        <v>14</v>
      </c>
      <c r="G49" s="7" t="s">
        <v>175</v>
      </c>
      <c r="H49" s="2">
        <v>28</v>
      </c>
      <c r="I49" s="2">
        <v>55</v>
      </c>
      <c r="J49" s="2" t="s">
        <v>40</v>
      </c>
      <c r="K49" s="2">
        <v>2023</v>
      </c>
      <c r="L49" s="2">
        <v>1</v>
      </c>
      <c r="M49" s="2">
        <v>30</v>
      </c>
      <c r="N49" s="2">
        <v>18</v>
      </c>
    </row>
    <row r="50" spans="1:14" x14ac:dyDescent="0.25">
      <c r="A50" s="4">
        <v>48</v>
      </c>
      <c r="B50" s="8" t="s">
        <v>176</v>
      </c>
      <c r="C50" s="4" t="s">
        <v>12</v>
      </c>
      <c r="D50" s="5">
        <v>44957.447916666664</v>
      </c>
      <c r="E50" s="4" t="s">
        <v>177</v>
      </c>
      <c r="F50" s="4" t="s">
        <v>29</v>
      </c>
      <c r="G50" s="8" t="s">
        <v>178</v>
      </c>
      <c r="H50" s="4">
        <v>15</v>
      </c>
      <c r="I50" s="4">
        <v>30</v>
      </c>
      <c r="J50" s="4" t="s">
        <v>36</v>
      </c>
      <c r="K50" s="4">
        <v>2023</v>
      </c>
      <c r="L50" s="4">
        <v>1</v>
      </c>
      <c r="M50" s="4">
        <v>31</v>
      </c>
      <c r="N50" s="4">
        <v>10</v>
      </c>
    </row>
    <row r="51" spans="1:14" x14ac:dyDescent="0.25">
      <c r="A51" s="2">
        <v>49</v>
      </c>
      <c r="B51" s="7" t="s">
        <v>179</v>
      </c>
      <c r="C51" s="2" t="s">
        <v>12</v>
      </c>
      <c r="D51" s="3">
        <v>44957.791666666664</v>
      </c>
      <c r="E51" s="2" t="s">
        <v>180</v>
      </c>
      <c r="F51" s="2" t="s">
        <v>24</v>
      </c>
      <c r="G51" s="7" t="s">
        <v>181</v>
      </c>
      <c r="H51" s="2">
        <v>20</v>
      </c>
      <c r="I51" s="2">
        <v>40</v>
      </c>
      <c r="J51" s="2" t="s">
        <v>86</v>
      </c>
      <c r="K51" s="2">
        <v>2023</v>
      </c>
      <c r="L51" s="2">
        <v>1</v>
      </c>
      <c r="M51" s="2">
        <v>31</v>
      </c>
      <c r="N51" s="2">
        <v>19</v>
      </c>
    </row>
    <row r="52" spans="1:14" x14ac:dyDescent="0.25">
      <c r="A52" s="4">
        <v>50</v>
      </c>
      <c r="B52" s="8" t="s">
        <v>182</v>
      </c>
      <c r="C52" s="4" t="s">
        <v>12</v>
      </c>
      <c r="D52" s="5">
        <v>44957.680555555555</v>
      </c>
      <c r="E52" s="4" t="s">
        <v>183</v>
      </c>
      <c r="F52" s="4" t="s">
        <v>14</v>
      </c>
      <c r="G52" s="8" t="s">
        <v>184</v>
      </c>
      <c r="H52" s="4">
        <v>15</v>
      </c>
      <c r="I52" s="4">
        <v>30</v>
      </c>
      <c r="J52" s="4" t="s">
        <v>21</v>
      </c>
      <c r="K52" s="4">
        <v>2023</v>
      </c>
      <c r="L52" s="4">
        <v>1</v>
      </c>
      <c r="M52" s="4">
        <v>31</v>
      </c>
      <c r="N52" s="4">
        <v>16</v>
      </c>
    </row>
    <row r="53" spans="1:14" x14ac:dyDescent="0.25">
      <c r="A53" s="2">
        <v>51</v>
      </c>
      <c r="B53" s="7" t="s">
        <v>185</v>
      </c>
      <c r="C53" s="2" t="s">
        <v>12</v>
      </c>
      <c r="D53" s="3">
        <v>44958.333333333336</v>
      </c>
      <c r="E53" s="2" t="s">
        <v>186</v>
      </c>
      <c r="F53" s="2" t="s">
        <v>29</v>
      </c>
      <c r="G53" s="7" t="s">
        <v>187</v>
      </c>
      <c r="H53" s="2">
        <v>22</v>
      </c>
      <c r="I53" s="2">
        <v>45</v>
      </c>
      <c r="J53" s="2" t="s">
        <v>188</v>
      </c>
      <c r="K53" s="2">
        <v>2023</v>
      </c>
      <c r="L53" s="2">
        <v>2</v>
      </c>
      <c r="M53" s="2">
        <v>1</v>
      </c>
      <c r="N53" s="2">
        <v>8</v>
      </c>
    </row>
    <row r="54" spans="1:14" x14ac:dyDescent="0.25">
      <c r="A54" s="4">
        <v>52</v>
      </c>
      <c r="B54" s="8" t="s">
        <v>189</v>
      </c>
      <c r="C54" s="4" t="s">
        <v>12</v>
      </c>
      <c r="D54" s="5">
        <v>44958.5625</v>
      </c>
      <c r="E54" s="4" t="s">
        <v>190</v>
      </c>
      <c r="F54" s="4" t="s">
        <v>24</v>
      </c>
      <c r="G54" s="8" t="s">
        <v>191</v>
      </c>
      <c r="H54" s="4">
        <v>18</v>
      </c>
      <c r="I54" s="4">
        <v>35</v>
      </c>
      <c r="J54" s="4" t="s">
        <v>192</v>
      </c>
      <c r="K54" s="4">
        <v>2023</v>
      </c>
      <c r="L54" s="4">
        <v>2</v>
      </c>
      <c r="M54" s="4">
        <v>1</v>
      </c>
      <c r="N54" s="4">
        <v>13</v>
      </c>
    </row>
    <row r="55" spans="1:14" x14ac:dyDescent="0.25">
      <c r="A55" s="2">
        <v>53</v>
      </c>
      <c r="B55" s="7" t="s">
        <v>193</v>
      </c>
      <c r="C55" s="2" t="s">
        <v>194</v>
      </c>
      <c r="D55" s="3">
        <v>44968.395833333336</v>
      </c>
      <c r="E55" s="2" t="s">
        <v>195</v>
      </c>
      <c r="F55" s="2" t="s">
        <v>14</v>
      </c>
      <c r="G55" s="7" t="s">
        <v>196</v>
      </c>
      <c r="H55" s="2">
        <v>20</v>
      </c>
      <c r="I55" s="2">
        <v>40</v>
      </c>
      <c r="J55" s="2" t="s">
        <v>197</v>
      </c>
      <c r="K55" s="2">
        <v>2023</v>
      </c>
      <c r="L55" s="2">
        <v>2</v>
      </c>
      <c r="M55" s="2">
        <v>11</v>
      </c>
      <c r="N55" s="2">
        <v>9</v>
      </c>
    </row>
    <row r="56" spans="1:14" x14ac:dyDescent="0.25">
      <c r="A56" s="4">
        <v>54</v>
      </c>
      <c r="B56" s="8" t="s">
        <v>198</v>
      </c>
      <c r="C56" s="4" t="s">
        <v>199</v>
      </c>
      <c r="D56" s="5">
        <v>44968.885416666664</v>
      </c>
      <c r="E56" s="4" t="s">
        <v>200</v>
      </c>
      <c r="F56" s="4" t="s">
        <v>24</v>
      </c>
      <c r="G56" s="8" t="s">
        <v>201</v>
      </c>
      <c r="H56" s="4">
        <v>15</v>
      </c>
      <c r="I56" s="4">
        <v>30</v>
      </c>
      <c r="J56" s="4" t="s">
        <v>202</v>
      </c>
      <c r="K56" s="4">
        <v>2023</v>
      </c>
      <c r="L56" s="4">
        <v>2</v>
      </c>
      <c r="M56" s="4">
        <v>11</v>
      </c>
      <c r="N56" s="4">
        <v>21</v>
      </c>
    </row>
    <row r="57" spans="1:14" ht="30" x14ac:dyDescent="0.25">
      <c r="A57" s="2">
        <v>55</v>
      </c>
      <c r="B57" s="7" t="s">
        <v>203</v>
      </c>
      <c r="C57" s="2" t="s">
        <v>204</v>
      </c>
      <c r="D57" s="3">
        <v>44969.614583333336</v>
      </c>
      <c r="E57" s="2" t="s">
        <v>205</v>
      </c>
      <c r="F57" s="2" t="s">
        <v>29</v>
      </c>
      <c r="G57" s="7" t="s">
        <v>206</v>
      </c>
      <c r="H57" s="2">
        <v>25</v>
      </c>
      <c r="I57" s="2">
        <v>50</v>
      </c>
      <c r="J57" s="2" t="s">
        <v>207</v>
      </c>
      <c r="K57" s="2">
        <v>2023</v>
      </c>
      <c r="L57" s="2">
        <v>2</v>
      </c>
      <c r="M57" s="2">
        <v>12</v>
      </c>
      <c r="N57" s="2">
        <v>14</v>
      </c>
    </row>
    <row r="58" spans="1:14" x14ac:dyDescent="0.25">
      <c r="A58" s="4">
        <v>56</v>
      </c>
      <c r="B58" s="8" t="s">
        <v>208</v>
      </c>
      <c r="C58" s="4" t="s">
        <v>209</v>
      </c>
      <c r="D58" s="5">
        <v>44969.763888888891</v>
      </c>
      <c r="E58" s="4" t="s">
        <v>210</v>
      </c>
      <c r="F58" s="4" t="s">
        <v>14</v>
      </c>
      <c r="G58" s="8" t="s">
        <v>211</v>
      </c>
      <c r="H58" s="4">
        <v>18</v>
      </c>
      <c r="I58" s="4">
        <v>35</v>
      </c>
      <c r="J58" s="4" t="s">
        <v>188</v>
      </c>
      <c r="K58" s="4">
        <v>2023</v>
      </c>
      <c r="L58" s="4">
        <v>2</v>
      </c>
      <c r="M58" s="4">
        <v>12</v>
      </c>
      <c r="N58" s="4">
        <v>18</v>
      </c>
    </row>
    <row r="59" spans="1:14" ht="30" x14ac:dyDescent="0.25">
      <c r="A59" s="2">
        <v>57</v>
      </c>
      <c r="B59" s="7" t="s">
        <v>212</v>
      </c>
      <c r="C59" s="2" t="s">
        <v>213</v>
      </c>
      <c r="D59" s="3">
        <v>44970.416666666664</v>
      </c>
      <c r="E59" s="2" t="s">
        <v>214</v>
      </c>
      <c r="F59" s="2" t="s">
        <v>24</v>
      </c>
      <c r="G59" s="7" t="s">
        <v>215</v>
      </c>
      <c r="H59" s="2">
        <v>30</v>
      </c>
      <c r="I59" s="2">
        <v>60</v>
      </c>
      <c r="J59" s="2" t="s">
        <v>96</v>
      </c>
      <c r="K59" s="2">
        <v>2023</v>
      </c>
      <c r="L59" s="2">
        <v>2</v>
      </c>
      <c r="M59" s="2">
        <v>13</v>
      </c>
      <c r="N59" s="2">
        <v>10</v>
      </c>
    </row>
    <row r="60" spans="1:14" ht="30" x14ac:dyDescent="0.25">
      <c r="A60" s="4">
        <v>58</v>
      </c>
      <c r="B60" s="8" t="s">
        <v>216</v>
      </c>
      <c r="C60" s="4" t="s">
        <v>217</v>
      </c>
      <c r="D60" s="5">
        <v>44970.8125</v>
      </c>
      <c r="E60" s="4" t="s">
        <v>218</v>
      </c>
      <c r="F60" s="4" t="s">
        <v>29</v>
      </c>
      <c r="G60" s="8" t="s">
        <v>219</v>
      </c>
      <c r="H60" s="4">
        <v>22</v>
      </c>
      <c r="I60" s="4">
        <v>45</v>
      </c>
      <c r="J60" s="4" t="s">
        <v>76</v>
      </c>
      <c r="K60" s="4">
        <v>2023</v>
      </c>
      <c r="L60" s="4">
        <v>2</v>
      </c>
      <c r="M60" s="4">
        <v>13</v>
      </c>
      <c r="N60" s="4">
        <v>19</v>
      </c>
    </row>
    <row r="61" spans="1:14" x14ac:dyDescent="0.25">
      <c r="A61" s="2">
        <v>59</v>
      </c>
      <c r="B61" s="7" t="s">
        <v>220</v>
      </c>
      <c r="C61" s="2" t="s">
        <v>221</v>
      </c>
      <c r="D61" s="3">
        <v>44971.354166666664</v>
      </c>
      <c r="E61" s="2" t="s">
        <v>222</v>
      </c>
      <c r="F61" s="2" t="s">
        <v>14</v>
      </c>
      <c r="G61" s="7" t="s">
        <v>223</v>
      </c>
      <c r="H61" s="2">
        <v>15</v>
      </c>
      <c r="I61" s="2">
        <v>30</v>
      </c>
      <c r="J61" s="2" t="s">
        <v>224</v>
      </c>
      <c r="K61" s="2">
        <v>2023</v>
      </c>
      <c r="L61" s="2">
        <v>2</v>
      </c>
      <c r="M61" s="2">
        <v>14</v>
      </c>
      <c r="N61" s="2">
        <v>8</v>
      </c>
    </row>
    <row r="62" spans="1:14" x14ac:dyDescent="0.25">
      <c r="A62" s="4">
        <v>60</v>
      </c>
      <c r="B62" s="8" t="s">
        <v>225</v>
      </c>
      <c r="C62" s="4" t="s">
        <v>226</v>
      </c>
      <c r="D62" s="5">
        <v>44971.597222222219</v>
      </c>
      <c r="E62" s="4" t="s">
        <v>227</v>
      </c>
      <c r="F62" s="4" t="s">
        <v>24</v>
      </c>
      <c r="G62" s="8" t="s">
        <v>228</v>
      </c>
      <c r="H62" s="4">
        <v>18</v>
      </c>
      <c r="I62" s="4">
        <v>35</v>
      </c>
      <c r="J62" s="4" t="s">
        <v>229</v>
      </c>
      <c r="K62" s="4">
        <v>2023</v>
      </c>
      <c r="L62" s="4">
        <v>2</v>
      </c>
      <c r="M62" s="4">
        <v>14</v>
      </c>
      <c r="N62" s="4">
        <v>14</v>
      </c>
    </row>
    <row r="63" spans="1:14" x14ac:dyDescent="0.25">
      <c r="A63" s="2">
        <v>61</v>
      </c>
      <c r="B63" s="7" t="s">
        <v>230</v>
      </c>
      <c r="C63" s="2" t="s">
        <v>231</v>
      </c>
      <c r="D63" s="3">
        <v>44971.822916666664</v>
      </c>
      <c r="E63" s="2" t="s">
        <v>232</v>
      </c>
      <c r="F63" s="2" t="s">
        <v>29</v>
      </c>
      <c r="G63" s="7" t="s">
        <v>233</v>
      </c>
      <c r="H63" s="2">
        <v>25</v>
      </c>
      <c r="I63" s="2">
        <v>50</v>
      </c>
      <c r="J63" s="2" t="s">
        <v>234</v>
      </c>
      <c r="K63" s="2">
        <v>2023</v>
      </c>
      <c r="L63" s="2">
        <v>2</v>
      </c>
      <c r="M63" s="2">
        <v>14</v>
      </c>
      <c r="N63" s="2">
        <v>19</v>
      </c>
    </row>
    <row r="64" spans="1:14" x14ac:dyDescent="0.25">
      <c r="A64" s="4">
        <v>62</v>
      </c>
      <c r="B64" s="8" t="s">
        <v>235</v>
      </c>
      <c r="C64" s="4" t="s">
        <v>236</v>
      </c>
      <c r="D64" s="5">
        <v>44972.479166666664</v>
      </c>
      <c r="E64" s="4" t="s">
        <v>237</v>
      </c>
      <c r="F64" s="4" t="s">
        <v>14</v>
      </c>
      <c r="G64" s="8" t="s">
        <v>238</v>
      </c>
      <c r="H64" s="4">
        <v>20</v>
      </c>
      <c r="I64" s="4">
        <v>40</v>
      </c>
      <c r="J64" s="4" t="s">
        <v>86</v>
      </c>
      <c r="K64" s="4">
        <v>2023</v>
      </c>
      <c r="L64" s="4">
        <v>2</v>
      </c>
      <c r="M64" s="4">
        <v>15</v>
      </c>
      <c r="N64" s="4">
        <v>11</v>
      </c>
    </row>
    <row r="65" spans="1:14" x14ac:dyDescent="0.25">
      <c r="A65" s="2">
        <v>63</v>
      </c>
      <c r="B65" s="7" t="s">
        <v>239</v>
      </c>
      <c r="C65" s="2" t="s">
        <v>240</v>
      </c>
      <c r="D65" s="3">
        <v>44972.666666666664</v>
      </c>
      <c r="E65" s="2" t="s">
        <v>241</v>
      </c>
      <c r="F65" s="2" t="s">
        <v>24</v>
      </c>
      <c r="G65" s="7" t="s">
        <v>242</v>
      </c>
      <c r="H65" s="2">
        <v>15</v>
      </c>
      <c r="I65" s="2">
        <v>30</v>
      </c>
      <c r="J65" s="2" t="s">
        <v>57</v>
      </c>
      <c r="K65" s="2">
        <v>2023</v>
      </c>
      <c r="L65" s="2">
        <v>2</v>
      </c>
      <c r="M65" s="2">
        <v>15</v>
      </c>
      <c r="N65" s="2">
        <v>16</v>
      </c>
    </row>
    <row r="66" spans="1:14" x14ac:dyDescent="0.25">
      <c r="A66" s="4">
        <v>64</v>
      </c>
      <c r="B66" s="8" t="s">
        <v>243</v>
      </c>
      <c r="C66" s="4" t="s">
        <v>244</v>
      </c>
      <c r="D66" s="5">
        <v>44972.854166666664</v>
      </c>
      <c r="E66" s="4" t="s">
        <v>245</v>
      </c>
      <c r="F66" s="4" t="s">
        <v>29</v>
      </c>
      <c r="G66" s="8" t="s">
        <v>246</v>
      </c>
      <c r="H66" s="4">
        <v>22</v>
      </c>
      <c r="I66" s="4">
        <v>45</v>
      </c>
      <c r="J66" s="4" t="s">
        <v>247</v>
      </c>
      <c r="K66" s="4">
        <v>2023</v>
      </c>
      <c r="L66" s="4">
        <v>2</v>
      </c>
      <c r="M66" s="4">
        <v>15</v>
      </c>
      <c r="N66" s="4">
        <v>20</v>
      </c>
    </row>
    <row r="67" spans="1:14" x14ac:dyDescent="0.25">
      <c r="A67" s="2">
        <v>65</v>
      </c>
      <c r="B67" s="7" t="s">
        <v>248</v>
      </c>
      <c r="C67" s="2" t="s">
        <v>249</v>
      </c>
      <c r="D67" s="3">
        <v>44973.375</v>
      </c>
      <c r="E67" s="2" t="s">
        <v>250</v>
      </c>
      <c r="F67" s="2" t="s">
        <v>14</v>
      </c>
      <c r="G67" s="7" t="s">
        <v>251</v>
      </c>
      <c r="H67" s="2">
        <v>18</v>
      </c>
      <c r="I67" s="2">
        <v>35</v>
      </c>
      <c r="J67" s="2" t="s">
        <v>207</v>
      </c>
      <c r="K67" s="2">
        <v>2023</v>
      </c>
      <c r="L67" s="2">
        <v>2</v>
      </c>
      <c r="M67" s="2">
        <v>16</v>
      </c>
      <c r="N67" s="2">
        <v>9</v>
      </c>
    </row>
    <row r="68" spans="1:14" x14ac:dyDescent="0.25">
      <c r="A68" s="4">
        <v>66</v>
      </c>
      <c r="B68" s="8" t="s">
        <v>252</v>
      </c>
      <c r="C68" s="4" t="s">
        <v>253</v>
      </c>
      <c r="D68" s="5">
        <v>44973.614583333336</v>
      </c>
      <c r="E68" s="4" t="s">
        <v>254</v>
      </c>
      <c r="F68" s="4" t="s">
        <v>24</v>
      </c>
      <c r="G68" s="8" t="s">
        <v>255</v>
      </c>
      <c r="H68" s="4">
        <v>25</v>
      </c>
      <c r="I68" s="4">
        <v>50</v>
      </c>
      <c r="J68" s="4" t="s">
        <v>202</v>
      </c>
      <c r="K68" s="4">
        <v>2023</v>
      </c>
      <c r="L68" s="4">
        <v>2</v>
      </c>
      <c r="M68" s="4">
        <v>16</v>
      </c>
      <c r="N68" s="4">
        <v>14</v>
      </c>
    </row>
    <row r="69" spans="1:14" x14ac:dyDescent="0.25">
      <c r="A69" s="2">
        <v>67</v>
      </c>
      <c r="B69" s="7" t="s">
        <v>256</v>
      </c>
      <c r="C69" s="2" t="s">
        <v>257</v>
      </c>
      <c r="D69" s="3">
        <v>44973.763888888891</v>
      </c>
      <c r="E69" s="2" t="s">
        <v>258</v>
      </c>
      <c r="F69" s="2" t="s">
        <v>29</v>
      </c>
      <c r="G69" s="7" t="s">
        <v>259</v>
      </c>
      <c r="H69" s="2">
        <v>15</v>
      </c>
      <c r="I69" s="2">
        <v>30</v>
      </c>
      <c r="J69" s="2" t="s">
        <v>197</v>
      </c>
      <c r="K69" s="2">
        <v>2023</v>
      </c>
      <c r="L69" s="2">
        <v>2</v>
      </c>
      <c r="M69" s="2">
        <v>16</v>
      </c>
      <c r="N69" s="2">
        <v>18</v>
      </c>
    </row>
    <row r="70" spans="1:14" x14ac:dyDescent="0.25">
      <c r="A70" s="4">
        <v>68</v>
      </c>
      <c r="B70" s="8" t="s">
        <v>260</v>
      </c>
      <c r="C70" s="4" t="s">
        <v>261</v>
      </c>
      <c r="D70" s="5">
        <v>44974.447916666664</v>
      </c>
      <c r="E70" s="4" t="s">
        <v>262</v>
      </c>
      <c r="F70" s="4" t="s">
        <v>14</v>
      </c>
      <c r="G70" s="8" t="s">
        <v>263</v>
      </c>
      <c r="H70" s="4">
        <v>22</v>
      </c>
      <c r="I70" s="4">
        <v>45</v>
      </c>
      <c r="J70" s="4" t="s">
        <v>125</v>
      </c>
      <c r="K70" s="4">
        <v>2023</v>
      </c>
      <c r="L70" s="4">
        <v>2</v>
      </c>
      <c r="M70" s="4">
        <v>17</v>
      </c>
      <c r="N70" s="4">
        <v>10</v>
      </c>
    </row>
    <row r="71" spans="1:14" x14ac:dyDescent="0.25">
      <c r="A71" s="2">
        <v>69</v>
      </c>
      <c r="B71" s="7" t="s">
        <v>264</v>
      </c>
      <c r="C71" s="2" t="s">
        <v>265</v>
      </c>
      <c r="D71" s="3">
        <v>44974.3125</v>
      </c>
      <c r="E71" s="2" t="s">
        <v>266</v>
      </c>
      <c r="F71" s="2" t="s">
        <v>24</v>
      </c>
      <c r="G71" s="7" t="s">
        <v>267</v>
      </c>
      <c r="H71" s="2">
        <v>20</v>
      </c>
      <c r="I71" s="2">
        <v>40</v>
      </c>
      <c r="J71" s="2" t="s">
        <v>57</v>
      </c>
      <c r="K71" s="2">
        <v>2023</v>
      </c>
      <c r="L71" s="2">
        <v>2</v>
      </c>
      <c r="M71" s="2">
        <v>17</v>
      </c>
      <c r="N71" s="2">
        <v>7</v>
      </c>
    </row>
    <row r="72" spans="1:14" x14ac:dyDescent="0.25">
      <c r="A72" s="4">
        <v>70</v>
      </c>
      <c r="B72" s="8" t="s">
        <v>268</v>
      </c>
      <c r="C72" s="4" t="s">
        <v>269</v>
      </c>
      <c r="D72" s="5">
        <v>44974.625</v>
      </c>
      <c r="E72" s="4" t="s">
        <v>270</v>
      </c>
      <c r="F72" s="4" t="s">
        <v>29</v>
      </c>
      <c r="G72" s="8" t="s">
        <v>271</v>
      </c>
      <c r="H72" s="4">
        <v>18</v>
      </c>
      <c r="I72" s="4">
        <v>35</v>
      </c>
      <c r="J72" s="4" t="s">
        <v>86</v>
      </c>
      <c r="K72" s="4">
        <v>2023</v>
      </c>
      <c r="L72" s="4">
        <v>2</v>
      </c>
      <c r="M72" s="4">
        <v>17</v>
      </c>
      <c r="N72" s="4">
        <v>15</v>
      </c>
    </row>
    <row r="73" spans="1:14" x14ac:dyDescent="0.25">
      <c r="A73" s="2">
        <v>71</v>
      </c>
      <c r="B73" s="7" t="s">
        <v>272</v>
      </c>
      <c r="C73" s="2" t="s">
        <v>273</v>
      </c>
      <c r="D73" s="3">
        <v>44975.395833333336</v>
      </c>
      <c r="E73" s="2" t="s">
        <v>274</v>
      </c>
      <c r="F73" s="2" t="s">
        <v>14</v>
      </c>
      <c r="G73" s="7" t="s">
        <v>275</v>
      </c>
      <c r="H73" s="2">
        <v>15</v>
      </c>
      <c r="I73" s="2">
        <v>30</v>
      </c>
      <c r="J73" s="2" t="s">
        <v>111</v>
      </c>
      <c r="K73" s="2">
        <v>2023</v>
      </c>
      <c r="L73" s="2">
        <v>2</v>
      </c>
      <c r="M73" s="2">
        <v>18</v>
      </c>
      <c r="N73" s="2">
        <v>9</v>
      </c>
    </row>
    <row r="74" spans="1:14" ht="30" x14ac:dyDescent="0.25">
      <c r="A74" s="4">
        <v>72</v>
      </c>
      <c r="B74" s="8" t="s">
        <v>276</v>
      </c>
      <c r="C74" s="4" t="s">
        <v>277</v>
      </c>
      <c r="D74" s="5">
        <v>44975.597222222219</v>
      </c>
      <c r="E74" s="4" t="s">
        <v>278</v>
      </c>
      <c r="F74" s="4" t="s">
        <v>24</v>
      </c>
      <c r="G74" s="8" t="s">
        <v>279</v>
      </c>
      <c r="H74" s="4">
        <v>25</v>
      </c>
      <c r="I74" s="4">
        <v>50</v>
      </c>
      <c r="J74" s="4" t="s">
        <v>172</v>
      </c>
      <c r="K74" s="4">
        <v>2023</v>
      </c>
      <c r="L74" s="4">
        <v>2</v>
      </c>
      <c r="M74" s="4">
        <v>18</v>
      </c>
      <c r="N74" s="4">
        <v>14</v>
      </c>
    </row>
    <row r="75" spans="1:14" x14ac:dyDescent="0.25">
      <c r="A75" s="2">
        <v>73</v>
      </c>
      <c r="B75" s="7" t="s">
        <v>280</v>
      </c>
      <c r="C75" s="2" t="s">
        <v>281</v>
      </c>
      <c r="D75" s="3">
        <v>44975.78125</v>
      </c>
      <c r="E75" s="2" t="s">
        <v>282</v>
      </c>
      <c r="F75" s="2" t="s">
        <v>29</v>
      </c>
      <c r="G75" s="7" t="s">
        <v>283</v>
      </c>
      <c r="H75" s="2">
        <v>22</v>
      </c>
      <c r="I75" s="2">
        <v>45</v>
      </c>
      <c r="J75" s="2" t="s">
        <v>76</v>
      </c>
      <c r="K75" s="2">
        <v>2023</v>
      </c>
      <c r="L75" s="2">
        <v>2</v>
      </c>
      <c r="M75" s="2">
        <v>18</v>
      </c>
      <c r="N75" s="2">
        <v>18</v>
      </c>
    </row>
    <row r="76" spans="1:14" ht="30" x14ac:dyDescent="0.25">
      <c r="A76" s="4">
        <v>74</v>
      </c>
      <c r="B76" s="8" t="s">
        <v>284</v>
      </c>
      <c r="C76" s="4" t="s">
        <v>285</v>
      </c>
      <c r="D76" s="5">
        <v>44976.479166666664</v>
      </c>
      <c r="E76" s="4" t="s">
        <v>286</v>
      </c>
      <c r="F76" s="4" t="s">
        <v>14</v>
      </c>
      <c r="G76" s="8" t="s">
        <v>287</v>
      </c>
      <c r="H76" s="4">
        <v>20</v>
      </c>
      <c r="I76" s="4">
        <v>40</v>
      </c>
      <c r="J76" s="4" t="s">
        <v>86</v>
      </c>
      <c r="K76" s="4">
        <v>2023</v>
      </c>
      <c r="L76" s="4">
        <v>2</v>
      </c>
      <c r="M76" s="4">
        <v>19</v>
      </c>
      <c r="N76" s="4">
        <v>11</v>
      </c>
    </row>
    <row r="77" spans="1:14" x14ac:dyDescent="0.25">
      <c r="A77" s="2">
        <v>75</v>
      </c>
      <c r="B77" s="7" t="s">
        <v>288</v>
      </c>
      <c r="C77" s="2" t="s">
        <v>289</v>
      </c>
      <c r="D77" s="3">
        <v>44976.666666666664</v>
      </c>
      <c r="E77" s="2" t="s">
        <v>290</v>
      </c>
      <c r="F77" s="2" t="s">
        <v>24</v>
      </c>
      <c r="G77" s="7" t="s">
        <v>291</v>
      </c>
      <c r="H77" s="2">
        <v>30</v>
      </c>
      <c r="I77" s="2">
        <v>60</v>
      </c>
      <c r="J77" s="2" t="s">
        <v>292</v>
      </c>
      <c r="K77" s="2">
        <v>2023</v>
      </c>
      <c r="L77" s="2">
        <v>2</v>
      </c>
      <c r="M77" s="2">
        <v>19</v>
      </c>
      <c r="N77" s="2">
        <v>16</v>
      </c>
    </row>
    <row r="78" spans="1:14" ht="30" x14ac:dyDescent="0.25">
      <c r="A78" s="4">
        <v>76</v>
      </c>
      <c r="B78" s="8" t="s">
        <v>293</v>
      </c>
      <c r="C78" s="4" t="s">
        <v>294</v>
      </c>
      <c r="D78" s="5">
        <v>44976.822916666664</v>
      </c>
      <c r="E78" s="4" t="s">
        <v>295</v>
      </c>
      <c r="F78" s="4" t="s">
        <v>29</v>
      </c>
      <c r="G78" s="8" t="s">
        <v>296</v>
      </c>
      <c r="H78" s="4">
        <v>15</v>
      </c>
      <c r="I78" s="4">
        <v>30</v>
      </c>
      <c r="J78" s="4" t="s">
        <v>207</v>
      </c>
      <c r="K78" s="4">
        <v>2023</v>
      </c>
      <c r="L78" s="4">
        <v>2</v>
      </c>
      <c r="M78" s="4">
        <v>19</v>
      </c>
      <c r="N78" s="4">
        <v>19</v>
      </c>
    </row>
    <row r="79" spans="1:14" x14ac:dyDescent="0.25">
      <c r="A79" s="2">
        <v>77</v>
      </c>
      <c r="B79" s="7" t="s">
        <v>297</v>
      </c>
      <c r="C79" s="2" t="s">
        <v>194</v>
      </c>
      <c r="D79" s="3">
        <v>44977.395833333336</v>
      </c>
      <c r="E79" s="2" t="s">
        <v>298</v>
      </c>
      <c r="F79" s="2" t="s">
        <v>14</v>
      </c>
      <c r="G79" s="7" t="s">
        <v>299</v>
      </c>
      <c r="H79" s="2">
        <v>20</v>
      </c>
      <c r="I79" s="2">
        <v>40</v>
      </c>
      <c r="J79" s="2" t="s">
        <v>197</v>
      </c>
      <c r="K79" s="2">
        <v>2023</v>
      </c>
      <c r="L79" s="2">
        <v>2</v>
      </c>
      <c r="M79" s="2">
        <v>20</v>
      </c>
      <c r="N79" s="2">
        <v>9</v>
      </c>
    </row>
    <row r="80" spans="1:14" x14ac:dyDescent="0.25">
      <c r="A80" s="4">
        <v>78</v>
      </c>
      <c r="B80" s="8" t="s">
        <v>300</v>
      </c>
      <c r="C80" s="4" t="s">
        <v>199</v>
      </c>
      <c r="D80" s="5">
        <v>44977.885416666664</v>
      </c>
      <c r="E80" s="4" t="s">
        <v>301</v>
      </c>
      <c r="F80" s="4" t="s">
        <v>24</v>
      </c>
      <c r="G80" s="8" t="s">
        <v>302</v>
      </c>
      <c r="H80" s="4">
        <v>15</v>
      </c>
      <c r="I80" s="4">
        <v>30</v>
      </c>
      <c r="J80" s="4" t="s">
        <v>202</v>
      </c>
      <c r="K80" s="4">
        <v>2023</v>
      </c>
      <c r="L80" s="4">
        <v>2</v>
      </c>
      <c r="M80" s="4">
        <v>20</v>
      </c>
      <c r="N80" s="4">
        <v>21</v>
      </c>
    </row>
    <row r="81" spans="1:14" ht="30" x14ac:dyDescent="0.25">
      <c r="A81" s="2">
        <v>79</v>
      </c>
      <c r="B81" s="7" t="s">
        <v>303</v>
      </c>
      <c r="C81" s="2" t="s">
        <v>204</v>
      </c>
      <c r="D81" s="3">
        <v>44978.614583333336</v>
      </c>
      <c r="E81" s="2" t="s">
        <v>304</v>
      </c>
      <c r="F81" s="2" t="s">
        <v>29</v>
      </c>
      <c r="G81" s="7" t="s">
        <v>305</v>
      </c>
      <c r="H81" s="2">
        <v>25</v>
      </c>
      <c r="I81" s="2">
        <v>50</v>
      </c>
      <c r="J81" s="2" t="s">
        <v>207</v>
      </c>
      <c r="K81" s="2">
        <v>2023</v>
      </c>
      <c r="L81" s="2">
        <v>2</v>
      </c>
      <c r="M81" s="2">
        <v>21</v>
      </c>
      <c r="N81" s="2">
        <v>14</v>
      </c>
    </row>
    <row r="82" spans="1:14" ht="30" x14ac:dyDescent="0.25">
      <c r="A82" s="4">
        <v>80</v>
      </c>
      <c r="B82" s="8" t="s">
        <v>306</v>
      </c>
      <c r="C82" s="4" t="s">
        <v>209</v>
      </c>
      <c r="D82" s="5">
        <v>44978.763888888891</v>
      </c>
      <c r="E82" s="4" t="s">
        <v>307</v>
      </c>
      <c r="F82" s="4" t="s">
        <v>14</v>
      </c>
      <c r="G82" s="8" t="s">
        <v>308</v>
      </c>
      <c r="H82" s="4">
        <v>18</v>
      </c>
      <c r="I82" s="4">
        <v>35</v>
      </c>
      <c r="J82" s="4" t="s">
        <v>188</v>
      </c>
      <c r="K82" s="4">
        <v>2023</v>
      </c>
      <c r="L82" s="4">
        <v>2</v>
      </c>
      <c r="M82" s="4">
        <v>21</v>
      </c>
      <c r="N82" s="4">
        <v>18</v>
      </c>
    </row>
    <row r="83" spans="1:14" ht="30" x14ac:dyDescent="0.25">
      <c r="A83" s="2">
        <v>81</v>
      </c>
      <c r="B83" s="7" t="s">
        <v>309</v>
      </c>
      <c r="C83" s="2" t="s">
        <v>213</v>
      </c>
      <c r="D83" s="3">
        <v>44979.416666666664</v>
      </c>
      <c r="E83" s="2" t="s">
        <v>310</v>
      </c>
      <c r="F83" s="2" t="s">
        <v>24</v>
      </c>
      <c r="G83" s="7" t="s">
        <v>311</v>
      </c>
      <c r="H83" s="2">
        <v>30</v>
      </c>
      <c r="I83" s="2">
        <v>60</v>
      </c>
      <c r="J83" s="2" t="s">
        <v>229</v>
      </c>
      <c r="K83" s="2">
        <v>2023</v>
      </c>
      <c r="L83" s="2">
        <v>2</v>
      </c>
      <c r="M83" s="2">
        <v>22</v>
      </c>
      <c r="N83" s="2">
        <v>10</v>
      </c>
    </row>
    <row r="84" spans="1:14" ht="30" x14ac:dyDescent="0.25">
      <c r="A84" s="4">
        <v>82</v>
      </c>
      <c r="B84" s="8" t="s">
        <v>312</v>
      </c>
      <c r="C84" s="4" t="s">
        <v>217</v>
      </c>
      <c r="D84" s="5">
        <v>44979.8125</v>
      </c>
      <c r="E84" s="4" t="s">
        <v>313</v>
      </c>
      <c r="F84" s="4" t="s">
        <v>29</v>
      </c>
      <c r="G84" s="8" t="s">
        <v>314</v>
      </c>
      <c r="H84" s="4">
        <v>22</v>
      </c>
      <c r="I84" s="4">
        <v>45</v>
      </c>
      <c r="J84" s="4" t="s">
        <v>76</v>
      </c>
      <c r="K84" s="4">
        <v>2023</v>
      </c>
      <c r="L84" s="4">
        <v>2</v>
      </c>
      <c r="M84" s="4">
        <v>22</v>
      </c>
      <c r="N84" s="4">
        <v>19</v>
      </c>
    </row>
    <row r="85" spans="1:14" ht="30" x14ac:dyDescent="0.25">
      <c r="A85" s="2">
        <v>83</v>
      </c>
      <c r="B85" s="7" t="s">
        <v>315</v>
      </c>
      <c r="C85" s="2" t="s">
        <v>221</v>
      </c>
      <c r="D85" s="3">
        <v>44980.354166666664</v>
      </c>
      <c r="E85" s="2" t="s">
        <v>316</v>
      </c>
      <c r="F85" s="2" t="s">
        <v>14</v>
      </c>
      <c r="G85" s="7" t="s">
        <v>223</v>
      </c>
      <c r="H85" s="2">
        <v>15</v>
      </c>
      <c r="I85" s="2">
        <v>30</v>
      </c>
      <c r="J85" s="2" t="s">
        <v>224</v>
      </c>
      <c r="K85" s="2">
        <v>2023</v>
      </c>
      <c r="L85" s="2">
        <v>2</v>
      </c>
      <c r="M85" s="2">
        <v>23</v>
      </c>
      <c r="N85" s="2">
        <v>8</v>
      </c>
    </row>
    <row r="86" spans="1:14" x14ac:dyDescent="0.25">
      <c r="A86" s="4">
        <v>84</v>
      </c>
      <c r="B86" s="8" t="s">
        <v>317</v>
      </c>
      <c r="C86" s="4" t="s">
        <v>226</v>
      </c>
      <c r="D86" s="5">
        <v>44980.597222222219</v>
      </c>
      <c r="E86" s="4" t="s">
        <v>318</v>
      </c>
      <c r="F86" s="4" t="s">
        <v>24</v>
      </c>
      <c r="G86" s="8" t="s">
        <v>319</v>
      </c>
      <c r="H86" s="4">
        <v>18</v>
      </c>
      <c r="I86" s="4">
        <v>35</v>
      </c>
      <c r="J86" s="4" t="s">
        <v>229</v>
      </c>
      <c r="K86" s="4">
        <v>2023</v>
      </c>
      <c r="L86" s="4">
        <v>2</v>
      </c>
      <c r="M86" s="4">
        <v>23</v>
      </c>
      <c r="N86" s="4">
        <v>14</v>
      </c>
    </row>
    <row r="87" spans="1:14" x14ac:dyDescent="0.25">
      <c r="A87" s="2">
        <v>85</v>
      </c>
      <c r="B87" s="7" t="s">
        <v>320</v>
      </c>
      <c r="C87" s="2" t="s">
        <v>231</v>
      </c>
      <c r="D87" s="3">
        <v>44980.822916666664</v>
      </c>
      <c r="E87" s="2" t="s">
        <v>321</v>
      </c>
      <c r="F87" s="2" t="s">
        <v>29</v>
      </c>
      <c r="G87" s="7" t="s">
        <v>322</v>
      </c>
      <c r="H87" s="2">
        <v>25</v>
      </c>
      <c r="I87" s="2">
        <v>50</v>
      </c>
      <c r="J87" s="2" t="s">
        <v>96</v>
      </c>
      <c r="K87" s="2">
        <v>2023</v>
      </c>
      <c r="L87" s="2">
        <v>2</v>
      </c>
      <c r="M87" s="2">
        <v>23</v>
      </c>
      <c r="N87" s="2">
        <v>19</v>
      </c>
    </row>
    <row r="88" spans="1:14" ht="30" x14ac:dyDescent="0.25">
      <c r="A88" s="4">
        <v>86</v>
      </c>
      <c r="B88" s="8" t="s">
        <v>323</v>
      </c>
      <c r="C88" s="4" t="s">
        <v>236</v>
      </c>
      <c r="D88" s="5">
        <v>44981.479166666664</v>
      </c>
      <c r="E88" s="4" t="s">
        <v>324</v>
      </c>
      <c r="F88" s="4" t="s">
        <v>14</v>
      </c>
      <c r="G88" s="8" t="s">
        <v>325</v>
      </c>
      <c r="H88" s="4">
        <v>20</v>
      </c>
      <c r="I88" s="4">
        <v>40</v>
      </c>
      <c r="J88" s="4" t="s">
        <v>26</v>
      </c>
      <c r="K88" s="4">
        <v>2023</v>
      </c>
      <c r="L88" s="4">
        <v>2</v>
      </c>
      <c r="M88" s="4">
        <v>24</v>
      </c>
      <c r="N88" s="4">
        <v>11</v>
      </c>
    </row>
    <row r="89" spans="1:14" x14ac:dyDescent="0.25">
      <c r="A89" s="2">
        <v>87</v>
      </c>
      <c r="B89" s="7" t="s">
        <v>326</v>
      </c>
      <c r="C89" s="2" t="s">
        <v>240</v>
      </c>
      <c r="D89" s="3">
        <v>44981.666666666664</v>
      </c>
      <c r="E89" s="2" t="s">
        <v>327</v>
      </c>
      <c r="F89" s="2" t="s">
        <v>24</v>
      </c>
      <c r="G89" s="7" t="s">
        <v>328</v>
      </c>
      <c r="H89" s="2">
        <v>15</v>
      </c>
      <c r="I89" s="2">
        <v>30</v>
      </c>
      <c r="J89" s="2" t="s">
        <v>57</v>
      </c>
      <c r="K89" s="2">
        <v>2023</v>
      </c>
      <c r="L89" s="2">
        <v>2</v>
      </c>
      <c r="M89" s="2">
        <v>24</v>
      </c>
      <c r="N89" s="2">
        <v>16</v>
      </c>
    </row>
    <row r="90" spans="1:14" x14ac:dyDescent="0.25">
      <c r="A90" s="4">
        <v>88</v>
      </c>
      <c r="B90" s="8" t="s">
        <v>329</v>
      </c>
      <c r="C90" s="4" t="s">
        <v>244</v>
      </c>
      <c r="D90" s="5">
        <v>44981.854166666664</v>
      </c>
      <c r="E90" s="4" t="s">
        <v>330</v>
      </c>
      <c r="F90" s="4" t="s">
        <v>29</v>
      </c>
      <c r="G90" s="8" t="s">
        <v>331</v>
      </c>
      <c r="H90" s="4">
        <v>22</v>
      </c>
      <c r="I90" s="4">
        <v>45</v>
      </c>
      <c r="J90" s="4" t="s">
        <v>36</v>
      </c>
      <c r="K90" s="4">
        <v>2023</v>
      </c>
      <c r="L90" s="4">
        <v>2</v>
      </c>
      <c r="M90" s="4">
        <v>24</v>
      </c>
      <c r="N90" s="4">
        <v>20</v>
      </c>
    </row>
    <row r="91" spans="1:14" ht="30" x14ac:dyDescent="0.25">
      <c r="A91" s="2">
        <v>89</v>
      </c>
      <c r="B91" s="7" t="s">
        <v>332</v>
      </c>
      <c r="C91" s="2" t="s">
        <v>249</v>
      </c>
      <c r="D91" s="3">
        <v>44982.375</v>
      </c>
      <c r="E91" s="2" t="s">
        <v>333</v>
      </c>
      <c r="F91" s="2" t="s">
        <v>14</v>
      </c>
      <c r="G91" s="7" t="s">
        <v>334</v>
      </c>
      <c r="H91" s="2">
        <v>18</v>
      </c>
      <c r="I91" s="2">
        <v>35</v>
      </c>
      <c r="J91" s="2" t="s">
        <v>207</v>
      </c>
      <c r="K91" s="2">
        <v>2023</v>
      </c>
      <c r="L91" s="2">
        <v>2</v>
      </c>
      <c r="M91" s="2">
        <v>25</v>
      </c>
      <c r="N91" s="2">
        <v>9</v>
      </c>
    </row>
    <row r="92" spans="1:14" x14ac:dyDescent="0.25">
      <c r="A92" s="4">
        <v>90</v>
      </c>
      <c r="B92" s="8" t="s">
        <v>335</v>
      </c>
      <c r="C92" s="4" t="s">
        <v>253</v>
      </c>
      <c r="D92" s="5">
        <v>44982.614583333336</v>
      </c>
      <c r="E92" s="4" t="s">
        <v>336</v>
      </c>
      <c r="F92" s="4" t="s">
        <v>24</v>
      </c>
      <c r="G92" s="8" t="s">
        <v>337</v>
      </c>
      <c r="H92" s="4">
        <v>25</v>
      </c>
      <c r="I92" s="4">
        <v>50</v>
      </c>
      <c r="J92" s="4" t="s">
        <v>202</v>
      </c>
      <c r="K92" s="4">
        <v>2023</v>
      </c>
      <c r="L92" s="4">
        <v>2</v>
      </c>
      <c r="M92" s="4">
        <v>25</v>
      </c>
      <c r="N92" s="4">
        <v>14</v>
      </c>
    </row>
    <row r="93" spans="1:14" x14ac:dyDescent="0.25">
      <c r="A93" s="2">
        <v>91</v>
      </c>
      <c r="B93" s="7" t="s">
        <v>338</v>
      </c>
      <c r="C93" s="2" t="s">
        <v>257</v>
      </c>
      <c r="D93" s="3">
        <v>44982.763888888891</v>
      </c>
      <c r="E93" s="2" t="s">
        <v>339</v>
      </c>
      <c r="F93" s="2" t="s">
        <v>29</v>
      </c>
      <c r="G93" s="7" t="s">
        <v>340</v>
      </c>
      <c r="H93" s="2">
        <v>15</v>
      </c>
      <c r="I93" s="2">
        <v>30</v>
      </c>
      <c r="J93" s="2" t="s">
        <v>197</v>
      </c>
      <c r="K93" s="2">
        <v>2023</v>
      </c>
      <c r="L93" s="2">
        <v>2</v>
      </c>
      <c r="M93" s="2">
        <v>25</v>
      </c>
      <c r="N93" s="2">
        <v>18</v>
      </c>
    </row>
    <row r="94" spans="1:14" x14ac:dyDescent="0.25">
      <c r="A94" s="4">
        <v>92</v>
      </c>
      <c r="B94" s="8" t="s">
        <v>341</v>
      </c>
      <c r="C94" s="4" t="s">
        <v>261</v>
      </c>
      <c r="D94" s="5">
        <v>44983.447916666664</v>
      </c>
      <c r="E94" s="4" t="s">
        <v>342</v>
      </c>
      <c r="F94" s="4" t="s">
        <v>14</v>
      </c>
      <c r="G94" s="8" t="s">
        <v>343</v>
      </c>
      <c r="H94" s="4">
        <v>22</v>
      </c>
      <c r="I94" s="4">
        <v>45</v>
      </c>
      <c r="J94" s="4" t="s">
        <v>188</v>
      </c>
      <c r="K94" s="4">
        <v>2023</v>
      </c>
      <c r="L94" s="4">
        <v>2</v>
      </c>
      <c r="M94" s="4">
        <v>26</v>
      </c>
      <c r="N94" s="4">
        <v>10</v>
      </c>
    </row>
    <row r="95" spans="1:14" x14ac:dyDescent="0.25">
      <c r="A95" s="2">
        <v>93</v>
      </c>
      <c r="B95" s="7" t="s">
        <v>344</v>
      </c>
      <c r="C95" s="2" t="s">
        <v>265</v>
      </c>
      <c r="D95" s="3">
        <v>44983.3125</v>
      </c>
      <c r="E95" s="2" t="s">
        <v>345</v>
      </c>
      <c r="F95" s="2" t="s">
        <v>24</v>
      </c>
      <c r="G95" s="7" t="s">
        <v>346</v>
      </c>
      <c r="H95" s="2">
        <v>20</v>
      </c>
      <c r="I95" s="2">
        <v>40</v>
      </c>
      <c r="J95" s="2" t="s">
        <v>292</v>
      </c>
      <c r="K95" s="2">
        <v>2023</v>
      </c>
      <c r="L95" s="2">
        <v>2</v>
      </c>
      <c r="M95" s="2">
        <v>26</v>
      </c>
      <c r="N95" s="2">
        <v>7</v>
      </c>
    </row>
    <row r="96" spans="1:14" x14ac:dyDescent="0.25">
      <c r="A96" s="4">
        <v>94</v>
      </c>
      <c r="B96" s="8" t="s">
        <v>347</v>
      </c>
      <c r="C96" s="4" t="s">
        <v>269</v>
      </c>
      <c r="D96" s="5">
        <v>44983.625</v>
      </c>
      <c r="E96" s="4" t="s">
        <v>348</v>
      </c>
      <c r="F96" s="4" t="s">
        <v>29</v>
      </c>
      <c r="G96" s="8" t="s">
        <v>349</v>
      </c>
      <c r="H96" s="4">
        <v>18</v>
      </c>
      <c r="I96" s="4">
        <v>35</v>
      </c>
      <c r="J96" s="4" t="s">
        <v>86</v>
      </c>
      <c r="K96" s="4">
        <v>2023</v>
      </c>
      <c r="L96" s="4">
        <v>2</v>
      </c>
      <c r="M96" s="4">
        <v>26</v>
      </c>
      <c r="N96" s="4">
        <v>15</v>
      </c>
    </row>
    <row r="97" spans="1:14" x14ac:dyDescent="0.25">
      <c r="A97" s="2">
        <v>95</v>
      </c>
      <c r="B97" s="7" t="s">
        <v>350</v>
      </c>
      <c r="C97" s="2" t="s">
        <v>273</v>
      </c>
      <c r="D97" s="3">
        <v>44984.395833333336</v>
      </c>
      <c r="E97" s="2" t="s">
        <v>351</v>
      </c>
      <c r="F97" s="2" t="s">
        <v>14</v>
      </c>
      <c r="G97" s="7" t="s">
        <v>352</v>
      </c>
      <c r="H97" s="2">
        <v>15</v>
      </c>
      <c r="I97" s="2">
        <v>30</v>
      </c>
      <c r="J97" s="2" t="s">
        <v>111</v>
      </c>
      <c r="K97" s="2">
        <v>2023</v>
      </c>
      <c r="L97" s="2">
        <v>2</v>
      </c>
      <c r="M97" s="2">
        <v>27</v>
      </c>
      <c r="N97" s="2">
        <v>9</v>
      </c>
    </row>
    <row r="98" spans="1:14" ht="30" x14ac:dyDescent="0.25">
      <c r="A98" s="4">
        <v>96</v>
      </c>
      <c r="B98" s="8" t="s">
        <v>353</v>
      </c>
      <c r="C98" s="4" t="s">
        <v>277</v>
      </c>
      <c r="D98" s="5">
        <v>44984.597222222219</v>
      </c>
      <c r="E98" s="4" t="s">
        <v>354</v>
      </c>
      <c r="F98" s="4" t="s">
        <v>24</v>
      </c>
      <c r="G98" s="8" t="s">
        <v>355</v>
      </c>
      <c r="H98" s="4">
        <v>25</v>
      </c>
      <c r="I98" s="4">
        <v>50</v>
      </c>
      <c r="J98" s="4" t="s">
        <v>172</v>
      </c>
      <c r="K98" s="4">
        <v>2023</v>
      </c>
      <c r="L98" s="4">
        <v>2</v>
      </c>
      <c r="M98" s="4">
        <v>27</v>
      </c>
      <c r="N98" s="4">
        <v>14</v>
      </c>
    </row>
    <row r="99" spans="1:14" x14ac:dyDescent="0.25">
      <c r="A99" s="2">
        <v>97</v>
      </c>
      <c r="B99" s="7" t="s">
        <v>356</v>
      </c>
      <c r="C99" s="2" t="s">
        <v>281</v>
      </c>
      <c r="D99" s="3">
        <v>44984.78125</v>
      </c>
      <c r="E99" s="2" t="s">
        <v>357</v>
      </c>
      <c r="F99" s="2" t="s">
        <v>29</v>
      </c>
      <c r="G99" s="7" t="s">
        <v>358</v>
      </c>
      <c r="H99" s="2">
        <v>22</v>
      </c>
      <c r="I99" s="2">
        <v>45</v>
      </c>
      <c r="J99" s="2" t="s">
        <v>121</v>
      </c>
      <c r="K99" s="2">
        <v>2023</v>
      </c>
      <c r="L99" s="2">
        <v>2</v>
      </c>
      <c r="M99" s="2">
        <v>27</v>
      </c>
      <c r="N99" s="2">
        <v>18</v>
      </c>
    </row>
    <row r="100" spans="1:14" x14ac:dyDescent="0.25">
      <c r="A100" s="4">
        <v>98</v>
      </c>
      <c r="B100" s="8" t="s">
        <v>359</v>
      </c>
      <c r="C100" s="4" t="s">
        <v>285</v>
      </c>
      <c r="D100" s="5">
        <v>44985.479166666664</v>
      </c>
      <c r="E100" s="4" t="s">
        <v>360</v>
      </c>
      <c r="F100" s="4" t="s">
        <v>14</v>
      </c>
      <c r="G100" s="8" t="s">
        <v>361</v>
      </c>
      <c r="H100" s="4">
        <v>20</v>
      </c>
      <c r="I100" s="4">
        <v>40</v>
      </c>
      <c r="J100" s="4" t="s">
        <v>86</v>
      </c>
      <c r="K100" s="4">
        <v>2023</v>
      </c>
      <c r="L100" s="4">
        <v>2</v>
      </c>
      <c r="M100" s="4">
        <v>28</v>
      </c>
      <c r="N100" s="4">
        <v>11</v>
      </c>
    </row>
    <row r="101" spans="1:14" x14ac:dyDescent="0.25">
      <c r="A101" s="2">
        <v>99</v>
      </c>
      <c r="B101" s="7" t="s">
        <v>362</v>
      </c>
      <c r="C101" s="2" t="s">
        <v>289</v>
      </c>
      <c r="D101" s="3">
        <v>44985.666666666664</v>
      </c>
      <c r="E101" s="2" t="s">
        <v>363</v>
      </c>
      <c r="F101" s="2" t="s">
        <v>24</v>
      </c>
      <c r="G101" s="7" t="s">
        <v>364</v>
      </c>
      <c r="H101" s="2">
        <v>30</v>
      </c>
      <c r="I101" s="2">
        <v>60</v>
      </c>
      <c r="J101" s="2" t="s">
        <v>365</v>
      </c>
      <c r="K101" s="2">
        <v>2023</v>
      </c>
      <c r="L101" s="2">
        <v>2</v>
      </c>
      <c r="M101" s="2">
        <v>28</v>
      </c>
      <c r="N101" s="2">
        <v>16</v>
      </c>
    </row>
    <row r="102" spans="1:14" ht="30" x14ac:dyDescent="0.25">
      <c r="A102" s="4">
        <v>100</v>
      </c>
      <c r="B102" s="8" t="s">
        <v>366</v>
      </c>
      <c r="C102" s="4" t="s">
        <v>294</v>
      </c>
      <c r="D102" s="5">
        <v>44985.822916666664</v>
      </c>
      <c r="E102" s="4" t="s">
        <v>367</v>
      </c>
      <c r="F102" s="4" t="s">
        <v>29</v>
      </c>
      <c r="G102" s="8" t="s">
        <v>296</v>
      </c>
      <c r="H102" s="4">
        <v>15</v>
      </c>
      <c r="I102" s="4">
        <v>30</v>
      </c>
      <c r="J102" s="4" t="s">
        <v>111</v>
      </c>
      <c r="K102" s="4">
        <v>2023</v>
      </c>
      <c r="L102" s="4">
        <v>2</v>
      </c>
      <c r="M102" s="4">
        <v>28</v>
      </c>
      <c r="N102" s="4">
        <v>19</v>
      </c>
    </row>
    <row r="103" spans="1:14" x14ac:dyDescent="0.25">
      <c r="A103" s="2">
        <v>101</v>
      </c>
      <c r="B103" s="7" t="s">
        <v>368</v>
      </c>
      <c r="C103" s="2" t="s">
        <v>257</v>
      </c>
      <c r="D103" s="3">
        <v>44986.447916666664</v>
      </c>
      <c r="E103" s="2" t="s">
        <v>369</v>
      </c>
      <c r="F103" s="2" t="s">
        <v>14</v>
      </c>
      <c r="G103" s="7" t="s">
        <v>370</v>
      </c>
      <c r="H103" s="2">
        <v>22</v>
      </c>
      <c r="I103" s="2">
        <v>45</v>
      </c>
      <c r="J103" s="2" t="s">
        <v>36</v>
      </c>
      <c r="K103" s="2">
        <v>2023</v>
      </c>
      <c r="L103" s="2">
        <v>3</v>
      </c>
      <c r="M103" s="2">
        <v>1</v>
      </c>
      <c r="N103" s="2">
        <v>10</v>
      </c>
    </row>
    <row r="104" spans="1:14" x14ac:dyDescent="0.25">
      <c r="A104" s="4">
        <v>102</v>
      </c>
      <c r="B104" s="8" t="s">
        <v>371</v>
      </c>
      <c r="C104" s="4" t="s">
        <v>281</v>
      </c>
      <c r="D104" s="5">
        <v>44986.5625</v>
      </c>
      <c r="E104" s="4" t="s">
        <v>372</v>
      </c>
      <c r="F104" s="4" t="s">
        <v>24</v>
      </c>
      <c r="G104" s="8" t="s">
        <v>373</v>
      </c>
      <c r="H104" s="4">
        <v>18</v>
      </c>
      <c r="I104" s="4">
        <v>35</v>
      </c>
      <c r="J104" s="4" t="s">
        <v>202</v>
      </c>
      <c r="K104" s="4">
        <v>2023</v>
      </c>
      <c r="L104" s="4">
        <v>3</v>
      </c>
      <c r="M104" s="4">
        <v>1</v>
      </c>
      <c r="N104" s="4">
        <v>13</v>
      </c>
    </row>
    <row r="105" spans="1:14" x14ac:dyDescent="0.25">
      <c r="A105" s="2">
        <v>103</v>
      </c>
      <c r="B105" s="7" t="s">
        <v>374</v>
      </c>
      <c r="C105" s="2" t="s">
        <v>269</v>
      </c>
      <c r="D105" s="3">
        <v>44986.739583333336</v>
      </c>
      <c r="E105" s="2" t="s">
        <v>375</v>
      </c>
      <c r="F105" s="2" t="s">
        <v>14</v>
      </c>
      <c r="G105" s="7" t="s">
        <v>376</v>
      </c>
      <c r="H105" s="2">
        <v>15</v>
      </c>
      <c r="I105" s="2">
        <v>30</v>
      </c>
      <c r="J105" s="2" t="s">
        <v>76</v>
      </c>
      <c r="K105" s="2">
        <v>2023</v>
      </c>
      <c r="L105" s="2">
        <v>3</v>
      </c>
      <c r="M105" s="2">
        <v>1</v>
      </c>
      <c r="N105" s="2">
        <v>17</v>
      </c>
    </row>
    <row r="106" spans="1:14" x14ac:dyDescent="0.25">
      <c r="A106" s="4">
        <v>104</v>
      </c>
      <c r="B106" s="8" t="s">
        <v>377</v>
      </c>
      <c r="C106" s="4" t="s">
        <v>273</v>
      </c>
      <c r="D106" s="5">
        <v>44987.75</v>
      </c>
      <c r="E106" s="4" t="s">
        <v>378</v>
      </c>
      <c r="F106" s="4" t="s">
        <v>29</v>
      </c>
      <c r="G106" s="8" t="s">
        <v>379</v>
      </c>
      <c r="H106" s="4">
        <v>15</v>
      </c>
      <c r="I106" s="4">
        <v>30</v>
      </c>
      <c r="J106" s="4" t="s">
        <v>125</v>
      </c>
      <c r="K106" s="4">
        <v>2023</v>
      </c>
      <c r="L106" s="4">
        <v>3</v>
      </c>
      <c r="M106" s="4">
        <v>2</v>
      </c>
      <c r="N106" s="4">
        <v>18</v>
      </c>
    </row>
    <row r="107" spans="1:14" ht="30" x14ac:dyDescent="0.25">
      <c r="A107" s="2">
        <v>105</v>
      </c>
      <c r="B107" s="7" t="s">
        <v>380</v>
      </c>
      <c r="C107" s="2" t="s">
        <v>381</v>
      </c>
      <c r="D107" s="3">
        <v>44987.552083333336</v>
      </c>
      <c r="E107" s="2" t="s">
        <v>382</v>
      </c>
      <c r="F107" s="2" t="s">
        <v>24</v>
      </c>
      <c r="G107" s="7" t="s">
        <v>383</v>
      </c>
      <c r="H107" s="2">
        <v>30</v>
      </c>
      <c r="I107" s="2">
        <v>60</v>
      </c>
      <c r="J107" s="2" t="s">
        <v>384</v>
      </c>
      <c r="K107" s="2">
        <v>2023</v>
      </c>
      <c r="L107" s="2">
        <v>3</v>
      </c>
      <c r="M107" s="2">
        <v>2</v>
      </c>
      <c r="N107" s="2">
        <v>13</v>
      </c>
    </row>
    <row r="108" spans="1:14" ht="30" x14ac:dyDescent="0.25">
      <c r="A108" s="4">
        <v>106</v>
      </c>
      <c r="B108" s="8" t="s">
        <v>385</v>
      </c>
      <c r="C108" s="4" t="s">
        <v>386</v>
      </c>
      <c r="D108" s="5">
        <v>44987.697916666664</v>
      </c>
      <c r="E108" s="4" t="s">
        <v>387</v>
      </c>
      <c r="F108" s="4" t="s">
        <v>14</v>
      </c>
      <c r="G108" s="8" t="s">
        <v>388</v>
      </c>
      <c r="H108" s="4">
        <v>25</v>
      </c>
      <c r="I108" s="4">
        <v>50</v>
      </c>
      <c r="J108" s="4" t="s">
        <v>111</v>
      </c>
      <c r="K108" s="4">
        <v>2023</v>
      </c>
      <c r="L108" s="4">
        <v>3</v>
      </c>
      <c r="M108" s="4">
        <v>2</v>
      </c>
      <c r="N108" s="4">
        <v>16</v>
      </c>
    </row>
    <row r="109" spans="1:14" ht="30" x14ac:dyDescent="0.25">
      <c r="A109" s="2">
        <v>107</v>
      </c>
      <c r="B109" s="7" t="s">
        <v>389</v>
      </c>
      <c r="C109" s="2" t="s">
        <v>285</v>
      </c>
      <c r="D109" s="3">
        <v>44988.479166666664</v>
      </c>
      <c r="E109" s="2" t="s">
        <v>390</v>
      </c>
      <c r="F109" s="2" t="s">
        <v>29</v>
      </c>
      <c r="G109" s="7" t="s">
        <v>391</v>
      </c>
      <c r="H109" s="2">
        <v>22</v>
      </c>
      <c r="I109" s="2">
        <v>45</v>
      </c>
      <c r="J109" s="2" t="s">
        <v>86</v>
      </c>
      <c r="K109" s="2">
        <v>2023</v>
      </c>
      <c r="L109" s="2">
        <v>3</v>
      </c>
      <c r="M109" s="2">
        <v>3</v>
      </c>
      <c r="N109" s="2">
        <v>11</v>
      </c>
    </row>
    <row r="110" spans="1:14" ht="30" x14ac:dyDescent="0.25">
      <c r="A110" s="4">
        <v>108</v>
      </c>
      <c r="B110" s="8" t="s">
        <v>392</v>
      </c>
      <c r="C110" s="4" t="s">
        <v>289</v>
      </c>
      <c r="D110" s="5">
        <v>44988.604166666664</v>
      </c>
      <c r="E110" s="4" t="s">
        <v>393</v>
      </c>
      <c r="F110" s="4" t="s">
        <v>24</v>
      </c>
      <c r="G110" s="8" t="s">
        <v>394</v>
      </c>
      <c r="H110" s="4">
        <v>12</v>
      </c>
      <c r="I110" s="4">
        <v>25</v>
      </c>
      <c r="J110" s="4" t="s">
        <v>121</v>
      </c>
      <c r="K110" s="4">
        <v>2023</v>
      </c>
      <c r="L110" s="4">
        <v>3</v>
      </c>
      <c r="M110" s="4">
        <v>3</v>
      </c>
      <c r="N110" s="4">
        <v>14</v>
      </c>
    </row>
    <row r="111" spans="1:14" ht="30" x14ac:dyDescent="0.25">
      <c r="A111" s="2">
        <v>109</v>
      </c>
      <c r="B111" s="7" t="s">
        <v>395</v>
      </c>
      <c r="C111" s="2" t="s">
        <v>396</v>
      </c>
      <c r="D111" s="3">
        <v>44988.5</v>
      </c>
      <c r="E111" s="2" t="s">
        <v>397</v>
      </c>
      <c r="F111" s="2" t="s">
        <v>14</v>
      </c>
      <c r="G111" s="7" t="s">
        <v>398</v>
      </c>
      <c r="H111" s="2">
        <v>15</v>
      </c>
      <c r="I111" s="2">
        <v>30</v>
      </c>
      <c r="J111" s="2" t="s">
        <v>125</v>
      </c>
      <c r="K111" s="2">
        <v>2023</v>
      </c>
      <c r="L111" s="2">
        <v>3</v>
      </c>
      <c r="M111" s="2">
        <v>3</v>
      </c>
      <c r="N111" s="2">
        <v>12</v>
      </c>
    </row>
    <row r="112" spans="1:14" x14ac:dyDescent="0.25">
      <c r="A112" s="4">
        <v>110</v>
      </c>
      <c r="B112" s="8" t="s">
        <v>399</v>
      </c>
      <c r="C112" s="4" t="s">
        <v>400</v>
      </c>
      <c r="D112" s="5">
        <v>40313.645833333336</v>
      </c>
      <c r="E112" s="4" t="s">
        <v>401</v>
      </c>
      <c r="F112" s="4" t="s">
        <v>14</v>
      </c>
      <c r="G112" s="8" t="s">
        <v>402</v>
      </c>
      <c r="H112" s="4">
        <v>20</v>
      </c>
      <c r="I112" s="4">
        <v>40</v>
      </c>
      <c r="J112" s="4" t="s">
        <v>76</v>
      </c>
      <c r="K112" s="4">
        <v>2010</v>
      </c>
      <c r="L112" s="4">
        <v>5</v>
      </c>
      <c r="M112" s="4">
        <v>15</v>
      </c>
      <c r="N112" s="4">
        <v>15</v>
      </c>
    </row>
    <row r="113" spans="1:14" x14ac:dyDescent="0.25">
      <c r="A113" s="2">
        <v>111</v>
      </c>
      <c r="B113" s="7" t="s">
        <v>403</v>
      </c>
      <c r="C113" s="2" t="s">
        <v>404</v>
      </c>
      <c r="D113" s="3">
        <v>44418.885416666664</v>
      </c>
      <c r="E113" s="2" t="s">
        <v>405</v>
      </c>
      <c r="F113" s="2" t="s">
        <v>24</v>
      </c>
      <c r="G113" s="7" t="s">
        <v>406</v>
      </c>
      <c r="H113" s="2">
        <v>15</v>
      </c>
      <c r="I113" s="2">
        <v>30</v>
      </c>
      <c r="J113" s="2" t="s">
        <v>16</v>
      </c>
      <c r="K113" s="2">
        <v>2021</v>
      </c>
      <c r="L113" s="2">
        <v>8</v>
      </c>
      <c r="M113" s="2">
        <v>10</v>
      </c>
      <c r="N113" s="2">
        <v>21</v>
      </c>
    </row>
    <row r="114" spans="1:14" ht="30" x14ac:dyDescent="0.25">
      <c r="A114" s="4">
        <v>112</v>
      </c>
      <c r="B114" s="8" t="s">
        <v>407</v>
      </c>
      <c r="C114" s="4" t="s">
        <v>408</v>
      </c>
      <c r="D114" s="5">
        <v>40714.614583333336</v>
      </c>
      <c r="E114" s="4" t="s">
        <v>409</v>
      </c>
      <c r="F114" s="4" t="s">
        <v>29</v>
      </c>
      <c r="G114" s="8" t="s">
        <v>410</v>
      </c>
      <c r="H114" s="4">
        <v>25</v>
      </c>
      <c r="I114" s="4">
        <v>50</v>
      </c>
      <c r="J114" s="4" t="s">
        <v>411</v>
      </c>
      <c r="K114" s="4">
        <v>2011</v>
      </c>
      <c r="L114" s="4">
        <v>6</v>
      </c>
      <c r="M114" s="4">
        <v>20</v>
      </c>
      <c r="N114" s="4">
        <v>14</v>
      </c>
    </row>
    <row r="115" spans="1:14" x14ac:dyDescent="0.25">
      <c r="A115" s="2">
        <v>113</v>
      </c>
      <c r="B115" s="7" t="s">
        <v>412</v>
      </c>
      <c r="C115" s="2" t="s">
        <v>413</v>
      </c>
      <c r="D115" s="3">
        <v>44604.763888888891</v>
      </c>
      <c r="E115" s="2" t="s">
        <v>414</v>
      </c>
      <c r="F115" s="2" t="s">
        <v>14</v>
      </c>
      <c r="G115" s="7" t="s">
        <v>415</v>
      </c>
      <c r="H115" s="2">
        <v>18</v>
      </c>
      <c r="I115" s="2">
        <v>35</v>
      </c>
      <c r="J115" s="2" t="s">
        <v>416</v>
      </c>
      <c r="K115" s="2">
        <v>2022</v>
      </c>
      <c r="L115" s="2">
        <v>2</v>
      </c>
      <c r="M115" s="2">
        <v>12</v>
      </c>
      <c r="N115" s="2">
        <v>18</v>
      </c>
    </row>
    <row r="116" spans="1:14" x14ac:dyDescent="0.25">
      <c r="A116" s="4">
        <v>114</v>
      </c>
      <c r="B116" s="8" t="s">
        <v>417</v>
      </c>
      <c r="C116" s="4" t="s">
        <v>418</v>
      </c>
      <c r="D116" s="5">
        <v>41238.416666666664</v>
      </c>
      <c r="E116" s="4" t="s">
        <v>419</v>
      </c>
      <c r="F116" s="4" t="s">
        <v>24</v>
      </c>
      <c r="G116" s="8" t="s">
        <v>420</v>
      </c>
      <c r="H116" s="4">
        <v>30</v>
      </c>
      <c r="I116" s="4">
        <v>60</v>
      </c>
      <c r="J116" s="4" t="s">
        <v>247</v>
      </c>
      <c r="K116" s="4">
        <v>2012</v>
      </c>
      <c r="L116" s="4">
        <v>11</v>
      </c>
      <c r="M116" s="4">
        <v>25</v>
      </c>
      <c r="N116" s="4">
        <v>10</v>
      </c>
    </row>
    <row r="117" spans="1:14" x14ac:dyDescent="0.25">
      <c r="A117" s="2">
        <v>115</v>
      </c>
      <c r="B117" s="7" t="s">
        <v>421</v>
      </c>
      <c r="C117" s="2" t="s">
        <v>422</v>
      </c>
      <c r="D117" s="3">
        <v>41369.8125</v>
      </c>
      <c r="E117" s="2" t="s">
        <v>423</v>
      </c>
      <c r="F117" s="2" t="s">
        <v>29</v>
      </c>
      <c r="G117" s="7" t="s">
        <v>424</v>
      </c>
      <c r="H117" s="2">
        <v>22</v>
      </c>
      <c r="I117" s="2">
        <v>45</v>
      </c>
      <c r="J117" s="2" t="s">
        <v>16</v>
      </c>
      <c r="K117" s="2">
        <v>2013</v>
      </c>
      <c r="L117" s="2">
        <v>4</v>
      </c>
      <c r="M117" s="2">
        <v>5</v>
      </c>
      <c r="N117" s="2">
        <v>19</v>
      </c>
    </row>
    <row r="118" spans="1:14" x14ac:dyDescent="0.25">
      <c r="A118" s="4">
        <v>116</v>
      </c>
      <c r="B118" s="8" t="s">
        <v>425</v>
      </c>
      <c r="C118" s="4" t="s">
        <v>426</v>
      </c>
      <c r="D118" s="5">
        <v>41896.354166666664</v>
      </c>
      <c r="E118" s="4" t="s">
        <v>427</v>
      </c>
      <c r="F118" s="4" t="s">
        <v>14</v>
      </c>
      <c r="G118" s="8" t="s">
        <v>428</v>
      </c>
      <c r="H118" s="4">
        <v>15</v>
      </c>
      <c r="I118" s="4">
        <v>30</v>
      </c>
      <c r="J118" s="4" t="s">
        <v>31</v>
      </c>
      <c r="K118" s="4">
        <v>2014</v>
      </c>
      <c r="L118" s="4">
        <v>9</v>
      </c>
      <c r="M118" s="4">
        <v>14</v>
      </c>
      <c r="N118" s="4">
        <v>8</v>
      </c>
    </row>
    <row r="119" spans="1:14" ht="30" x14ac:dyDescent="0.25">
      <c r="A119" s="2">
        <v>117</v>
      </c>
      <c r="B119" s="7" t="s">
        <v>429</v>
      </c>
      <c r="C119" s="2" t="s">
        <v>430</v>
      </c>
      <c r="D119" s="3">
        <v>42203.597222222219</v>
      </c>
      <c r="E119" s="2" t="s">
        <v>431</v>
      </c>
      <c r="F119" s="2" t="s">
        <v>24</v>
      </c>
      <c r="G119" s="7" t="s">
        <v>432</v>
      </c>
      <c r="H119" s="2">
        <v>18</v>
      </c>
      <c r="I119" s="2">
        <v>35</v>
      </c>
      <c r="J119" s="2" t="s">
        <v>121</v>
      </c>
      <c r="K119" s="2">
        <v>2015</v>
      </c>
      <c r="L119" s="2">
        <v>7</v>
      </c>
      <c r="M119" s="2">
        <v>18</v>
      </c>
      <c r="N119" s="2">
        <v>14</v>
      </c>
    </row>
    <row r="120" spans="1:14" x14ac:dyDescent="0.25">
      <c r="A120" s="4">
        <v>118</v>
      </c>
      <c r="B120" s="8" t="s">
        <v>433</v>
      </c>
      <c r="C120" s="4" t="s">
        <v>434</v>
      </c>
      <c r="D120" s="5">
        <v>42423.822916666664</v>
      </c>
      <c r="E120" s="4" t="s">
        <v>435</v>
      </c>
      <c r="F120" s="4" t="s">
        <v>29</v>
      </c>
      <c r="G120" s="8" t="s">
        <v>436</v>
      </c>
      <c r="H120" s="4">
        <v>25</v>
      </c>
      <c r="I120" s="4">
        <v>50</v>
      </c>
      <c r="J120" s="4" t="s">
        <v>416</v>
      </c>
      <c r="K120" s="4">
        <v>2016</v>
      </c>
      <c r="L120" s="4">
        <v>2</v>
      </c>
      <c r="M120" s="4">
        <v>23</v>
      </c>
      <c r="N120" s="4">
        <v>19</v>
      </c>
    </row>
    <row r="121" spans="1:14" ht="30" x14ac:dyDescent="0.25">
      <c r="A121" s="2">
        <v>119</v>
      </c>
      <c r="B121" s="7" t="s">
        <v>437</v>
      </c>
      <c r="C121" s="2" t="s">
        <v>438</v>
      </c>
      <c r="D121" s="3">
        <v>43038.479166666664</v>
      </c>
      <c r="E121" s="2" t="s">
        <v>439</v>
      </c>
      <c r="F121" s="2" t="s">
        <v>14</v>
      </c>
      <c r="G121" s="7" t="s">
        <v>440</v>
      </c>
      <c r="H121" s="2">
        <v>20</v>
      </c>
      <c r="I121" s="2">
        <v>40</v>
      </c>
      <c r="J121" s="2" t="s">
        <v>36</v>
      </c>
      <c r="K121" s="2">
        <v>2017</v>
      </c>
      <c r="L121" s="2">
        <v>10</v>
      </c>
      <c r="M121" s="2">
        <v>30</v>
      </c>
      <c r="N121" s="2">
        <v>11</v>
      </c>
    </row>
    <row r="122" spans="1:14" x14ac:dyDescent="0.25">
      <c r="A122" s="4">
        <v>120</v>
      </c>
      <c r="B122" s="8" t="s">
        <v>441</v>
      </c>
      <c r="C122" s="4" t="s">
        <v>442</v>
      </c>
      <c r="D122" s="5">
        <v>43266.666666666664</v>
      </c>
      <c r="E122" s="4" t="s">
        <v>443</v>
      </c>
      <c r="F122" s="4" t="s">
        <v>24</v>
      </c>
      <c r="G122" s="8" t="s">
        <v>444</v>
      </c>
      <c r="H122" s="4">
        <v>15</v>
      </c>
      <c r="I122" s="4">
        <v>30</v>
      </c>
      <c r="J122" s="4" t="s">
        <v>445</v>
      </c>
      <c r="K122" s="4">
        <v>2018</v>
      </c>
      <c r="L122" s="4">
        <v>6</v>
      </c>
      <c r="M122" s="4">
        <v>15</v>
      </c>
      <c r="N122" s="4">
        <v>16</v>
      </c>
    </row>
    <row r="123" spans="1:14" ht="30" x14ac:dyDescent="0.25">
      <c r="A123" s="2">
        <v>121</v>
      </c>
      <c r="B123" s="7" t="s">
        <v>446</v>
      </c>
      <c r="C123" s="2" t="s">
        <v>447</v>
      </c>
      <c r="D123" s="3">
        <v>43552.763888888891</v>
      </c>
      <c r="E123" s="2" t="s">
        <v>448</v>
      </c>
      <c r="F123" s="2" t="s">
        <v>29</v>
      </c>
      <c r="G123" s="7" t="s">
        <v>449</v>
      </c>
      <c r="H123" s="2">
        <v>22</v>
      </c>
      <c r="I123" s="2">
        <v>45</v>
      </c>
      <c r="J123" s="2" t="s">
        <v>111</v>
      </c>
      <c r="K123" s="2">
        <v>2019</v>
      </c>
      <c r="L123" s="2">
        <v>3</v>
      </c>
      <c r="M123" s="2">
        <v>28</v>
      </c>
      <c r="N123" s="2">
        <v>18</v>
      </c>
    </row>
    <row r="124" spans="1:14" x14ac:dyDescent="0.25">
      <c r="A124" s="4">
        <v>122</v>
      </c>
      <c r="B124" s="8" t="s">
        <v>450</v>
      </c>
      <c r="C124" s="4" t="s">
        <v>451</v>
      </c>
      <c r="D124" s="5">
        <v>43780.625</v>
      </c>
      <c r="E124" s="4" t="s">
        <v>452</v>
      </c>
      <c r="F124" s="4" t="s">
        <v>14</v>
      </c>
      <c r="G124" s="8" t="s">
        <v>453</v>
      </c>
      <c r="H124" s="4">
        <v>18</v>
      </c>
      <c r="I124" s="4">
        <v>35</v>
      </c>
      <c r="J124" s="4" t="s">
        <v>454</v>
      </c>
      <c r="K124" s="4">
        <v>2019</v>
      </c>
      <c r="L124" s="4">
        <v>11</v>
      </c>
      <c r="M124" s="4">
        <v>11</v>
      </c>
      <c r="N124" s="4">
        <v>15</v>
      </c>
    </row>
    <row r="125" spans="1:14" x14ac:dyDescent="0.25">
      <c r="A125" s="2">
        <v>123</v>
      </c>
      <c r="B125" s="7" t="s">
        <v>455</v>
      </c>
      <c r="C125" s="2" t="s">
        <v>400</v>
      </c>
      <c r="D125" s="3">
        <v>43923.395833333336</v>
      </c>
      <c r="E125" s="2" t="s">
        <v>456</v>
      </c>
      <c r="F125" s="2" t="s">
        <v>24</v>
      </c>
      <c r="G125" s="7" t="s">
        <v>457</v>
      </c>
      <c r="H125" s="2">
        <v>25</v>
      </c>
      <c r="I125" s="2">
        <v>50</v>
      </c>
      <c r="J125" s="2" t="s">
        <v>458</v>
      </c>
      <c r="K125" s="2">
        <v>2020</v>
      </c>
      <c r="L125" s="2">
        <v>4</v>
      </c>
      <c r="M125" s="2">
        <v>2</v>
      </c>
      <c r="N125" s="2">
        <v>9</v>
      </c>
    </row>
    <row r="126" spans="1:14" x14ac:dyDescent="0.25">
      <c r="A126" s="4">
        <v>124</v>
      </c>
      <c r="B126" s="8" t="s">
        <v>459</v>
      </c>
      <c r="C126" s="4" t="s">
        <v>404</v>
      </c>
      <c r="D126" s="5">
        <v>44366.614583333336</v>
      </c>
      <c r="E126" s="4" t="s">
        <v>460</v>
      </c>
      <c r="F126" s="4" t="s">
        <v>29</v>
      </c>
      <c r="G126" s="8" t="s">
        <v>461</v>
      </c>
      <c r="H126" s="4">
        <v>15</v>
      </c>
      <c r="I126" s="4">
        <v>30</v>
      </c>
      <c r="J126" s="4" t="s">
        <v>96</v>
      </c>
      <c r="K126" s="4">
        <v>2021</v>
      </c>
      <c r="L126" s="4">
        <v>6</v>
      </c>
      <c r="M126" s="4">
        <v>19</v>
      </c>
      <c r="N126" s="4">
        <v>14</v>
      </c>
    </row>
    <row r="127" spans="1:14" x14ac:dyDescent="0.25">
      <c r="A127" s="2">
        <v>125</v>
      </c>
      <c r="B127" s="7" t="s">
        <v>462</v>
      </c>
      <c r="C127" s="2" t="s">
        <v>408</v>
      </c>
      <c r="D127" s="3">
        <v>40405.416666666664</v>
      </c>
      <c r="E127" s="2" t="s">
        <v>463</v>
      </c>
      <c r="F127" s="2" t="s">
        <v>14</v>
      </c>
      <c r="G127" s="7" t="s">
        <v>464</v>
      </c>
      <c r="H127" s="2">
        <v>30</v>
      </c>
      <c r="I127" s="2">
        <v>60</v>
      </c>
      <c r="J127" s="2" t="s">
        <v>36</v>
      </c>
      <c r="K127" s="2">
        <v>2010</v>
      </c>
      <c r="L127" s="2">
        <v>8</v>
      </c>
      <c r="M127" s="2">
        <v>15</v>
      </c>
      <c r="N127" s="2">
        <v>10</v>
      </c>
    </row>
    <row r="128" spans="1:14" x14ac:dyDescent="0.25">
      <c r="A128" s="4">
        <v>126</v>
      </c>
      <c r="B128" s="8" t="s">
        <v>465</v>
      </c>
      <c r="C128" s="4" t="s">
        <v>413</v>
      </c>
      <c r="D128" s="5">
        <v>40808.8125</v>
      </c>
      <c r="E128" s="4" t="s">
        <v>466</v>
      </c>
      <c r="F128" s="4" t="s">
        <v>24</v>
      </c>
      <c r="G128" s="8" t="s">
        <v>467</v>
      </c>
      <c r="H128" s="4">
        <v>22</v>
      </c>
      <c r="I128" s="4">
        <v>45</v>
      </c>
      <c r="J128" s="4" t="s">
        <v>416</v>
      </c>
      <c r="K128" s="4">
        <v>2011</v>
      </c>
      <c r="L128" s="4">
        <v>9</v>
      </c>
      <c r="M128" s="4">
        <v>22</v>
      </c>
      <c r="N128" s="4">
        <v>19</v>
      </c>
    </row>
    <row r="129" spans="1:14" x14ac:dyDescent="0.25">
      <c r="A129" s="2">
        <v>127</v>
      </c>
      <c r="B129" s="7" t="s">
        <v>468</v>
      </c>
      <c r="C129" s="2" t="s">
        <v>418</v>
      </c>
      <c r="D129" s="3">
        <v>40978.354166666664</v>
      </c>
      <c r="E129" s="2" t="s">
        <v>469</v>
      </c>
      <c r="F129" s="2" t="s">
        <v>29</v>
      </c>
      <c r="G129" s="7" t="s">
        <v>470</v>
      </c>
      <c r="H129" s="2">
        <v>15</v>
      </c>
      <c r="I129" s="2">
        <v>30</v>
      </c>
      <c r="J129" s="2" t="s">
        <v>111</v>
      </c>
      <c r="K129" s="2">
        <v>2012</v>
      </c>
      <c r="L129" s="2">
        <v>3</v>
      </c>
      <c r="M129" s="2">
        <v>10</v>
      </c>
      <c r="N129" s="2">
        <v>8</v>
      </c>
    </row>
    <row r="130" spans="1:14" x14ac:dyDescent="0.25">
      <c r="A130" s="4">
        <v>128</v>
      </c>
      <c r="B130" s="8" t="s">
        <v>471</v>
      </c>
      <c r="C130" s="4" t="s">
        <v>422</v>
      </c>
      <c r="D130" s="5">
        <v>41613.666666666664</v>
      </c>
      <c r="E130" s="4" t="s">
        <v>472</v>
      </c>
      <c r="F130" s="4" t="s">
        <v>14</v>
      </c>
      <c r="G130" s="8" t="s">
        <v>473</v>
      </c>
      <c r="H130" s="4">
        <v>18</v>
      </c>
      <c r="I130" s="4">
        <v>35</v>
      </c>
      <c r="J130" s="4" t="s">
        <v>76</v>
      </c>
      <c r="K130" s="4">
        <v>2013</v>
      </c>
      <c r="L130" s="4">
        <v>12</v>
      </c>
      <c r="M130" s="4">
        <v>5</v>
      </c>
      <c r="N130" s="4">
        <v>16</v>
      </c>
    </row>
    <row r="131" spans="1:14" x14ac:dyDescent="0.25">
      <c r="A131" s="2">
        <v>129</v>
      </c>
      <c r="B131" s="7" t="s">
        <v>474</v>
      </c>
      <c r="C131" s="2" t="s">
        <v>426</v>
      </c>
      <c r="D131" s="3">
        <v>41840.479166666664</v>
      </c>
      <c r="E131" s="2" t="s">
        <v>475</v>
      </c>
      <c r="F131" s="2" t="s">
        <v>24</v>
      </c>
      <c r="G131" s="7" t="s">
        <v>476</v>
      </c>
      <c r="H131" s="2">
        <v>25</v>
      </c>
      <c r="I131" s="2">
        <v>50</v>
      </c>
      <c r="J131" s="2" t="s">
        <v>57</v>
      </c>
      <c r="K131" s="2">
        <v>2014</v>
      </c>
      <c r="L131" s="2">
        <v>7</v>
      </c>
      <c r="M131" s="2">
        <v>20</v>
      </c>
      <c r="N131" s="2">
        <v>11</v>
      </c>
    </row>
    <row r="132" spans="1:14" ht="30" x14ac:dyDescent="0.25">
      <c r="A132" s="4">
        <v>130</v>
      </c>
      <c r="B132" s="8" t="s">
        <v>477</v>
      </c>
      <c r="C132" s="4" t="s">
        <v>430</v>
      </c>
      <c r="D132" s="5">
        <v>42360.597222222219</v>
      </c>
      <c r="E132" s="4" t="s">
        <v>478</v>
      </c>
      <c r="F132" s="4" t="s">
        <v>29</v>
      </c>
      <c r="G132" s="8" t="s">
        <v>479</v>
      </c>
      <c r="H132" s="4">
        <v>18</v>
      </c>
      <c r="I132" s="4">
        <v>35</v>
      </c>
      <c r="J132" s="4" t="s">
        <v>16</v>
      </c>
      <c r="K132" s="4">
        <v>2015</v>
      </c>
      <c r="L132" s="4">
        <v>12</v>
      </c>
      <c r="M132" s="4">
        <v>22</v>
      </c>
      <c r="N132" s="4">
        <v>14</v>
      </c>
    </row>
    <row r="133" spans="1:14" x14ac:dyDescent="0.25">
      <c r="A133" s="2">
        <v>131</v>
      </c>
      <c r="B133" s="7" t="s">
        <v>480</v>
      </c>
      <c r="C133" s="2" t="s">
        <v>434</v>
      </c>
      <c r="D133" s="3">
        <v>42410.822916666664</v>
      </c>
      <c r="E133" s="2" t="s">
        <v>481</v>
      </c>
      <c r="F133" s="2" t="s">
        <v>14</v>
      </c>
      <c r="G133" s="7" t="s">
        <v>482</v>
      </c>
      <c r="H133" s="2">
        <v>25</v>
      </c>
      <c r="I133" s="2">
        <v>50</v>
      </c>
      <c r="J133" s="2" t="s">
        <v>31</v>
      </c>
      <c r="K133" s="2">
        <v>2016</v>
      </c>
      <c r="L133" s="2">
        <v>2</v>
      </c>
      <c r="M133" s="2">
        <v>10</v>
      </c>
      <c r="N133" s="2">
        <v>19</v>
      </c>
    </row>
    <row r="134" spans="1:14" x14ac:dyDescent="0.25">
      <c r="A134" s="4">
        <v>132</v>
      </c>
      <c r="B134" s="8" t="s">
        <v>483</v>
      </c>
      <c r="C134" s="4" t="s">
        <v>438</v>
      </c>
      <c r="D134" s="5">
        <v>42855.479166666664</v>
      </c>
      <c r="E134" s="4" t="s">
        <v>484</v>
      </c>
      <c r="F134" s="4" t="s">
        <v>24</v>
      </c>
      <c r="G134" s="8" t="s">
        <v>485</v>
      </c>
      <c r="H134" s="4">
        <v>20</v>
      </c>
      <c r="I134" s="4">
        <v>40</v>
      </c>
      <c r="J134" s="4" t="s">
        <v>36</v>
      </c>
      <c r="K134" s="4">
        <v>2017</v>
      </c>
      <c r="L134" s="4">
        <v>4</v>
      </c>
      <c r="M134" s="4">
        <v>30</v>
      </c>
      <c r="N134" s="4">
        <v>11</v>
      </c>
    </row>
    <row r="135" spans="1:14" x14ac:dyDescent="0.25">
      <c r="A135" s="2">
        <v>133</v>
      </c>
      <c r="B135" s="7" t="s">
        <v>486</v>
      </c>
      <c r="C135" s="2" t="s">
        <v>442</v>
      </c>
      <c r="D135" s="3">
        <v>43358.666666666664</v>
      </c>
      <c r="E135" s="2" t="s">
        <v>487</v>
      </c>
      <c r="F135" s="2" t="s">
        <v>29</v>
      </c>
      <c r="G135" s="7" t="s">
        <v>488</v>
      </c>
      <c r="H135" s="2">
        <v>15</v>
      </c>
      <c r="I135" s="2">
        <v>30</v>
      </c>
      <c r="J135" s="2" t="s">
        <v>76</v>
      </c>
      <c r="K135" s="2">
        <v>2018</v>
      </c>
      <c r="L135" s="2">
        <v>9</v>
      </c>
      <c r="M135" s="2">
        <v>15</v>
      </c>
      <c r="N135" s="2">
        <v>16</v>
      </c>
    </row>
    <row r="136" spans="1:14" ht="30" x14ac:dyDescent="0.25">
      <c r="A136" s="4">
        <v>134</v>
      </c>
      <c r="B136" s="8" t="s">
        <v>489</v>
      </c>
      <c r="C136" s="4" t="s">
        <v>447</v>
      </c>
      <c r="D136" s="5">
        <v>43644.763888888891</v>
      </c>
      <c r="E136" s="4" t="s">
        <v>490</v>
      </c>
      <c r="F136" s="4" t="s">
        <v>14</v>
      </c>
      <c r="G136" s="8" t="s">
        <v>491</v>
      </c>
      <c r="H136" s="4">
        <v>22</v>
      </c>
      <c r="I136" s="4">
        <v>45</v>
      </c>
      <c r="J136" s="4" t="s">
        <v>111</v>
      </c>
      <c r="K136" s="4">
        <v>2019</v>
      </c>
      <c r="L136" s="4">
        <v>6</v>
      </c>
      <c r="M136" s="4">
        <v>28</v>
      </c>
      <c r="N136" s="4">
        <v>18</v>
      </c>
    </row>
    <row r="137" spans="1:14" x14ac:dyDescent="0.25">
      <c r="A137" s="2">
        <v>135</v>
      </c>
      <c r="B137" s="7" t="s">
        <v>492</v>
      </c>
      <c r="C137" s="2" t="s">
        <v>451</v>
      </c>
      <c r="D137" s="3">
        <v>44146.625</v>
      </c>
      <c r="E137" s="2" t="s">
        <v>493</v>
      </c>
      <c r="F137" s="2" t="s">
        <v>24</v>
      </c>
      <c r="G137" s="7" t="s">
        <v>494</v>
      </c>
      <c r="H137" s="2">
        <v>18</v>
      </c>
      <c r="I137" s="2">
        <v>35</v>
      </c>
      <c r="J137" s="2" t="s">
        <v>125</v>
      </c>
      <c r="K137" s="2">
        <v>2020</v>
      </c>
      <c r="L137" s="2">
        <v>11</v>
      </c>
      <c r="M137" s="2">
        <v>11</v>
      </c>
      <c r="N137" s="2">
        <v>15</v>
      </c>
    </row>
    <row r="138" spans="1:14" x14ac:dyDescent="0.25">
      <c r="A138" s="4">
        <v>136</v>
      </c>
      <c r="B138" s="8" t="s">
        <v>495</v>
      </c>
      <c r="C138" s="4" t="s">
        <v>400</v>
      </c>
      <c r="D138" s="5">
        <v>44257.395833333336</v>
      </c>
      <c r="E138" s="4" t="s">
        <v>496</v>
      </c>
      <c r="F138" s="4" t="s">
        <v>29</v>
      </c>
      <c r="G138" s="8" t="s">
        <v>497</v>
      </c>
      <c r="H138" s="4">
        <v>25</v>
      </c>
      <c r="I138" s="4">
        <v>50</v>
      </c>
      <c r="J138" s="4" t="s">
        <v>16</v>
      </c>
      <c r="K138" s="4">
        <v>2021</v>
      </c>
      <c r="L138" s="4">
        <v>3</v>
      </c>
      <c r="M138" s="4">
        <v>2</v>
      </c>
      <c r="N138" s="4">
        <v>9</v>
      </c>
    </row>
    <row r="139" spans="1:14" x14ac:dyDescent="0.25">
      <c r="A139" s="2">
        <v>137</v>
      </c>
      <c r="B139" s="7" t="s">
        <v>498</v>
      </c>
      <c r="C139" s="2" t="s">
        <v>400</v>
      </c>
      <c r="D139" s="3">
        <v>40957.604166666664</v>
      </c>
      <c r="E139" s="2" t="s">
        <v>499</v>
      </c>
      <c r="F139" s="2" t="s">
        <v>14</v>
      </c>
      <c r="G139" s="7" t="s">
        <v>500</v>
      </c>
      <c r="H139" s="2">
        <v>20</v>
      </c>
      <c r="I139" s="2">
        <v>40</v>
      </c>
      <c r="J139" s="2" t="s">
        <v>16</v>
      </c>
      <c r="K139" s="2">
        <v>2012</v>
      </c>
      <c r="L139" s="2">
        <v>2</v>
      </c>
      <c r="M139" s="2">
        <v>18</v>
      </c>
      <c r="N139" s="2">
        <v>14</v>
      </c>
    </row>
    <row r="140" spans="1:14" x14ac:dyDescent="0.25">
      <c r="A140" s="4">
        <v>138</v>
      </c>
      <c r="B140" s="8" t="s">
        <v>501</v>
      </c>
      <c r="C140" s="4" t="s">
        <v>404</v>
      </c>
      <c r="D140" s="5">
        <v>43409.90625</v>
      </c>
      <c r="E140" s="4" t="s">
        <v>502</v>
      </c>
      <c r="F140" s="4" t="s">
        <v>24</v>
      </c>
      <c r="G140" s="8" t="s">
        <v>503</v>
      </c>
      <c r="H140" s="4">
        <v>15</v>
      </c>
      <c r="I140" s="4">
        <v>30</v>
      </c>
      <c r="J140" s="4" t="s">
        <v>172</v>
      </c>
      <c r="K140" s="4">
        <v>2018</v>
      </c>
      <c r="L140" s="4">
        <v>11</v>
      </c>
      <c r="M140" s="4">
        <v>5</v>
      </c>
      <c r="N140" s="4">
        <v>21</v>
      </c>
    </row>
    <row r="141" spans="1:14" x14ac:dyDescent="0.25">
      <c r="A141" s="2">
        <v>139</v>
      </c>
      <c r="B141" s="7" t="s">
        <v>504</v>
      </c>
      <c r="C141" s="2" t="s">
        <v>408</v>
      </c>
      <c r="D141" s="3">
        <v>42259.555555555555</v>
      </c>
      <c r="E141" s="2" t="s">
        <v>505</v>
      </c>
      <c r="F141" s="2" t="s">
        <v>29</v>
      </c>
      <c r="G141" s="7" t="s">
        <v>506</v>
      </c>
      <c r="H141" s="2">
        <v>25</v>
      </c>
      <c r="I141" s="2">
        <v>50</v>
      </c>
      <c r="J141" s="2" t="s">
        <v>40</v>
      </c>
      <c r="K141" s="2">
        <v>2015</v>
      </c>
      <c r="L141" s="2">
        <v>9</v>
      </c>
      <c r="M141" s="2">
        <v>12</v>
      </c>
      <c r="N141" s="2">
        <v>13</v>
      </c>
    </row>
    <row r="142" spans="1:14" x14ac:dyDescent="0.25">
      <c r="A142" s="4">
        <v>140</v>
      </c>
      <c r="B142" s="8" t="s">
        <v>507</v>
      </c>
      <c r="C142" s="4" t="s">
        <v>413</v>
      </c>
      <c r="D142" s="5">
        <v>42581.756944444445</v>
      </c>
      <c r="E142" s="4" t="s">
        <v>508</v>
      </c>
      <c r="F142" s="4" t="s">
        <v>14</v>
      </c>
      <c r="G142" s="8" t="s">
        <v>509</v>
      </c>
      <c r="H142" s="4">
        <v>18</v>
      </c>
      <c r="I142" s="4">
        <v>35</v>
      </c>
      <c r="J142" s="4" t="s">
        <v>458</v>
      </c>
      <c r="K142" s="4">
        <v>2016</v>
      </c>
      <c r="L142" s="4">
        <v>7</v>
      </c>
      <c r="M142" s="4">
        <v>30</v>
      </c>
      <c r="N142" s="4">
        <v>18</v>
      </c>
    </row>
    <row r="143" spans="1:14" x14ac:dyDescent="0.25">
      <c r="A143" s="2">
        <v>141</v>
      </c>
      <c r="B143" s="7" t="s">
        <v>510</v>
      </c>
      <c r="C143" s="2" t="s">
        <v>418</v>
      </c>
      <c r="D143" s="3">
        <v>41384.4375</v>
      </c>
      <c r="E143" s="2" t="s">
        <v>511</v>
      </c>
      <c r="F143" s="2" t="s">
        <v>24</v>
      </c>
      <c r="G143" s="7" t="s">
        <v>512</v>
      </c>
      <c r="H143" s="2">
        <v>30</v>
      </c>
      <c r="I143" s="2">
        <v>60</v>
      </c>
      <c r="J143" s="2" t="s">
        <v>96</v>
      </c>
      <c r="K143" s="2">
        <v>2013</v>
      </c>
      <c r="L143" s="2">
        <v>4</v>
      </c>
      <c r="M143" s="2">
        <v>20</v>
      </c>
      <c r="N143" s="2">
        <v>10</v>
      </c>
    </row>
    <row r="144" spans="1:14" ht="30" x14ac:dyDescent="0.25">
      <c r="A144" s="4">
        <v>142</v>
      </c>
      <c r="B144" s="8" t="s">
        <v>513</v>
      </c>
      <c r="C144" s="4" t="s">
        <v>422</v>
      </c>
      <c r="D144" s="5">
        <v>43077.802083333336</v>
      </c>
      <c r="E144" s="4" t="s">
        <v>514</v>
      </c>
      <c r="F144" s="4" t="s">
        <v>29</v>
      </c>
      <c r="G144" s="8" t="s">
        <v>515</v>
      </c>
      <c r="H144" s="4">
        <v>22</v>
      </c>
      <c r="I144" s="4">
        <v>45</v>
      </c>
      <c r="J144" s="4" t="s">
        <v>76</v>
      </c>
      <c r="K144" s="4">
        <v>2017</v>
      </c>
      <c r="L144" s="4">
        <v>12</v>
      </c>
      <c r="M144" s="4">
        <v>8</v>
      </c>
      <c r="N144" s="4">
        <v>19</v>
      </c>
    </row>
    <row r="145" spans="1:14" x14ac:dyDescent="0.25">
      <c r="A145" s="2">
        <v>143</v>
      </c>
      <c r="B145" s="7" t="s">
        <v>516</v>
      </c>
      <c r="C145" s="2" t="s">
        <v>426</v>
      </c>
      <c r="D145" s="3">
        <v>41793.347222222219</v>
      </c>
      <c r="E145" s="2" t="s">
        <v>517</v>
      </c>
      <c r="F145" s="2" t="s">
        <v>14</v>
      </c>
      <c r="G145" s="7" t="s">
        <v>518</v>
      </c>
      <c r="H145" s="2">
        <v>15</v>
      </c>
      <c r="I145" s="2">
        <v>30</v>
      </c>
      <c r="J145" s="2" t="s">
        <v>31</v>
      </c>
      <c r="K145" s="2">
        <v>2014</v>
      </c>
      <c r="L145" s="2">
        <v>6</v>
      </c>
      <c r="M145" s="2">
        <v>3</v>
      </c>
      <c r="N145" s="2">
        <v>8</v>
      </c>
    </row>
    <row r="146" spans="1:14" ht="30" x14ac:dyDescent="0.25">
      <c r="A146" s="4">
        <v>144</v>
      </c>
      <c r="B146" s="8" t="s">
        <v>519</v>
      </c>
      <c r="C146" s="4" t="s">
        <v>520</v>
      </c>
      <c r="D146" s="5">
        <v>43480.618055555555</v>
      </c>
      <c r="E146" s="4" t="s">
        <v>521</v>
      </c>
      <c r="F146" s="4" t="s">
        <v>24</v>
      </c>
      <c r="G146" s="8" t="s">
        <v>522</v>
      </c>
      <c r="H146" s="4">
        <v>18</v>
      </c>
      <c r="I146" s="4">
        <v>35</v>
      </c>
      <c r="J146" s="4" t="s">
        <v>36</v>
      </c>
      <c r="K146" s="4">
        <v>2019</v>
      </c>
      <c r="L146" s="4">
        <v>1</v>
      </c>
      <c r="M146" s="4">
        <v>15</v>
      </c>
      <c r="N146" s="4">
        <v>14</v>
      </c>
    </row>
    <row r="147" spans="1:14" x14ac:dyDescent="0.25">
      <c r="A147" s="2">
        <v>145</v>
      </c>
      <c r="B147" s="7" t="s">
        <v>523</v>
      </c>
      <c r="C147" s="2" t="s">
        <v>434</v>
      </c>
      <c r="D147" s="3">
        <v>42729.8125</v>
      </c>
      <c r="E147" s="2" t="s">
        <v>524</v>
      </c>
      <c r="F147" s="2" t="s">
        <v>29</v>
      </c>
      <c r="G147" s="7" t="s">
        <v>525</v>
      </c>
      <c r="H147" s="2">
        <v>25</v>
      </c>
      <c r="I147" s="2">
        <v>50</v>
      </c>
      <c r="J147" s="2" t="s">
        <v>416</v>
      </c>
      <c r="K147" s="2">
        <v>2016</v>
      </c>
      <c r="L147" s="2">
        <v>12</v>
      </c>
      <c r="M147" s="2">
        <v>25</v>
      </c>
      <c r="N147" s="2">
        <v>19</v>
      </c>
    </row>
    <row r="148" spans="1:14" x14ac:dyDescent="0.25">
      <c r="A148" s="4">
        <v>146</v>
      </c>
      <c r="B148" s="8" t="s">
        <v>526</v>
      </c>
      <c r="C148" s="4" t="s">
        <v>438</v>
      </c>
      <c r="D148" s="5">
        <v>43169.40625</v>
      </c>
      <c r="E148" s="4" t="s">
        <v>527</v>
      </c>
      <c r="F148" s="4" t="s">
        <v>14</v>
      </c>
      <c r="G148" s="8" t="s">
        <v>528</v>
      </c>
      <c r="H148" s="4">
        <v>20</v>
      </c>
      <c r="I148" s="4">
        <v>40</v>
      </c>
      <c r="J148" s="4" t="s">
        <v>40</v>
      </c>
      <c r="K148" s="4">
        <v>2018</v>
      </c>
      <c r="L148" s="4">
        <v>3</v>
      </c>
      <c r="M148" s="4">
        <v>10</v>
      </c>
      <c r="N148" s="4">
        <v>9</v>
      </c>
    </row>
    <row r="149" spans="1:14" x14ac:dyDescent="0.25">
      <c r="A149" s="2">
        <v>147</v>
      </c>
      <c r="B149" s="7" t="s">
        <v>529</v>
      </c>
      <c r="C149" s="2" t="s">
        <v>442</v>
      </c>
      <c r="D149" s="3">
        <v>44091.6875</v>
      </c>
      <c r="E149" s="2" t="s">
        <v>530</v>
      </c>
      <c r="F149" s="2" t="s">
        <v>24</v>
      </c>
      <c r="G149" s="7" t="s">
        <v>531</v>
      </c>
      <c r="H149" s="2">
        <v>15</v>
      </c>
      <c r="I149" s="2">
        <v>30</v>
      </c>
      <c r="J149" s="2" t="s">
        <v>86</v>
      </c>
      <c r="K149" s="2">
        <v>2020</v>
      </c>
      <c r="L149" s="2">
        <v>9</v>
      </c>
      <c r="M149" s="2">
        <v>17</v>
      </c>
      <c r="N149" s="2">
        <v>16</v>
      </c>
    </row>
    <row r="150" spans="1:14" x14ac:dyDescent="0.25">
      <c r="A150" s="4">
        <v>148</v>
      </c>
      <c r="B150" s="8" t="s">
        <v>532</v>
      </c>
      <c r="C150" s="4" t="s">
        <v>533</v>
      </c>
      <c r="D150" s="5">
        <v>40783.78125</v>
      </c>
      <c r="E150" s="4" t="s">
        <v>534</v>
      </c>
      <c r="F150" s="4" t="s">
        <v>29</v>
      </c>
      <c r="G150" s="8" t="s">
        <v>535</v>
      </c>
      <c r="H150" s="4">
        <v>22</v>
      </c>
      <c r="I150" s="4">
        <v>45</v>
      </c>
      <c r="J150" s="4" t="s">
        <v>76</v>
      </c>
      <c r="K150" s="4">
        <v>2011</v>
      </c>
      <c r="L150" s="4">
        <v>8</v>
      </c>
      <c r="M150" s="4">
        <v>28</v>
      </c>
      <c r="N150" s="4">
        <v>18</v>
      </c>
    </row>
    <row r="151" spans="1:14" ht="30" x14ac:dyDescent="0.25">
      <c r="A151" s="2">
        <v>149</v>
      </c>
      <c r="B151" s="7" t="s">
        <v>536</v>
      </c>
      <c r="C151" s="2" t="s">
        <v>537</v>
      </c>
      <c r="D151" s="3">
        <v>43040.645833333336</v>
      </c>
      <c r="E151" s="2" t="s">
        <v>538</v>
      </c>
      <c r="F151" s="2" t="s">
        <v>14</v>
      </c>
      <c r="G151" s="7" t="s">
        <v>539</v>
      </c>
      <c r="H151" s="2">
        <v>18</v>
      </c>
      <c r="I151" s="2">
        <v>35</v>
      </c>
      <c r="J151" s="2" t="s">
        <v>36</v>
      </c>
      <c r="K151" s="2">
        <v>2017</v>
      </c>
      <c r="L151" s="2">
        <v>11</v>
      </c>
      <c r="M151" s="2">
        <v>1</v>
      </c>
      <c r="N151" s="2">
        <v>15</v>
      </c>
    </row>
    <row r="152" spans="1:14" x14ac:dyDescent="0.25">
      <c r="A152" s="4">
        <v>150</v>
      </c>
      <c r="B152" s="8" t="s">
        <v>540</v>
      </c>
      <c r="C152" s="4" t="s">
        <v>400</v>
      </c>
      <c r="D152" s="5">
        <v>43631.416666666664</v>
      </c>
      <c r="E152" s="4" t="s">
        <v>541</v>
      </c>
      <c r="F152" s="4" t="s">
        <v>24</v>
      </c>
      <c r="G152" s="8" t="s">
        <v>542</v>
      </c>
      <c r="H152" s="4">
        <v>25</v>
      </c>
      <c r="I152" s="4">
        <v>50</v>
      </c>
      <c r="J152" s="4" t="s">
        <v>229</v>
      </c>
      <c r="K152" s="4">
        <v>2019</v>
      </c>
      <c r="L152" s="4">
        <v>6</v>
      </c>
      <c r="M152" s="4">
        <v>15</v>
      </c>
      <c r="N152" s="4">
        <v>10</v>
      </c>
    </row>
    <row r="153" spans="1:14" x14ac:dyDescent="0.25">
      <c r="A153" s="2">
        <v>151</v>
      </c>
      <c r="B153" s="7" t="s">
        <v>543</v>
      </c>
      <c r="C153" s="2" t="s">
        <v>404</v>
      </c>
      <c r="D153" s="3">
        <v>44654.489583333336</v>
      </c>
      <c r="E153" s="2" t="s">
        <v>544</v>
      </c>
      <c r="F153" s="2" t="s">
        <v>29</v>
      </c>
      <c r="G153" s="7" t="s">
        <v>545</v>
      </c>
      <c r="H153" s="2">
        <v>15</v>
      </c>
      <c r="I153" s="2">
        <v>30</v>
      </c>
      <c r="J153" s="2" t="s">
        <v>86</v>
      </c>
      <c r="K153" s="2">
        <v>2022</v>
      </c>
      <c r="L153" s="2">
        <v>4</v>
      </c>
      <c r="M153" s="2">
        <v>3</v>
      </c>
      <c r="N153" s="2">
        <v>11</v>
      </c>
    </row>
    <row r="154" spans="1:14" x14ac:dyDescent="0.25">
      <c r="A154" s="4">
        <v>152</v>
      </c>
      <c r="B154" s="8" t="s">
        <v>546</v>
      </c>
      <c r="C154" s="4" t="s">
        <v>408</v>
      </c>
      <c r="D154" s="5">
        <v>40494.847222222219</v>
      </c>
      <c r="E154" s="4" t="s">
        <v>547</v>
      </c>
      <c r="F154" s="4" t="s">
        <v>14</v>
      </c>
      <c r="G154" s="8" t="s">
        <v>548</v>
      </c>
      <c r="H154" s="4">
        <v>30</v>
      </c>
      <c r="I154" s="4">
        <v>60</v>
      </c>
      <c r="J154" s="4" t="s">
        <v>40</v>
      </c>
      <c r="K154" s="4">
        <v>2010</v>
      </c>
      <c r="L154" s="4">
        <v>11</v>
      </c>
      <c r="M154" s="4">
        <v>12</v>
      </c>
      <c r="N154" s="4">
        <v>20</v>
      </c>
    </row>
    <row r="155" spans="1:14" x14ac:dyDescent="0.25">
      <c r="A155" s="2">
        <v>153</v>
      </c>
      <c r="B155" s="7" t="s">
        <v>549</v>
      </c>
      <c r="C155" s="2" t="s">
        <v>413</v>
      </c>
      <c r="D155" s="3">
        <v>40746.770833333336</v>
      </c>
      <c r="E155" s="2" t="s">
        <v>550</v>
      </c>
      <c r="F155" s="2" t="s">
        <v>24</v>
      </c>
      <c r="G155" s="7" t="s">
        <v>551</v>
      </c>
      <c r="H155" s="2">
        <v>22</v>
      </c>
      <c r="I155" s="2">
        <v>45</v>
      </c>
      <c r="J155" s="2" t="s">
        <v>197</v>
      </c>
      <c r="K155" s="2">
        <v>2011</v>
      </c>
      <c r="L155" s="2">
        <v>7</v>
      </c>
      <c r="M155" s="2">
        <v>22</v>
      </c>
      <c r="N155" s="2">
        <v>18</v>
      </c>
    </row>
    <row r="156" spans="1:14" x14ac:dyDescent="0.25">
      <c r="A156" s="4">
        <v>154</v>
      </c>
      <c r="B156" s="8" t="s">
        <v>552</v>
      </c>
      <c r="C156" s="4" t="s">
        <v>418</v>
      </c>
      <c r="D156" s="5">
        <v>40998.472222222219</v>
      </c>
      <c r="E156" s="4" t="s">
        <v>553</v>
      </c>
      <c r="F156" s="4" t="s">
        <v>29</v>
      </c>
      <c r="G156" s="8" t="s">
        <v>554</v>
      </c>
      <c r="H156" s="4">
        <v>15</v>
      </c>
      <c r="I156" s="4">
        <v>30</v>
      </c>
      <c r="J156" s="4" t="s">
        <v>247</v>
      </c>
      <c r="K156" s="4">
        <v>2012</v>
      </c>
      <c r="L156" s="4">
        <v>3</v>
      </c>
      <c r="M156" s="4">
        <v>30</v>
      </c>
      <c r="N156" s="4">
        <v>11</v>
      </c>
    </row>
    <row r="157" spans="1:14" x14ac:dyDescent="0.25">
      <c r="A157" s="2">
        <v>155</v>
      </c>
      <c r="B157" s="7" t="s">
        <v>555</v>
      </c>
      <c r="C157" s="2" t="s">
        <v>422</v>
      </c>
      <c r="D157" s="3">
        <v>41552.694444444445</v>
      </c>
      <c r="E157" s="2" t="s">
        <v>556</v>
      </c>
      <c r="F157" s="2" t="s">
        <v>14</v>
      </c>
      <c r="G157" s="7" t="s">
        <v>557</v>
      </c>
      <c r="H157" s="2">
        <v>18</v>
      </c>
      <c r="I157" s="2">
        <v>35</v>
      </c>
      <c r="J157" s="2" t="s">
        <v>31</v>
      </c>
      <c r="K157" s="2">
        <v>2013</v>
      </c>
      <c r="L157" s="2">
        <v>10</v>
      </c>
      <c r="M157" s="2">
        <v>5</v>
      </c>
      <c r="N157" s="2">
        <v>16</v>
      </c>
    </row>
    <row r="158" spans="1:14" x14ac:dyDescent="0.25">
      <c r="A158" s="4">
        <v>156</v>
      </c>
      <c r="B158" s="8" t="s">
        <v>558</v>
      </c>
      <c r="C158" s="4" t="s">
        <v>426</v>
      </c>
      <c r="D158" s="5">
        <v>41830.552083333336</v>
      </c>
      <c r="E158" s="4" t="s">
        <v>559</v>
      </c>
      <c r="F158" s="4" t="s">
        <v>24</v>
      </c>
      <c r="G158" s="8" t="s">
        <v>560</v>
      </c>
      <c r="H158" s="4">
        <v>25</v>
      </c>
      <c r="I158" s="4">
        <v>50</v>
      </c>
      <c r="J158" s="4" t="s">
        <v>561</v>
      </c>
      <c r="K158" s="4">
        <v>2014</v>
      </c>
      <c r="L158" s="4">
        <v>7</v>
      </c>
      <c r="M158" s="4">
        <v>10</v>
      </c>
      <c r="N158" s="4">
        <v>13</v>
      </c>
    </row>
    <row r="159" spans="1:14" x14ac:dyDescent="0.25">
      <c r="A159" s="2">
        <v>157</v>
      </c>
      <c r="B159" s="7" t="s">
        <v>562</v>
      </c>
      <c r="C159" s="2" t="s">
        <v>430</v>
      </c>
      <c r="D159" s="3">
        <v>42356.597222222219</v>
      </c>
      <c r="E159" s="2" t="s">
        <v>563</v>
      </c>
      <c r="F159" s="2" t="s">
        <v>29</v>
      </c>
      <c r="G159" s="7" t="s">
        <v>564</v>
      </c>
      <c r="H159" s="2">
        <v>18</v>
      </c>
      <c r="I159" s="2">
        <v>35</v>
      </c>
      <c r="J159" s="2" t="s">
        <v>16</v>
      </c>
      <c r="K159" s="2">
        <v>2015</v>
      </c>
      <c r="L159" s="2">
        <v>12</v>
      </c>
      <c r="M159" s="2">
        <v>18</v>
      </c>
      <c r="N159" s="2">
        <v>14</v>
      </c>
    </row>
    <row r="160" spans="1:14" x14ac:dyDescent="0.25">
      <c r="A160" s="4">
        <v>158</v>
      </c>
      <c r="B160" s="8" t="s">
        <v>565</v>
      </c>
      <c r="C160" s="4" t="s">
        <v>434</v>
      </c>
      <c r="D160" s="5">
        <v>42410.822916666664</v>
      </c>
      <c r="E160" s="4" t="s">
        <v>566</v>
      </c>
      <c r="F160" s="4" t="s">
        <v>14</v>
      </c>
      <c r="G160" s="8" t="s">
        <v>567</v>
      </c>
      <c r="H160" s="4">
        <v>25</v>
      </c>
      <c r="I160" s="4">
        <v>50</v>
      </c>
      <c r="J160" s="4" t="s">
        <v>21</v>
      </c>
      <c r="K160" s="4">
        <v>2016</v>
      </c>
      <c r="L160" s="4">
        <v>2</v>
      </c>
      <c r="M160" s="4">
        <v>10</v>
      </c>
      <c r="N160" s="4">
        <v>19</v>
      </c>
    </row>
    <row r="161" spans="1:14" x14ac:dyDescent="0.25">
      <c r="A161" s="2">
        <v>159</v>
      </c>
      <c r="B161" s="7" t="s">
        <v>568</v>
      </c>
      <c r="C161" s="2" t="s">
        <v>438</v>
      </c>
      <c r="D161" s="3">
        <v>43003.479166666664</v>
      </c>
      <c r="E161" s="2" t="s">
        <v>569</v>
      </c>
      <c r="F161" s="2" t="s">
        <v>24</v>
      </c>
      <c r="G161" s="7" t="s">
        <v>570</v>
      </c>
      <c r="H161" s="2">
        <v>20</v>
      </c>
      <c r="I161" s="2">
        <v>40</v>
      </c>
      <c r="J161" s="2" t="s">
        <v>107</v>
      </c>
      <c r="K161" s="2">
        <v>2017</v>
      </c>
      <c r="L161" s="2">
        <v>9</v>
      </c>
      <c r="M161" s="2">
        <v>25</v>
      </c>
      <c r="N161" s="2">
        <v>11</v>
      </c>
    </row>
    <row r="162" spans="1:14" x14ac:dyDescent="0.25">
      <c r="A162" s="4">
        <v>160</v>
      </c>
      <c r="B162" s="8" t="s">
        <v>571</v>
      </c>
      <c r="C162" s="4" t="s">
        <v>442</v>
      </c>
      <c r="D162" s="5">
        <v>43205.666666666664</v>
      </c>
      <c r="E162" s="4" t="s">
        <v>572</v>
      </c>
      <c r="F162" s="4" t="s">
        <v>29</v>
      </c>
      <c r="G162" s="8" t="s">
        <v>573</v>
      </c>
      <c r="H162" s="4">
        <v>15</v>
      </c>
      <c r="I162" s="4">
        <v>30</v>
      </c>
      <c r="J162" s="4" t="s">
        <v>247</v>
      </c>
      <c r="K162" s="4">
        <v>2018</v>
      </c>
      <c r="L162" s="4">
        <v>4</v>
      </c>
      <c r="M162" s="4">
        <v>15</v>
      </c>
      <c r="N162" s="4">
        <v>16</v>
      </c>
    </row>
    <row r="163" spans="1:14" x14ac:dyDescent="0.25">
      <c r="A163" s="2">
        <v>161</v>
      </c>
      <c r="B163" s="7" t="s">
        <v>574</v>
      </c>
      <c r="C163" s="2" t="s">
        <v>533</v>
      </c>
      <c r="D163" s="3">
        <v>43797.763888888891</v>
      </c>
      <c r="E163" s="2" t="s">
        <v>575</v>
      </c>
      <c r="F163" s="2" t="s">
        <v>14</v>
      </c>
      <c r="G163" s="7" t="s">
        <v>576</v>
      </c>
      <c r="H163" s="2">
        <v>22</v>
      </c>
      <c r="I163" s="2">
        <v>45</v>
      </c>
      <c r="J163" s="2" t="s">
        <v>40</v>
      </c>
      <c r="K163" s="2">
        <v>2019</v>
      </c>
      <c r="L163" s="2">
        <v>11</v>
      </c>
      <c r="M163" s="2">
        <v>28</v>
      </c>
      <c r="N163" s="2">
        <v>18</v>
      </c>
    </row>
    <row r="164" spans="1:14" x14ac:dyDescent="0.25">
      <c r="A164" s="4">
        <v>162</v>
      </c>
      <c r="B164" s="8" t="s">
        <v>577</v>
      </c>
      <c r="C164" s="4" t="s">
        <v>537</v>
      </c>
      <c r="D164" s="5">
        <v>43962.625</v>
      </c>
      <c r="E164" s="4" t="s">
        <v>237</v>
      </c>
      <c r="F164" s="4" t="s">
        <v>24</v>
      </c>
      <c r="G164" s="8" t="s">
        <v>578</v>
      </c>
      <c r="H164" s="4">
        <v>18</v>
      </c>
      <c r="I164" s="4">
        <v>35</v>
      </c>
      <c r="J164" s="4" t="s">
        <v>26</v>
      </c>
      <c r="K164" s="4">
        <v>2020</v>
      </c>
      <c r="L164" s="4">
        <v>5</v>
      </c>
      <c r="M164" s="4">
        <v>11</v>
      </c>
      <c r="N164" s="4">
        <v>15</v>
      </c>
    </row>
    <row r="165" spans="1:14" ht="30" x14ac:dyDescent="0.25">
      <c r="A165" s="2">
        <v>163</v>
      </c>
      <c r="B165" s="7" t="s">
        <v>579</v>
      </c>
      <c r="C165" s="2" t="s">
        <v>580</v>
      </c>
      <c r="D165" s="3">
        <v>44232.395833333336</v>
      </c>
      <c r="E165" s="2" t="s">
        <v>581</v>
      </c>
      <c r="F165" s="2" t="s">
        <v>29</v>
      </c>
      <c r="G165" s="7" t="s">
        <v>582</v>
      </c>
      <c r="H165" s="2">
        <v>25</v>
      </c>
      <c r="I165" s="2">
        <v>50</v>
      </c>
      <c r="J165" s="2" t="s">
        <v>458</v>
      </c>
      <c r="K165" s="2">
        <v>2021</v>
      </c>
      <c r="L165" s="2">
        <v>2</v>
      </c>
      <c r="M165" s="2">
        <v>5</v>
      </c>
      <c r="N165" s="2">
        <v>9</v>
      </c>
    </row>
    <row r="166" spans="1:14" x14ac:dyDescent="0.25">
      <c r="A166" s="4">
        <v>164</v>
      </c>
      <c r="B166" s="8" t="s">
        <v>583</v>
      </c>
      <c r="C166" s="4" t="s">
        <v>584</v>
      </c>
      <c r="D166" s="5">
        <v>44265.354166666664</v>
      </c>
      <c r="E166" s="4" t="s">
        <v>585</v>
      </c>
      <c r="F166" s="4" t="s">
        <v>14</v>
      </c>
      <c r="G166" s="8" t="s">
        <v>586</v>
      </c>
      <c r="H166" s="4">
        <v>5</v>
      </c>
      <c r="I166" s="4">
        <v>10</v>
      </c>
      <c r="J166" s="4" t="s">
        <v>202</v>
      </c>
      <c r="K166" s="4">
        <v>2021</v>
      </c>
      <c r="L166" s="4">
        <v>3</v>
      </c>
      <c r="M166" s="4">
        <v>10</v>
      </c>
      <c r="N166" s="4">
        <v>8</v>
      </c>
    </row>
    <row r="167" spans="1:14" x14ac:dyDescent="0.25">
      <c r="A167" s="2">
        <v>165</v>
      </c>
      <c r="B167" s="7" t="s">
        <v>587</v>
      </c>
      <c r="C167" s="2" t="s">
        <v>588</v>
      </c>
      <c r="D167" s="3">
        <v>44747.65625</v>
      </c>
      <c r="E167" s="2" t="s">
        <v>589</v>
      </c>
      <c r="F167" s="2" t="s">
        <v>24</v>
      </c>
      <c r="G167" s="7" t="s">
        <v>590</v>
      </c>
      <c r="H167" s="2">
        <v>8</v>
      </c>
      <c r="I167" s="2">
        <v>15</v>
      </c>
      <c r="J167" s="2" t="s">
        <v>591</v>
      </c>
      <c r="K167" s="2">
        <v>2022</v>
      </c>
      <c r="L167" s="2">
        <v>7</v>
      </c>
      <c r="M167" s="2">
        <v>5</v>
      </c>
      <c r="N167" s="2">
        <v>15</v>
      </c>
    </row>
    <row r="168" spans="1:14" x14ac:dyDescent="0.25">
      <c r="A168" s="4">
        <v>166</v>
      </c>
      <c r="B168" s="8" t="s">
        <v>592</v>
      </c>
      <c r="C168" s="4" t="s">
        <v>593</v>
      </c>
      <c r="D168" s="5">
        <v>43787.888888888891</v>
      </c>
      <c r="E168" s="4" t="s">
        <v>594</v>
      </c>
      <c r="F168" s="4" t="s">
        <v>29</v>
      </c>
      <c r="G168" s="8" t="s">
        <v>595</v>
      </c>
      <c r="H168" s="4">
        <v>10</v>
      </c>
      <c r="I168" s="4">
        <v>20</v>
      </c>
      <c r="J168" s="4" t="s">
        <v>229</v>
      </c>
      <c r="K168" s="4">
        <v>2019</v>
      </c>
      <c r="L168" s="4">
        <v>11</v>
      </c>
      <c r="M168" s="4">
        <v>18</v>
      </c>
      <c r="N168" s="4">
        <v>21</v>
      </c>
    </row>
    <row r="169" spans="1:14" x14ac:dyDescent="0.25">
      <c r="A169" s="2">
        <v>167</v>
      </c>
      <c r="B169" s="7" t="s">
        <v>596</v>
      </c>
      <c r="C169" s="2" t="s">
        <v>597</v>
      </c>
      <c r="D169" s="3">
        <v>44055.479166666664</v>
      </c>
      <c r="E169" s="2" t="s">
        <v>598</v>
      </c>
      <c r="F169" s="2" t="s">
        <v>14</v>
      </c>
      <c r="G169" s="7" t="s">
        <v>599</v>
      </c>
      <c r="H169" s="2">
        <v>12</v>
      </c>
      <c r="I169" s="2">
        <v>25</v>
      </c>
      <c r="J169" s="2" t="s">
        <v>600</v>
      </c>
      <c r="K169" s="2">
        <v>2020</v>
      </c>
      <c r="L169" s="2">
        <v>8</v>
      </c>
      <c r="M169" s="2">
        <v>12</v>
      </c>
      <c r="N169" s="2">
        <v>11</v>
      </c>
    </row>
    <row r="170" spans="1:14" x14ac:dyDescent="0.25">
      <c r="A170" s="4">
        <v>168</v>
      </c>
      <c r="B170" s="8" t="s">
        <v>601</v>
      </c>
      <c r="C170" s="4" t="s">
        <v>602</v>
      </c>
      <c r="D170" s="5">
        <v>43242.614583333336</v>
      </c>
      <c r="E170" s="4" t="s">
        <v>603</v>
      </c>
      <c r="F170" s="4" t="s">
        <v>24</v>
      </c>
      <c r="G170" s="8" t="s">
        <v>604</v>
      </c>
      <c r="H170" s="4">
        <v>7</v>
      </c>
      <c r="I170" s="4">
        <v>15</v>
      </c>
      <c r="J170" s="4" t="s">
        <v>605</v>
      </c>
      <c r="K170" s="4">
        <v>2018</v>
      </c>
      <c r="L170" s="4">
        <v>5</v>
      </c>
      <c r="M170" s="4">
        <v>22</v>
      </c>
      <c r="N170" s="4">
        <v>14</v>
      </c>
    </row>
    <row r="171" spans="1:14" x14ac:dyDescent="0.25">
      <c r="A171" s="2">
        <v>169</v>
      </c>
      <c r="B171" s="7" t="s">
        <v>606</v>
      </c>
      <c r="C171" s="2" t="s">
        <v>607</v>
      </c>
      <c r="D171" s="3">
        <v>42765.673611111109</v>
      </c>
      <c r="E171" s="2" t="s">
        <v>608</v>
      </c>
      <c r="F171" s="2" t="s">
        <v>29</v>
      </c>
      <c r="G171" s="7" t="s">
        <v>609</v>
      </c>
      <c r="H171" s="2">
        <v>10</v>
      </c>
      <c r="I171" s="2">
        <v>20</v>
      </c>
      <c r="J171" s="2" t="s">
        <v>202</v>
      </c>
      <c r="K171" s="2">
        <v>2017</v>
      </c>
      <c r="L171" s="2">
        <v>1</v>
      </c>
      <c r="M171" s="2">
        <v>30</v>
      </c>
      <c r="N171" s="2">
        <v>16</v>
      </c>
    </row>
    <row r="172" spans="1:14" x14ac:dyDescent="0.25">
      <c r="A172" s="4">
        <v>170</v>
      </c>
      <c r="B172" s="8" t="s">
        <v>610</v>
      </c>
      <c r="C172" s="4" t="s">
        <v>611</v>
      </c>
      <c r="D172" s="5">
        <v>42641.822916666664</v>
      </c>
      <c r="E172" s="4" t="s">
        <v>612</v>
      </c>
      <c r="F172" s="4" t="s">
        <v>14</v>
      </c>
      <c r="G172" s="8" t="s">
        <v>613</v>
      </c>
      <c r="H172" s="4">
        <v>8</v>
      </c>
      <c r="I172" s="4">
        <v>15</v>
      </c>
      <c r="J172" s="4" t="s">
        <v>614</v>
      </c>
      <c r="K172" s="4">
        <v>2016</v>
      </c>
      <c r="L172" s="4">
        <v>9</v>
      </c>
      <c r="M172" s="4">
        <v>28</v>
      </c>
      <c r="N172" s="4">
        <v>19</v>
      </c>
    </row>
    <row r="173" spans="1:14" x14ac:dyDescent="0.25">
      <c r="A173" s="2">
        <v>171</v>
      </c>
      <c r="B173" s="7" t="s">
        <v>615</v>
      </c>
      <c r="C173" s="2" t="s">
        <v>616</v>
      </c>
      <c r="D173" s="3">
        <v>43570.375</v>
      </c>
      <c r="E173" s="2" t="s">
        <v>617</v>
      </c>
      <c r="F173" s="2" t="s">
        <v>24</v>
      </c>
      <c r="G173" s="7" t="s">
        <v>618</v>
      </c>
      <c r="H173" s="2">
        <v>12</v>
      </c>
      <c r="I173" s="2">
        <v>25</v>
      </c>
      <c r="J173" s="2" t="s">
        <v>229</v>
      </c>
      <c r="K173" s="2">
        <v>2019</v>
      </c>
      <c r="L173" s="2">
        <v>4</v>
      </c>
      <c r="M173" s="2">
        <v>15</v>
      </c>
      <c r="N173" s="2">
        <v>9</v>
      </c>
    </row>
    <row r="174" spans="1:14" x14ac:dyDescent="0.25">
      <c r="A174" s="4">
        <v>172</v>
      </c>
      <c r="B174" s="8" t="s">
        <v>619</v>
      </c>
      <c r="C174" s="4" t="s">
        <v>620</v>
      </c>
      <c r="D174" s="5">
        <v>44533.770833333336</v>
      </c>
      <c r="E174" s="4" t="s">
        <v>621</v>
      </c>
      <c r="F174" s="4" t="s">
        <v>29</v>
      </c>
      <c r="G174" s="8" t="s">
        <v>622</v>
      </c>
      <c r="H174" s="4">
        <v>15</v>
      </c>
      <c r="I174" s="4">
        <v>30</v>
      </c>
      <c r="J174" s="4" t="s">
        <v>600</v>
      </c>
      <c r="K174" s="4">
        <v>2021</v>
      </c>
      <c r="L174" s="4">
        <v>12</v>
      </c>
      <c r="M174" s="4">
        <v>3</v>
      </c>
      <c r="N174" s="4">
        <v>18</v>
      </c>
    </row>
    <row r="175" spans="1:14" x14ac:dyDescent="0.25">
      <c r="A175" s="2">
        <v>173</v>
      </c>
      <c r="B175" s="7" t="s">
        <v>623</v>
      </c>
      <c r="C175" s="2" t="s">
        <v>624</v>
      </c>
      <c r="D175" s="3">
        <v>44002.597222222219</v>
      </c>
      <c r="E175" s="2" t="s">
        <v>625</v>
      </c>
      <c r="F175" s="2" t="s">
        <v>14</v>
      </c>
      <c r="G175" s="7" t="s">
        <v>626</v>
      </c>
      <c r="H175" s="2">
        <v>8</v>
      </c>
      <c r="I175" s="2">
        <v>15</v>
      </c>
      <c r="J175" s="2" t="s">
        <v>292</v>
      </c>
      <c r="K175" s="2">
        <v>2020</v>
      </c>
      <c r="L175" s="2">
        <v>6</v>
      </c>
      <c r="M175" s="2">
        <v>20</v>
      </c>
      <c r="N175" s="2">
        <v>14</v>
      </c>
    </row>
    <row r="176" spans="1:14" x14ac:dyDescent="0.25">
      <c r="A176" s="4">
        <v>174</v>
      </c>
      <c r="B176" s="8" t="s">
        <v>627</v>
      </c>
      <c r="C176" s="4" t="s">
        <v>628</v>
      </c>
      <c r="D176" s="5">
        <v>43411.479166666664</v>
      </c>
      <c r="E176" s="4" t="s">
        <v>629</v>
      </c>
      <c r="F176" s="4" t="s">
        <v>24</v>
      </c>
      <c r="G176" s="8" t="s">
        <v>630</v>
      </c>
      <c r="H176" s="4">
        <v>10</v>
      </c>
      <c r="I176" s="4">
        <v>20</v>
      </c>
      <c r="J176" s="4" t="s">
        <v>614</v>
      </c>
      <c r="K176" s="4">
        <v>2018</v>
      </c>
      <c r="L176" s="4">
        <v>11</v>
      </c>
      <c r="M176" s="4">
        <v>7</v>
      </c>
      <c r="N176" s="4">
        <v>11</v>
      </c>
    </row>
    <row r="177" spans="1:14" x14ac:dyDescent="0.25">
      <c r="A177" s="2">
        <v>175</v>
      </c>
      <c r="B177" s="7" t="s">
        <v>631</v>
      </c>
      <c r="C177" s="2" t="s">
        <v>632</v>
      </c>
      <c r="D177" s="3">
        <v>42972.666666666664</v>
      </c>
      <c r="E177" s="2" t="s">
        <v>633</v>
      </c>
      <c r="F177" s="2" t="s">
        <v>29</v>
      </c>
      <c r="G177" s="7" t="s">
        <v>634</v>
      </c>
      <c r="H177" s="2">
        <v>12</v>
      </c>
      <c r="I177" s="2">
        <v>25</v>
      </c>
      <c r="J177" s="2" t="s">
        <v>229</v>
      </c>
      <c r="K177" s="2">
        <v>2017</v>
      </c>
      <c r="L177" s="2">
        <v>8</v>
      </c>
      <c r="M177" s="2">
        <v>25</v>
      </c>
      <c r="N177" s="2">
        <v>16</v>
      </c>
    </row>
    <row r="178" spans="1:14" x14ac:dyDescent="0.25">
      <c r="A178" s="4">
        <v>176</v>
      </c>
      <c r="B178" s="8" t="s">
        <v>635</v>
      </c>
      <c r="C178" s="4" t="s">
        <v>636</v>
      </c>
      <c r="D178" s="5">
        <v>43507.40625</v>
      </c>
      <c r="E178" s="4" t="s">
        <v>637</v>
      </c>
      <c r="F178" s="4" t="s">
        <v>14</v>
      </c>
      <c r="G178" s="8" t="s">
        <v>638</v>
      </c>
      <c r="H178" s="4">
        <v>7</v>
      </c>
      <c r="I178" s="4">
        <v>15</v>
      </c>
      <c r="J178" s="4" t="s">
        <v>600</v>
      </c>
      <c r="K178" s="4">
        <v>2019</v>
      </c>
      <c r="L178" s="4">
        <v>2</v>
      </c>
      <c r="M178" s="4">
        <v>11</v>
      </c>
      <c r="N178" s="4">
        <v>9</v>
      </c>
    </row>
    <row r="179" spans="1:14" ht="30" x14ac:dyDescent="0.25">
      <c r="A179" s="2">
        <v>177</v>
      </c>
      <c r="B179" s="7" t="s">
        <v>639</v>
      </c>
      <c r="C179" s="2" t="s">
        <v>640</v>
      </c>
      <c r="D179" s="3">
        <v>42462.847222222219</v>
      </c>
      <c r="E179" s="2" t="s">
        <v>641</v>
      </c>
      <c r="F179" s="2" t="s">
        <v>24</v>
      </c>
      <c r="G179" s="7" t="s">
        <v>642</v>
      </c>
      <c r="H179" s="2">
        <v>10</v>
      </c>
      <c r="I179" s="2">
        <v>20</v>
      </c>
      <c r="J179" s="2" t="s">
        <v>202</v>
      </c>
      <c r="K179" s="2">
        <v>2016</v>
      </c>
      <c r="L179" s="2">
        <v>4</v>
      </c>
      <c r="M179" s="2">
        <v>2</v>
      </c>
      <c r="N179" s="2">
        <v>20</v>
      </c>
    </row>
    <row r="180" spans="1:14" x14ac:dyDescent="0.25">
      <c r="A180" s="4">
        <v>178</v>
      </c>
      <c r="B180" s="8" t="s">
        <v>643</v>
      </c>
      <c r="C180" s="4" t="s">
        <v>588</v>
      </c>
      <c r="D180" s="5">
        <v>42295.645833333336</v>
      </c>
      <c r="E180" s="4" t="s">
        <v>644</v>
      </c>
      <c r="F180" s="4" t="s">
        <v>29</v>
      </c>
      <c r="G180" s="8" t="s">
        <v>645</v>
      </c>
      <c r="H180" s="4">
        <v>12</v>
      </c>
      <c r="I180" s="4">
        <v>25</v>
      </c>
      <c r="J180" s="4" t="s">
        <v>614</v>
      </c>
      <c r="K180" s="4">
        <v>2015</v>
      </c>
      <c r="L180" s="4">
        <v>10</v>
      </c>
      <c r="M180" s="4">
        <v>18</v>
      </c>
      <c r="N180" s="4">
        <v>15</v>
      </c>
    </row>
    <row r="181" spans="1:14" ht="30" x14ac:dyDescent="0.25">
      <c r="A181" s="2">
        <v>179</v>
      </c>
      <c r="B181" s="7" t="s">
        <v>646</v>
      </c>
      <c r="C181" s="2" t="s">
        <v>647</v>
      </c>
      <c r="D181" s="3">
        <v>43658.756944444445</v>
      </c>
      <c r="E181" s="2" t="s">
        <v>648</v>
      </c>
      <c r="F181" s="2" t="s">
        <v>14</v>
      </c>
      <c r="G181" s="7" t="s">
        <v>649</v>
      </c>
      <c r="H181" s="2">
        <v>15</v>
      </c>
      <c r="I181" s="2">
        <v>30</v>
      </c>
      <c r="J181" s="2" t="s">
        <v>365</v>
      </c>
      <c r="K181" s="2">
        <v>2019</v>
      </c>
      <c r="L181" s="2">
        <v>7</v>
      </c>
      <c r="M181" s="2">
        <v>12</v>
      </c>
      <c r="N181" s="2">
        <v>18</v>
      </c>
    </row>
    <row r="182" spans="1:14" x14ac:dyDescent="0.25">
      <c r="A182" s="4">
        <v>180</v>
      </c>
      <c r="B182" s="8" t="s">
        <v>650</v>
      </c>
      <c r="C182" s="4" t="s">
        <v>597</v>
      </c>
      <c r="D182" s="5">
        <v>43254.6875</v>
      </c>
      <c r="E182" s="4" t="s">
        <v>651</v>
      </c>
      <c r="F182" s="4" t="s">
        <v>24</v>
      </c>
      <c r="G182" s="8" t="s">
        <v>652</v>
      </c>
      <c r="H182" s="4">
        <v>8</v>
      </c>
      <c r="I182" s="4">
        <v>15</v>
      </c>
      <c r="J182" s="4" t="s">
        <v>653</v>
      </c>
      <c r="K182" s="4">
        <v>2018</v>
      </c>
      <c r="L182" s="4">
        <v>6</v>
      </c>
      <c r="M182" s="4">
        <v>3</v>
      </c>
      <c r="N182" s="4">
        <v>16</v>
      </c>
    </row>
    <row r="183" spans="1:14" x14ac:dyDescent="0.25">
      <c r="A183" s="2">
        <v>181</v>
      </c>
      <c r="B183" s="7" t="s">
        <v>654</v>
      </c>
      <c r="C183" s="2" t="s">
        <v>602</v>
      </c>
      <c r="D183" s="3">
        <v>44576.5</v>
      </c>
      <c r="E183" s="2" t="s">
        <v>655</v>
      </c>
      <c r="F183" s="2" t="s">
        <v>29</v>
      </c>
      <c r="G183" s="7" t="s">
        <v>656</v>
      </c>
      <c r="H183" s="2">
        <v>10</v>
      </c>
      <c r="I183" s="2">
        <v>20</v>
      </c>
      <c r="J183" s="2" t="s">
        <v>292</v>
      </c>
      <c r="K183" s="2">
        <v>2022</v>
      </c>
      <c r="L183" s="2">
        <v>1</v>
      </c>
      <c r="M183" s="2">
        <v>15</v>
      </c>
      <c r="N183" s="2">
        <v>12</v>
      </c>
    </row>
    <row r="184" spans="1:14" ht="30" x14ac:dyDescent="0.25">
      <c r="A184" s="4">
        <v>182</v>
      </c>
      <c r="B184" s="8" t="s">
        <v>657</v>
      </c>
      <c r="C184" s="4" t="s">
        <v>658</v>
      </c>
      <c r="D184" s="5">
        <v>42835.614583333336</v>
      </c>
      <c r="E184" s="4" t="s">
        <v>659</v>
      </c>
      <c r="F184" s="4" t="s">
        <v>14</v>
      </c>
      <c r="G184" s="8" t="s">
        <v>660</v>
      </c>
      <c r="H184" s="4">
        <v>12</v>
      </c>
      <c r="I184" s="4">
        <v>25</v>
      </c>
      <c r="J184" s="4" t="s">
        <v>202</v>
      </c>
      <c r="K184" s="4">
        <v>2017</v>
      </c>
      <c r="L184" s="4">
        <v>4</v>
      </c>
      <c r="M184" s="4">
        <v>10</v>
      </c>
      <c r="N184" s="4">
        <v>14</v>
      </c>
    </row>
    <row r="185" spans="1:14" x14ac:dyDescent="0.25">
      <c r="A185" s="2">
        <v>183</v>
      </c>
      <c r="B185" s="7" t="s">
        <v>661</v>
      </c>
      <c r="C185" s="2" t="s">
        <v>611</v>
      </c>
      <c r="D185" s="3">
        <v>42702.791666666664</v>
      </c>
      <c r="E185" s="2" t="s">
        <v>662</v>
      </c>
      <c r="F185" s="2" t="s">
        <v>24</v>
      </c>
      <c r="G185" s="7" t="s">
        <v>663</v>
      </c>
      <c r="H185" s="2">
        <v>7</v>
      </c>
      <c r="I185" s="2">
        <v>15</v>
      </c>
      <c r="J185" s="2" t="s">
        <v>614</v>
      </c>
      <c r="K185" s="2">
        <v>2016</v>
      </c>
      <c r="L185" s="2">
        <v>11</v>
      </c>
      <c r="M185" s="2">
        <v>28</v>
      </c>
      <c r="N185" s="2">
        <v>19</v>
      </c>
    </row>
    <row r="186" spans="1:14" ht="30" x14ac:dyDescent="0.25">
      <c r="A186" s="4">
        <v>184</v>
      </c>
      <c r="B186" s="8" t="s">
        <v>664</v>
      </c>
      <c r="C186" s="4" t="s">
        <v>665</v>
      </c>
      <c r="D186" s="5">
        <v>43348.395833333336</v>
      </c>
      <c r="E186" s="4" t="s">
        <v>666</v>
      </c>
      <c r="F186" s="4" t="s">
        <v>29</v>
      </c>
      <c r="G186" s="8" t="s">
        <v>667</v>
      </c>
      <c r="H186" s="4">
        <v>10</v>
      </c>
      <c r="I186" s="4">
        <v>20</v>
      </c>
      <c r="J186" s="4" t="s">
        <v>365</v>
      </c>
      <c r="K186" s="4">
        <v>2018</v>
      </c>
      <c r="L186" s="4">
        <v>9</v>
      </c>
      <c r="M186" s="4">
        <v>5</v>
      </c>
      <c r="N186" s="4">
        <v>9</v>
      </c>
    </row>
    <row r="187" spans="1:14" x14ac:dyDescent="0.25">
      <c r="A187" s="2">
        <v>185</v>
      </c>
      <c r="B187" s="7" t="s">
        <v>668</v>
      </c>
      <c r="C187" s="2" t="s">
        <v>669</v>
      </c>
      <c r="D187" s="3">
        <v>44491.770833333336</v>
      </c>
      <c r="E187" s="2" t="s">
        <v>670</v>
      </c>
      <c r="F187" s="2" t="s">
        <v>14</v>
      </c>
      <c r="G187" s="7" t="s">
        <v>671</v>
      </c>
      <c r="H187" s="2">
        <v>15</v>
      </c>
      <c r="I187" s="2">
        <v>30</v>
      </c>
      <c r="J187" s="2" t="s">
        <v>653</v>
      </c>
      <c r="K187" s="2">
        <v>2021</v>
      </c>
      <c r="L187" s="2">
        <v>10</v>
      </c>
      <c r="M187" s="2">
        <v>22</v>
      </c>
      <c r="N187" s="2">
        <v>18</v>
      </c>
    </row>
    <row r="188" spans="1:14" ht="30" x14ac:dyDescent="0.25">
      <c r="A188" s="4">
        <v>186</v>
      </c>
      <c r="B188" s="8" t="s">
        <v>672</v>
      </c>
      <c r="C188" s="4" t="s">
        <v>673</v>
      </c>
      <c r="D188" s="5">
        <v>43593.597222222219</v>
      </c>
      <c r="E188" s="4" t="s">
        <v>674</v>
      </c>
      <c r="F188" s="4" t="s">
        <v>24</v>
      </c>
      <c r="G188" s="8" t="s">
        <v>675</v>
      </c>
      <c r="H188" s="4">
        <v>8</v>
      </c>
      <c r="I188" s="4">
        <v>15</v>
      </c>
      <c r="J188" s="4" t="s">
        <v>292</v>
      </c>
      <c r="K188" s="4">
        <v>2019</v>
      </c>
      <c r="L188" s="4">
        <v>5</v>
      </c>
      <c r="M188" s="4">
        <v>8</v>
      </c>
      <c r="N188" s="4">
        <v>14</v>
      </c>
    </row>
    <row r="189" spans="1:14" x14ac:dyDescent="0.25">
      <c r="A189" s="2">
        <v>187</v>
      </c>
      <c r="B189" s="7" t="s">
        <v>676</v>
      </c>
      <c r="C189" s="2" t="s">
        <v>628</v>
      </c>
      <c r="D189" s="3">
        <v>42814.479166666664</v>
      </c>
      <c r="E189" s="2" t="s">
        <v>677</v>
      </c>
      <c r="F189" s="2" t="s">
        <v>29</v>
      </c>
      <c r="G189" s="7" t="s">
        <v>678</v>
      </c>
      <c r="H189" s="2">
        <v>10</v>
      </c>
      <c r="I189" s="2">
        <v>20</v>
      </c>
      <c r="J189" s="2" t="s">
        <v>614</v>
      </c>
      <c r="K189" s="2">
        <v>2017</v>
      </c>
      <c r="L189" s="2">
        <v>3</v>
      </c>
      <c r="M189" s="2">
        <v>20</v>
      </c>
      <c r="N189" s="2">
        <v>11</v>
      </c>
    </row>
    <row r="190" spans="1:14" x14ac:dyDescent="0.25">
      <c r="A190" s="4">
        <v>188</v>
      </c>
      <c r="B190" s="8" t="s">
        <v>679</v>
      </c>
      <c r="C190" s="4" t="s">
        <v>632</v>
      </c>
      <c r="D190" s="5">
        <v>43449.666666666664</v>
      </c>
      <c r="E190" s="4" t="s">
        <v>680</v>
      </c>
      <c r="F190" s="4" t="s">
        <v>14</v>
      </c>
      <c r="G190" s="8" t="s">
        <v>681</v>
      </c>
      <c r="H190" s="4">
        <v>12</v>
      </c>
      <c r="I190" s="4">
        <v>25</v>
      </c>
      <c r="J190" s="4" t="s">
        <v>202</v>
      </c>
      <c r="K190" s="4">
        <v>2018</v>
      </c>
      <c r="L190" s="4">
        <v>12</v>
      </c>
      <c r="M190" s="4">
        <v>15</v>
      </c>
      <c r="N190" s="4">
        <v>16</v>
      </c>
    </row>
    <row r="191" spans="1:14" x14ac:dyDescent="0.25">
      <c r="A191" s="2">
        <v>189</v>
      </c>
      <c r="B191" s="7" t="s">
        <v>682</v>
      </c>
      <c r="C191" s="2" t="s">
        <v>636</v>
      </c>
      <c r="D191" s="3">
        <v>42552.40625</v>
      </c>
      <c r="E191" s="2" t="s">
        <v>683</v>
      </c>
      <c r="F191" s="2" t="s">
        <v>24</v>
      </c>
      <c r="G191" s="7" t="s">
        <v>684</v>
      </c>
      <c r="H191" s="2">
        <v>7</v>
      </c>
      <c r="I191" s="2">
        <v>15</v>
      </c>
      <c r="J191" s="2" t="s">
        <v>365</v>
      </c>
      <c r="K191" s="2">
        <v>2016</v>
      </c>
      <c r="L191" s="2">
        <v>7</v>
      </c>
      <c r="M191" s="2">
        <v>1</v>
      </c>
      <c r="N191" s="2">
        <v>9</v>
      </c>
    </row>
    <row r="192" spans="1:14" x14ac:dyDescent="0.25">
      <c r="A192" s="4">
        <v>190</v>
      </c>
      <c r="B192" s="8" t="s">
        <v>685</v>
      </c>
      <c r="C192" s="4" t="s">
        <v>584</v>
      </c>
      <c r="D192" s="5">
        <v>44063.847222222219</v>
      </c>
      <c r="E192" s="4" t="s">
        <v>686</v>
      </c>
      <c r="F192" s="4" t="s">
        <v>29</v>
      </c>
      <c r="G192" s="8" t="s">
        <v>687</v>
      </c>
      <c r="H192" s="4">
        <v>10</v>
      </c>
      <c r="I192" s="4">
        <v>20</v>
      </c>
      <c r="J192" s="4" t="s">
        <v>653</v>
      </c>
      <c r="K192" s="4">
        <v>2020</v>
      </c>
      <c r="L192" s="4">
        <v>8</v>
      </c>
      <c r="M192" s="4">
        <v>20</v>
      </c>
      <c r="N192" s="4">
        <v>20</v>
      </c>
    </row>
    <row r="193" spans="1:14" x14ac:dyDescent="0.25">
      <c r="A193" s="2">
        <v>191</v>
      </c>
      <c r="B193" s="7" t="s">
        <v>688</v>
      </c>
      <c r="C193" s="2" t="s">
        <v>588</v>
      </c>
      <c r="D193" s="3">
        <v>44252.645833333336</v>
      </c>
      <c r="E193" s="2" t="s">
        <v>689</v>
      </c>
      <c r="F193" s="2" t="s">
        <v>14</v>
      </c>
      <c r="G193" s="7" t="s">
        <v>690</v>
      </c>
      <c r="H193" s="2">
        <v>12</v>
      </c>
      <c r="I193" s="2">
        <v>25</v>
      </c>
      <c r="J193" s="2" t="s">
        <v>614</v>
      </c>
      <c r="K193" s="2">
        <v>2021</v>
      </c>
      <c r="L193" s="2">
        <v>2</v>
      </c>
      <c r="M193" s="2">
        <v>25</v>
      </c>
      <c r="N193" s="2">
        <v>15</v>
      </c>
    </row>
    <row r="194" spans="1:14" ht="30" x14ac:dyDescent="0.25">
      <c r="A194" s="4">
        <v>192</v>
      </c>
      <c r="B194" s="8" t="s">
        <v>691</v>
      </c>
      <c r="C194" s="4" t="s">
        <v>647</v>
      </c>
      <c r="D194" s="5">
        <v>43720.756944444445</v>
      </c>
      <c r="E194" s="4" t="s">
        <v>692</v>
      </c>
      <c r="F194" s="4" t="s">
        <v>24</v>
      </c>
      <c r="G194" s="8" t="s">
        <v>693</v>
      </c>
      <c r="H194" s="4">
        <v>15</v>
      </c>
      <c r="I194" s="4">
        <v>30</v>
      </c>
      <c r="J194" s="4" t="s">
        <v>605</v>
      </c>
      <c r="K194" s="4">
        <v>2019</v>
      </c>
      <c r="L194" s="4">
        <v>9</v>
      </c>
      <c r="M194" s="4">
        <v>12</v>
      </c>
      <c r="N194" s="4">
        <v>18</v>
      </c>
    </row>
    <row r="195" spans="1:14" ht="30" x14ac:dyDescent="0.25">
      <c r="A195" s="2">
        <v>193</v>
      </c>
      <c r="B195" s="7" t="s">
        <v>694</v>
      </c>
      <c r="C195" s="2" t="s">
        <v>695</v>
      </c>
      <c r="D195" s="3">
        <v>43317.6875</v>
      </c>
      <c r="E195" s="2" t="s">
        <v>696</v>
      </c>
      <c r="F195" s="2" t="s">
        <v>29</v>
      </c>
      <c r="G195" s="7" t="s">
        <v>697</v>
      </c>
      <c r="H195" s="2">
        <v>8</v>
      </c>
      <c r="I195" s="2">
        <v>15</v>
      </c>
      <c r="J195" s="2" t="s">
        <v>698</v>
      </c>
      <c r="K195" s="2">
        <v>2018</v>
      </c>
      <c r="L195" s="2">
        <v>8</v>
      </c>
      <c r="M195" s="2">
        <v>5</v>
      </c>
      <c r="N195" s="2">
        <v>16</v>
      </c>
    </row>
    <row r="196" spans="1:14" x14ac:dyDescent="0.25">
      <c r="A196" s="4">
        <v>194</v>
      </c>
      <c r="B196" s="8" t="s">
        <v>699</v>
      </c>
      <c r="C196" s="4" t="s">
        <v>602</v>
      </c>
      <c r="D196" s="5">
        <v>42747.5</v>
      </c>
      <c r="E196" s="4" t="s">
        <v>700</v>
      </c>
      <c r="F196" s="4" t="s">
        <v>14</v>
      </c>
      <c r="G196" s="8" t="s">
        <v>701</v>
      </c>
      <c r="H196" s="4">
        <v>10</v>
      </c>
      <c r="I196" s="4">
        <v>20</v>
      </c>
      <c r="J196" s="4" t="s">
        <v>653</v>
      </c>
      <c r="K196" s="4">
        <v>2017</v>
      </c>
      <c r="L196" s="4">
        <v>1</v>
      </c>
      <c r="M196" s="4">
        <v>12</v>
      </c>
      <c r="N196" s="4">
        <v>12</v>
      </c>
    </row>
    <row r="197" spans="1:14" x14ac:dyDescent="0.25">
      <c r="A197" s="2">
        <v>195</v>
      </c>
      <c r="B197" s="7" t="s">
        <v>702</v>
      </c>
      <c r="C197" s="2" t="s">
        <v>607</v>
      </c>
      <c r="D197" s="3">
        <v>44656.614583333336</v>
      </c>
      <c r="E197" s="2" t="s">
        <v>703</v>
      </c>
      <c r="F197" s="2" t="s">
        <v>24</v>
      </c>
      <c r="G197" s="7" t="s">
        <v>704</v>
      </c>
      <c r="H197" s="2">
        <v>12</v>
      </c>
      <c r="I197" s="2">
        <v>25</v>
      </c>
      <c r="J197" s="2" t="s">
        <v>365</v>
      </c>
      <c r="K197" s="2">
        <v>2022</v>
      </c>
      <c r="L197" s="2">
        <v>4</v>
      </c>
      <c r="M197" s="2">
        <v>5</v>
      </c>
      <c r="N197" s="2">
        <v>14</v>
      </c>
    </row>
    <row r="198" spans="1:14" x14ac:dyDescent="0.25">
      <c r="A198" s="4">
        <v>196</v>
      </c>
      <c r="B198" s="8" t="s">
        <v>705</v>
      </c>
      <c r="C198" s="4" t="s">
        <v>611</v>
      </c>
      <c r="D198" s="5">
        <v>44471.791666666664</v>
      </c>
      <c r="E198" s="4" t="s">
        <v>706</v>
      </c>
      <c r="F198" s="4" t="s">
        <v>29</v>
      </c>
      <c r="G198" s="8" t="s">
        <v>707</v>
      </c>
      <c r="H198" s="4">
        <v>7</v>
      </c>
      <c r="I198" s="4">
        <v>15</v>
      </c>
      <c r="J198" s="4" t="s">
        <v>614</v>
      </c>
      <c r="K198" s="4">
        <v>2021</v>
      </c>
      <c r="L198" s="4">
        <v>10</v>
      </c>
      <c r="M198" s="4">
        <v>2</v>
      </c>
      <c r="N198" s="4">
        <v>19</v>
      </c>
    </row>
    <row r="199" spans="1:14" ht="30" x14ac:dyDescent="0.25">
      <c r="A199" s="2">
        <v>197</v>
      </c>
      <c r="B199" s="7" t="s">
        <v>708</v>
      </c>
      <c r="C199" s="2" t="s">
        <v>709</v>
      </c>
      <c r="D199" s="3">
        <v>45031.427083333336</v>
      </c>
      <c r="E199" s="2" t="s">
        <v>710</v>
      </c>
      <c r="F199" s="2" t="s">
        <v>14</v>
      </c>
      <c r="G199" s="7" t="s">
        <v>711</v>
      </c>
      <c r="H199" s="2">
        <v>15</v>
      </c>
      <c r="I199" s="2">
        <v>30</v>
      </c>
      <c r="J199" s="2" t="s">
        <v>202</v>
      </c>
      <c r="K199" s="2">
        <v>2023</v>
      </c>
      <c r="L199" s="2">
        <v>4</v>
      </c>
      <c r="M199" s="2">
        <v>15</v>
      </c>
      <c r="N199" s="2">
        <v>10</v>
      </c>
    </row>
    <row r="200" spans="1:14" ht="30" x14ac:dyDescent="0.25">
      <c r="A200" s="4">
        <v>198</v>
      </c>
      <c r="B200" s="8" t="s">
        <v>712</v>
      </c>
      <c r="C200" s="4" t="s">
        <v>713</v>
      </c>
      <c r="D200" s="5">
        <v>44893.729166666664</v>
      </c>
      <c r="E200" s="4" t="s">
        <v>714</v>
      </c>
      <c r="F200" s="4" t="s">
        <v>24</v>
      </c>
      <c r="G200" s="8" t="s">
        <v>715</v>
      </c>
      <c r="H200" s="4">
        <v>7</v>
      </c>
      <c r="I200" s="4">
        <v>15</v>
      </c>
      <c r="J200" s="4" t="s">
        <v>591</v>
      </c>
      <c r="K200" s="4">
        <v>2022</v>
      </c>
      <c r="L200" s="4">
        <v>11</v>
      </c>
      <c r="M200" s="4">
        <v>28</v>
      </c>
      <c r="N200" s="4">
        <v>17</v>
      </c>
    </row>
    <row r="201" spans="1:14" ht="30" x14ac:dyDescent="0.25">
      <c r="A201" s="2">
        <v>199</v>
      </c>
      <c r="B201" s="7" t="s">
        <v>716</v>
      </c>
      <c r="C201" s="2" t="s">
        <v>717</v>
      </c>
      <c r="D201" s="3">
        <v>43923.40625</v>
      </c>
      <c r="E201" s="2" t="s">
        <v>718</v>
      </c>
      <c r="F201" s="2" t="s">
        <v>29</v>
      </c>
      <c r="G201" s="7" t="s">
        <v>719</v>
      </c>
      <c r="H201" s="2">
        <v>10</v>
      </c>
      <c r="I201" s="2">
        <v>20</v>
      </c>
      <c r="J201" s="2" t="s">
        <v>229</v>
      </c>
      <c r="K201" s="2">
        <v>2020</v>
      </c>
      <c r="L201" s="2">
        <v>4</v>
      </c>
      <c r="M201" s="2">
        <v>2</v>
      </c>
      <c r="N201" s="2">
        <v>9</v>
      </c>
    </row>
    <row r="202" spans="1:14" ht="30" x14ac:dyDescent="0.25">
      <c r="A202" s="4">
        <v>200</v>
      </c>
      <c r="B202" s="8" t="s">
        <v>720</v>
      </c>
      <c r="C202" s="4" t="s">
        <v>721</v>
      </c>
      <c r="D202" s="5">
        <v>44418.583333333336</v>
      </c>
      <c r="E202" s="4" t="s">
        <v>722</v>
      </c>
      <c r="F202" s="4" t="s">
        <v>14</v>
      </c>
      <c r="G202" s="8" t="s">
        <v>723</v>
      </c>
      <c r="H202" s="4">
        <v>8</v>
      </c>
      <c r="I202" s="4">
        <v>15</v>
      </c>
      <c r="J202" s="4" t="s">
        <v>600</v>
      </c>
      <c r="K202" s="4">
        <v>2021</v>
      </c>
      <c r="L202" s="4">
        <v>8</v>
      </c>
      <c r="M202" s="4">
        <v>10</v>
      </c>
      <c r="N202" s="4">
        <v>14</v>
      </c>
    </row>
    <row r="203" spans="1:14" ht="30" x14ac:dyDescent="0.25">
      <c r="A203" s="2">
        <v>201</v>
      </c>
      <c r="B203" s="7" t="s">
        <v>724</v>
      </c>
      <c r="C203" s="2" t="s">
        <v>725</v>
      </c>
      <c r="D203" s="3">
        <v>43634.864583333336</v>
      </c>
      <c r="E203" s="2" t="s">
        <v>726</v>
      </c>
      <c r="F203" s="2" t="s">
        <v>24</v>
      </c>
      <c r="G203" s="7" t="s">
        <v>727</v>
      </c>
      <c r="H203" s="2">
        <v>12</v>
      </c>
      <c r="I203" s="2">
        <v>25</v>
      </c>
      <c r="J203" s="2" t="s">
        <v>605</v>
      </c>
      <c r="K203" s="2">
        <v>2019</v>
      </c>
      <c r="L203" s="2">
        <v>6</v>
      </c>
      <c r="M203" s="2">
        <v>18</v>
      </c>
      <c r="N203" s="2">
        <v>20</v>
      </c>
    </row>
    <row r="204" spans="1:14" ht="45" x14ac:dyDescent="0.25">
      <c r="A204" s="4">
        <v>202</v>
      </c>
      <c r="B204" s="8" t="s">
        <v>728</v>
      </c>
      <c r="C204" s="4" t="s">
        <v>729</v>
      </c>
      <c r="D204" s="5">
        <v>43136.635416666664</v>
      </c>
      <c r="E204" s="4" t="s">
        <v>730</v>
      </c>
      <c r="F204" s="4" t="s">
        <v>29</v>
      </c>
      <c r="G204" s="8" t="s">
        <v>731</v>
      </c>
      <c r="H204" s="4">
        <v>10</v>
      </c>
      <c r="I204" s="4">
        <v>20</v>
      </c>
      <c r="J204" s="4" t="s">
        <v>202</v>
      </c>
      <c r="K204" s="4">
        <v>2018</v>
      </c>
      <c r="L204" s="4">
        <v>2</v>
      </c>
      <c r="M204" s="4">
        <v>5</v>
      </c>
      <c r="N204" s="4">
        <v>15</v>
      </c>
    </row>
    <row r="205" spans="1:14" ht="30" x14ac:dyDescent="0.25">
      <c r="A205" s="2">
        <v>203</v>
      </c>
      <c r="B205" s="7" t="s">
        <v>732</v>
      </c>
      <c r="C205" s="2" t="s">
        <v>733</v>
      </c>
      <c r="D205" s="3">
        <v>44711.479166666664</v>
      </c>
      <c r="E205" s="2" t="s">
        <v>734</v>
      </c>
      <c r="F205" s="2" t="s">
        <v>14</v>
      </c>
      <c r="G205" s="7" t="s">
        <v>735</v>
      </c>
      <c r="H205" s="2">
        <v>12</v>
      </c>
      <c r="I205" s="2">
        <v>25</v>
      </c>
      <c r="J205" s="2" t="s">
        <v>614</v>
      </c>
      <c r="K205" s="2">
        <v>2022</v>
      </c>
      <c r="L205" s="2">
        <v>5</v>
      </c>
      <c r="M205" s="2">
        <v>30</v>
      </c>
      <c r="N205" s="2">
        <v>11</v>
      </c>
    </row>
    <row r="206" spans="1:14" ht="30" x14ac:dyDescent="0.25">
      <c r="A206" s="4">
        <v>204</v>
      </c>
      <c r="B206" s="8" t="s">
        <v>736</v>
      </c>
      <c r="C206" s="4" t="s">
        <v>737</v>
      </c>
      <c r="D206" s="5">
        <v>44936.680555555555</v>
      </c>
      <c r="E206" s="4" t="s">
        <v>738</v>
      </c>
      <c r="F206" s="4" t="s">
        <v>24</v>
      </c>
      <c r="G206" s="8" t="s">
        <v>340</v>
      </c>
      <c r="H206" s="4">
        <v>15</v>
      </c>
      <c r="I206" s="4">
        <v>30</v>
      </c>
      <c r="J206" s="4" t="s">
        <v>229</v>
      </c>
      <c r="K206" s="4">
        <v>2023</v>
      </c>
      <c r="L206" s="4">
        <v>1</v>
      </c>
      <c r="M206" s="4">
        <v>10</v>
      </c>
      <c r="N206" s="4">
        <v>16</v>
      </c>
    </row>
    <row r="207" spans="1:14" ht="30" x14ac:dyDescent="0.25">
      <c r="A207" s="2">
        <v>205</v>
      </c>
      <c r="B207" s="7" t="s">
        <v>739</v>
      </c>
      <c r="C207" s="2" t="s">
        <v>740</v>
      </c>
      <c r="D207" s="3">
        <v>44092.572916666664</v>
      </c>
      <c r="E207" s="2" t="s">
        <v>741</v>
      </c>
      <c r="F207" s="2" t="s">
        <v>29</v>
      </c>
      <c r="G207" s="7" t="s">
        <v>742</v>
      </c>
      <c r="H207" s="2">
        <v>10</v>
      </c>
      <c r="I207" s="2">
        <v>20</v>
      </c>
      <c r="J207" s="2" t="s">
        <v>600</v>
      </c>
      <c r="K207" s="2">
        <v>2020</v>
      </c>
      <c r="L207" s="2">
        <v>9</v>
      </c>
      <c r="M207" s="2">
        <v>18</v>
      </c>
      <c r="N207" s="2">
        <v>13</v>
      </c>
    </row>
    <row r="208" spans="1:14" ht="30" x14ac:dyDescent="0.25">
      <c r="A208" s="4">
        <v>206</v>
      </c>
      <c r="B208" s="8" t="s">
        <v>743</v>
      </c>
      <c r="C208" s="4" t="s">
        <v>744</v>
      </c>
      <c r="D208" s="5">
        <v>44380.791666666664</v>
      </c>
      <c r="E208" s="4" t="s">
        <v>745</v>
      </c>
      <c r="F208" s="4" t="s">
        <v>14</v>
      </c>
      <c r="G208" s="8" t="s">
        <v>746</v>
      </c>
      <c r="H208" s="4">
        <v>12</v>
      </c>
      <c r="I208" s="4">
        <v>25</v>
      </c>
      <c r="J208" s="4" t="s">
        <v>292</v>
      </c>
      <c r="K208" s="4">
        <v>2021</v>
      </c>
      <c r="L208" s="4">
        <v>7</v>
      </c>
      <c r="M208" s="4">
        <v>3</v>
      </c>
      <c r="N208" s="4">
        <v>19</v>
      </c>
    </row>
    <row r="209" spans="1:14" ht="30" x14ac:dyDescent="0.25">
      <c r="A209" s="2">
        <v>207</v>
      </c>
      <c r="B209" s="7" t="s">
        <v>747</v>
      </c>
      <c r="C209" s="2" t="s">
        <v>709</v>
      </c>
      <c r="D209" s="3">
        <v>44842.34375</v>
      </c>
      <c r="E209" s="2" t="s">
        <v>748</v>
      </c>
      <c r="F209" s="2" t="s">
        <v>24</v>
      </c>
      <c r="G209" s="7" t="s">
        <v>749</v>
      </c>
      <c r="H209" s="2">
        <v>20</v>
      </c>
      <c r="I209" s="2">
        <v>40</v>
      </c>
      <c r="J209" s="2" t="s">
        <v>202</v>
      </c>
      <c r="K209" s="2">
        <v>2022</v>
      </c>
      <c r="L209" s="2">
        <v>10</v>
      </c>
      <c r="M209" s="2">
        <v>8</v>
      </c>
      <c r="N209" s="2">
        <v>8</v>
      </c>
    </row>
    <row r="210" spans="1:14" ht="30" x14ac:dyDescent="0.25">
      <c r="A210" s="4">
        <v>208</v>
      </c>
      <c r="B210" s="8" t="s">
        <v>750</v>
      </c>
      <c r="C210" s="4" t="s">
        <v>713</v>
      </c>
      <c r="D210" s="5">
        <v>45007.6875</v>
      </c>
      <c r="E210" s="4" t="s">
        <v>751</v>
      </c>
      <c r="F210" s="4" t="s">
        <v>29</v>
      </c>
      <c r="G210" s="8" t="s">
        <v>752</v>
      </c>
      <c r="H210" s="4">
        <v>10</v>
      </c>
      <c r="I210" s="4">
        <v>20</v>
      </c>
      <c r="J210" s="4" t="s">
        <v>614</v>
      </c>
      <c r="K210" s="4">
        <v>2023</v>
      </c>
      <c r="L210" s="4">
        <v>3</v>
      </c>
      <c r="M210" s="4">
        <v>22</v>
      </c>
      <c r="N210" s="4">
        <v>16</v>
      </c>
    </row>
    <row r="211" spans="1:14" ht="30" x14ac:dyDescent="0.25">
      <c r="A211" s="2">
        <v>209</v>
      </c>
      <c r="B211" s="7" t="s">
        <v>753</v>
      </c>
      <c r="C211" s="2" t="s">
        <v>717</v>
      </c>
      <c r="D211" s="3">
        <v>44331.489583333336</v>
      </c>
      <c r="E211" s="2" t="s">
        <v>754</v>
      </c>
      <c r="F211" s="2" t="s">
        <v>14</v>
      </c>
      <c r="G211" s="7" t="s">
        <v>755</v>
      </c>
      <c r="H211" s="2">
        <v>15</v>
      </c>
      <c r="I211" s="2">
        <v>30</v>
      </c>
      <c r="J211" s="2" t="s">
        <v>365</v>
      </c>
      <c r="K211" s="2">
        <v>2021</v>
      </c>
      <c r="L211" s="2">
        <v>5</v>
      </c>
      <c r="M211" s="2">
        <v>15</v>
      </c>
      <c r="N211" s="2">
        <v>11</v>
      </c>
    </row>
    <row r="212" spans="1:14" ht="30" x14ac:dyDescent="0.25">
      <c r="A212" s="4">
        <v>210</v>
      </c>
      <c r="B212" s="8" t="s">
        <v>756</v>
      </c>
      <c r="C212" s="4" t="s">
        <v>721</v>
      </c>
      <c r="D212" s="5">
        <v>43827.604166666664</v>
      </c>
      <c r="E212" s="4" t="s">
        <v>757</v>
      </c>
      <c r="F212" s="4" t="s">
        <v>24</v>
      </c>
      <c r="G212" s="8" t="s">
        <v>758</v>
      </c>
      <c r="H212" s="4">
        <v>8</v>
      </c>
      <c r="I212" s="4">
        <v>15</v>
      </c>
      <c r="J212" s="4" t="s">
        <v>605</v>
      </c>
      <c r="K212" s="4">
        <v>2019</v>
      </c>
      <c r="L212" s="4">
        <v>12</v>
      </c>
      <c r="M212" s="4">
        <v>28</v>
      </c>
      <c r="N212" s="4">
        <v>14</v>
      </c>
    </row>
    <row r="213" spans="1:14" ht="30" x14ac:dyDescent="0.25">
      <c r="A213" s="2">
        <v>211</v>
      </c>
      <c r="B213" s="7" t="s">
        <v>759</v>
      </c>
      <c r="C213" s="2" t="s">
        <v>725</v>
      </c>
      <c r="D213" s="3">
        <v>43891.791666666664</v>
      </c>
      <c r="E213" s="2" t="s">
        <v>760</v>
      </c>
      <c r="F213" s="2" t="s">
        <v>29</v>
      </c>
      <c r="G213" s="7" t="s">
        <v>761</v>
      </c>
      <c r="H213" s="2">
        <v>12</v>
      </c>
      <c r="I213" s="2">
        <v>25</v>
      </c>
      <c r="J213" s="2" t="s">
        <v>653</v>
      </c>
      <c r="K213" s="2">
        <v>2020</v>
      </c>
      <c r="L213" s="2">
        <v>3</v>
      </c>
      <c r="M213" s="2">
        <v>1</v>
      </c>
      <c r="N213" s="2">
        <v>19</v>
      </c>
    </row>
    <row r="214" spans="1:14" ht="30" x14ac:dyDescent="0.25">
      <c r="A214" s="4">
        <v>212</v>
      </c>
      <c r="B214" s="8" t="s">
        <v>762</v>
      </c>
      <c r="C214" s="4" t="s">
        <v>729</v>
      </c>
      <c r="D214" s="5">
        <v>43291.65625</v>
      </c>
      <c r="E214" s="4" t="s">
        <v>763</v>
      </c>
      <c r="F214" s="4" t="s">
        <v>14</v>
      </c>
      <c r="G214" s="8" t="s">
        <v>764</v>
      </c>
      <c r="H214" s="4">
        <v>10</v>
      </c>
      <c r="I214" s="4">
        <v>20</v>
      </c>
      <c r="J214" s="4" t="s">
        <v>614</v>
      </c>
      <c r="K214" s="4">
        <v>2018</v>
      </c>
      <c r="L214" s="4">
        <v>7</v>
      </c>
      <c r="M214" s="4">
        <v>10</v>
      </c>
      <c r="N214" s="4">
        <v>15</v>
      </c>
    </row>
    <row r="215" spans="1:14" ht="30" x14ac:dyDescent="0.25">
      <c r="A215" s="2">
        <v>213</v>
      </c>
      <c r="B215" s="7" t="s">
        <v>765</v>
      </c>
      <c r="C215" s="2" t="s">
        <v>733</v>
      </c>
      <c r="D215" s="3">
        <v>44566.4375</v>
      </c>
      <c r="E215" s="2" t="s">
        <v>766</v>
      </c>
      <c r="F215" s="2" t="s">
        <v>24</v>
      </c>
      <c r="G215" s="7" t="s">
        <v>767</v>
      </c>
      <c r="H215" s="2">
        <v>12</v>
      </c>
      <c r="I215" s="2">
        <v>25</v>
      </c>
      <c r="J215" s="2" t="s">
        <v>365</v>
      </c>
      <c r="K215" s="2">
        <v>2022</v>
      </c>
      <c r="L215" s="2">
        <v>1</v>
      </c>
      <c r="M215" s="2">
        <v>5</v>
      </c>
      <c r="N215" s="2">
        <v>10</v>
      </c>
    </row>
    <row r="216" spans="1:14" ht="30" x14ac:dyDescent="0.25">
      <c r="A216" s="4">
        <v>214</v>
      </c>
      <c r="B216" s="8" t="s">
        <v>768</v>
      </c>
      <c r="C216" s="4" t="s">
        <v>737</v>
      </c>
      <c r="D216" s="5">
        <v>44428.680555555555</v>
      </c>
      <c r="E216" s="4" t="s">
        <v>769</v>
      </c>
      <c r="F216" s="4" t="s">
        <v>29</v>
      </c>
      <c r="G216" s="8" t="s">
        <v>770</v>
      </c>
      <c r="H216" s="4">
        <v>15</v>
      </c>
      <c r="I216" s="4">
        <v>30</v>
      </c>
      <c r="J216" s="4" t="s">
        <v>292</v>
      </c>
      <c r="K216" s="4">
        <v>2021</v>
      </c>
      <c r="L216" s="4">
        <v>8</v>
      </c>
      <c r="M216" s="4">
        <v>20</v>
      </c>
      <c r="N216" s="4">
        <v>16</v>
      </c>
    </row>
    <row r="217" spans="1:14" ht="30" x14ac:dyDescent="0.25">
      <c r="A217" s="2">
        <v>215</v>
      </c>
      <c r="B217" s="7" t="s">
        <v>771</v>
      </c>
      <c r="C217" s="2" t="s">
        <v>740</v>
      </c>
      <c r="D217" s="3">
        <v>43772.572916666664</v>
      </c>
      <c r="E217" s="2" t="s">
        <v>772</v>
      </c>
      <c r="F217" s="2" t="s">
        <v>14</v>
      </c>
      <c r="G217" s="7" t="s">
        <v>773</v>
      </c>
      <c r="H217" s="2">
        <v>18</v>
      </c>
      <c r="I217" s="2">
        <v>35</v>
      </c>
      <c r="J217" s="2" t="s">
        <v>202</v>
      </c>
      <c r="K217" s="2">
        <v>2019</v>
      </c>
      <c r="L217" s="2">
        <v>11</v>
      </c>
      <c r="M217" s="2">
        <v>3</v>
      </c>
      <c r="N217" s="2">
        <v>13</v>
      </c>
    </row>
    <row r="218" spans="1:14" ht="30" x14ac:dyDescent="0.25">
      <c r="A218" s="4">
        <v>216</v>
      </c>
      <c r="B218" s="8" t="s">
        <v>774</v>
      </c>
      <c r="C218" s="4" t="s">
        <v>744</v>
      </c>
      <c r="D218" s="5">
        <v>43933.8125</v>
      </c>
      <c r="E218" s="4" t="s">
        <v>775</v>
      </c>
      <c r="F218" s="4" t="s">
        <v>24</v>
      </c>
      <c r="G218" s="8" t="s">
        <v>776</v>
      </c>
      <c r="H218" s="4">
        <v>25</v>
      </c>
      <c r="I218" s="4">
        <v>50</v>
      </c>
      <c r="J218" s="4" t="s">
        <v>614</v>
      </c>
      <c r="K218" s="4">
        <v>2020</v>
      </c>
      <c r="L218" s="4">
        <v>4</v>
      </c>
      <c r="M218" s="4">
        <v>12</v>
      </c>
      <c r="N218" s="4">
        <v>19</v>
      </c>
    </row>
    <row r="219" spans="1:14" ht="30" x14ac:dyDescent="0.25">
      <c r="A219" s="2">
        <v>217</v>
      </c>
      <c r="B219" s="7" t="s">
        <v>777</v>
      </c>
      <c r="C219" s="2" t="s">
        <v>709</v>
      </c>
      <c r="D219" s="3">
        <v>44666.364583333336</v>
      </c>
      <c r="E219" s="2" t="s">
        <v>778</v>
      </c>
      <c r="F219" s="2" t="s">
        <v>29</v>
      </c>
      <c r="G219" s="7" t="s">
        <v>779</v>
      </c>
      <c r="H219" s="2">
        <v>22</v>
      </c>
      <c r="I219" s="2">
        <v>45</v>
      </c>
      <c r="J219" s="2" t="s">
        <v>653</v>
      </c>
      <c r="K219" s="2">
        <v>2022</v>
      </c>
      <c r="L219" s="2">
        <v>4</v>
      </c>
      <c r="M219" s="2">
        <v>15</v>
      </c>
      <c r="N219" s="2">
        <v>8</v>
      </c>
    </row>
    <row r="220" spans="1:14" ht="30" x14ac:dyDescent="0.25">
      <c r="A220" s="4">
        <v>218</v>
      </c>
      <c r="B220" s="8" t="s">
        <v>780</v>
      </c>
      <c r="C220" s="4" t="s">
        <v>713</v>
      </c>
      <c r="D220" s="5">
        <v>44967.708333333336</v>
      </c>
      <c r="E220" s="4" t="s">
        <v>781</v>
      </c>
      <c r="F220" s="4" t="s">
        <v>14</v>
      </c>
      <c r="G220" s="8" t="s">
        <v>782</v>
      </c>
      <c r="H220" s="4">
        <v>9</v>
      </c>
      <c r="I220" s="4">
        <v>18</v>
      </c>
      <c r="J220" s="4" t="s">
        <v>365</v>
      </c>
      <c r="K220" s="4">
        <v>2023</v>
      </c>
      <c r="L220" s="4">
        <v>2</v>
      </c>
      <c r="M220" s="4">
        <v>10</v>
      </c>
      <c r="N220" s="4">
        <v>17</v>
      </c>
    </row>
    <row r="221" spans="1:14" ht="30" x14ac:dyDescent="0.25">
      <c r="A221" s="2">
        <v>219</v>
      </c>
      <c r="B221" s="7" t="s">
        <v>783</v>
      </c>
      <c r="C221" s="2" t="s">
        <v>717</v>
      </c>
      <c r="D221" s="3">
        <v>44048.510416666664</v>
      </c>
      <c r="E221" s="2" t="s">
        <v>784</v>
      </c>
      <c r="F221" s="2" t="s">
        <v>24</v>
      </c>
      <c r="G221" s="7" t="s">
        <v>785</v>
      </c>
      <c r="H221" s="2">
        <v>14</v>
      </c>
      <c r="I221" s="2">
        <v>28</v>
      </c>
      <c r="J221" s="2" t="s">
        <v>292</v>
      </c>
      <c r="K221" s="2">
        <v>2020</v>
      </c>
      <c r="L221" s="2">
        <v>8</v>
      </c>
      <c r="M221" s="2">
        <v>5</v>
      </c>
      <c r="N221" s="2">
        <v>12</v>
      </c>
    </row>
    <row r="222" spans="1:14" ht="30" x14ac:dyDescent="0.25">
      <c r="A222" s="4">
        <v>220</v>
      </c>
      <c r="B222" s="8" t="s">
        <v>786</v>
      </c>
      <c r="C222" s="4" t="s">
        <v>721</v>
      </c>
      <c r="D222" s="5">
        <v>44531.645833333336</v>
      </c>
      <c r="E222" s="4" t="s">
        <v>787</v>
      </c>
      <c r="F222" s="4" t="s">
        <v>29</v>
      </c>
      <c r="G222" s="8" t="s">
        <v>788</v>
      </c>
      <c r="H222" s="4">
        <v>10</v>
      </c>
      <c r="I222" s="4">
        <v>20</v>
      </c>
      <c r="J222" s="4" t="s">
        <v>202</v>
      </c>
      <c r="K222" s="4">
        <v>2021</v>
      </c>
      <c r="L222" s="4">
        <v>12</v>
      </c>
      <c r="M222" s="4">
        <v>1</v>
      </c>
      <c r="N222" s="4">
        <v>15</v>
      </c>
    </row>
    <row r="223" spans="1:14" ht="30" x14ac:dyDescent="0.25">
      <c r="A223" s="2">
        <v>221</v>
      </c>
      <c r="B223" s="7" t="s">
        <v>789</v>
      </c>
      <c r="C223" s="2" t="s">
        <v>725</v>
      </c>
      <c r="D223" s="3">
        <v>43549.875</v>
      </c>
      <c r="E223" s="2" t="s">
        <v>790</v>
      </c>
      <c r="F223" s="2" t="s">
        <v>14</v>
      </c>
      <c r="G223" s="7" t="s">
        <v>791</v>
      </c>
      <c r="H223" s="2">
        <v>13</v>
      </c>
      <c r="I223" s="2">
        <v>26</v>
      </c>
      <c r="J223" s="2" t="s">
        <v>614</v>
      </c>
      <c r="K223" s="2">
        <v>2019</v>
      </c>
      <c r="L223" s="2">
        <v>3</v>
      </c>
      <c r="M223" s="2">
        <v>25</v>
      </c>
      <c r="N223" s="2">
        <v>21</v>
      </c>
    </row>
    <row r="224" spans="1:14" ht="30" x14ac:dyDescent="0.25">
      <c r="A224" s="4">
        <v>222</v>
      </c>
      <c r="B224" s="8" t="s">
        <v>792</v>
      </c>
      <c r="C224" s="4" t="s">
        <v>729</v>
      </c>
      <c r="D224" s="5">
        <v>42904.614583333336</v>
      </c>
      <c r="E224" s="4" t="s">
        <v>793</v>
      </c>
      <c r="F224" s="4" t="s">
        <v>24</v>
      </c>
      <c r="G224" s="8" t="s">
        <v>794</v>
      </c>
      <c r="H224" s="4">
        <v>12</v>
      </c>
      <c r="I224" s="4">
        <v>25</v>
      </c>
      <c r="J224" s="4" t="s">
        <v>653</v>
      </c>
      <c r="K224" s="4">
        <v>2017</v>
      </c>
      <c r="L224" s="4">
        <v>6</v>
      </c>
      <c r="M224" s="4">
        <v>18</v>
      </c>
      <c r="N224" s="4">
        <v>14</v>
      </c>
    </row>
    <row r="225" spans="1:14" ht="30" x14ac:dyDescent="0.25">
      <c r="A225" s="2">
        <v>223</v>
      </c>
      <c r="B225" s="7" t="s">
        <v>795</v>
      </c>
      <c r="C225" s="2" t="s">
        <v>733</v>
      </c>
      <c r="D225" s="3">
        <v>44750.479166666664</v>
      </c>
      <c r="E225" s="2" t="s">
        <v>796</v>
      </c>
      <c r="F225" s="2" t="s">
        <v>29</v>
      </c>
      <c r="G225" s="7" t="s">
        <v>797</v>
      </c>
      <c r="H225" s="2">
        <v>15</v>
      </c>
      <c r="I225" s="2">
        <v>30</v>
      </c>
      <c r="J225" s="2" t="s">
        <v>292</v>
      </c>
      <c r="K225" s="2">
        <v>2022</v>
      </c>
      <c r="L225" s="2">
        <v>7</v>
      </c>
      <c r="M225" s="2">
        <v>8</v>
      </c>
      <c r="N225" s="2">
        <v>11</v>
      </c>
    </row>
    <row r="226" spans="1:14" ht="30" x14ac:dyDescent="0.25">
      <c r="A226" s="4">
        <v>224</v>
      </c>
      <c r="B226" s="8" t="s">
        <v>798</v>
      </c>
      <c r="C226" s="4" t="s">
        <v>737</v>
      </c>
      <c r="D226" s="5">
        <v>45061.680555555555</v>
      </c>
      <c r="E226" s="4" t="s">
        <v>799</v>
      </c>
      <c r="F226" s="4" t="s">
        <v>14</v>
      </c>
      <c r="G226" s="8" t="s">
        <v>800</v>
      </c>
      <c r="H226" s="4">
        <v>18</v>
      </c>
      <c r="I226" s="4">
        <v>36</v>
      </c>
      <c r="J226" s="4" t="s">
        <v>614</v>
      </c>
      <c r="K226" s="4">
        <v>2023</v>
      </c>
      <c r="L226" s="4">
        <v>5</v>
      </c>
      <c r="M226" s="4">
        <v>15</v>
      </c>
      <c r="N226" s="4">
        <v>16</v>
      </c>
    </row>
    <row r="227" spans="1:14" ht="30" x14ac:dyDescent="0.25">
      <c r="A227" s="2">
        <v>225</v>
      </c>
      <c r="B227" s="7" t="s">
        <v>801</v>
      </c>
      <c r="C227" s="2" t="s">
        <v>740</v>
      </c>
      <c r="D227" s="3">
        <v>44449.614583333336</v>
      </c>
      <c r="E227" s="2" t="s">
        <v>802</v>
      </c>
      <c r="F227" s="2" t="s">
        <v>24</v>
      </c>
      <c r="G227" s="7" t="s">
        <v>803</v>
      </c>
      <c r="H227" s="2">
        <v>20</v>
      </c>
      <c r="I227" s="2">
        <v>40</v>
      </c>
      <c r="J227" s="2" t="s">
        <v>365</v>
      </c>
      <c r="K227" s="2">
        <v>2021</v>
      </c>
      <c r="L227" s="2">
        <v>9</v>
      </c>
      <c r="M227" s="2">
        <v>10</v>
      </c>
      <c r="N227" s="2">
        <v>14</v>
      </c>
    </row>
    <row r="228" spans="1:14" ht="30" x14ac:dyDescent="0.25">
      <c r="A228" s="4">
        <v>226</v>
      </c>
      <c r="B228" s="8" t="s">
        <v>804</v>
      </c>
      <c r="C228" s="4" t="s">
        <v>744</v>
      </c>
      <c r="D228" s="5">
        <v>43889.770833333336</v>
      </c>
      <c r="E228" s="4" t="s">
        <v>805</v>
      </c>
      <c r="F228" s="4" t="s">
        <v>29</v>
      </c>
      <c r="G228" s="8" t="s">
        <v>806</v>
      </c>
      <c r="H228" s="4">
        <v>25</v>
      </c>
      <c r="I228" s="4">
        <v>50</v>
      </c>
      <c r="J228" s="4" t="s">
        <v>202</v>
      </c>
      <c r="K228" s="4">
        <v>2020</v>
      </c>
      <c r="L228" s="4">
        <v>2</v>
      </c>
      <c r="M228" s="4">
        <v>28</v>
      </c>
      <c r="N228" s="4">
        <v>18</v>
      </c>
    </row>
    <row r="229" spans="1:14" ht="30" x14ac:dyDescent="0.25">
      <c r="A229" s="2">
        <v>227</v>
      </c>
      <c r="B229" s="7" t="s">
        <v>807</v>
      </c>
      <c r="C229" s="2" t="s">
        <v>713</v>
      </c>
      <c r="D229" s="3">
        <v>44995.6875</v>
      </c>
      <c r="E229" s="2" t="s">
        <v>808</v>
      </c>
      <c r="F229" s="2" t="s">
        <v>24</v>
      </c>
      <c r="G229" s="7" t="s">
        <v>809</v>
      </c>
      <c r="H229" s="2">
        <v>9</v>
      </c>
      <c r="I229" s="2">
        <v>18</v>
      </c>
      <c r="J229" s="2" t="s">
        <v>653</v>
      </c>
      <c r="K229" s="2">
        <v>2023</v>
      </c>
      <c r="L229" s="2">
        <v>3</v>
      </c>
      <c r="M229" s="2">
        <v>10</v>
      </c>
      <c r="N229" s="2">
        <v>16</v>
      </c>
    </row>
    <row r="230" spans="1:14" ht="30" x14ac:dyDescent="0.25">
      <c r="A230" s="4">
        <v>228</v>
      </c>
      <c r="B230" s="8" t="s">
        <v>810</v>
      </c>
      <c r="C230" s="4" t="s">
        <v>717</v>
      </c>
      <c r="D230" s="5">
        <v>44318.489583333336</v>
      </c>
      <c r="E230" s="4" t="s">
        <v>811</v>
      </c>
      <c r="F230" s="4" t="s">
        <v>29</v>
      </c>
      <c r="G230" s="8" t="s">
        <v>755</v>
      </c>
      <c r="H230" s="4">
        <v>14</v>
      </c>
      <c r="I230" s="4">
        <v>28</v>
      </c>
      <c r="J230" s="4" t="s">
        <v>292</v>
      </c>
      <c r="K230" s="4">
        <v>2021</v>
      </c>
      <c r="L230" s="4">
        <v>5</v>
      </c>
      <c r="M230" s="4">
        <v>2</v>
      </c>
      <c r="N230" s="4">
        <v>11</v>
      </c>
    </row>
    <row r="231" spans="1:14" ht="30" x14ac:dyDescent="0.25">
      <c r="A231" s="2">
        <v>229</v>
      </c>
      <c r="B231" s="7" t="s">
        <v>812</v>
      </c>
      <c r="C231" s="2" t="s">
        <v>721</v>
      </c>
      <c r="D231" s="3">
        <v>43756.604166666664</v>
      </c>
      <c r="E231" s="2" t="s">
        <v>813</v>
      </c>
      <c r="F231" s="2" t="s">
        <v>14</v>
      </c>
      <c r="G231" s="7" t="s">
        <v>814</v>
      </c>
      <c r="H231" s="2">
        <v>11</v>
      </c>
      <c r="I231" s="2">
        <v>22</v>
      </c>
      <c r="J231" s="2" t="s">
        <v>365</v>
      </c>
      <c r="K231" s="2">
        <v>2019</v>
      </c>
      <c r="L231" s="2">
        <v>10</v>
      </c>
      <c r="M231" s="2">
        <v>18</v>
      </c>
      <c r="N231" s="2">
        <v>14</v>
      </c>
    </row>
    <row r="232" spans="1:14" ht="30" x14ac:dyDescent="0.25">
      <c r="A232" s="4">
        <v>230</v>
      </c>
      <c r="B232" s="8" t="s">
        <v>815</v>
      </c>
      <c r="C232" s="4" t="s">
        <v>725</v>
      </c>
      <c r="D232" s="5">
        <v>43835.833333333336</v>
      </c>
      <c r="E232" s="4" t="s">
        <v>816</v>
      </c>
      <c r="F232" s="4" t="s">
        <v>24</v>
      </c>
      <c r="G232" s="8" t="s">
        <v>817</v>
      </c>
      <c r="H232" s="4">
        <v>13</v>
      </c>
      <c r="I232" s="4">
        <v>26</v>
      </c>
      <c r="J232" s="4" t="s">
        <v>202</v>
      </c>
      <c r="K232" s="4">
        <v>2020</v>
      </c>
      <c r="L232" s="4">
        <v>1</v>
      </c>
      <c r="M232" s="4">
        <v>5</v>
      </c>
      <c r="N232" s="4">
        <v>20</v>
      </c>
    </row>
    <row r="233" spans="1:14" ht="30" x14ac:dyDescent="0.25">
      <c r="A233" s="2">
        <v>231</v>
      </c>
      <c r="B233" s="7" t="s">
        <v>818</v>
      </c>
      <c r="C233" s="2" t="s">
        <v>729</v>
      </c>
      <c r="D233" s="3">
        <v>43322.65625</v>
      </c>
      <c r="E233" s="2" t="s">
        <v>819</v>
      </c>
      <c r="F233" s="2" t="s">
        <v>29</v>
      </c>
      <c r="G233" s="7" t="s">
        <v>820</v>
      </c>
      <c r="H233" s="2">
        <v>12</v>
      </c>
      <c r="I233" s="2">
        <v>25</v>
      </c>
      <c r="J233" s="2" t="s">
        <v>614</v>
      </c>
      <c r="K233" s="2">
        <v>2018</v>
      </c>
      <c r="L233" s="2">
        <v>8</v>
      </c>
      <c r="M233" s="2">
        <v>10</v>
      </c>
      <c r="N233" s="2">
        <v>15</v>
      </c>
    </row>
    <row r="234" spans="1:14" ht="30" x14ac:dyDescent="0.25">
      <c r="A234" s="4">
        <v>232</v>
      </c>
      <c r="B234" s="8" t="s">
        <v>821</v>
      </c>
      <c r="C234" s="4" t="s">
        <v>733</v>
      </c>
      <c r="D234" s="5">
        <v>44576.4375</v>
      </c>
      <c r="E234" s="4" t="s">
        <v>822</v>
      </c>
      <c r="F234" s="4" t="s">
        <v>14</v>
      </c>
      <c r="G234" s="8" t="s">
        <v>823</v>
      </c>
      <c r="H234" s="4">
        <v>15</v>
      </c>
      <c r="I234" s="4">
        <v>30</v>
      </c>
      <c r="J234" s="4" t="s">
        <v>653</v>
      </c>
      <c r="K234" s="4">
        <v>2022</v>
      </c>
      <c r="L234" s="4">
        <v>1</v>
      </c>
      <c r="M234" s="4">
        <v>15</v>
      </c>
      <c r="N234" s="4">
        <v>10</v>
      </c>
    </row>
    <row r="235" spans="1:14" ht="30" x14ac:dyDescent="0.25">
      <c r="A235" s="2">
        <v>233</v>
      </c>
      <c r="B235" s="7" t="s">
        <v>824</v>
      </c>
      <c r="C235" s="2" t="s">
        <v>737</v>
      </c>
      <c r="D235" s="3">
        <v>44397.680555555555</v>
      </c>
      <c r="E235" s="2" t="s">
        <v>825</v>
      </c>
      <c r="F235" s="2" t="s">
        <v>24</v>
      </c>
      <c r="G235" s="7" t="s">
        <v>826</v>
      </c>
      <c r="H235" s="2">
        <v>18</v>
      </c>
      <c r="I235" s="2">
        <v>36</v>
      </c>
      <c r="J235" s="2" t="s">
        <v>605</v>
      </c>
      <c r="K235" s="2">
        <v>2021</v>
      </c>
      <c r="L235" s="2">
        <v>7</v>
      </c>
      <c r="M235" s="2">
        <v>20</v>
      </c>
      <c r="N235" s="2">
        <v>16</v>
      </c>
    </row>
    <row r="236" spans="1:14" ht="30" x14ac:dyDescent="0.25">
      <c r="A236" s="4">
        <v>234</v>
      </c>
      <c r="B236" s="8" t="s">
        <v>827</v>
      </c>
      <c r="C236" s="4" t="s">
        <v>740</v>
      </c>
      <c r="D236" s="5">
        <v>43802.572916666664</v>
      </c>
      <c r="E236" s="4" t="s">
        <v>828</v>
      </c>
      <c r="F236" s="4" t="s">
        <v>29</v>
      </c>
      <c r="G236" s="8" t="s">
        <v>829</v>
      </c>
      <c r="H236" s="4">
        <v>20</v>
      </c>
      <c r="I236" s="4">
        <v>40</v>
      </c>
      <c r="J236" s="4" t="s">
        <v>202</v>
      </c>
      <c r="K236" s="4">
        <v>2019</v>
      </c>
      <c r="L236" s="4">
        <v>12</v>
      </c>
      <c r="M236" s="4">
        <v>3</v>
      </c>
      <c r="N236" s="4">
        <v>13</v>
      </c>
    </row>
    <row r="237" spans="1:14" ht="30" x14ac:dyDescent="0.25">
      <c r="A237" s="2">
        <v>235</v>
      </c>
      <c r="B237" s="7" t="s">
        <v>830</v>
      </c>
      <c r="C237" s="2" t="s">
        <v>744</v>
      </c>
      <c r="D237" s="3">
        <v>43933.8125</v>
      </c>
      <c r="E237" s="2" t="s">
        <v>831</v>
      </c>
      <c r="F237" s="2" t="s">
        <v>14</v>
      </c>
      <c r="G237" s="7" t="s">
        <v>832</v>
      </c>
      <c r="H237" s="2">
        <v>25</v>
      </c>
      <c r="I237" s="2">
        <v>50</v>
      </c>
      <c r="J237" s="2" t="s">
        <v>614</v>
      </c>
      <c r="K237" s="2">
        <v>2020</v>
      </c>
      <c r="L237" s="2">
        <v>4</v>
      </c>
      <c r="M237" s="2">
        <v>12</v>
      </c>
      <c r="N237" s="2">
        <v>19</v>
      </c>
    </row>
    <row r="238" spans="1:14" ht="30" x14ac:dyDescent="0.25">
      <c r="A238" s="4">
        <v>236</v>
      </c>
      <c r="B238" s="8" t="s">
        <v>833</v>
      </c>
      <c r="C238" s="4" t="s">
        <v>709</v>
      </c>
      <c r="D238" s="5">
        <v>44689.364583333336</v>
      </c>
      <c r="E238" s="4" t="s">
        <v>834</v>
      </c>
      <c r="F238" s="4" t="s">
        <v>24</v>
      </c>
      <c r="G238" s="8" t="s">
        <v>835</v>
      </c>
      <c r="H238" s="4">
        <v>22</v>
      </c>
      <c r="I238" s="4">
        <v>45</v>
      </c>
      <c r="J238" s="4" t="s">
        <v>365</v>
      </c>
      <c r="K238" s="4">
        <v>2022</v>
      </c>
      <c r="L238" s="4">
        <v>5</v>
      </c>
      <c r="M238" s="4">
        <v>8</v>
      </c>
      <c r="N238" s="4">
        <v>8</v>
      </c>
    </row>
    <row r="239" spans="1:14" ht="45" x14ac:dyDescent="0.25">
      <c r="A239" s="2">
        <v>237</v>
      </c>
      <c r="B239" s="7" t="s">
        <v>836</v>
      </c>
      <c r="C239" s="2" t="s">
        <v>713</v>
      </c>
      <c r="D239" s="3">
        <v>44979.708333333336</v>
      </c>
      <c r="E239" s="2" t="s">
        <v>837</v>
      </c>
      <c r="F239" s="2" t="s">
        <v>29</v>
      </c>
      <c r="G239" s="7" t="s">
        <v>782</v>
      </c>
      <c r="H239" s="2">
        <v>9</v>
      </c>
      <c r="I239" s="2">
        <v>18</v>
      </c>
      <c r="J239" s="2" t="s">
        <v>653</v>
      </c>
      <c r="K239" s="2">
        <v>2023</v>
      </c>
      <c r="L239" s="2">
        <v>2</v>
      </c>
      <c r="M239" s="2">
        <v>22</v>
      </c>
      <c r="N239" s="2">
        <v>17</v>
      </c>
    </row>
    <row r="240" spans="1:14" ht="30" x14ac:dyDescent="0.25">
      <c r="A240" s="4">
        <v>238</v>
      </c>
      <c r="B240" s="8" t="s">
        <v>838</v>
      </c>
      <c r="C240" s="4" t="s">
        <v>717</v>
      </c>
      <c r="D240" s="5">
        <v>43987.510416666664</v>
      </c>
      <c r="E240" s="4" t="s">
        <v>839</v>
      </c>
      <c r="F240" s="4" t="s">
        <v>14</v>
      </c>
      <c r="G240" s="8" t="s">
        <v>840</v>
      </c>
      <c r="H240" s="4">
        <v>14</v>
      </c>
      <c r="I240" s="4">
        <v>28</v>
      </c>
      <c r="J240" s="4" t="s">
        <v>292</v>
      </c>
      <c r="K240" s="4">
        <v>2020</v>
      </c>
      <c r="L240" s="4">
        <v>6</v>
      </c>
      <c r="M240" s="4">
        <v>5</v>
      </c>
      <c r="N240" s="4">
        <v>12</v>
      </c>
    </row>
    <row r="241" spans="1:14" ht="30" x14ac:dyDescent="0.25">
      <c r="A241" s="2">
        <v>239</v>
      </c>
      <c r="B241" s="7" t="s">
        <v>841</v>
      </c>
      <c r="C241" s="2" t="s">
        <v>721</v>
      </c>
      <c r="D241" s="3">
        <v>44530.645833333336</v>
      </c>
      <c r="E241" s="2" t="s">
        <v>842</v>
      </c>
      <c r="F241" s="2" t="s">
        <v>24</v>
      </c>
      <c r="G241" s="7" t="s">
        <v>843</v>
      </c>
      <c r="H241" s="2">
        <v>10</v>
      </c>
      <c r="I241" s="2">
        <v>20</v>
      </c>
      <c r="J241" s="2" t="s">
        <v>614</v>
      </c>
      <c r="K241" s="2">
        <v>2021</v>
      </c>
      <c r="L241" s="2">
        <v>11</v>
      </c>
      <c r="M241" s="2">
        <v>30</v>
      </c>
      <c r="N241" s="2">
        <v>15</v>
      </c>
    </row>
    <row r="242" spans="1:14" ht="30" x14ac:dyDescent="0.25">
      <c r="A242" s="4">
        <v>240</v>
      </c>
      <c r="B242" s="8" t="s">
        <v>844</v>
      </c>
      <c r="C242" s="4" t="s">
        <v>725</v>
      </c>
      <c r="D242" s="5">
        <v>43521.875</v>
      </c>
      <c r="E242" s="4" t="s">
        <v>845</v>
      </c>
      <c r="F242" s="4" t="s">
        <v>29</v>
      </c>
      <c r="G242" s="8" t="s">
        <v>846</v>
      </c>
      <c r="H242" s="4">
        <v>13</v>
      </c>
      <c r="I242" s="4">
        <v>26</v>
      </c>
      <c r="J242" s="4" t="s">
        <v>365</v>
      </c>
      <c r="K242" s="4">
        <v>2019</v>
      </c>
      <c r="L242" s="4">
        <v>2</v>
      </c>
      <c r="M242" s="4">
        <v>25</v>
      </c>
      <c r="N242" s="4">
        <v>21</v>
      </c>
    </row>
    <row r="243" spans="1:14" ht="30" x14ac:dyDescent="0.25">
      <c r="A243" s="2">
        <v>241</v>
      </c>
      <c r="B243" s="7" t="s">
        <v>847</v>
      </c>
      <c r="C243" s="2" t="s">
        <v>729</v>
      </c>
      <c r="D243" s="3">
        <v>42873.614583333336</v>
      </c>
      <c r="E243" s="2" t="s">
        <v>848</v>
      </c>
      <c r="F243" s="2" t="s">
        <v>14</v>
      </c>
      <c r="G243" s="7" t="s">
        <v>849</v>
      </c>
      <c r="H243" s="2">
        <v>12</v>
      </c>
      <c r="I243" s="2">
        <v>25</v>
      </c>
      <c r="J243" s="2" t="s">
        <v>202</v>
      </c>
      <c r="K243" s="2">
        <v>2017</v>
      </c>
      <c r="L243" s="2">
        <v>5</v>
      </c>
      <c r="M243" s="2">
        <v>18</v>
      </c>
      <c r="N243" s="2">
        <v>14</v>
      </c>
    </row>
    <row r="244" spans="1:14" ht="30" x14ac:dyDescent="0.25">
      <c r="A244" s="4">
        <v>242</v>
      </c>
      <c r="B244" s="8" t="s">
        <v>850</v>
      </c>
      <c r="C244" s="4" t="s">
        <v>733</v>
      </c>
      <c r="D244" s="5">
        <v>44778.479166666664</v>
      </c>
      <c r="E244" s="4" t="s">
        <v>851</v>
      </c>
      <c r="F244" s="4" t="s">
        <v>24</v>
      </c>
      <c r="G244" s="8" t="s">
        <v>852</v>
      </c>
      <c r="H244" s="4">
        <v>15</v>
      </c>
      <c r="I244" s="4">
        <v>30</v>
      </c>
      <c r="J244" s="4" t="s">
        <v>614</v>
      </c>
      <c r="K244" s="4">
        <v>2022</v>
      </c>
      <c r="L244" s="4">
        <v>8</v>
      </c>
      <c r="M244" s="4">
        <v>5</v>
      </c>
      <c r="N244" s="4">
        <v>11</v>
      </c>
    </row>
    <row r="245" spans="1:14" ht="30" x14ac:dyDescent="0.25">
      <c r="A245" s="2">
        <v>243</v>
      </c>
      <c r="B245" s="7" t="s">
        <v>853</v>
      </c>
      <c r="C245" s="2" t="s">
        <v>737</v>
      </c>
      <c r="D245" s="3">
        <v>45092.680555555555</v>
      </c>
      <c r="E245" s="2" t="s">
        <v>854</v>
      </c>
      <c r="F245" s="2" t="s">
        <v>29</v>
      </c>
      <c r="G245" s="7" t="s">
        <v>855</v>
      </c>
      <c r="H245" s="2">
        <v>18</v>
      </c>
      <c r="I245" s="2">
        <v>36</v>
      </c>
      <c r="J245" s="2" t="s">
        <v>292</v>
      </c>
      <c r="K245" s="2">
        <v>2023</v>
      </c>
      <c r="L245" s="2">
        <v>6</v>
      </c>
      <c r="M245" s="2">
        <v>15</v>
      </c>
      <c r="N245" s="2">
        <v>16</v>
      </c>
    </row>
    <row r="246" spans="1:14" ht="30" x14ac:dyDescent="0.25">
      <c r="A246" s="4">
        <v>244</v>
      </c>
      <c r="B246" s="8" t="s">
        <v>856</v>
      </c>
      <c r="C246" s="4" t="s">
        <v>740</v>
      </c>
      <c r="D246" s="5">
        <v>44479.614583333336</v>
      </c>
      <c r="E246" s="4" t="s">
        <v>857</v>
      </c>
      <c r="F246" s="4" t="s">
        <v>14</v>
      </c>
      <c r="G246" s="8" t="s">
        <v>858</v>
      </c>
      <c r="H246" s="4">
        <v>20</v>
      </c>
      <c r="I246" s="4">
        <v>40</v>
      </c>
      <c r="J246" s="4" t="s">
        <v>365</v>
      </c>
      <c r="K246" s="4">
        <v>2021</v>
      </c>
      <c r="L246" s="4">
        <v>10</v>
      </c>
      <c r="M246" s="4">
        <v>10</v>
      </c>
      <c r="N246" s="4">
        <v>14</v>
      </c>
    </row>
    <row r="247" spans="1:14" ht="30" x14ac:dyDescent="0.25">
      <c r="A247" s="2">
        <v>245</v>
      </c>
      <c r="B247" s="7" t="s">
        <v>859</v>
      </c>
      <c r="C247" s="2" t="s">
        <v>744</v>
      </c>
      <c r="D247" s="3">
        <v>43963.8125</v>
      </c>
      <c r="E247" s="2" t="s">
        <v>860</v>
      </c>
      <c r="F247" s="2" t="s">
        <v>24</v>
      </c>
      <c r="G247" s="7" t="s">
        <v>861</v>
      </c>
      <c r="H247" s="2">
        <v>25</v>
      </c>
      <c r="I247" s="2">
        <v>50</v>
      </c>
      <c r="J247" s="2" t="s">
        <v>202</v>
      </c>
      <c r="K247" s="2">
        <v>2020</v>
      </c>
      <c r="L247" s="2">
        <v>5</v>
      </c>
      <c r="M247" s="2">
        <v>12</v>
      </c>
      <c r="N247" s="2">
        <v>19</v>
      </c>
    </row>
    <row r="248" spans="1:14" ht="30" x14ac:dyDescent="0.25">
      <c r="A248" s="4">
        <v>246</v>
      </c>
      <c r="B248" s="8" t="s">
        <v>862</v>
      </c>
      <c r="C248" s="4" t="s">
        <v>709</v>
      </c>
      <c r="D248" s="5">
        <v>44896.385416666664</v>
      </c>
      <c r="E248" s="4" t="s">
        <v>863</v>
      </c>
      <c r="F248" s="4" t="s">
        <v>29</v>
      </c>
      <c r="G248" s="8" t="s">
        <v>864</v>
      </c>
      <c r="H248" s="4">
        <v>22</v>
      </c>
      <c r="I248" s="4">
        <v>44</v>
      </c>
      <c r="J248" s="4" t="s">
        <v>653</v>
      </c>
      <c r="K248" s="4">
        <v>2022</v>
      </c>
      <c r="L248" s="4">
        <v>12</v>
      </c>
      <c r="M248" s="4">
        <v>1</v>
      </c>
      <c r="N248" s="4">
        <v>9</v>
      </c>
    </row>
    <row r="249" spans="1:14" ht="30" x14ac:dyDescent="0.25">
      <c r="A249" s="2">
        <v>247</v>
      </c>
      <c r="B249" s="7" t="s">
        <v>865</v>
      </c>
      <c r="C249" s="2" t="s">
        <v>866</v>
      </c>
      <c r="D249" s="3">
        <v>44530.645833333336</v>
      </c>
      <c r="E249" s="2" t="s">
        <v>867</v>
      </c>
      <c r="F249" s="2" t="s">
        <v>24</v>
      </c>
      <c r="G249" s="7" t="s">
        <v>868</v>
      </c>
      <c r="H249" s="2">
        <v>10</v>
      </c>
      <c r="I249" s="2">
        <v>20</v>
      </c>
      <c r="J249" s="2" t="s">
        <v>121</v>
      </c>
      <c r="K249" s="2">
        <v>2021</v>
      </c>
      <c r="L249" s="2">
        <v>11</v>
      </c>
      <c r="M249" s="2">
        <v>30</v>
      </c>
      <c r="N249" s="2">
        <v>15</v>
      </c>
    </row>
    <row r="250" spans="1:14" ht="30" x14ac:dyDescent="0.25">
      <c r="A250" s="4">
        <v>248</v>
      </c>
      <c r="B250" s="8" t="s">
        <v>869</v>
      </c>
      <c r="C250" s="4" t="s">
        <v>870</v>
      </c>
      <c r="D250" s="5">
        <v>43293.739583333336</v>
      </c>
      <c r="E250" s="4" t="s">
        <v>871</v>
      </c>
      <c r="F250" s="4" t="s">
        <v>872</v>
      </c>
      <c r="G250" s="8" t="s">
        <v>873</v>
      </c>
      <c r="H250" s="4">
        <v>15</v>
      </c>
      <c r="I250" s="4">
        <v>30</v>
      </c>
      <c r="J250" s="4" t="s">
        <v>96</v>
      </c>
      <c r="K250" s="4">
        <v>2018</v>
      </c>
      <c r="L250" s="4">
        <v>7</v>
      </c>
      <c r="M250" s="4">
        <v>12</v>
      </c>
      <c r="N250" s="4">
        <v>17</v>
      </c>
    </row>
    <row r="251" spans="1:14" ht="30" x14ac:dyDescent="0.25">
      <c r="A251" s="2">
        <v>249</v>
      </c>
      <c r="B251" s="7" t="s">
        <v>874</v>
      </c>
      <c r="C251" s="2" t="s">
        <v>875</v>
      </c>
      <c r="D251" s="3">
        <v>44079.840277777781</v>
      </c>
      <c r="E251" s="2" t="s">
        <v>876</v>
      </c>
      <c r="F251" s="2" t="s">
        <v>29</v>
      </c>
      <c r="G251" s="7" t="s">
        <v>877</v>
      </c>
      <c r="H251" s="2">
        <v>18</v>
      </c>
      <c r="I251" s="2">
        <v>36</v>
      </c>
      <c r="J251" s="2" t="s">
        <v>36</v>
      </c>
      <c r="K251" s="2">
        <v>2020</v>
      </c>
      <c r="L251" s="2">
        <v>9</v>
      </c>
      <c r="M251" s="2">
        <v>5</v>
      </c>
      <c r="N251" s="2">
        <v>20</v>
      </c>
    </row>
    <row r="252" spans="1:14" ht="45" x14ac:dyDescent="0.25">
      <c r="A252" s="4">
        <v>250</v>
      </c>
      <c r="B252" s="8" t="s">
        <v>878</v>
      </c>
      <c r="C252" s="4" t="s">
        <v>879</v>
      </c>
      <c r="D252" s="5">
        <v>44669.333333333336</v>
      </c>
      <c r="E252" s="4" t="s">
        <v>880</v>
      </c>
      <c r="F252" s="4" t="s">
        <v>24</v>
      </c>
      <c r="G252" s="8" t="s">
        <v>881</v>
      </c>
      <c r="H252" s="4">
        <v>12</v>
      </c>
      <c r="I252" s="4">
        <v>24</v>
      </c>
      <c r="J252" s="4" t="s">
        <v>162</v>
      </c>
      <c r="K252" s="4">
        <v>2022</v>
      </c>
      <c r="L252" s="4">
        <v>4</v>
      </c>
      <c r="M252" s="4">
        <v>18</v>
      </c>
      <c r="N252" s="4">
        <v>8</v>
      </c>
    </row>
    <row r="253" spans="1:14" ht="45" x14ac:dyDescent="0.25">
      <c r="A253" s="2">
        <v>251</v>
      </c>
      <c r="B253" s="7" t="s">
        <v>882</v>
      </c>
      <c r="C253" s="2" t="s">
        <v>883</v>
      </c>
      <c r="D253" s="3">
        <v>43809.513888888891</v>
      </c>
      <c r="E253" s="2" t="s">
        <v>884</v>
      </c>
      <c r="F253" s="2" t="s">
        <v>872</v>
      </c>
      <c r="G253" s="7" t="s">
        <v>885</v>
      </c>
      <c r="H253" s="2">
        <v>25</v>
      </c>
      <c r="I253" s="2">
        <v>50</v>
      </c>
      <c r="J253" s="2" t="s">
        <v>121</v>
      </c>
      <c r="K253" s="2">
        <v>2019</v>
      </c>
      <c r="L253" s="2">
        <v>12</v>
      </c>
      <c r="M253" s="2">
        <v>10</v>
      </c>
      <c r="N253" s="2">
        <v>12</v>
      </c>
    </row>
    <row r="254" spans="1:14" ht="45" x14ac:dyDescent="0.25">
      <c r="A254" s="4">
        <v>252</v>
      </c>
      <c r="B254" s="8" t="s">
        <v>886</v>
      </c>
      <c r="C254" s="4" t="s">
        <v>887</v>
      </c>
      <c r="D254" s="5">
        <v>44985.40625</v>
      </c>
      <c r="E254" s="4" t="s">
        <v>888</v>
      </c>
      <c r="F254" s="4" t="s">
        <v>29</v>
      </c>
      <c r="G254" s="8" t="s">
        <v>889</v>
      </c>
      <c r="H254" s="4">
        <v>20</v>
      </c>
      <c r="I254" s="4">
        <v>40</v>
      </c>
      <c r="J254" s="4" t="s">
        <v>96</v>
      </c>
      <c r="K254" s="4">
        <v>2023</v>
      </c>
      <c r="L254" s="4">
        <v>2</v>
      </c>
      <c r="M254" s="4">
        <v>28</v>
      </c>
      <c r="N254" s="4">
        <v>9</v>
      </c>
    </row>
    <row r="255" spans="1:14" ht="45" x14ac:dyDescent="0.25">
      <c r="A255" s="2">
        <v>253</v>
      </c>
      <c r="B255" s="7" t="s">
        <v>890</v>
      </c>
      <c r="C255" s="2" t="s">
        <v>891</v>
      </c>
      <c r="D255" s="3">
        <v>43193.59375</v>
      </c>
      <c r="E255" s="2" t="s">
        <v>892</v>
      </c>
      <c r="F255" s="2" t="s">
        <v>24</v>
      </c>
      <c r="G255" s="7" t="s">
        <v>893</v>
      </c>
      <c r="H255" s="2">
        <v>15</v>
      </c>
      <c r="I255" s="2">
        <v>30</v>
      </c>
      <c r="J255" s="2" t="s">
        <v>107</v>
      </c>
      <c r="K255" s="2">
        <v>2018</v>
      </c>
      <c r="L255" s="2">
        <v>4</v>
      </c>
      <c r="M255" s="2">
        <v>3</v>
      </c>
      <c r="N255" s="2">
        <v>14</v>
      </c>
    </row>
    <row r="256" spans="1:14" ht="30" x14ac:dyDescent="0.25">
      <c r="A256" s="4">
        <v>254</v>
      </c>
      <c r="B256" s="8" t="s">
        <v>894</v>
      </c>
      <c r="C256" s="4" t="s">
        <v>895</v>
      </c>
      <c r="D256" s="5">
        <v>44732.4375</v>
      </c>
      <c r="E256" s="4" t="s">
        <v>896</v>
      </c>
      <c r="F256" s="4" t="s">
        <v>872</v>
      </c>
      <c r="G256" s="8" t="s">
        <v>897</v>
      </c>
      <c r="H256" s="4">
        <v>18</v>
      </c>
      <c r="I256" s="4">
        <v>36</v>
      </c>
      <c r="J256" s="4" t="s">
        <v>36</v>
      </c>
      <c r="K256" s="4">
        <v>2022</v>
      </c>
      <c r="L256" s="4">
        <v>6</v>
      </c>
      <c r="M256" s="4">
        <v>20</v>
      </c>
      <c r="N256" s="4">
        <v>10</v>
      </c>
    </row>
    <row r="257" spans="1:14" ht="45" x14ac:dyDescent="0.25">
      <c r="A257" s="2">
        <v>255</v>
      </c>
      <c r="B257" s="7" t="s">
        <v>898</v>
      </c>
      <c r="C257" s="2" t="s">
        <v>899</v>
      </c>
      <c r="D257" s="3">
        <v>44020.75</v>
      </c>
      <c r="E257" s="2" t="s">
        <v>900</v>
      </c>
      <c r="F257" s="2" t="s">
        <v>29</v>
      </c>
      <c r="G257" s="7" t="s">
        <v>901</v>
      </c>
      <c r="H257" s="2">
        <v>22</v>
      </c>
      <c r="I257" s="2">
        <v>44</v>
      </c>
      <c r="J257" s="2" t="s">
        <v>121</v>
      </c>
      <c r="K257" s="2">
        <v>2020</v>
      </c>
      <c r="L257" s="2">
        <v>7</v>
      </c>
      <c r="M257" s="2">
        <v>8</v>
      </c>
      <c r="N257" s="2">
        <v>18</v>
      </c>
    </row>
    <row r="258" spans="1:14" ht="45" x14ac:dyDescent="0.25">
      <c r="A258" s="4">
        <v>256</v>
      </c>
      <c r="B258" s="8" t="s">
        <v>902</v>
      </c>
      <c r="C258" s="4" t="s">
        <v>903</v>
      </c>
      <c r="D258" s="5">
        <v>44423.465277777781</v>
      </c>
      <c r="E258" s="4" t="s">
        <v>904</v>
      </c>
      <c r="F258" s="4" t="s">
        <v>24</v>
      </c>
      <c r="G258" s="8" t="s">
        <v>905</v>
      </c>
      <c r="H258" s="4">
        <v>20</v>
      </c>
      <c r="I258" s="4">
        <v>40</v>
      </c>
      <c r="J258" s="4" t="s">
        <v>162</v>
      </c>
      <c r="K258" s="4">
        <v>2021</v>
      </c>
      <c r="L258" s="4">
        <v>8</v>
      </c>
      <c r="M258" s="4">
        <v>15</v>
      </c>
      <c r="N258" s="4">
        <v>11</v>
      </c>
    </row>
    <row r="259" spans="1:14" ht="45" x14ac:dyDescent="0.25">
      <c r="A259" s="2">
        <v>257</v>
      </c>
      <c r="B259" s="7" t="s">
        <v>906</v>
      </c>
      <c r="C259" s="2" t="s">
        <v>907</v>
      </c>
      <c r="D259" s="3">
        <v>43763.701388888891</v>
      </c>
      <c r="E259" s="2" t="s">
        <v>908</v>
      </c>
      <c r="F259" s="2" t="s">
        <v>872</v>
      </c>
      <c r="G259" s="7" t="s">
        <v>909</v>
      </c>
      <c r="H259" s="2">
        <v>15</v>
      </c>
      <c r="I259" s="2">
        <v>30</v>
      </c>
      <c r="J259" s="2" t="s">
        <v>107</v>
      </c>
      <c r="K259" s="2">
        <v>2019</v>
      </c>
      <c r="L259" s="2">
        <v>10</v>
      </c>
      <c r="M259" s="2">
        <v>25</v>
      </c>
      <c r="N259" s="2">
        <v>16</v>
      </c>
    </row>
    <row r="260" spans="1:14" ht="45" x14ac:dyDescent="0.25">
      <c r="A260" s="4">
        <v>258</v>
      </c>
      <c r="B260" s="8" t="s">
        <v>910</v>
      </c>
      <c r="C260" s="4" t="s">
        <v>879</v>
      </c>
      <c r="D260" s="5">
        <v>45204.3125</v>
      </c>
      <c r="E260" s="4" t="s">
        <v>911</v>
      </c>
      <c r="F260" s="4" t="s">
        <v>29</v>
      </c>
      <c r="G260" s="8" t="s">
        <v>912</v>
      </c>
      <c r="H260" s="4">
        <v>12</v>
      </c>
      <c r="I260" s="4">
        <v>24</v>
      </c>
      <c r="J260" s="4" t="s">
        <v>96</v>
      </c>
      <c r="K260" s="4">
        <v>2023</v>
      </c>
      <c r="L260" s="4">
        <v>10</v>
      </c>
      <c r="M260" s="4">
        <v>5</v>
      </c>
      <c r="N260" s="4">
        <v>7</v>
      </c>
    </row>
    <row r="261" spans="1:14" ht="45" x14ac:dyDescent="0.25">
      <c r="A261" s="2">
        <v>259</v>
      </c>
      <c r="B261" s="7" t="s">
        <v>913</v>
      </c>
      <c r="C261" s="2" t="s">
        <v>914</v>
      </c>
      <c r="D261" s="3">
        <v>44607.552083333336</v>
      </c>
      <c r="E261" s="2" t="s">
        <v>915</v>
      </c>
      <c r="F261" s="2" t="s">
        <v>24</v>
      </c>
      <c r="G261" s="7" t="s">
        <v>916</v>
      </c>
      <c r="H261" s="2">
        <v>25</v>
      </c>
      <c r="I261" s="2">
        <v>50</v>
      </c>
      <c r="J261" s="2" t="s">
        <v>36</v>
      </c>
      <c r="K261" s="2">
        <v>2022</v>
      </c>
      <c r="L261" s="2">
        <v>2</v>
      </c>
      <c r="M261" s="2">
        <v>15</v>
      </c>
      <c r="N261" s="2">
        <v>13</v>
      </c>
    </row>
    <row r="262" spans="1:14" ht="30" x14ac:dyDescent="0.25">
      <c r="A262" s="4">
        <v>260</v>
      </c>
      <c r="B262" s="8" t="s">
        <v>917</v>
      </c>
      <c r="C262" s="4" t="s">
        <v>918</v>
      </c>
      <c r="D262" s="5">
        <v>44324.916666666664</v>
      </c>
      <c r="E262" s="4" t="s">
        <v>919</v>
      </c>
      <c r="F262" s="4" t="s">
        <v>872</v>
      </c>
      <c r="G262" s="8" t="s">
        <v>920</v>
      </c>
      <c r="H262" s="4">
        <v>13</v>
      </c>
      <c r="I262" s="4">
        <v>26</v>
      </c>
      <c r="J262" s="4" t="s">
        <v>121</v>
      </c>
      <c r="K262" s="4">
        <v>2021</v>
      </c>
      <c r="L262" s="4">
        <v>5</v>
      </c>
      <c r="M262" s="4">
        <v>8</v>
      </c>
      <c r="N262" s="4">
        <v>22</v>
      </c>
    </row>
    <row r="263" spans="1:14" ht="45" x14ac:dyDescent="0.25">
      <c r="A263" s="2">
        <v>261</v>
      </c>
      <c r="B263" s="7" t="s">
        <v>921</v>
      </c>
      <c r="C263" s="2" t="s">
        <v>922</v>
      </c>
      <c r="D263" s="3">
        <v>44164.614583333336</v>
      </c>
      <c r="E263" s="2" t="s">
        <v>923</v>
      </c>
      <c r="F263" s="2" t="s">
        <v>24</v>
      </c>
      <c r="G263" s="7" t="s">
        <v>924</v>
      </c>
      <c r="H263" s="2">
        <v>17</v>
      </c>
      <c r="I263" s="2">
        <v>34</v>
      </c>
      <c r="J263" s="2" t="s">
        <v>96</v>
      </c>
      <c r="K263" s="2">
        <v>2020</v>
      </c>
      <c r="L263" s="2">
        <v>11</v>
      </c>
      <c r="M263" s="2">
        <v>29</v>
      </c>
      <c r="N263" s="2">
        <v>14</v>
      </c>
    </row>
    <row r="264" spans="1:14" ht="45" x14ac:dyDescent="0.25">
      <c r="A264" s="4">
        <v>262</v>
      </c>
      <c r="B264" s="8" t="s">
        <v>925</v>
      </c>
      <c r="C264" s="4" t="s">
        <v>926</v>
      </c>
      <c r="D264" s="5">
        <v>43722.430555555555</v>
      </c>
      <c r="E264" s="4" t="s">
        <v>927</v>
      </c>
      <c r="F264" s="4" t="s">
        <v>29</v>
      </c>
      <c r="G264" s="8" t="s">
        <v>928</v>
      </c>
      <c r="H264" s="4">
        <v>14</v>
      </c>
      <c r="I264" s="4">
        <v>28</v>
      </c>
      <c r="J264" s="4" t="s">
        <v>107</v>
      </c>
      <c r="K264" s="4">
        <v>2019</v>
      </c>
      <c r="L264" s="4">
        <v>9</v>
      </c>
      <c r="M264" s="4">
        <v>14</v>
      </c>
      <c r="N264" s="4">
        <v>10</v>
      </c>
    </row>
    <row r="265" spans="1:14" ht="45" x14ac:dyDescent="0.25">
      <c r="A265" s="2">
        <v>263</v>
      </c>
      <c r="B265" s="7" t="s">
        <v>929</v>
      </c>
      <c r="C265" s="2" t="s">
        <v>887</v>
      </c>
      <c r="D265" s="3">
        <v>44632.829861111109</v>
      </c>
      <c r="E265" s="2" t="s">
        <v>930</v>
      </c>
      <c r="F265" s="2" t="s">
        <v>872</v>
      </c>
      <c r="G265" s="7" t="s">
        <v>931</v>
      </c>
      <c r="H265" s="2">
        <v>19</v>
      </c>
      <c r="I265" s="2">
        <v>38</v>
      </c>
      <c r="J265" s="2" t="s">
        <v>36</v>
      </c>
      <c r="K265" s="2">
        <v>2022</v>
      </c>
      <c r="L265" s="2">
        <v>3</v>
      </c>
      <c r="M265" s="2">
        <v>12</v>
      </c>
      <c r="N265" s="2">
        <v>19</v>
      </c>
    </row>
    <row r="266" spans="1:14" ht="45" x14ac:dyDescent="0.25">
      <c r="A266" s="4">
        <v>264</v>
      </c>
      <c r="B266" s="8" t="s">
        <v>932</v>
      </c>
      <c r="C266" s="4" t="s">
        <v>870</v>
      </c>
      <c r="D266" s="5">
        <v>45015.6875</v>
      </c>
      <c r="E266" s="4" t="s">
        <v>933</v>
      </c>
      <c r="F266" s="4" t="s">
        <v>24</v>
      </c>
      <c r="G266" s="8" t="s">
        <v>934</v>
      </c>
      <c r="H266" s="4">
        <v>16</v>
      </c>
      <c r="I266" s="4">
        <v>32</v>
      </c>
      <c r="J266" s="4" t="s">
        <v>162</v>
      </c>
      <c r="K266" s="4">
        <v>2023</v>
      </c>
      <c r="L266" s="4">
        <v>3</v>
      </c>
      <c r="M266" s="4">
        <v>30</v>
      </c>
      <c r="N266" s="4">
        <v>16</v>
      </c>
    </row>
    <row r="267" spans="1:14" ht="45" x14ac:dyDescent="0.25">
      <c r="A267" s="2">
        <v>265</v>
      </c>
      <c r="B267" s="7" t="s">
        <v>935</v>
      </c>
      <c r="C267" s="2" t="s">
        <v>895</v>
      </c>
      <c r="D267" s="3">
        <v>44378.506944444445</v>
      </c>
      <c r="E267" s="2" t="s">
        <v>936</v>
      </c>
      <c r="F267" s="2" t="s">
        <v>29</v>
      </c>
      <c r="G267" s="7" t="s">
        <v>937</v>
      </c>
      <c r="H267" s="2">
        <v>21</v>
      </c>
      <c r="I267" s="2">
        <v>42</v>
      </c>
      <c r="J267" s="2" t="s">
        <v>121</v>
      </c>
      <c r="K267" s="2">
        <v>2021</v>
      </c>
      <c r="L267" s="2">
        <v>7</v>
      </c>
      <c r="M267" s="2">
        <v>1</v>
      </c>
      <c r="N267" s="2">
        <v>12</v>
      </c>
    </row>
    <row r="268" spans="1:14" ht="45" x14ac:dyDescent="0.25">
      <c r="A268" s="4">
        <v>266</v>
      </c>
      <c r="B268" s="8" t="s">
        <v>938</v>
      </c>
      <c r="C268" s="4" t="s">
        <v>883</v>
      </c>
      <c r="D268" s="5">
        <v>43835.364583333336</v>
      </c>
      <c r="E268" s="4" t="s">
        <v>939</v>
      </c>
      <c r="F268" s="4" t="s">
        <v>872</v>
      </c>
      <c r="G268" s="8" t="s">
        <v>940</v>
      </c>
      <c r="H268" s="4">
        <v>23</v>
      </c>
      <c r="I268" s="4">
        <v>46</v>
      </c>
      <c r="J268" s="4" t="s">
        <v>96</v>
      </c>
      <c r="K268" s="4">
        <v>2020</v>
      </c>
      <c r="L268" s="4">
        <v>1</v>
      </c>
      <c r="M268" s="4">
        <v>5</v>
      </c>
      <c r="N268" s="4">
        <v>8</v>
      </c>
    </row>
    <row r="269" spans="1:14" ht="45" x14ac:dyDescent="0.25">
      <c r="A269" s="2">
        <v>267</v>
      </c>
      <c r="B269" s="7" t="s">
        <v>941</v>
      </c>
      <c r="C269" s="2" t="s">
        <v>879</v>
      </c>
      <c r="D269" s="3">
        <v>44759.260416666664</v>
      </c>
      <c r="E269" s="2" t="s">
        <v>942</v>
      </c>
      <c r="F269" s="2" t="s">
        <v>24</v>
      </c>
      <c r="G269" s="7" t="s">
        <v>943</v>
      </c>
      <c r="H269" s="2">
        <v>14</v>
      </c>
      <c r="I269" s="2">
        <v>28</v>
      </c>
      <c r="J269" s="2" t="s">
        <v>107</v>
      </c>
      <c r="K269" s="2">
        <v>2022</v>
      </c>
      <c r="L269" s="2">
        <v>7</v>
      </c>
      <c r="M269" s="2">
        <v>17</v>
      </c>
      <c r="N269" s="2">
        <v>6</v>
      </c>
    </row>
    <row r="270" spans="1:14" ht="45" x14ac:dyDescent="0.25">
      <c r="A270" s="4">
        <v>268</v>
      </c>
      <c r="B270" s="8" t="s">
        <v>944</v>
      </c>
      <c r="C270" s="4" t="s">
        <v>899</v>
      </c>
      <c r="D270" s="5">
        <v>43334.722222222219</v>
      </c>
      <c r="E270" s="4" t="s">
        <v>945</v>
      </c>
      <c r="F270" s="4" t="s">
        <v>29</v>
      </c>
      <c r="G270" s="8" t="s">
        <v>946</v>
      </c>
      <c r="H270" s="4">
        <v>24</v>
      </c>
      <c r="I270" s="4">
        <v>48</v>
      </c>
      <c r="J270" s="4" t="s">
        <v>36</v>
      </c>
      <c r="K270" s="4">
        <v>2018</v>
      </c>
      <c r="L270" s="4">
        <v>8</v>
      </c>
      <c r="M270" s="4">
        <v>22</v>
      </c>
      <c r="N270" s="4">
        <v>17</v>
      </c>
    </row>
    <row r="271" spans="1:14" ht="45" x14ac:dyDescent="0.25">
      <c r="A271" s="2">
        <v>269</v>
      </c>
      <c r="B271" s="7" t="s">
        <v>947</v>
      </c>
      <c r="C271" s="2" t="s">
        <v>907</v>
      </c>
      <c r="D271" s="3">
        <v>44538.604166666664</v>
      </c>
      <c r="E271" s="2" t="s">
        <v>948</v>
      </c>
      <c r="F271" s="2" t="s">
        <v>872</v>
      </c>
      <c r="G271" s="7" t="s">
        <v>949</v>
      </c>
      <c r="H271" s="2">
        <v>18</v>
      </c>
      <c r="I271" s="2">
        <v>36</v>
      </c>
      <c r="J271" s="2" t="s">
        <v>162</v>
      </c>
      <c r="K271" s="2">
        <v>2021</v>
      </c>
      <c r="L271" s="2">
        <v>12</v>
      </c>
      <c r="M271" s="2">
        <v>8</v>
      </c>
      <c r="N271" s="2">
        <v>14</v>
      </c>
    </row>
    <row r="272" spans="1:14" ht="45" x14ac:dyDescent="0.25">
      <c r="A272" s="4">
        <v>270</v>
      </c>
      <c r="B272" s="8" t="s">
        <v>950</v>
      </c>
      <c r="C272" s="4" t="s">
        <v>875</v>
      </c>
      <c r="D272" s="5">
        <v>43582.409722222219</v>
      </c>
      <c r="E272" s="4" t="s">
        <v>951</v>
      </c>
      <c r="F272" s="4" t="s">
        <v>24</v>
      </c>
      <c r="G272" s="8" t="s">
        <v>952</v>
      </c>
      <c r="H272" s="4">
        <v>20</v>
      </c>
      <c r="I272" s="4">
        <v>40</v>
      </c>
      <c r="J272" s="4" t="s">
        <v>121</v>
      </c>
      <c r="K272" s="4">
        <v>2019</v>
      </c>
      <c r="L272" s="4">
        <v>4</v>
      </c>
      <c r="M272" s="4">
        <v>27</v>
      </c>
      <c r="N272" s="4">
        <v>9</v>
      </c>
    </row>
    <row r="273" spans="1:14" ht="45" x14ac:dyDescent="0.25">
      <c r="A273" s="2">
        <v>271</v>
      </c>
      <c r="B273" s="7" t="s">
        <v>953</v>
      </c>
      <c r="C273" s="2" t="s">
        <v>891</v>
      </c>
      <c r="D273" s="3">
        <v>45172.902777777781</v>
      </c>
      <c r="E273" s="2" t="s">
        <v>954</v>
      </c>
      <c r="F273" s="2" t="s">
        <v>29</v>
      </c>
      <c r="G273" s="7" t="s">
        <v>955</v>
      </c>
      <c r="H273" s="2">
        <v>16</v>
      </c>
      <c r="I273" s="2">
        <v>32</v>
      </c>
      <c r="J273" s="2" t="s">
        <v>96</v>
      </c>
      <c r="K273" s="2">
        <v>2023</v>
      </c>
      <c r="L273" s="2">
        <v>9</v>
      </c>
      <c r="M273" s="2">
        <v>3</v>
      </c>
      <c r="N273" s="2">
        <v>21</v>
      </c>
    </row>
    <row r="274" spans="1:14" ht="45" x14ac:dyDescent="0.25">
      <c r="A274" s="4">
        <v>272</v>
      </c>
      <c r="B274" s="8" t="s">
        <v>956</v>
      </c>
      <c r="C274" s="4" t="s">
        <v>903</v>
      </c>
      <c r="D274" s="5">
        <v>43992.420138888891</v>
      </c>
      <c r="E274" s="4" t="s">
        <v>957</v>
      </c>
      <c r="F274" s="4" t="s">
        <v>872</v>
      </c>
      <c r="G274" s="8" t="s">
        <v>958</v>
      </c>
      <c r="H274" s="4">
        <v>22</v>
      </c>
      <c r="I274" s="4">
        <v>44</v>
      </c>
      <c r="J274" s="4" t="s">
        <v>107</v>
      </c>
      <c r="K274" s="4">
        <v>2020</v>
      </c>
      <c r="L274" s="4">
        <v>6</v>
      </c>
      <c r="M274" s="4">
        <v>10</v>
      </c>
      <c r="N274" s="4">
        <v>10</v>
      </c>
    </row>
    <row r="275" spans="1:14" ht="45" x14ac:dyDescent="0.25">
      <c r="A275" s="2">
        <v>273</v>
      </c>
      <c r="B275" s="7" t="s">
        <v>959</v>
      </c>
      <c r="C275" s="2" t="s">
        <v>887</v>
      </c>
      <c r="D275" s="3">
        <v>44652.770833333336</v>
      </c>
      <c r="E275" s="2" t="s">
        <v>960</v>
      </c>
      <c r="F275" s="2" t="s">
        <v>24</v>
      </c>
      <c r="G275" s="7" t="s">
        <v>961</v>
      </c>
      <c r="H275" s="2">
        <v>19</v>
      </c>
      <c r="I275" s="2">
        <v>38</v>
      </c>
      <c r="J275" s="2" t="s">
        <v>36</v>
      </c>
      <c r="K275" s="2">
        <v>2022</v>
      </c>
      <c r="L275" s="2">
        <v>4</v>
      </c>
      <c r="M275" s="2">
        <v>1</v>
      </c>
      <c r="N275" s="2">
        <v>18</v>
      </c>
    </row>
    <row r="276" spans="1:14" ht="45" x14ac:dyDescent="0.25">
      <c r="A276" s="4">
        <v>274</v>
      </c>
      <c r="B276" s="8" t="s">
        <v>962</v>
      </c>
      <c r="C276" s="4" t="s">
        <v>914</v>
      </c>
      <c r="D276" s="5">
        <v>44211.541666666664</v>
      </c>
      <c r="E276" s="4" t="s">
        <v>963</v>
      </c>
      <c r="F276" s="4" t="s">
        <v>29</v>
      </c>
      <c r="G276" s="8" t="s">
        <v>964</v>
      </c>
      <c r="H276" s="4">
        <v>23</v>
      </c>
      <c r="I276" s="4">
        <v>46</v>
      </c>
      <c r="J276" s="4" t="s">
        <v>121</v>
      </c>
      <c r="K276" s="4">
        <v>2021</v>
      </c>
      <c r="L276" s="4">
        <v>1</v>
      </c>
      <c r="M276" s="4">
        <v>15</v>
      </c>
      <c r="N276" s="4">
        <v>13</v>
      </c>
    </row>
    <row r="277" spans="1:14" ht="45" x14ac:dyDescent="0.25">
      <c r="A277" s="2">
        <v>275</v>
      </c>
      <c r="B277" s="7" t="s">
        <v>965</v>
      </c>
      <c r="C277" s="2" t="s">
        <v>879</v>
      </c>
      <c r="D277" s="3">
        <v>45052.305555555555</v>
      </c>
      <c r="E277" s="2" t="s">
        <v>966</v>
      </c>
      <c r="F277" s="2" t="s">
        <v>872</v>
      </c>
      <c r="G277" s="7" t="s">
        <v>967</v>
      </c>
      <c r="H277" s="2">
        <v>15</v>
      </c>
      <c r="I277" s="2">
        <v>30</v>
      </c>
      <c r="J277" s="2" t="s">
        <v>162</v>
      </c>
      <c r="K277" s="2">
        <v>2023</v>
      </c>
      <c r="L277" s="2">
        <v>5</v>
      </c>
      <c r="M277" s="2">
        <v>6</v>
      </c>
      <c r="N277" s="2">
        <v>7</v>
      </c>
    </row>
    <row r="278" spans="1:14" ht="45" x14ac:dyDescent="0.25">
      <c r="A278" s="4">
        <v>276</v>
      </c>
      <c r="B278" s="8" t="s">
        <v>968</v>
      </c>
      <c r="C278" s="4" t="s">
        <v>899</v>
      </c>
      <c r="D278" s="5">
        <v>43787.635416666664</v>
      </c>
      <c r="E278" s="4" t="s">
        <v>969</v>
      </c>
      <c r="F278" s="4" t="s">
        <v>24</v>
      </c>
      <c r="G278" s="8" t="s">
        <v>970</v>
      </c>
      <c r="H278" s="4">
        <v>25</v>
      </c>
      <c r="I278" s="4">
        <v>50</v>
      </c>
      <c r="J278" s="4" t="s">
        <v>96</v>
      </c>
      <c r="K278" s="4">
        <v>2019</v>
      </c>
      <c r="L278" s="4">
        <v>11</v>
      </c>
      <c r="M278" s="4">
        <v>18</v>
      </c>
      <c r="N278" s="4">
        <v>15</v>
      </c>
    </row>
    <row r="279" spans="1:14" ht="45" x14ac:dyDescent="0.25">
      <c r="A279" s="2">
        <v>277</v>
      </c>
      <c r="B279" s="7" t="s">
        <v>971</v>
      </c>
      <c r="C279" s="2" t="s">
        <v>907</v>
      </c>
      <c r="D279" s="3">
        <v>44072.864583333336</v>
      </c>
      <c r="E279" s="2" t="s">
        <v>972</v>
      </c>
      <c r="F279" s="2" t="s">
        <v>29</v>
      </c>
      <c r="G279" s="7" t="s">
        <v>973</v>
      </c>
      <c r="H279" s="2">
        <v>14</v>
      </c>
      <c r="I279" s="2">
        <v>28</v>
      </c>
      <c r="J279" s="2" t="s">
        <v>107</v>
      </c>
      <c r="K279" s="2">
        <v>2020</v>
      </c>
      <c r="L279" s="2">
        <v>8</v>
      </c>
      <c r="M279" s="2">
        <v>29</v>
      </c>
      <c r="N279" s="2">
        <v>20</v>
      </c>
    </row>
    <row r="280" spans="1:14" ht="45" x14ac:dyDescent="0.25">
      <c r="A280" s="4">
        <v>278</v>
      </c>
      <c r="B280" s="8" t="s">
        <v>974</v>
      </c>
      <c r="C280" s="4" t="s">
        <v>879</v>
      </c>
      <c r="D280" s="5">
        <v>44864.486111111109</v>
      </c>
      <c r="E280" s="4" t="s">
        <v>975</v>
      </c>
      <c r="F280" s="4" t="s">
        <v>872</v>
      </c>
      <c r="G280" s="8" t="s">
        <v>976</v>
      </c>
      <c r="H280" s="4">
        <v>17</v>
      </c>
      <c r="I280" s="4">
        <v>34</v>
      </c>
      <c r="J280" s="4" t="s">
        <v>36</v>
      </c>
      <c r="K280" s="4">
        <v>2022</v>
      </c>
      <c r="L280" s="4">
        <v>10</v>
      </c>
      <c r="M280" s="4">
        <v>30</v>
      </c>
      <c r="N280" s="4">
        <v>11</v>
      </c>
    </row>
    <row r="281" spans="1:14" ht="45" x14ac:dyDescent="0.25">
      <c r="A281" s="2">
        <v>279</v>
      </c>
      <c r="B281" s="7" t="s">
        <v>935</v>
      </c>
      <c r="C281" s="2" t="s">
        <v>895</v>
      </c>
      <c r="D281" s="3">
        <v>44378.506944444445</v>
      </c>
      <c r="E281" s="2" t="s">
        <v>936</v>
      </c>
      <c r="F281" s="2" t="s">
        <v>24</v>
      </c>
      <c r="G281" s="7" t="s">
        <v>937</v>
      </c>
      <c r="H281" s="2">
        <v>21</v>
      </c>
      <c r="I281" s="2">
        <v>42</v>
      </c>
      <c r="J281" s="2" t="s">
        <v>121</v>
      </c>
      <c r="K281" s="2">
        <v>2021</v>
      </c>
      <c r="L281" s="2">
        <v>7</v>
      </c>
      <c r="M281" s="2">
        <v>1</v>
      </c>
      <c r="N281" s="2">
        <v>12</v>
      </c>
    </row>
    <row r="282" spans="1:14" ht="45" x14ac:dyDescent="0.25">
      <c r="A282" s="4">
        <v>280</v>
      </c>
      <c r="B282" s="8" t="s">
        <v>938</v>
      </c>
      <c r="C282" s="4" t="s">
        <v>883</v>
      </c>
      <c r="D282" s="5">
        <v>43835.364583333336</v>
      </c>
      <c r="E282" s="4" t="s">
        <v>939</v>
      </c>
      <c r="F282" s="4" t="s">
        <v>872</v>
      </c>
      <c r="G282" s="8" t="s">
        <v>940</v>
      </c>
      <c r="H282" s="4">
        <v>23</v>
      </c>
      <c r="I282" s="4">
        <v>46</v>
      </c>
      <c r="J282" s="4" t="s">
        <v>96</v>
      </c>
      <c r="K282" s="4">
        <v>2020</v>
      </c>
      <c r="L282" s="4">
        <v>1</v>
      </c>
      <c r="M282" s="4">
        <v>5</v>
      </c>
      <c r="N282" s="4">
        <v>8</v>
      </c>
    </row>
    <row r="283" spans="1:14" ht="45" x14ac:dyDescent="0.25">
      <c r="A283" s="2">
        <v>281</v>
      </c>
      <c r="B283" s="7" t="s">
        <v>941</v>
      </c>
      <c r="C283" s="2" t="s">
        <v>879</v>
      </c>
      <c r="D283" s="3">
        <v>44759.260416666664</v>
      </c>
      <c r="E283" s="2" t="s">
        <v>942</v>
      </c>
      <c r="F283" s="2" t="s">
        <v>24</v>
      </c>
      <c r="G283" s="7" t="s">
        <v>943</v>
      </c>
      <c r="H283" s="2">
        <v>14</v>
      </c>
      <c r="I283" s="2">
        <v>28</v>
      </c>
      <c r="J283" s="2" t="s">
        <v>107</v>
      </c>
      <c r="K283" s="2">
        <v>2022</v>
      </c>
      <c r="L283" s="2">
        <v>7</v>
      </c>
      <c r="M283" s="2">
        <v>17</v>
      </c>
      <c r="N283" s="2">
        <v>6</v>
      </c>
    </row>
    <row r="284" spans="1:14" ht="45" x14ac:dyDescent="0.25">
      <c r="A284" s="4">
        <v>282</v>
      </c>
      <c r="B284" s="8" t="s">
        <v>944</v>
      </c>
      <c r="C284" s="4" t="s">
        <v>899</v>
      </c>
      <c r="D284" s="5">
        <v>43334.722222222219</v>
      </c>
      <c r="E284" s="4" t="s">
        <v>945</v>
      </c>
      <c r="F284" s="4" t="s">
        <v>29</v>
      </c>
      <c r="G284" s="8" t="s">
        <v>946</v>
      </c>
      <c r="H284" s="4">
        <v>24</v>
      </c>
      <c r="I284" s="4">
        <v>48</v>
      </c>
      <c r="J284" s="4" t="s">
        <v>36</v>
      </c>
      <c r="K284" s="4">
        <v>2018</v>
      </c>
      <c r="L284" s="4">
        <v>8</v>
      </c>
      <c r="M284" s="4">
        <v>22</v>
      </c>
      <c r="N284" s="4">
        <v>17</v>
      </c>
    </row>
    <row r="285" spans="1:14" ht="45" x14ac:dyDescent="0.25">
      <c r="A285" s="2">
        <v>283</v>
      </c>
      <c r="B285" s="7" t="s">
        <v>947</v>
      </c>
      <c r="C285" s="2" t="s">
        <v>907</v>
      </c>
      <c r="D285" s="3">
        <v>44538.604166666664</v>
      </c>
      <c r="E285" s="2" t="s">
        <v>948</v>
      </c>
      <c r="F285" s="2" t="s">
        <v>872</v>
      </c>
      <c r="G285" s="7" t="s">
        <v>949</v>
      </c>
      <c r="H285" s="2">
        <v>18</v>
      </c>
      <c r="I285" s="2">
        <v>36</v>
      </c>
      <c r="J285" s="2" t="s">
        <v>162</v>
      </c>
      <c r="K285" s="2">
        <v>2021</v>
      </c>
      <c r="L285" s="2">
        <v>12</v>
      </c>
      <c r="M285" s="2">
        <v>8</v>
      </c>
      <c r="N285" s="2">
        <v>14</v>
      </c>
    </row>
    <row r="286" spans="1:14" ht="45" x14ac:dyDescent="0.25">
      <c r="A286" s="4">
        <v>284</v>
      </c>
      <c r="B286" s="8" t="s">
        <v>950</v>
      </c>
      <c r="C286" s="4" t="s">
        <v>875</v>
      </c>
      <c r="D286" s="5">
        <v>43582.409722222219</v>
      </c>
      <c r="E286" s="4" t="s">
        <v>951</v>
      </c>
      <c r="F286" s="4" t="s">
        <v>24</v>
      </c>
      <c r="G286" s="8" t="s">
        <v>952</v>
      </c>
      <c r="H286" s="4">
        <v>20</v>
      </c>
      <c r="I286" s="4">
        <v>40</v>
      </c>
      <c r="J286" s="4" t="s">
        <v>121</v>
      </c>
      <c r="K286" s="4">
        <v>2019</v>
      </c>
      <c r="L286" s="4">
        <v>4</v>
      </c>
      <c r="M286" s="4">
        <v>27</v>
      </c>
      <c r="N286" s="4">
        <v>9</v>
      </c>
    </row>
    <row r="287" spans="1:14" ht="45" x14ac:dyDescent="0.25">
      <c r="A287" s="2">
        <v>285</v>
      </c>
      <c r="B287" s="7" t="s">
        <v>953</v>
      </c>
      <c r="C287" s="2" t="s">
        <v>891</v>
      </c>
      <c r="D287" s="3">
        <v>45172.902777777781</v>
      </c>
      <c r="E287" s="2" t="s">
        <v>954</v>
      </c>
      <c r="F287" s="2" t="s">
        <v>29</v>
      </c>
      <c r="G287" s="7" t="s">
        <v>955</v>
      </c>
      <c r="H287" s="2">
        <v>16</v>
      </c>
      <c r="I287" s="2">
        <v>32</v>
      </c>
      <c r="J287" s="2" t="s">
        <v>96</v>
      </c>
      <c r="K287" s="2">
        <v>2023</v>
      </c>
      <c r="L287" s="2">
        <v>9</v>
      </c>
      <c r="M287" s="2">
        <v>3</v>
      </c>
      <c r="N287" s="2">
        <v>21</v>
      </c>
    </row>
    <row r="288" spans="1:14" ht="45" x14ac:dyDescent="0.25">
      <c r="A288" s="4">
        <v>286</v>
      </c>
      <c r="B288" s="8" t="s">
        <v>956</v>
      </c>
      <c r="C288" s="4" t="s">
        <v>903</v>
      </c>
      <c r="D288" s="5">
        <v>43992.420138888891</v>
      </c>
      <c r="E288" s="4" t="s">
        <v>957</v>
      </c>
      <c r="F288" s="4" t="s">
        <v>872</v>
      </c>
      <c r="G288" s="8" t="s">
        <v>958</v>
      </c>
      <c r="H288" s="4">
        <v>22</v>
      </c>
      <c r="I288" s="4">
        <v>44</v>
      </c>
      <c r="J288" s="4" t="s">
        <v>107</v>
      </c>
      <c r="K288" s="4">
        <v>2020</v>
      </c>
      <c r="L288" s="4">
        <v>6</v>
      </c>
      <c r="M288" s="4">
        <v>10</v>
      </c>
      <c r="N288" s="4">
        <v>10</v>
      </c>
    </row>
    <row r="289" spans="1:14" ht="45" x14ac:dyDescent="0.25">
      <c r="A289" s="2">
        <v>287</v>
      </c>
      <c r="B289" s="7" t="s">
        <v>959</v>
      </c>
      <c r="C289" s="2" t="s">
        <v>887</v>
      </c>
      <c r="D289" s="3">
        <v>44652.770833333336</v>
      </c>
      <c r="E289" s="2" t="s">
        <v>960</v>
      </c>
      <c r="F289" s="2" t="s">
        <v>24</v>
      </c>
      <c r="G289" s="7" t="s">
        <v>961</v>
      </c>
      <c r="H289" s="2">
        <v>19</v>
      </c>
      <c r="I289" s="2">
        <v>38</v>
      </c>
      <c r="J289" s="2" t="s">
        <v>36</v>
      </c>
      <c r="K289" s="2">
        <v>2022</v>
      </c>
      <c r="L289" s="2">
        <v>4</v>
      </c>
      <c r="M289" s="2">
        <v>1</v>
      </c>
      <c r="N289" s="2">
        <v>18</v>
      </c>
    </row>
    <row r="290" spans="1:14" ht="45" x14ac:dyDescent="0.25">
      <c r="A290" s="4">
        <v>288</v>
      </c>
      <c r="B290" s="8" t="s">
        <v>962</v>
      </c>
      <c r="C290" s="4" t="s">
        <v>914</v>
      </c>
      <c r="D290" s="5">
        <v>44211.541666666664</v>
      </c>
      <c r="E290" s="4" t="s">
        <v>963</v>
      </c>
      <c r="F290" s="4" t="s">
        <v>29</v>
      </c>
      <c r="G290" s="8" t="s">
        <v>964</v>
      </c>
      <c r="H290" s="4">
        <v>23</v>
      </c>
      <c r="I290" s="4">
        <v>46</v>
      </c>
      <c r="J290" s="4" t="s">
        <v>121</v>
      </c>
      <c r="K290" s="4">
        <v>2021</v>
      </c>
      <c r="L290" s="4">
        <v>1</v>
      </c>
      <c r="M290" s="4">
        <v>15</v>
      </c>
      <c r="N290" s="4">
        <v>13</v>
      </c>
    </row>
    <row r="291" spans="1:14" ht="45" x14ac:dyDescent="0.25">
      <c r="A291" s="2">
        <v>289</v>
      </c>
      <c r="B291" s="7" t="s">
        <v>965</v>
      </c>
      <c r="C291" s="2" t="s">
        <v>879</v>
      </c>
      <c r="D291" s="3">
        <v>45052.305555555555</v>
      </c>
      <c r="E291" s="2" t="s">
        <v>966</v>
      </c>
      <c r="F291" s="2" t="s">
        <v>872</v>
      </c>
      <c r="G291" s="7" t="s">
        <v>967</v>
      </c>
      <c r="H291" s="2">
        <v>15</v>
      </c>
      <c r="I291" s="2">
        <v>30</v>
      </c>
      <c r="J291" s="2" t="s">
        <v>162</v>
      </c>
      <c r="K291" s="2">
        <v>2023</v>
      </c>
      <c r="L291" s="2">
        <v>5</v>
      </c>
      <c r="M291" s="2">
        <v>6</v>
      </c>
      <c r="N291" s="2">
        <v>7</v>
      </c>
    </row>
    <row r="292" spans="1:14" ht="45" x14ac:dyDescent="0.25">
      <c r="A292" s="4">
        <v>290</v>
      </c>
      <c r="B292" s="8" t="s">
        <v>968</v>
      </c>
      <c r="C292" s="4" t="s">
        <v>899</v>
      </c>
      <c r="D292" s="5">
        <v>43787.635416666664</v>
      </c>
      <c r="E292" s="4" t="s">
        <v>969</v>
      </c>
      <c r="F292" s="4" t="s">
        <v>24</v>
      </c>
      <c r="G292" s="8" t="s">
        <v>970</v>
      </c>
      <c r="H292" s="4">
        <v>25</v>
      </c>
      <c r="I292" s="4">
        <v>50</v>
      </c>
      <c r="J292" s="4" t="s">
        <v>96</v>
      </c>
      <c r="K292" s="4">
        <v>2019</v>
      </c>
      <c r="L292" s="4">
        <v>11</v>
      </c>
      <c r="M292" s="4">
        <v>18</v>
      </c>
      <c r="N292" s="4">
        <v>15</v>
      </c>
    </row>
    <row r="293" spans="1:14" ht="45" x14ac:dyDescent="0.25">
      <c r="A293" s="2">
        <v>291</v>
      </c>
      <c r="B293" s="7" t="s">
        <v>971</v>
      </c>
      <c r="C293" s="2" t="s">
        <v>907</v>
      </c>
      <c r="D293" s="3">
        <v>44072.864583333336</v>
      </c>
      <c r="E293" s="2" t="s">
        <v>972</v>
      </c>
      <c r="F293" s="2" t="s">
        <v>29</v>
      </c>
      <c r="G293" s="7" t="s">
        <v>973</v>
      </c>
      <c r="H293" s="2">
        <v>14</v>
      </c>
      <c r="I293" s="2">
        <v>28</v>
      </c>
      <c r="J293" s="2" t="s">
        <v>107</v>
      </c>
      <c r="K293" s="2">
        <v>2020</v>
      </c>
      <c r="L293" s="2">
        <v>8</v>
      </c>
      <c r="M293" s="2">
        <v>29</v>
      </c>
      <c r="N293" s="2">
        <v>20</v>
      </c>
    </row>
    <row r="294" spans="1:14" ht="45" x14ac:dyDescent="0.25">
      <c r="A294" s="4">
        <v>292</v>
      </c>
      <c r="B294" s="8" t="s">
        <v>974</v>
      </c>
      <c r="C294" s="4" t="s">
        <v>879</v>
      </c>
      <c r="D294" s="5">
        <v>44864.486111111109</v>
      </c>
      <c r="E294" s="4" t="s">
        <v>975</v>
      </c>
      <c r="F294" s="4" t="s">
        <v>872</v>
      </c>
      <c r="G294" s="8" t="s">
        <v>976</v>
      </c>
      <c r="H294" s="4">
        <v>17</v>
      </c>
      <c r="I294" s="4">
        <v>34</v>
      </c>
      <c r="J294" s="4" t="s">
        <v>36</v>
      </c>
      <c r="K294" s="4">
        <v>2022</v>
      </c>
      <c r="L294" s="4">
        <v>10</v>
      </c>
      <c r="M294" s="4">
        <v>30</v>
      </c>
      <c r="N294" s="4">
        <v>11</v>
      </c>
    </row>
    <row r="295" spans="1:14" ht="45" x14ac:dyDescent="0.25">
      <c r="A295" s="2">
        <v>293</v>
      </c>
      <c r="B295" s="7" t="s">
        <v>935</v>
      </c>
      <c r="C295" s="2" t="s">
        <v>895</v>
      </c>
      <c r="D295" s="3">
        <v>44378.506944444445</v>
      </c>
      <c r="E295" s="2" t="s">
        <v>936</v>
      </c>
      <c r="F295" s="2" t="s">
        <v>24</v>
      </c>
      <c r="G295" s="7" t="s">
        <v>937</v>
      </c>
      <c r="H295" s="2">
        <v>21</v>
      </c>
      <c r="I295" s="2">
        <v>42</v>
      </c>
      <c r="J295" s="2" t="s">
        <v>121</v>
      </c>
      <c r="K295" s="2">
        <v>2021</v>
      </c>
      <c r="L295" s="2">
        <v>7</v>
      </c>
      <c r="M295" s="2">
        <v>1</v>
      </c>
      <c r="N295" s="2">
        <v>12</v>
      </c>
    </row>
    <row r="296" spans="1:14" ht="45" x14ac:dyDescent="0.25">
      <c r="A296" s="4">
        <v>294</v>
      </c>
      <c r="B296" s="8" t="s">
        <v>938</v>
      </c>
      <c r="C296" s="4" t="s">
        <v>883</v>
      </c>
      <c r="D296" s="5">
        <v>43835.364583333336</v>
      </c>
      <c r="E296" s="4" t="s">
        <v>939</v>
      </c>
      <c r="F296" s="4" t="s">
        <v>872</v>
      </c>
      <c r="G296" s="8" t="s">
        <v>940</v>
      </c>
      <c r="H296" s="4">
        <v>23</v>
      </c>
      <c r="I296" s="4">
        <v>46</v>
      </c>
      <c r="J296" s="4" t="s">
        <v>96</v>
      </c>
      <c r="K296" s="4">
        <v>2020</v>
      </c>
      <c r="L296" s="4">
        <v>1</v>
      </c>
      <c r="M296" s="4">
        <v>5</v>
      </c>
      <c r="N296" s="4">
        <v>8</v>
      </c>
    </row>
    <row r="297" spans="1:14" ht="45" x14ac:dyDescent="0.25">
      <c r="A297" s="2">
        <v>295</v>
      </c>
      <c r="B297" s="7" t="s">
        <v>941</v>
      </c>
      <c r="C297" s="2" t="s">
        <v>879</v>
      </c>
      <c r="D297" s="3">
        <v>44759.260416666664</v>
      </c>
      <c r="E297" s="2" t="s">
        <v>942</v>
      </c>
      <c r="F297" s="2" t="s">
        <v>24</v>
      </c>
      <c r="G297" s="7" t="s">
        <v>943</v>
      </c>
      <c r="H297" s="2">
        <v>14</v>
      </c>
      <c r="I297" s="2">
        <v>28</v>
      </c>
      <c r="J297" s="2" t="s">
        <v>162</v>
      </c>
      <c r="K297" s="2">
        <v>2022</v>
      </c>
      <c r="L297" s="2">
        <v>7</v>
      </c>
      <c r="M297" s="2">
        <v>17</v>
      </c>
      <c r="N297" s="2">
        <v>6</v>
      </c>
    </row>
    <row r="298" spans="1:14" ht="45" x14ac:dyDescent="0.25">
      <c r="A298" s="4">
        <v>296</v>
      </c>
      <c r="B298" s="8" t="s">
        <v>944</v>
      </c>
      <c r="C298" s="4" t="s">
        <v>899</v>
      </c>
      <c r="D298" s="5">
        <v>43334.722222222219</v>
      </c>
      <c r="E298" s="4" t="s">
        <v>945</v>
      </c>
      <c r="F298" s="4" t="s">
        <v>29</v>
      </c>
      <c r="G298" s="8" t="s">
        <v>946</v>
      </c>
      <c r="H298" s="4">
        <v>24</v>
      </c>
      <c r="I298" s="4">
        <v>48</v>
      </c>
      <c r="J298" s="4" t="s">
        <v>36</v>
      </c>
      <c r="K298" s="4">
        <v>2018</v>
      </c>
      <c r="L298" s="4">
        <v>8</v>
      </c>
      <c r="M298" s="4">
        <v>22</v>
      </c>
      <c r="N298" s="4">
        <v>17</v>
      </c>
    </row>
    <row r="299" spans="1:14" ht="45" x14ac:dyDescent="0.25">
      <c r="A299" s="2">
        <v>297</v>
      </c>
      <c r="B299" s="7" t="s">
        <v>977</v>
      </c>
      <c r="C299" s="2" t="s">
        <v>978</v>
      </c>
      <c r="D299" s="3">
        <v>44454.666666666664</v>
      </c>
      <c r="E299" s="2" t="s">
        <v>979</v>
      </c>
      <c r="F299" s="2" t="s">
        <v>24</v>
      </c>
      <c r="G299" s="7" t="s">
        <v>980</v>
      </c>
      <c r="H299" s="2">
        <v>8</v>
      </c>
      <c r="I299" s="2">
        <v>16</v>
      </c>
      <c r="J299" s="2" t="s">
        <v>121</v>
      </c>
      <c r="K299" s="2">
        <v>2021</v>
      </c>
      <c r="L299" s="2">
        <v>9</v>
      </c>
      <c r="M299" s="2">
        <v>15</v>
      </c>
      <c r="N299" s="2">
        <v>16</v>
      </c>
    </row>
    <row r="300" spans="1:14" ht="45" x14ac:dyDescent="0.25">
      <c r="A300" s="4">
        <v>298</v>
      </c>
      <c r="B300" s="8" t="s">
        <v>981</v>
      </c>
      <c r="C300" s="4" t="s">
        <v>982</v>
      </c>
      <c r="D300" s="5">
        <v>43532.597222222219</v>
      </c>
      <c r="E300" s="4" t="s">
        <v>983</v>
      </c>
      <c r="F300" s="4" t="s">
        <v>29</v>
      </c>
      <c r="G300" s="8" t="s">
        <v>984</v>
      </c>
      <c r="H300" s="4">
        <v>12</v>
      </c>
      <c r="I300" s="4">
        <v>24</v>
      </c>
      <c r="J300" s="4" t="s">
        <v>107</v>
      </c>
      <c r="K300" s="4">
        <v>2019</v>
      </c>
      <c r="L300" s="4">
        <v>3</v>
      </c>
      <c r="M300" s="4">
        <v>8</v>
      </c>
      <c r="N300" s="4">
        <v>14</v>
      </c>
    </row>
    <row r="301" spans="1:14" ht="45" x14ac:dyDescent="0.25">
      <c r="A301" s="2">
        <v>299</v>
      </c>
      <c r="B301" s="7" t="s">
        <v>985</v>
      </c>
      <c r="C301" s="2" t="s">
        <v>647</v>
      </c>
      <c r="D301" s="3">
        <v>42936.489583333336</v>
      </c>
      <c r="E301" s="2" t="s">
        <v>986</v>
      </c>
      <c r="F301" s="2" t="s">
        <v>872</v>
      </c>
      <c r="G301" s="7" t="s">
        <v>987</v>
      </c>
      <c r="H301" s="2">
        <v>15</v>
      </c>
      <c r="I301" s="2">
        <v>30</v>
      </c>
      <c r="J301" s="2" t="s">
        <v>96</v>
      </c>
      <c r="K301" s="2">
        <v>2017</v>
      </c>
      <c r="L301" s="2">
        <v>7</v>
      </c>
      <c r="M301" s="2">
        <v>20</v>
      </c>
      <c r="N301" s="2">
        <v>11</v>
      </c>
    </row>
    <row r="302" spans="1:14" ht="45" x14ac:dyDescent="0.25">
      <c r="A302" s="4">
        <v>300</v>
      </c>
      <c r="B302" s="8" t="s">
        <v>988</v>
      </c>
      <c r="C302" s="4" t="s">
        <v>989</v>
      </c>
      <c r="D302" s="5">
        <v>44137.8125</v>
      </c>
      <c r="E302" s="4" t="s">
        <v>990</v>
      </c>
      <c r="F302" s="4" t="s">
        <v>24</v>
      </c>
      <c r="G302" s="8" t="s">
        <v>991</v>
      </c>
      <c r="H302" s="4">
        <v>10</v>
      </c>
      <c r="I302" s="4">
        <v>20</v>
      </c>
      <c r="J302" s="4" t="s">
        <v>36</v>
      </c>
      <c r="K302" s="4">
        <v>2020</v>
      </c>
      <c r="L302" s="4">
        <v>11</v>
      </c>
      <c r="M302" s="4">
        <v>2</v>
      </c>
      <c r="N302" s="4">
        <v>19</v>
      </c>
    </row>
    <row r="303" spans="1:14" ht="30" x14ac:dyDescent="0.25">
      <c r="A303" s="2">
        <v>301</v>
      </c>
      <c r="B303" s="7" t="s">
        <v>992</v>
      </c>
      <c r="C303" s="2" t="s">
        <v>993</v>
      </c>
      <c r="D303" s="3">
        <v>44693.083333333336</v>
      </c>
      <c r="E303" s="2" t="s">
        <v>994</v>
      </c>
      <c r="F303" s="2" t="s">
        <v>29</v>
      </c>
      <c r="G303" s="7" t="s">
        <v>995</v>
      </c>
      <c r="H303" s="2">
        <v>18</v>
      </c>
      <c r="I303" s="2">
        <v>36</v>
      </c>
      <c r="J303" s="2" t="s">
        <v>162</v>
      </c>
      <c r="K303" s="2">
        <v>2022</v>
      </c>
      <c r="L303" s="2">
        <v>5</v>
      </c>
      <c r="M303" s="2">
        <v>12</v>
      </c>
      <c r="N303" s="2">
        <v>2</v>
      </c>
    </row>
    <row r="304" spans="1:14" ht="45" x14ac:dyDescent="0.25">
      <c r="A304" s="4">
        <v>302</v>
      </c>
      <c r="B304" s="8" t="s">
        <v>996</v>
      </c>
      <c r="C304" s="4" t="s">
        <v>997</v>
      </c>
      <c r="D304" s="5">
        <v>45024.552083333336</v>
      </c>
      <c r="E304" s="4" t="s">
        <v>998</v>
      </c>
      <c r="F304" s="4" t="s">
        <v>872</v>
      </c>
      <c r="G304" s="8" t="s">
        <v>999</v>
      </c>
      <c r="H304" s="4">
        <v>14</v>
      </c>
      <c r="I304" s="4">
        <v>28</v>
      </c>
      <c r="J304" s="4" t="s">
        <v>107</v>
      </c>
      <c r="K304" s="4">
        <v>2023</v>
      </c>
      <c r="L304" s="4">
        <v>4</v>
      </c>
      <c r="M304" s="4">
        <v>8</v>
      </c>
      <c r="N304" s="4">
        <v>13</v>
      </c>
    </row>
    <row r="305" spans="1:14" ht="45" x14ac:dyDescent="0.25">
      <c r="A305" s="2">
        <v>303</v>
      </c>
      <c r="B305" s="7" t="s">
        <v>1000</v>
      </c>
      <c r="C305" s="2" t="s">
        <v>1001</v>
      </c>
      <c r="D305" s="3">
        <v>44372.743055555555</v>
      </c>
      <c r="E305" s="2" t="s">
        <v>1002</v>
      </c>
      <c r="F305" s="2" t="s">
        <v>24</v>
      </c>
      <c r="G305" s="7" t="s">
        <v>1003</v>
      </c>
      <c r="H305" s="2">
        <v>22</v>
      </c>
      <c r="I305" s="2">
        <v>44</v>
      </c>
      <c r="J305" s="2" t="s">
        <v>121</v>
      </c>
      <c r="K305" s="2">
        <v>2021</v>
      </c>
      <c r="L305" s="2">
        <v>6</v>
      </c>
      <c r="M305" s="2">
        <v>25</v>
      </c>
      <c r="N305" s="2">
        <v>17</v>
      </c>
    </row>
    <row r="306" spans="1:14" ht="45" x14ac:dyDescent="0.25">
      <c r="A306" s="4">
        <v>304</v>
      </c>
      <c r="B306" s="8" t="s">
        <v>1004</v>
      </c>
      <c r="C306" s="4" t="s">
        <v>1005</v>
      </c>
      <c r="D306" s="5">
        <v>43707.423611111109</v>
      </c>
      <c r="E306" s="4" t="s">
        <v>1006</v>
      </c>
      <c r="F306" s="4" t="s">
        <v>29</v>
      </c>
      <c r="G306" s="8" t="s">
        <v>1007</v>
      </c>
      <c r="H306" s="4">
        <v>16</v>
      </c>
      <c r="I306" s="4">
        <v>32</v>
      </c>
      <c r="J306" s="4" t="s">
        <v>96</v>
      </c>
      <c r="K306" s="4">
        <v>2019</v>
      </c>
      <c r="L306" s="4">
        <v>8</v>
      </c>
      <c r="M306" s="4">
        <v>30</v>
      </c>
      <c r="N306" s="4">
        <v>10</v>
      </c>
    </row>
    <row r="307" spans="1:14" ht="45" x14ac:dyDescent="0.25">
      <c r="A307" s="2">
        <v>305</v>
      </c>
      <c r="B307" s="7" t="s">
        <v>1008</v>
      </c>
      <c r="C307" s="2" t="s">
        <v>1009</v>
      </c>
      <c r="D307" s="3">
        <v>44776.645833333336</v>
      </c>
      <c r="E307" s="2" t="s">
        <v>1010</v>
      </c>
      <c r="F307" s="2" t="s">
        <v>872</v>
      </c>
      <c r="G307" s="7" t="s">
        <v>1011</v>
      </c>
      <c r="H307" s="2">
        <v>25</v>
      </c>
      <c r="I307" s="2">
        <v>50</v>
      </c>
      <c r="J307" s="2" t="s">
        <v>36</v>
      </c>
      <c r="K307" s="2">
        <v>2022</v>
      </c>
      <c r="L307" s="2">
        <v>8</v>
      </c>
      <c r="M307" s="2">
        <v>3</v>
      </c>
      <c r="N307" s="2">
        <v>15</v>
      </c>
    </row>
    <row r="308" spans="1:14" ht="45" x14ac:dyDescent="0.25">
      <c r="A308" s="4">
        <v>306</v>
      </c>
      <c r="B308" s="8" t="s">
        <v>1012</v>
      </c>
      <c r="C308" s="4" t="s">
        <v>1013</v>
      </c>
      <c r="D308" s="5">
        <v>44182.388888888891</v>
      </c>
      <c r="E308" s="4" t="s">
        <v>1014</v>
      </c>
      <c r="F308" s="4" t="s">
        <v>24</v>
      </c>
      <c r="G308" s="8" t="s">
        <v>1015</v>
      </c>
      <c r="H308" s="4">
        <v>12</v>
      </c>
      <c r="I308" s="4">
        <v>24</v>
      </c>
      <c r="J308" s="4" t="s">
        <v>162</v>
      </c>
      <c r="K308" s="4">
        <v>2020</v>
      </c>
      <c r="L308" s="4">
        <v>12</v>
      </c>
      <c r="M308" s="4">
        <v>17</v>
      </c>
      <c r="N308" s="4">
        <v>9</v>
      </c>
    </row>
    <row r="309" spans="1:14" ht="45" x14ac:dyDescent="0.25">
      <c r="A309" s="2">
        <v>307</v>
      </c>
      <c r="B309" s="7" t="s">
        <v>1016</v>
      </c>
      <c r="C309" s="2" t="s">
        <v>1017</v>
      </c>
      <c r="D309" s="3">
        <v>44255.947916666664</v>
      </c>
      <c r="E309" s="2" t="s">
        <v>1018</v>
      </c>
      <c r="F309" s="2" t="s">
        <v>29</v>
      </c>
      <c r="G309" s="7" t="s">
        <v>1019</v>
      </c>
      <c r="H309" s="2">
        <v>20</v>
      </c>
      <c r="I309" s="2">
        <v>40</v>
      </c>
      <c r="J309" s="2" t="s">
        <v>96</v>
      </c>
      <c r="K309" s="2">
        <v>2021</v>
      </c>
      <c r="L309" s="2">
        <v>2</v>
      </c>
      <c r="M309" s="2">
        <v>28</v>
      </c>
      <c r="N309" s="2">
        <v>22</v>
      </c>
    </row>
    <row r="310" spans="1:14" ht="45" x14ac:dyDescent="0.25">
      <c r="A310" s="4">
        <v>308</v>
      </c>
      <c r="B310" s="8" t="s">
        <v>1020</v>
      </c>
      <c r="C310" s="4" t="s">
        <v>1021</v>
      </c>
      <c r="D310" s="5">
        <v>43230.583333333336</v>
      </c>
      <c r="E310" s="4" t="s">
        <v>1022</v>
      </c>
      <c r="F310" s="4" t="s">
        <v>872</v>
      </c>
      <c r="G310" s="8" t="s">
        <v>1023</v>
      </c>
      <c r="H310" s="4">
        <v>14</v>
      </c>
      <c r="I310" s="4">
        <v>28</v>
      </c>
      <c r="J310" s="4" t="s">
        <v>107</v>
      </c>
      <c r="K310" s="4">
        <v>2018</v>
      </c>
      <c r="L310" s="4">
        <v>5</v>
      </c>
      <c r="M310" s="4">
        <v>10</v>
      </c>
      <c r="N310" s="4">
        <v>14</v>
      </c>
    </row>
    <row r="311" spans="1:14" ht="45" x14ac:dyDescent="0.25">
      <c r="A311" s="2">
        <v>309</v>
      </c>
      <c r="B311" s="7" t="s">
        <v>1024</v>
      </c>
      <c r="C311" s="2" t="s">
        <v>1013</v>
      </c>
      <c r="D311" s="3">
        <v>44568.465277777781</v>
      </c>
      <c r="E311" s="2" t="s">
        <v>1025</v>
      </c>
      <c r="F311" s="2" t="s">
        <v>24</v>
      </c>
      <c r="G311" s="7" t="s">
        <v>1026</v>
      </c>
      <c r="H311" s="2">
        <v>15</v>
      </c>
      <c r="I311" s="2">
        <v>30</v>
      </c>
      <c r="J311" s="2" t="s">
        <v>121</v>
      </c>
      <c r="K311" s="2">
        <v>2022</v>
      </c>
      <c r="L311" s="2">
        <v>1</v>
      </c>
      <c r="M311" s="2">
        <v>7</v>
      </c>
      <c r="N311" s="2">
        <v>11</v>
      </c>
    </row>
    <row r="312" spans="1:14" ht="45" x14ac:dyDescent="0.25">
      <c r="A312" s="4">
        <v>310</v>
      </c>
      <c r="B312" s="8" t="s">
        <v>1027</v>
      </c>
      <c r="C312" s="4" t="s">
        <v>647</v>
      </c>
      <c r="D312" s="5">
        <v>43727.145833333336</v>
      </c>
      <c r="E312" s="4" t="s">
        <v>1028</v>
      </c>
      <c r="F312" s="4" t="s">
        <v>29</v>
      </c>
      <c r="G312" s="8" t="s">
        <v>1029</v>
      </c>
      <c r="H312" s="4">
        <v>18</v>
      </c>
      <c r="I312" s="4">
        <v>36</v>
      </c>
      <c r="J312" s="4" t="s">
        <v>36</v>
      </c>
      <c r="K312" s="4">
        <v>2019</v>
      </c>
      <c r="L312" s="4">
        <v>9</v>
      </c>
      <c r="M312" s="4">
        <v>19</v>
      </c>
      <c r="N312" s="4">
        <v>3</v>
      </c>
    </row>
    <row r="313" spans="1:14" ht="45" x14ac:dyDescent="0.25">
      <c r="A313" s="2">
        <v>311</v>
      </c>
      <c r="B313" s="7" t="s">
        <v>1030</v>
      </c>
      <c r="C313" s="2" t="s">
        <v>993</v>
      </c>
      <c r="D313" s="3">
        <v>45121.958333333336</v>
      </c>
      <c r="E313" s="2" t="s">
        <v>1031</v>
      </c>
      <c r="F313" s="2" t="s">
        <v>872</v>
      </c>
      <c r="G313" s="7" t="s">
        <v>1032</v>
      </c>
      <c r="H313" s="2">
        <v>13</v>
      </c>
      <c r="I313" s="2">
        <v>26</v>
      </c>
      <c r="J313" s="2" t="s">
        <v>107</v>
      </c>
      <c r="K313" s="2">
        <v>2023</v>
      </c>
      <c r="L313" s="2">
        <v>7</v>
      </c>
      <c r="M313" s="2">
        <v>14</v>
      </c>
      <c r="N313" s="2">
        <v>23</v>
      </c>
    </row>
    <row r="314" spans="1:14" ht="45" x14ac:dyDescent="0.25">
      <c r="A314" s="4">
        <v>312</v>
      </c>
      <c r="B314" s="8" t="s">
        <v>1033</v>
      </c>
      <c r="C314" s="4" t="s">
        <v>982</v>
      </c>
      <c r="D314" s="5">
        <v>43926.680555555555</v>
      </c>
      <c r="E314" s="4" t="s">
        <v>1034</v>
      </c>
      <c r="F314" s="4" t="s">
        <v>24</v>
      </c>
      <c r="G314" s="8" t="s">
        <v>1035</v>
      </c>
      <c r="H314" s="4">
        <v>10</v>
      </c>
      <c r="I314" s="4">
        <v>20</v>
      </c>
      <c r="J314" s="4" t="s">
        <v>162</v>
      </c>
      <c r="K314" s="4">
        <v>2020</v>
      </c>
      <c r="L314" s="4">
        <v>4</v>
      </c>
      <c r="M314" s="4">
        <v>5</v>
      </c>
      <c r="N314" s="4">
        <v>16</v>
      </c>
    </row>
    <row r="315" spans="1:14" ht="45" x14ac:dyDescent="0.25">
      <c r="A315" s="2">
        <v>313</v>
      </c>
      <c r="B315" s="7" t="s">
        <v>1036</v>
      </c>
      <c r="C315" s="2" t="s">
        <v>1001</v>
      </c>
      <c r="D315" s="3">
        <v>44529.364583333336</v>
      </c>
      <c r="E315" s="2" t="s">
        <v>1037</v>
      </c>
      <c r="F315" s="2" t="s">
        <v>29</v>
      </c>
      <c r="G315" s="7" t="s">
        <v>1038</v>
      </c>
      <c r="H315" s="2">
        <v>20</v>
      </c>
      <c r="I315" s="2">
        <v>40</v>
      </c>
      <c r="J315" s="2" t="s">
        <v>96</v>
      </c>
      <c r="K315" s="2">
        <v>2021</v>
      </c>
      <c r="L315" s="2">
        <v>11</v>
      </c>
      <c r="M315" s="2">
        <v>29</v>
      </c>
      <c r="N315" s="2">
        <v>8</v>
      </c>
    </row>
    <row r="316" spans="1:14" ht="45" x14ac:dyDescent="0.25">
      <c r="A316" s="4">
        <v>314</v>
      </c>
      <c r="B316" s="8" t="s">
        <v>1039</v>
      </c>
      <c r="C316" s="4" t="s">
        <v>1005</v>
      </c>
      <c r="D316" s="5">
        <v>43811.708333333336</v>
      </c>
      <c r="E316" s="4" t="s">
        <v>1040</v>
      </c>
      <c r="F316" s="4" t="s">
        <v>872</v>
      </c>
      <c r="G316" s="8" t="s">
        <v>1041</v>
      </c>
      <c r="H316" s="4">
        <v>16</v>
      </c>
      <c r="I316" s="4">
        <v>32</v>
      </c>
      <c r="J316" s="4" t="s">
        <v>36</v>
      </c>
      <c r="K316" s="4">
        <v>2019</v>
      </c>
      <c r="L316" s="4">
        <v>12</v>
      </c>
      <c r="M316" s="4">
        <v>12</v>
      </c>
      <c r="N316" s="4">
        <v>17</v>
      </c>
    </row>
    <row r="317" spans="1:14" ht="45" x14ac:dyDescent="0.25">
      <c r="A317" s="2">
        <v>315</v>
      </c>
      <c r="B317" s="7" t="s">
        <v>1042</v>
      </c>
      <c r="C317" s="2" t="s">
        <v>1009</v>
      </c>
      <c r="D317" s="3">
        <v>44701.618055555555</v>
      </c>
      <c r="E317" s="2" t="s">
        <v>1043</v>
      </c>
      <c r="F317" s="2" t="s">
        <v>24</v>
      </c>
      <c r="G317" s="7" t="s">
        <v>1044</v>
      </c>
      <c r="H317" s="2">
        <v>25</v>
      </c>
      <c r="I317" s="2">
        <v>50</v>
      </c>
      <c r="J317" s="2" t="s">
        <v>121</v>
      </c>
      <c r="K317" s="2">
        <v>2022</v>
      </c>
      <c r="L317" s="2">
        <v>5</v>
      </c>
      <c r="M317" s="2">
        <v>20</v>
      </c>
      <c r="N317" s="2">
        <v>14</v>
      </c>
    </row>
    <row r="318" spans="1:14" ht="45" x14ac:dyDescent="0.25">
      <c r="A318" s="4">
        <v>316</v>
      </c>
      <c r="B318" s="8" t="s">
        <v>1045</v>
      </c>
      <c r="C318" s="4" t="s">
        <v>1013</v>
      </c>
      <c r="D318" s="5">
        <v>44077.510416666664</v>
      </c>
      <c r="E318" s="4" t="s">
        <v>1046</v>
      </c>
      <c r="F318" s="4" t="s">
        <v>29</v>
      </c>
      <c r="G318" s="8" t="s">
        <v>1047</v>
      </c>
      <c r="H318" s="4">
        <v>14</v>
      </c>
      <c r="I318" s="4">
        <v>28</v>
      </c>
      <c r="J318" s="4" t="s">
        <v>107</v>
      </c>
      <c r="K318" s="4">
        <v>2020</v>
      </c>
      <c r="L318" s="4">
        <v>9</v>
      </c>
      <c r="M318" s="4">
        <v>3</v>
      </c>
      <c r="N318" s="4">
        <v>12</v>
      </c>
    </row>
    <row r="319" spans="1:14" ht="45" x14ac:dyDescent="0.25">
      <c r="A319" s="2">
        <v>317</v>
      </c>
      <c r="B319" s="7" t="s">
        <v>1048</v>
      </c>
      <c r="C319" s="2" t="s">
        <v>1017</v>
      </c>
      <c r="D319" s="3">
        <v>44237.8125</v>
      </c>
      <c r="E319" s="2" t="s">
        <v>1049</v>
      </c>
      <c r="F319" s="2" t="s">
        <v>872</v>
      </c>
      <c r="G319" s="7" t="s">
        <v>1050</v>
      </c>
      <c r="H319" s="2">
        <v>20</v>
      </c>
      <c r="I319" s="2">
        <v>40</v>
      </c>
      <c r="J319" s="2" t="s">
        <v>96</v>
      </c>
      <c r="K319" s="2">
        <v>2021</v>
      </c>
      <c r="L319" s="2">
        <v>2</v>
      </c>
      <c r="M319" s="2">
        <v>10</v>
      </c>
      <c r="N319" s="2">
        <v>19</v>
      </c>
    </row>
    <row r="320" spans="1:14" ht="45" x14ac:dyDescent="0.25">
      <c r="A320" s="4">
        <v>318</v>
      </c>
      <c r="B320" s="8" t="s">
        <v>1051</v>
      </c>
      <c r="C320" s="4" t="s">
        <v>1021</v>
      </c>
      <c r="D320" s="5">
        <v>43330.611111111109</v>
      </c>
      <c r="E320" s="4" t="s">
        <v>1052</v>
      </c>
      <c r="F320" s="4" t="s">
        <v>24</v>
      </c>
      <c r="G320" s="8" t="s">
        <v>1053</v>
      </c>
      <c r="H320" s="4">
        <v>12</v>
      </c>
      <c r="I320" s="4">
        <v>24</v>
      </c>
      <c r="J320" s="4" t="s">
        <v>36</v>
      </c>
      <c r="K320" s="4">
        <v>2018</v>
      </c>
      <c r="L320" s="4">
        <v>8</v>
      </c>
      <c r="M320" s="4">
        <v>18</v>
      </c>
      <c r="N320" s="4">
        <v>14</v>
      </c>
    </row>
    <row r="321" spans="1:14" ht="45" x14ac:dyDescent="0.25">
      <c r="A321" s="2">
        <v>319</v>
      </c>
      <c r="B321" s="7" t="s">
        <v>1054</v>
      </c>
      <c r="C321" s="2" t="s">
        <v>978</v>
      </c>
      <c r="D321" s="3">
        <v>44620.875</v>
      </c>
      <c r="E321" s="2" t="s">
        <v>1055</v>
      </c>
      <c r="F321" s="2" t="s">
        <v>29</v>
      </c>
      <c r="G321" s="7" t="s">
        <v>1056</v>
      </c>
      <c r="H321" s="2">
        <v>8</v>
      </c>
      <c r="I321" s="2">
        <v>16</v>
      </c>
      <c r="J321" s="2" t="s">
        <v>121</v>
      </c>
      <c r="K321" s="2">
        <v>2022</v>
      </c>
      <c r="L321" s="2">
        <v>2</v>
      </c>
      <c r="M321" s="2">
        <v>28</v>
      </c>
      <c r="N321" s="2">
        <v>21</v>
      </c>
    </row>
    <row r="322" spans="1:14" ht="45" x14ac:dyDescent="0.25">
      <c r="A322" s="4">
        <v>320</v>
      </c>
      <c r="B322" s="8" t="s">
        <v>1057</v>
      </c>
      <c r="C322" s="4" t="s">
        <v>982</v>
      </c>
      <c r="D322" s="5">
        <v>43753.4375</v>
      </c>
      <c r="E322" s="4" t="s">
        <v>1058</v>
      </c>
      <c r="F322" s="4" t="s">
        <v>872</v>
      </c>
      <c r="G322" s="8" t="s">
        <v>1059</v>
      </c>
      <c r="H322" s="4">
        <v>15</v>
      </c>
      <c r="I322" s="4">
        <v>30</v>
      </c>
      <c r="J322" s="4" t="s">
        <v>107</v>
      </c>
      <c r="K322" s="4">
        <v>2019</v>
      </c>
      <c r="L322" s="4">
        <v>10</v>
      </c>
      <c r="M322" s="4">
        <v>15</v>
      </c>
      <c r="N322" s="4">
        <v>10</v>
      </c>
    </row>
    <row r="323" spans="1:14" ht="45" x14ac:dyDescent="0.25">
      <c r="A323" s="2">
        <v>321</v>
      </c>
      <c r="B323" s="7" t="s">
        <v>1060</v>
      </c>
      <c r="C323" s="2" t="s">
        <v>647</v>
      </c>
      <c r="D323" s="3">
        <v>43070.784722222219</v>
      </c>
      <c r="E323" s="2" t="s">
        <v>1061</v>
      </c>
      <c r="F323" s="2" t="s">
        <v>24</v>
      </c>
      <c r="G323" s="7" t="s">
        <v>1062</v>
      </c>
      <c r="H323" s="2">
        <v>18</v>
      </c>
      <c r="I323" s="2">
        <v>36</v>
      </c>
      <c r="J323" s="2" t="s">
        <v>96</v>
      </c>
      <c r="K323" s="2">
        <v>2017</v>
      </c>
      <c r="L323" s="2">
        <v>12</v>
      </c>
      <c r="M323" s="2">
        <v>1</v>
      </c>
      <c r="N323" s="2">
        <v>18</v>
      </c>
    </row>
    <row r="324" spans="1:14" ht="45" x14ac:dyDescent="0.25">
      <c r="A324" s="4">
        <v>322</v>
      </c>
      <c r="B324" s="8" t="s">
        <v>1063</v>
      </c>
      <c r="C324" s="4" t="s">
        <v>989</v>
      </c>
      <c r="D324" s="5">
        <v>43939.677083333336</v>
      </c>
      <c r="E324" s="4" t="s">
        <v>1064</v>
      </c>
      <c r="F324" s="4" t="s">
        <v>29</v>
      </c>
      <c r="G324" s="8" t="s">
        <v>1065</v>
      </c>
      <c r="H324" s="4">
        <v>10</v>
      </c>
      <c r="I324" s="4">
        <v>20</v>
      </c>
      <c r="J324" s="4" t="s">
        <v>36</v>
      </c>
      <c r="K324" s="4">
        <v>2020</v>
      </c>
      <c r="L324" s="4">
        <v>4</v>
      </c>
      <c r="M324" s="4">
        <v>18</v>
      </c>
      <c r="N324" s="4">
        <v>16</v>
      </c>
    </row>
    <row r="325" spans="1:14" ht="45" x14ac:dyDescent="0.25">
      <c r="A325" s="2">
        <v>323</v>
      </c>
      <c r="B325" s="7" t="s">
        <v>1066</v>
      </c>
      <c r="C325" s="2" t="s">
        <v>993</v>
      </c>
      <c r="D325" s="3">
        <v>44933.145833333336</v>
      </c>
      <c r="E325" s="2" t="s">
        <v>994</v>
      </c>
      <c r="F325" s="2" t="s">
        <v>872</v>
      </c>
      <c r="G325" s="7" t="s">
        <v>1067</v>
      </c>
      <c r="H325" s="2">
        <v>18</v>
      </c>
      <c r="I325" s="2">
        <v>36</v>
      </c>
      <c r="J325" s="2" t="s">
        <v>162</v>
      </c>
      <c r="K325" s="2">
        <v>2023</v>
      </c>
      <c r="L325" s="2">
        <v>1</v>
      </c>
      <c r="M325" s="2">
        <v>7</v>
      </c>
      <c r="N325" s="2">
        <v>3</v>
      </c>
    </row>
    <row r="326" spans="1:14" ht="45" x14ac:dyDescent="0.25">
      <c r="A326" s="4">
        <v>324</v>
      </c>
      <c r="B326" s="8" t="s">
        <v>1068</v>
      </c>
      <c r="C326" s="4" t="s">
        <v>997</v>
      </c>
      <c r="D326" s="5">
        <v>44357.416666666664</v>
      </c>
      <c r="E326" s="4" t="s">
        <v>966</v>
      </c>
      <c r="F326" s="4" t="s">
        <v>24</v>
      </c>
      <c r="G326" s="8" t="s">
        <v>1069</v>
      </c>
      <c r="H326" s="4">
        <v>14</v>
      </c>
      <c r="I326" s="4">
        <v>28</v>
      </c>
      <c r="J326" s="4" t="s">
        <v>121</v>
      </c>
      <c r="K326" s="4">
        <v>2021</v>
      </c>
      <c r="L326" s="4">
        <v>6</v>
      </c>
      <c r="M326" s="4">
        <v>10</v>
      </c>
      <c r="N326" s="4">
        <v>10</v>
      </c>
    </row>
    <row r="327" spans="1:14" ht="45" x14ac:dyDescent="0.25">
      <c r="A327" s="2">
        <v>325</v>
      </c>
      <c r="B327" s="7" t="s">
        <v>1070</v>
      </c>
      <c r="C327" s="2" t="s">
        <v>1001</v>
      </c>
      <c r="D327" s="3">
        <v>43883.638888888891</v>
      </c>
      <c r="E327" s="2" t="s">
        <v>1071</v>
      </c>
      <c r="F327" s="2" t="s">
        <v>29</v>
      </c>
      <c r="G327" s="7" t="s">
        <v>1072</v>
      </c>
      <c r="H327" s="2">
        <v>22</v>
      </c>
      <c r="I327" s="2">
        <v>44</v>
      </c>
      <c r="J327" s="2" t="s">
        <v>96</v>
      </c>
      <c r="K327" s="2">
        <v>2020</v>
      </c>
      <c r="L327" s="2">
        <v>2</v>
      </c>
      <c r="M327" s="2">
        <v>22</v>
      </c>
      <c r="N327" s="2">
        <v>15</v>
      </c>
    </row>
    <row r="328" spans="1:14" ht="45" x14ac:dyDescent="0.25">
      <c r="A328" s="4">
        <v>326</v>
      </c>
      <c r="B328" s="8" t="s">
        <v>1073</v>
      </c>
      <c r="C328" s="4" t="s">
        <v>1005</v>
      </c>
      <c r="D328" s="5">
        <v>43176.614583333336</v>
      </c>
      <c r="E328" s="4" t="s">
        <v>1074</v>
      </c>
      <c r="F328" s="4" t="s">
        <v>872</v>
      </c>
      <c r="G328" s="8" t="s">
        <v>1075</v>
      </c>
      <c r="H328" s="4">
        <v>16</v>
      </c>
      <c r="I328" s="4">
        <v>32</v>
      </c>
      <c r="J328" s="4" t="s">
        <v>107</v>
      </c>
      <c r="K328" s="4">
        <v>2018</v>
      </c>
      <c r="L328" s="4">
        <v>3</v>
      </c>
      <c r="M328" s="4">
        <v>17</v>
      </c>
      <c r="N328" s="4">
        <v>14</v>
      </c>
    </row>
    <row r="329" spans="1:14" ht="45" x14ac:dyDescent="0.25">
      <c r="A329" s="2">
        <v>327</v>
      </c>
      <c r="B329" s="7" t="s">
        <v>1076</v>
      </c>
      <c r="C329" s="2" t="s">
        <v>1009</v>
      </c>
      <c r="D329" s="3">
        <v>44862.46875</v>
      </c>
      <c r="E329" s="2" t="s">
        <v>1077</v>
      </c>
      <c r="F329" s="2" t="s">
        <v>24</v>
      </c>
      <c r="G329" s="7" t="s">
        <v>1078</v>
      </c>
      <c r="H329" s="2">
        <v>25</v>
      </c>
      <c r="I329" s="2">
        <v>50</v>
      </c>
      <c r="J329" s="2" t="s">
        <v>36</v>
      </c>
      <c r="K329" s="2">
        <v>2022</v>
      </c>
      <c r="L329" s="2">
        <v>10</v>
      </c>
      <c r="M329" s="2">
        <v>28</v>
      </c>
      <c r="N329" s="2">
        <v>11</v>
      </c>
    </row>
    <row r="330" spans="1:14" ht="45" x14ac:dyDescent="0.25">
      <c r="A330" s="4">
        <v>328</v>
      </c>
      <c r="B330" s="8" t="s">
        <v>1079</v>
      </c>
      <c r="C330" s="4" t="s">
        <v>1013</v>
      </c>
      <c r="D330" s="5">
        <v>44136.520833333336</v>
      </c>
      <c r="E330" s="4" t="s">
        <v>1080</v>
      </c>
      <c r="F330" s="4" t="s">
        <v>29</v>
      </c>
      <c r="G330" s="8" t="s">
        <v>1081</v>
      </c>
      <c r="H330" s="4">
        <v>14</v>
      </c>
      <c r="I330" s="4">
        <v>28</v>
      </c>
      <c r="J330" s="4" t="s">
        <v>162</v>
      </c>
      <c r="K330" s="4">
        <v>2020</v>
      </c>
      <c r="L330" s="4">
        <v>11</v>
      </c>
      <c r="M330" s="4">
        <v>1</v>
      </c>
      <c r="N330" s="4">
        <v>12</v>
      </c>
    </row>
    <row r="331" spans="1:14" ht="45" x14ac:dyDescent="0.25">
      <c r="A331" s="2">
        <v>329</v>
      </c>
      <c r="B331" s="7" t="s">
        <v>1082</v>
      </c>
      <c r="C331" s="2" t="s">
        <v>1017</v>
      </c>
      <c r="D331" s="3">
        <v>44211.923611111109</v>
      </c>
      <c r="E331" s="2" t="s">
        <v>1083</v>
      </c>
      <c r="F331" s="2" t="s">
        <v>872</v>
      </c>
      <c r="G331" s="7" t="s">
        <v>1084</v>
      </c>
      <c r="H331" s="2">
        <v>20</v>
      </c>
      <c r="I331" s="2">
        <v>40</v>
      </c>
      <c r="J331" s="2" t="s">
        <v>96</v>
      </c>
      <c r="K331" s="2">
        <v>2021</v>
      </c>
      <c r="L331" s="2">
        <v>1</v>
      </c>
      <c r="M331" s="2">
        <v>15</v>
      </c>
      <c r="N331" s="2">
        <v>22</v>
      </c>
    </row>
    <row r="332" spans="1:14" ht="45" x14ac:dyDescent="0.25">
      <c r="A332" s="4">
        <v>330</v>
      </c>
      <c r="B332" s="8" t="s">
        <v>1051</v>
      </c>
      <c r="C332" s="4" t="s">
        <v>1021</v>
      </c>
      <c r="D332" s="5">
        <v>43330.583333333336</v>
      </c>
      <c r="E332" s="4" t="s">
        <v>1022</v>
      </c>
      <c r="F332" s="4" t="s">
        <v>24</v>
      </c>
      <c r="G332" s="8" t="s">
        <v>1053</v>
      </c>
      <c r="H332" s="4">
        <v>12</v>
      </c>
      <c r="I332" s="4">
        <v>24</v>
      </c>
      <c r="J332" s="4" t="s">
        <v>36</v>
      </c>
      <c r="K332" s="4">
        <v>2018</v>
      </c>
      <c r="L332" s="4">
        <v>8</v>
      </c>
      <c r="M332" s="4">
        <v>18</v>
      </c>
      <c r="N332" s="4">
        <v>14</v>
      </c>
    </row>
    <row r="333" spans="1:14" ht="45" x14ac:dyDescent="0.25">
      <c r="A333" s="2">
        <v>331</v>
      </c>
      <c r="B333" s="7" t="s">
        <v>1024</v>
      </c>
      <c r="C333" s="2" t="s">
        <v>1013</v>
      </c>
      <c r="D333" s="3">
        <v>44568.465277777781</v>
      </c>
      <c r="E333" s="2" t="s">
        <v>1025</v>
      </c>
      <c r="F333" s="2" t="s">
        <v>872</v>
      </c>
      <c r="G333" s="7" t="s">
        <v>1026</v>
      </c>
      <c r="H333" s="2">
        <v>15</v>
      </c>
      <c r="I333" s="2">
        <v>30</v>
      </c>
      <c r="J333" s="2" t="s">
        <v>121</v>
      </c>
      <c r="K333" s="2">
        <v>2022</v>
      </c>
      <c r="L333" s="2">
        <v>1</v>
      </c>
      <c r="M333" s="2">
        <v>7</v>
      </c>
      <c r="N333" s="2">
        <v>11</v>
      </c>
    </row>
    <row r="334" spans="1:14" ht="45" x14ac:dyDescent="0.25">
      <c r="A334" s="4">
        <v>332</v>
      </c>
      <c r="B334" s="8" t="s">
        <v>1027</v>
      </c>
      <c r="C334" s="4" t="s">
        <v>647</v>
      </c>
      <c r="D334" s="5">
        <v>43727.145833333336</v>
      </c>
      <c r="E334" s="4" t="s">
        <v>1028</v>
      </c>
      <c r="F334" s="4" t="s">
        <v>29</v>
      </c>
      <c r="G334" s="8" t="s">
        <v>1029</v>
      </c>
      <c r="H334" s="4">
        <v>18</v>
      </c>
      <c r="I334" s="4">
        <v>36</v>
      </c>
      <c r="J334" s="4" t="s">
        <v>36</v>
      </c>
      <c r="K334" s="4">
        <v>2019</v>
      </c>
      <c r="L334" s="4">
        <v>9</v>
      </c>
      <c r="M334" s="4">
        <v>19</v>
      </c>
      <c r="N334" s="4">
        <v>3</v>
      </c>
    </row>
    <row r="335" spans="1:14" ht="30" x14ac:dyDescent="0.25">
      <c r="A335" s="2">
        <v>333</v>
      </c>
      <c r="B335" s="7" t="s">
        <v>1085</v>
      </c>
      <c r="C335" s="2" t="s">
        <v>1086</v>
      </c>
      <c r="D335" s="3">
        <v>44654.260416666664</v>
      </c>
      <c r="E335" s="2" t="s">
        <v>1087</v>
      </c>
      <c r="F335" s="2" t="s">
        <v>24</v>
      </c>
      <c r="G335" s="7" t="s">
        <v>1088</v>
      </c>
      <c r="H335" s="2">
        <v>28</v>
      </c>
      <c r="I335" s="2">
        <v>55</v>
      </c>
      <c r="J335" s="2" t="s">
        <v>1089</v>
      </c>
      <c r="K335" s="2">
        <v>2022</v>
      </c>
      <c r="L335" s="2">
        <v>4</v>
      </c>
      <c r="M335" s="2">
        <v>3</v>
      </c>
      <c r="N335" s="2">
        <v>6</v>
      </c>
    </row>
    <row r="336" spans="1:14" x14ac:dyDescent="0.25">
      <c r="A336" s="4">
        <v>334</v>
      </c>
      <c r="B336" s="8" t="s">
        <v>1090</v>
      </c>
      <c r="C336" s="4" t="s">
        <v>1091</v>
      </c>
      <c r="D336" s="5">
        <v>45211.4375</v>
      </c>
      <c r="E336" s="4" t="s">
        <v>1092</v>
      </c>
      <c r="F336" s="4" t="s">
        <v>14</v>
      </c>
      <c r="G336" s="8" t="s">
        <v>1093</v>
      </c>
      <c r="H336" s="4">
        <v>15</v>
      </c>
      <c r="I336" s="4">
        <v>30</v>
      </c>
      <c r="J336" s="4" t="s">
        <v>1094</v>
      </c>
      <c r="K336" s="4">
        <v>2023</v>
      </c>
      <c r="L336" s="4">
        <v>10</v>
      </c>
      <c r="M336" s="4">
        <v>12</v>
      </c>
      <c r="N336" s="4">
        <v>10</v>
      </c>
    </row>
    <row r="337" spans="1:14" ht="30" x14ac:dyDescent="0.25">
      <c r="A337" s="2">
        <v>335</v>
      </c>
      <c r="B337" s="7" t="s">
        <v>1095</v>
      </c>
      <c r="C337" s="2" t="s">
        <v>1096</v>
      </c>
      <c r="D337" s="3">
        <v>43644.791666666664</v>
      </c>
      <c r="E337" s="2" t="s">
        <v>1097</v>
      </c>
      <c r="F337" s="2" t="s">
        <v>29</v>
      </c>
      <c r="G337" s="7" t="s">
        <v>1098</v>
      </c>
      <c r="H337" s="2">
        <v>22</v>
      </c>
      <c r="I337" s="2">
        <v>45</v>
      </c>
      <c r="J337" s="2" t="s">
        <v>1099</v>
      </c>
      <c r="K337" s="2">
        <v>2019</v>
      </c>
      <c r="L337" s="2">
        <v>6</v>
      </c>
      <c r="M337" s="2">
        <v>28</v>
      </c>
      <c r="N337" s="2">
        <v>19</v>
      </c>
    </row>
    <row r="338" spans="1:14" x14ac:dyDescent="0.25">
      <c r="A338" s="4">
        <v>336</v>
      </c>
      <c r="B338" s="8" t="s">
        <v>1100</v>
      </c>
      <c r="C338" s="4" t="s">
        <v>1101</v>
      </c>
      <c r="D338" s="5">
        <v>44089.614583333336</v>
      </c>
      <c r="E338" s="4" t="s">
        <v>1102</v>
      </c>
      <c r="F338" s="4" t="s">
        <v>24</v>
      </c>
      <c r="G338" s="8" t="s">
        <v>1103</v>
      </c>
      <c r="H338" s="4">
        <v>40</v>
      </c>
      <c r="I338" s="4">
        <v>80</v>
      </c>
      <c r="J338" s="4" t="s">
        <v>1104</v>
      </c>
      <c r="K338" s="4">
        <v>2020</v>
      </c>
      <c r="L338" s="4">
        <v>9</v>
      </c>
      <c r="M338" s="4">
        <v>15</v>
      </c>
      <c r="N338" s="4">
        <v>14</v>
      </c>
    </row>
    <row r="339" spans="1:14" ht="30" x14ac:dyDescent="0.25">
      <c r="A339" s="2">
        <v>337</v>
      </c>
      <c r="B339" s="7" t="s">
        <v>1105</v>
      </c>
      <c r="C339" s="2" t="s">
        <v>1106</v>
      </c>
      <c r="D339" s="3">
        <v>43047.888888888891</v>
      </c>
      <c r="E339" s="2" t="s">
        <v>1107</v>
      </c>
      <c r="F339" s="2" t="s">
        <v>14</v>
      </c>
      <c r="G339" s="7" t="s">
        <v>1108</v>
      </c>
      <c r="H339" s="2">
        <v>18</v>
      </c>
      <c r="I339" s="2">
        <v>35</v>
      </c>
      <c r="J339" s="2" t="s">
        <v>1109</v>
      </c>
      <c r="K339" s="2">
        <v>2017</v>
      </c>
      <c r="L339" s="2">
        <v>11</v>
      </c>
      <c r="M339" s="2">
        <v>8</v>
      </c>
      <c r="N339" s="2">
        <v>21</v>
      </c>
    </row>
    <row r="340" spans="1:14" ht="30" x14ac:dyDescent="0.25">
      <c r="A340" s="4">
        <v>338</v>
      </c>
      <c r="B340" s="8" t="s">
        <v>1110</v>
      </c>
      <c r="C340" s="4" t="s">
        <v>1111</v>
      </c>
      <c r="D340" s="5">
        <v>44336.729166666664</v>
      </c>
      <c r="E340" s="4" t="s">
        <v>1112</v>
      </c>
      <c r="F340" s="4" t="s">
        <v>29</v>
      </c>
      <c r="G340" s="8" t="s">
        <v>1113</v>
      </c>
      <c r="H340" s="4">
        <v>25</v>
      </c>
      <c r="I340" s="4">
        <v>50</v>
      </c>
      <c r="J340" s="4" t="s">
        <v>1089</v>
      </c>
      <c r="K340" s="4">
        <v>2021</v>
      </c>
      <c r="L340" s="4">
        <v>5</v>
      </c>
      <c r="M340" s="4">
        <v>20</v>
      </c>
      <c r="N340" s="4">
        <v>17</v>
      </c>
    </row>
    <row r="341" spans="1:14" ht="30" x14ac:dyDescent="0.25">
      <c r="A341" s="2">
        <v>339</v>
      </c>
      <c r="B341" s="7" t="s">
        <v>1114</v>
      </c>
      <c r="C341" s="2" t="s">
        <v>386</v>
      </c>
      <c r="D341" s="3">
        <v>44936.5</v>
      </c>
      <c r="E341" s="2" t="s">
        <v>282</v>
      </c>
      <c r="F341" s="2" t="s">
        <v>24</v>
      </c>
      <c r="G341" s="7" t="s">
        <v>1115</v>
      </c>
      <c r="H341" s="2">
        <v>30</v>
      </c>
      <c r="I341" s="2">
        <v>60</v>
      </c>
      <c r="J341" s="2" t="s">
        <v>1116</v>
      </c>
      <c r="K341" s="2">
        <v>2023</v>
      </c>
      <c r="L341" s="2">
        <v>1</v>
      </c>
      <c r="M341" s="2">
        <v>10</v>
      </c>
      <c r="N341" s="2">
        <v>12</v>
      </c>
    </row>
    <row r="342" spans="1:14" ht="30" x14ac:dyDescent="0.25">
      <c r="A342" s="4">
        <v>340</v>
      </c>
      <c r="B342" s="8" t="s">
        <v>1117</v>
      </c>
      <c r="C342" s="4" t="s">
        <v>1118</v>
      </c>
      <c r="D342" s="5">
        <v>43439.364583333336</v>
      </c>
      <c r="E342" s="4" t="s">
        <v>1119</v>
      </c>
      <c r="F342" s="4" t="s">
        <v>14</v>
      </c>
      <c r="G342" s="8" t="s">
        <v>1120</v>
      </c>
      <c r="H342" s="4">
        <v>35</v>
      </c>
      <c r="I342" s="4">
        <v>70</v>
      </c>
      <c r="J342" s="4" t="s">
        <v>1121</v>
      </c>
      <c r="K342" s="4">
        <v>2018</v>
      </c>
      <c r="L342" s="4">
        <v>12</v>
      </c>
      <c r="M342" s="4">
        <v>5</v>
      </c>
      <c r="N342" s="4">
        <v>8</v>
      </c>
    </row>
    <row r="343" spans="1:14" ht="30" x14ac:dyDescent="0.25">
      <c r="A343" s="2">
        <v>341</v>
      </c>
      <c r="B343" s="7" t="s">
        <v>1122</v>
      </c>
      <c r="C343" s="2" t="s">
        <v>1123</v>
      </c>
      <c r="D343" s="3">
        <v>43905.770833333336</v>
      </c>
      <c r="E343" s="2" t="s">
        <v>1124</v>
      </c>
      <c r="F343" s="2" t="s">
        <v>24</v>
      </c>
      <c r="G343" s="7" t="s">
        <v>1125</v>
      </c>
      <c r="H343" s="2">
        <v>20</v>
      </c>
      <c r="I343" s="2">
        <v>40</v>
      </c>
      <c r="J343" s="2" t="s">
        <v>1126</v>
      </c>
      <c r="K343" s="2">
        <v>2020</v>
      </c>
      <c r="L343" s="2">
        <v>3</v>
      </c>
      <c r="M343" s="2">
        <v>15</v>
      </c>
      <c r="N343" s="2">
        <v>18</v>
      </c>
    </row>
    <row r="344" spans="1:14" ht="30" x14ac:dyDescent="0.25">
      <c r="A344" s="4">
        <v>342</v>
      </c>
      <c r="B344" s="8" t="s">
        <v>1127</v>
      </c>
      <c r="C344" s="4" t="s">
        <v>1128</v>
      </c>
      <c r="D344" s="5">
        <v>42604.631944444445</v>
      </c>
      <c r="E344" s="4" t="s">
        <v>1129</v>
      </c>
      <c r="F344" s="4" t="s">
        <v>29</v>
      </c>
      <c r="G344" s="8" t="s">
        <v>1130</v>
      </c>
      <c r="H344" s="4">
        <v>18</v>
      </c>
      <c r="I344" s="4">
        <v>35</v>
      </c>
      <c r="J344" s="4" t="s">
        <v>1131</v>
      </c>
      <c r="K344" s="4">
        <v>2016</v>
      </c>
      <c r="L344" s="4">
        <v>8</v>
      </c>
      <c r="M344" s="4">
        <v>22</v>
      </c>
      <c r="N344" s="4">
        <v>15</v>
      </c>
    </row>
    <row r="345" spans="1:14" ht="30" x14ac:dyDescent="0.25">
      <c r="A345" s="2">
        <v>343</v>
      </c>
      <c r="B345" s="7" t="s">
        <v>1132</v>
      </c>
      <c r="C345" s="2" t="s">
        <v>1133</v>
      </c>
      <c r="D345" s="3">
        <v>43697.666666666664</v>
      </c>
      <c r="E345" s="2" t="s">
        <v>1134</v>
      </c>
      <c r="F345" s="2" t="s">
        <v>24</v>
      </c>
      <c r="G345" s="7" t="s">
        <v>1135</v>
      </c>
      <c r="H345" s="2">
        <v>25</v>
      </c>
      <c r="I345" s="2">
        <v>50</v>
      </c>
      <c r="J345" s="2" t="s">
        <v>1089</v>
      </c>
      <c r="K345" s="2">
        <v>2019</v>
      </c>
      <c r="L345" s="2">
        <v>8</v>
      </c>
      <c r="M345" s="2">
        <v>20</v>
      </c>
      <c r="N345" s="2">
        <v>16</v>
      </c>
    </row>
    <row r="346" spans="1:14" ht="30" x14ac:dyDescent="0.25">
      <c r="A346" s="4">
        <v>344</v>
      </c>
      <c r="B346" s="8" t="s">
        <v>1136</v>
      </c>
      <c r="C346" s="4" t="s">
        <v>1137</v>
      </c>
      <c r="D346" s="5">
        <v>44538.8125</v>
      </c>
      <c r="E346" s="4" t="s">
        <v>1138</v>
      </c>
      <c r="F346" s="4" t="s">
        <v>14</v>
      </c>
      <c r="G346" s="8" t="s">
        <v>1139</v>
      </c>
      <c r="H346" s="4">
        <v>18</v>
      </c>
      <c r="I346" s="4">
        <v>35</v>
      </c>
      <c r="J346" s="4" t="s">
        <v>1094</v>
      </c>
      <c r="K346" s="4">
        <v>2021</v>
      </c>
      <c r="L346" s="4">
        <v>12</v>
      </c>
      <c r="M346" s="4">
        <v>8</v>
      </c>
      <c r="N346" s="4">
        <v>19</v>
      </c>
    </row>
    <row r="347" spans="1:14" ht="30" x14ac:dyDescent="0.25">
      <c r="A347" s="2">
        <v>345</v>
      </c>
      <c r="B347" s="7" t="s">
        <v>1140</v>
      </c>
      <c r="C347" s="2" t="s">
        <v>1141</v>
      </c>
      <c r="D347" s="3">
        <v>43992.864583333336</v>
      </c>
      <c r="E347" s="2" t="s">
        <v>1142</v>
      </c>
      <c r="F347" s="2" t="s">
        <v>24</v>
      </c>
      <c r="G347" s="7" t="s">
        <v>1143</v>
      </c>
      <c r="H347" s="2">
        <v>30</v>
      </c>
      <c r="I347" s="2">
        <v>60</v>
      </c>
      <c r="J347" s="2" t="s">
        <v>1099</v>
      </c>
      <c r="K347" s="2">
        <v>2020</v>
      </c>
      <c r="L347" s="2">
        <v>6</v>
      </c>
      <c r="M347" s="2">
        <v>10</v>
      </c>
      <c r="N347" s="2">
        <v>20</v>
      </c>
    </row>
    <row r="348" spans="1:14" ht="30" x14ac:dyDescent="0.25">
      <c r="A348" s="4">
        <v>346</v>
      </c>
      <c r="B348" s="8" t="s">
        <v>1144</v>
      </c>
      <c r="C348" s="4" t="s">
        <v>1145</v>
      </c>
      <c r="D348" s="5">
        <v>44620.302083333336</v>
      </c>
      <c r="E348" s="4" t="s">
        <v>1146</v>
      </c>
      <c r="F348" s="4" t="s">
        <v>29</v>
      </c>
      <c r="G348" s="8" t="s">
        <v>1147</v>
      </c>
      <c r="H348" s="4">
        <v>40</v>
      </c>
      <c r="I348" s="4">
        <v>80</v>
      </c>
      <c r="J348" s="4" t="s">
        <v>1109</v>
      </c>
      <c r="K348" s="4">
        <v>2022</v>
      </c>
      <c r="L348" s="4">
        <v>2</v>
      </c>
      <c r="M348" s="4">
        <v>28</v>
      </c>
      <c r="N348" s="4">
        <v>7</v>
      </c>
    </row>
    <row r="349" spans="1:14" ht="30" x14ac:dyDescent="0.25">
      <c r="A349" s="2">
        <v>347</v>
      </c>
      <c r="B349" s="7" t="s">
        <v>1148</v>
      </c>
      <c r="C349" s="2" t="s">
        <v>418</v>
      </c>
      <c r="D349" s="3">
        <v>42840.333333333336</v>
      </c>
      <c r="E349" s="2" t="s">
        <v>1149</v>
      </c>
      <c r="F349" s="2" t="s">
        <v>14</v>
      </c>
      <c r="G349" s="7" t="s">
        <v>1150</v>
      </c>
      <c r="H349" s="2">
        <v>22</v>
      </c>
      <c r="I349" s="2">
        <v>45</v>
      </c>
      <c r="J349" s="2" t="s">
        <v>1151</v>
      </c>
      <c r="K349" s="2">
        <v>2017</v>
      </c>
      <c r="L349" s="2">
        <v>4</v>
      </c>
      <c r="M349" s="2">
        <v>15</v>
      </c>
      <c r="N349" s="2">
        <v>8</v>
      </c>
    </row>
    <row r="350" spans="1:14" ht="30" x14ac:dyDescent="0.25">
      <c r="A350" s="4">
        <v>348</v>
      </c>
      <c r="B350" s="8" t="s">
        <v>1152</v>
      </c>
      <c r="C350" s="4" t="s">
        <v>426</v>
      </c>
      <c r="D350" s="5">
        <v>43348.597222222219</v>
      </c>
      <c r="E350" s="4" t="s">
        <v>1153</v>
      </c>
      <c r="F350" s="4" t="s">
        <v>24</v>
      </c>
      <c r="G350" s="8" t="s">
        <v>1154</v>
      </c>
      <c r="H350" s="4">
        <v>35</v>
      </c>
      <c r="I350" s="4">
        <v>70</v>
      </c>
      <c r="J350" s="4" t="s">
        <v>1089</v>
      </c>
      <c r="K350" s="4">
        <v>2018</v>
      </c>
      <c r="L350" s="4">
        <v>9</v>
      </c>
      <c r="M350" s="4">
        <v>5</v>
      </c>
      <c r="N350" s="4">
        <v>14</v>
      </c>
    </row>
    <row r="351" spans="1:14" x14ac:dyDescent="0.25">
      <c r="A351" s="2">
        <v>349</v>
      </c>
      <c r="B351" s="7" t="s">
        <v>1155</v>
      </c>
      <c r="C351" s="2" t="s">
        <v>1156</v>
      </c>
      <c r="D351" s="3">
        <v>44856.53125</v>
      </c>
      <c r="E351" s="2" t="s">
        <v>1157</v>
      </c>
      <c r="F351" s="2" t="s">
        <v>29</v>
      </c>
      <c r="G351" s="7" t="s">
        <v>1158</v>
      </c>
      <c r="H351" s="2">
        <v>15</v>
      </c>
      <c r="I351" s="2">
        <v>30</v>
      </c>
      <c r="J351" s="2" t="s">
        <v>1094</v>
      </c>
      <c r="K351" s="2">
        <v>2022</v>
      </c>
      <c r="L351" s="2">
        <v>10</v>
      </c>
      <c r="M351" s="2">
        <v>22</v>
      </c>
      <c r="N351" s="2">
        <v>12</v>
      </c>
    </row>
    <row r="352" spans="1:14" ht="30" x14ac:dyDescent="0.25">
      <c r="A352" s="4">
        <v>350</v>
      </c>
      <c r="B352" s="8" t="s">
        <v>1159</v>
      </c>
      <c r="C352" s="4" t="s">
        <v>1160</v>
      </c>
      <c r="D352" s="5">
        <v>42553.979166666664</v>
      </c>
      <c r="E352" s="4" t="s">
        <v>330</v>
      </c>
      <c r="F352" s="4" t="s">
        <v>14</v>
      </c>
      <c r="G352" s="8" t="s">
        <v>1161</v>
      </c>
      <c r="H352" s="4">
        <v>28</v>
      </c>
      <c r="I352" s="4">
        <v>55</v>
      </c>
      <c r="J352" s="4" t="s">
        <v>1099</v>
      </c>
      <c r="K352" s="4">
        <v>2016</v>
      </c>
      <c r="L352" s="4">
        <v>7</v>
      </c>
      <c r="M352" s="4">
        <v>2</v>
      </c>
      <c r="N352" s="4">
        <v>23</v>
      </c>
    </row>
    <row r="353" spans="1:14" ht="30" x14ac:dyDescent="0.25">
      <c r="A353" s="2">
        <v>351</v>
      </c>
      <c r="B353" s="7" t="s">
        <v>1162</v>
      </c>
      <c r="C353" s="2" t="s">
        <v>1163</v>
      </c>
      <c r="D353" s="3">
        <v>44153.715277777781</v>
      </c>
      <c r="E353" s="2" t="s">
        <v>1164</v>
      </c>
      <c r="F353" s="2" t="s">
        <v>24</v>
      </c>
      <c r="G353" s="7" t="s">
        <v>1165</v>
      </c>
      <c r="H353" s="2">
        <v>20</v>
      </c>
      <c r="I353" s="2">
        <v>40</v>
      </c>
      <c r="J353" s="2" t="s">
        <v>1151</v>
      </c>
      <c r="K353" s="2">
        <v>2020</v>
      </c>
      <c r="L353" s="2">
        <v>11</v>
      </c>
      <c r="M353" s="2">
        <v>18</v>
      </c>
      <c r="N353" s="2">
        <v>17</v>
      </c>
    </row>
    <row r="354" spans="1:14" ht="30" x14ac:dyDescent="0.25">
      <c r="A354" s="4">
        <v>352</v>
      </c>
      <c r="B354" s="8" t="s">
        <v>1166</v>
      </c>
      <c r="C354" s="4" t="s">
        <v>1167</v>
      </c>
      <c r="D354" s="5">
        <v>44990.625</v>
      </c>
      <c r="E354" s="4" t="s">
        <v>1168</v>
      </c>
      <c r="F354" s="4" t="s">
        <v>29</v>
      </c>
      <c r="G354" s="8" t="s">
        <v>1169</v>
      </c>
      <c r="H354" s="4">
        <v>30</v>
      </c>
      <c r="I354" s="4">
        <v>60</v>
      </c>
      <c r="J354" s="4" t="s">
        <v>1109</v>
      </c>
      <c r="K354" s="4">
        <v>2023</v>
      </c>
      <c r="L354" s="4">
        <v>3</v>
      </c>
      <c r="M354" s="4">
        <v>5</v>
      </c>
      <c r="N354" s="4">
        <v>15</v>
      </c>
    </row>
    <row r="355" spans="1:14" ht="30" x14ac:dyDescent="0.25">
      <c r="A355" s="2">
        <v>353</v>
      </c>
      <c r="B355" s="7" t="s">
        <v>1170</v>
      </c>
      <c r="C355" s="2" t="s">
        <v>1171</v>
      </c>
      <c r="D355" s="3">
        <v>42339.479166666664</v>
      </c>
      <c r="E355" s="2" t="s">
        <v>572</v>
      </c>
      <c r="F355" s="2" t="s">
        <v>14</v>
      </c>
      <c r="G355" s="7" t="s">
        <v>1172</v>
      </c>
      <c r="H355" s="2">
        <v>25</v>
      </c>
      <c r="I355" s="2">
        <v>50</v>
      </c>
      <c r="J355" s="2" t="s">
        <v>1089</v>
      </c>
      <c r="K355" s="2">
        <v>2015</v>
      </c>
      <c r="L355" s="2">
        <v>12</v>
      </c>
      <c r="M355" s="2">
        <v>1</v>
      </c>
      <c r="N355" s="2">
        <v>11</v>
      </c>
    </row>
    <row r="356" spans="1:14" ht="30" x14ac:dyDescent="0.25">
      <c r="A356" s="4">
        <v>354</v>
      </c>
      <c r="B356" s="8" t="s">
        <v>1173</v>
      </c>
      <c r="C356" s="4" t="s">
        <v>1174</v>
      </c>
      <c r="D356" s="5">
        <v>44449.40625</v>
      </c>
      <c r="E356" s="4" t="s">
        <v>1175</v>
      </c>
      <c r="F356" s="4" t="s">
        <v>24</v>
      </c>
      <c r="G356" s="8" t="s">
        <v>1176</v>
      </c>
      <c r="H356" s="4">
        <v>18</v>
      </c>
      <c r="I356" s="4">
        <v>35</v>
      </c>
      <c r="J356" s="4" t="s">
        <v>1099</v>
      </c>
      <c r="K356" s="4">
        <v>2021</v>
      </c>
      <c r="L356" s="4">
        <v>9</v>
      </c>
      <c r="M356" s="4">
        <v>10</v>
      </c>
      <c r="N356" s="4">
        <v>9</v>
      </c>
    </row>
    <row r="357" spans="1:14" ht="30" x14ac:dyDescent="0.25">
      <c r="A357" s="2">
        <v>355</v>
      </c>
      <c r="B357" s="7" t="s">
        <v>1177</v>
      </c>
      <c r="C357" s="2" t="s">
        <v>413</v>
      </c>
      <c r="D357" s="3">
        <v>43232.597222222219</v>
      </c>
      <c r="E357" s="2" t="s">
        <v>1178</v>
      </c>
      <c r="F357" s="2" t="s">
        <v>29</v>
      </c>
      <c r="G357" s="7" t="s">
        <v>1179</v>
      </c>
      <c r="H357" s="2">
        <v>22</v>
      </c>
      <c r="I357" s="2">
        <v>45</v>
      </c>
      <c r="J357" s="2" t="s">
        <v>1094</v>
      </c>
      <c r="K357" s="2">
        <v>2018</v>
      </c>
      <c r="L357" s="2">
        <v>5</v>
      </c>
      <c r="M357" s="2">
        <v>12</v>
      </c>
      <c r="N357" s="2">
        <v>14</v>
      </c>
    </row>
    <row r="358" spans="1:14" ht="30" x14ac:dyDescent="0.25">
      <c r="A358" s="4">
        <v>356</v>
      </c>
      <c r="B358" s="8" t="s">
        <v>1180</v>
      </c>
      <c r="C358" s="4" t="s">
        <v>1181</v>
      </c>
      <c r="D358" s="5">
        <v>44767.416666666664</v>
      </c>
      <c r="E358" s="4" t="s">
        <v>1182</v>
      </c>
      <c r="F358" s="4" t="s">
        <v>14</v>
      </c>
      <c r="G358" s="8" t="s">
        <v>1183</v>
      </c>
      <c r="H358" s="4">
        <v>40</v>
      </c>
      <c r="I358" s="4">
        <v>80</v>
      </c>
      <c r="J358" s="4" t="s">
        <v>1151</v>
      </c>
      <c r="K358" s="4">
        <v>2022</v>
      </c>
      <c r="L358" s="4">
        <v>7</v>
      </c>
      <c r="M358" s="4">
        <v>25</v>
      </c>
      <c r="N358" s="4">
        <v>10</v>
      </c>
    </row>
    <row r="359" spans="1:14" ht="30" x14ac:dyDescent="0.25">
      <c r="A359" s="2">
        <v>357</v>
      </c>
      <c r="B359" s="7" t="s">
        <v>1184</v>
      </c>
      <c r="C359" s="2" t="s">
        <v>1185</v>
      </c>
      <c r="D359" s="3">
        <v>43532.770833333336</v>
      </c>
      <c r="E359" s="2" t="s">
        <v>475</v>
      </c>
      <c r="F359" s="2" t="s">
        <v>24</v>
      </c>
      <c r="G359" s="7" t="s">
        <v>1186</v>
      </c>
      <c r="H359" s="2">
        <v>35</v>
      </c>
      <c r="I359" s="2">
        <v>70</v>
      </c>
      <c r="J359" s="2" t="s">
        <v>1089</v>
      </c>
      <c r="K359" s="2">
        <v>2019</v>
      </c>
      <c r="L359" s="2">
        <v>3</v>
      </c>
      <c r="M359" s="2">
        <v>8</v>
      </c>
      <c r="N359" s="2">
        <v>18</v>
      </c>
    </row>
    <row r="360" spans="1:14" ht="45" x14ac:dyDescent="0.25">
      <c r="A360" s="4">
        <v>358</v>
      </c>
      <c r="B360" s="8" t="s">
        <v>1187</v>
      </c>
      <c r="C360" s="4" t="s">
        <v>1188</v>
      </c>
      <c r="D360" s="5">
        <v>42763.885416666664</v>
      </c>
      <c r="E360" s="4" t="s">
        <v>1189</v>
      </c>
      <c r="F360" s="4" t="s">
        <v>29</v>
      </c>
      <c r="G360" s="8" t="s">
        <v>1190</v>
      </c>
      <c r="H360" s="4">
        <v>20</v>
      </c>
      <c r="I360" s="4">
        <v>40</v>
      </c>
      <c r="J360" s="4" t="s">
        <v>1109</v>
      </c>
      <c r="K360" s="4">
        <v>2017</v>
      </c>
      <c r="L360" s="4">
        <v>1</v>
      </c>
      <c r="M360" s="4">
        <v>28</v>
      </c>
      <c r="N360" s="4">
        <v>21</v>
      </c>
    </row>
    <row r="361" spans="1:14" ht="30" x14ac:dyDescent="0.25">
      <c r="A361" s="2">
        <v>359</v>
      </c>
      <c r="B361" s="7" t="s">
        <v>1191</v>
      </c>
      <c r="C361" s="2" t="s">
        <v>1192</v>
      </c>
      <c r="D361" s="3">
        <v>42688.572916666664</v>
      </c>
      <c r="E361" s="2" t="s">
        <v>1193</v>
      </c>
      <c r="F361" s="2" t="s">
        <v>14</v>
      </c>
      <c r="G361" s="7" t="s">
        <v>1194</v>
      </c>
      <c r="H361" s="2">
        <v>28</v>
      </c>
      <c r="I361" s="2">
        <v>55</v>
      </c>
      <c r="J361" s="2" t="s">
        <v>1099</v>
      </c>
      <c r="K361" s="2">
        <v>2016</v>
      </c>
      <c r="L361" s="2">
        <v>11</v>
      </c>
      <c r="M361" s="2">
        <v>14</v>
      </c>
      <c r="N361" s="2">
        <v>13</v>
      </c>
    </row>
    <row r="362" spans="1:14" ht="30" x14ac:dyDescent="0.25">
      <c r="A362" s="4">
        <v>360</v>
      </c>
      <c r="B362" s="8" t="s">
        <v>1195</v>
      </c>
      <c r="C362" s="4" t="s">
        <v>1196</v>
      </c>
      <c r="D362" s="5">
        <v>43923.729166666664</v>
      </c>
      <c r="E362" s="4" t="s">
        <v>1197</v>
      </c>
      <c r="F362" s="4" t="s">
        <v>24</v>
      </c>
      <c r="G362" s="8" t="s">
        <v>1198</v>
      </c>
      <c r="H362" s="4">
        <v>15</v>
      </c>
      <c r="I362" s="4">
        <v>30</v>
      </c>
      <c r="J362" s="4" t="s">
        <v>1089</v>
      </c>
      <c r="K362" s="4">
        <v>2020</v>
      </c>
      <c r="L362" s="4">
        <v>4</v>
      </c>
      <c r="M362" s="4">
        <v>2</v>
      </c>
      <c r="N362" s="4">
        <v>17</v>
      </c>
    </row>
    <row r="363" spans="1:14" ht="30" x14ac:dyDescent="0.25">
      <c r="A363" s="2">
        <v>361</v>
      </c>
      <c r="B363" s="7" t="s">
        <v>1199</v>
      </c>
      <c r="C363" s="2" t="s">
        <v>408</v>
      </c>
      <c r="D363" s="3">
        <v>44941.791666666664</v>
      </c>
      <c r="E363" s="2" t="s">
        <v>1200</v>
      </c>
      <c r="F363" s="2" t="s">
        <v>29</v>
      </c>
      <c r="G363" s="7" t="s">
        <v>1201</v>
      </c>
      <c r="H363" s="2">
        <v>25</v>
      </c>
      <c r="I363" s="2">
        <v>50</v>
      </c>
      <c r="J363" s="2" t="s">
        <v>1094</v>
      </c>
      <c r="K363" s="2">
        <v>2023</v>
      </c>
      <c r="L363" s="2">
        <v>1</v>
      </c>
      <c r="M363" s="2">
        <v>15</v>
      </c>
      <c r="N363" s="2">
        <v>19</v>
      </c>
    </row>
    <row r="364" spans="1:14" ht="30" x14ac:dyDescent="0.25">
      <c r="A364" s="4">
        <v>362</v>
      </c>
      <c r="B364" s="8" t="s">
        <v>1202</v>
      </c>
      <c r="C364" s="4" t="s">
        <v>442</v>
      </c>
      <c r="D364" s="5">
        <v>43319.510416666664</v>
      </c>
      <c r="E364" s="4" t="s">
        <v>1203</v>
      </c>
      <c r="F364" s="4" t="s">
        <v>14</v>
      </c>
      <c r="G364" s="8" t="s">
        <v>1204</v>
      </c>
      <c r="H364" s="4">
        <v>30</v>
      </c>
      <c r="I364" s="4">
        <v>60</v>
      </c>
      <c r="J364" s="4" t="s">
        <v>1151</v>
      </c>
      <c r="K364" s="4">
        <v>2018</v>
      </c>
      <c r="L364" s="4">
        <v>8</v>
      </c>
      <c r="M364" s="4">
        <v>7</v>
      </c>
      <c r="N364" s="4">
        <v>12</v>
      </c>
    </row>
    <row r="365" spans="1:14" ht="30" x14ac:dyDescent="0.25">
      <c r="A365" s="2">
        <v>363</v>
      </c>
      <c r="B365" s="7" t="s">
        <v>1205</v>
      </c>
      <c r="C365" s="2" t="s">
        <v>1206</v>
      </c>
      <c r="D365" s="3">
        <v>43756.697916666664</v>
      </c>
      <c r="E365" s="2" t="s">
        <v>1207</v>
      </c>
      <c r="F365" s="2" t="s">
        <v>24</v>
      </c>
      <c r="G365" s="7" t="s">
        <v>1208</v>
      </c>
      <c r="H365" s="2">
        <v>18</v>
      </c>
      <c r="I365" s="2">
        <v>35</v>
      </c>
      <c r="J365" s="2" t="s">
        <v>1099</v>
      </c>
      <c r="K365" s="2">
        <v>2019</v>
      </c>
      <c r="L365" s="2">
        <v>10</v>
      </c>
      <c r="M365" s="2">
        <v>18</v>
      </c>
      <c r="N365" s="2">
        <v>16</v>
      </c>
    </row>
    <row r="366" spans="1:14" ht="30" x14ac:dyDescent="0.25">
      <c r="A366" s="4">
        <v>364</v>
      </c>
      <c r="B366" s="8" t="s">
        <v>1209</v>
      </c>
      <c r="C366" s="4" t="s">
        <v>1210</v>
      </c>
      <c r="D366" s="5">
        <v>44742.291666666664</v>
      </c>
      <c r="E366" s="4" t="s">
        <v>490</v>
      </c>
      <c r="F366" s="4" t="s">
        <v>29</v>
      </c>
      <c r="G366" s="8" t="s">
        <v>1211</v>
      </c>
      <c r="H366" s="4">
        <v>22</v>
      </c>
      <c r="I366" s="4">
        <v>45</v>
      </c>
      <c r="J366" s="4" t="s">
        <v>1109</v>
      </c>
      <c r="K366" s="4">
        <v>2022</v>
      </c>
      <c r="L366" s="4">
        <v>6</v>
      </c>
      <c r="M366" s="4">
        <v>30</v>
      </c>
      <c r="N366" s="4">
        <v>7</v>
      </c>
    </row>
    <row r="367" spans="1:14" ht="30" x14ac:dyDescent="0.25">
      <c r="A367" s="2">
        <v>365</v>
      </c>
      <c r="B367" s="7" t="s">
        <v>1212</v>
      </c>
      <c r="C367" s="2" t="s">
        <v>1213</v>
      </c>
      <c r="D367" s="3">
        <v>42898.763888888891</v>
      </c>
      <c r="E367" s="2" t="s">
        <v>1214</v>
      </c>
      <c r="F367" s="2" t="s">
        <v>14</v>
      </c>
      <c r="G367" s="7" t="s">
        <v>1215</v>
      </c>
      <c r="H367" s="2">
        <v>35</v>
      </c>
      <c r="I367" s="2">
        <v>70</v>
      </c>
      <c r="J367" s="2" t="s">
        <v>1089</v>
      </c>
      <c r="K367" s="2">
        <v>2017</v>
      </c>
      <c r="L367" s="2">
        <v>6</v>
      </c>
      <c r="M367" s="2">
        <v>12</v>
      </c>
      <c r="N367" s="2">
        <v>18</v>
      </c>
    </row>
    <row r="368" spans="1:14" x14ac:dyDescent="0.25">
      <c r="A368" s="4">
        <v>366</v>
      </c>
      <c r="B368" s="8" t="s">
        <v>1216</v>
      </c>
      <c r="C368" s="4" t="s">
        <v>1217</v>
      </c>
      <c r="D368" s="5">
        <v>44382.395833333336</v>
      </c>
      <c r="E368" s="4" t="s">
        <v>1218</v>
      </c>
      <c r="F368" s="4" t="s">
        <v>24</v>
      </c>
      <c r="G368" s="8" t="s">
        <v>1219</v>
      </c>
      <c r="H368" s="4">
        <v>20</v>
      </c>
      <c r="I368" s="4">
        <v>40</v>
      </c>
      <c r="J368" s="4" t="s">
        <v>1094</v>
      </c>
      <c r="K368" s="4">
        <v>2021</v>
      </c>
      <c r="L368" s="4">
        <v>7</v>
      </c>
      <c r="M368" s="4">
        <v>5</v>
      </c>
      <c r="N368" s="4">
        <v>9</v>
      </c>
    </row>
    <row r="369" spans="1:14" ht="30" x14ac:dyDescent="0.25">
      <c r="A369" s="2">
        <v>367</v>
      </c>
      <c r="B369" s="7" t="s">
        <v>1220</v>
      </c>
      <c r="C369" s="2" t="s">
        <v>1221</v>
      </c>
      <c r="D369" s="3">
        <v>42475.618055555555</v>
      </c>
      <c r="E369" s="2" t="s">
        <v>1222</v>
      </c>
      <c r="F369" s="2" t="s">
        <v>29</v>
      </c>
      <c r="G369" s="7" t="s">
        <v>1223</v>
      </c>
      <c r="H369" s="2">
        <v>28</v>
      </c>
      <c r="I369" s="2">
        <v>55</v>
      </c>
      <c r="J369" s="2" t="s">
        <v>1099</v>
      </c>
      <c r="K369" s="2">
        <v>2016</v>
      </c>
      <c r="L369" s="2">
        <v>4</v>
      </c>
      <c r="M369" s="2">
        <v>15</v>
      </c>
      <c r="N369" s="2">
        <v>14</v>
      </c>
    </row>
    <row r="370" spans="1:14" ht="45" x14ac:dyDescent="0.25">
      <c r="A370" s="4">
        <v>368</v>
      </c>
      <c r="B370" s="8" t="s">
        <v>1224</v>
      </c>
      <c r="C370" s="4" t="s">
        <v>1225</v>
      </c>
      <c r="D370" s="5">
        <v>43871.46875</v>
      </c>
      <c r="E370" s="4" t="s">
        <v>1226</v>
      </c>
      <c r="F370" s="4" t="s">
        <v>14</v>
      </c>
      <c r="G370" s="8" t="s">
        <v>1227</v>
      </c>
      <c r="H370" s="4">
        <v>15</v>
      </c>
      <c r="I370" s="4">
        <v>30</v>
      </c>
      <c r="J370" s="4" t="s">
        <v>1151</v>
      </c>
      <c r="K370" s="4">
        <v>2020</v>
      </c>
      <c r="L370" s="4">
        <v>2</v>
      </c>
      <c r="M370" s="4">
        <v>10</v>
      </c>
      <c r="N370" s="4">
        <v>11</v>
      </c>
    </row>
    <row r="371" spans="1:14" ht="30" x14ac:dyDescent="0.25">
      <c r="A371" s="2">
        <v>369</v>
      </c>
      <c r="B371" s="7" t="s">
        <v>1228</v>
      </c>
      <c r="C371" s="2" t="s">
        <v>400</v>
      </c>
      <c r="D371" s="3">
        <v>43365.6875</v>
      </c>
      <c r="E371" s="2" t="s">
        <v>1229</v>
      </c>
      <c r="F371" s="2" t="s">
        <v>24</v>
      </c>
      <c r="G371" s="7" t="s">
        <v>1230</v>
      </c>
      <c r="H371" s="2">
        <v>40</v>
      </c>
      <c r="I371" s="2">
        <v>80</v>
      </c>
      <c r="J371" s="2" t="s">
        <v>1089</v>
      </c>
      <c r="K371" s="2">
        <v>2018</v>
      </c>
      <c r="L371" s="2">
        <v>9</v>
      </c>
      <c r="M371" s="2">
        <v>22</v>
      </c>
      <c r="N371" s="2">
        <v>16</v>
      </c>
    </row>
    <row r="372" spans="1:14" ht="45" x14ac:dyDescent="0.25">
      <c r="A372" s="4">
        <v>370</v>
      </c>
      <c r="B372" s="8" t="s">
        <v>1231</v>
      </c>
      <c r="C372" s="4" t="s">
        <v>1232</v>
      </c>
      <c r="D372" s="5">
        <v>42316.416666666664</v>
      </c>
      <c r="E372" s="4" t="s">
        <v>1233</v>
      </c>
      <c r="F372" s="4" t="s">
        <v>29</v>
      </c>
      <c r="G372" s="8" t="s">
        <v>1234</v>
      </c>
      <c r="H372" s="4">
        <v>18</v>
      </c>
      <c r="I372" s="4">
        <v>35</v>
      </c>
      <c r="J372" s="4" t="s">
        <v>1109</v>
      </c>
      <c r="K372" s="4">
        <v>2015</v>
      </c>
      <c r="L372" s="4">
        <v>11</v>
      </c>
      <c r="M372" s="4">
        <v>8</v>
      </c>
      <c r="N372" s="4">
        <v>10</v>
      </c>
    </row>
    <row r="373" spans="1:14" ht="30" x14ac:dyDescent="0.25">
      <c r="A373" s="2">
        <v>371</v>
      </c>
      <c r="B373" s="7" t="s">
        <v>1235</v>
      </c>
      <c r="C373" s="2" t="s">
        <v>1236</v>
      </c>
      <c r="D373" s="3">
        <v>44783.916666666664</v>
      </c>
      <c r="E373" s="2" t="s">
        <v>1237</v>
      </c>
      <c r="F373" s="2" t="s">
        <v>24</v>
      </c>
      <c r="G373" s="7" t="s">
        <v>1238</v>
      </c>
      <c r="H373" s="2">
        <v>25</v>
      </c>
      <c r="I373" s="2">
        <v>50</v>
      </c>
      <c r="J373" s="2" t="s">
        <v>1239</v>
      </c>
      <c r="K373" s="2">
        <v>2022</v>
      </c>
      <c r="L373" s="2">
        <v>8</v>
      </c>
      <c r="M373" s="2">
        <v>10</v>
      </c>
      <c r="N373" s="2">
        <v>22</v>
      </c>
    </row>
    <row r="374" spans="1:14" ht="30" x14ac:dyDescent="0.25">
      <c r="A374" s="4">
        <v>372</v>
      </c>
      <c r="B374" s="8" t="s">
        <v>1240</v>
      </c>
      <c r="C374" s="4" t="s">
        <v>1241</v>
      </c>
      <c r="D374" s="5">
        <v>43560.729166666664</v>
      </c>
      <c r="E374" s="4" t="s">
        <v>1242</v>
      </c>
      <c r="F374" s="4" t="s">
        <v>14</v>
      </c>
      <c r="G374" s="8" t="s">
        <v>1243</v>
      </c>
      <c r="H374" s="4">
        <v>18</v>
      </c>
      <c r="I374" s="4">
        <v>35</v>
      </c>
      <c r="J374" s="4" t="s">
        <v>1244</v>
      </c>
      <c r="K374" s="4">
        <v>2019</v>
      </c>
      <c r="L374" s="4">
        <v>4</v>
      </c>
      <c r="M374" s="4">
        <v>5</v>
      </c>
      <c r="N374" s="4">
        <v>17</v>
      </c>
    </row>
    <row r="375" spans="1:14" ht="30" x14ac:dyDescent="0.25">
      <c r="A375" s="2">
        <v>373</v>
      </c>
      <c r="B375" s="7" t="s">
        <v>1245</v>
      </c>
      <c r="C375" s="2" t="s">
        <v>1246</v>
      </c>
      <c r="D375" s="3">
        <v>44180.65625</v>
      </c>
      <c r="E375" s="2" t="s">
        <v>1247</v>
      </c>
      <c r="F375" s="2" t="s">
        <v>29</v>
      </c>
      <c r="G375" s="7" t="s">
        <v>1248</v>
      </c>
      <c r="H375" s="2">
        <v>22</v>
      </c>
      <c r="I375" s="2">
        <v>45</v>
      </c>
      <c r="J375" s="2" t="s">
        <v>1249</v>
      </c>
      <c r="K375" s="2">
        <v>2020</v>
      </c>
      <c r="L375" s="2">
        <v>12</v>
      </c>
      <c r="M375" s="2">
        <v>15</v>
      </c>
      <c r="N375" s="2">
        <v>15</v>
      </c>
    </row>
    <row r="376" spans="1:14" ht="30" x14ac:dyDescent="0.25">
      <c r="A376" s="4">
        <v>374</v>
      </c>
      <c r="B376" s="8" t="s">
        <v>1250</v>
      </c>
      <c r="C376" s="4" t="s">
        <v>1251</v>
      </c>
      <c r="D376" s="5">
        <v>43028.34375</v>
      </c>
      <c r="E376" s="4" t="s">
        <v>1252</v>
      </c>
      <c r="F376" s="4" t="s">
        <v>24</v>
      </c>
      <c r="G376" s="8" t="s">
        <v>1253</v>
      </c>
      <c r="H376" s="4">
        <v>35</v>
      </c>
      <c r="I376" s="4">
        <v>70</v>
      </c>
      <c r="J376" s="4" t="s">
        <v>1254</v>
      </c>
      <c r="K376" s="4">
        <v>2017</v>
      </c>
      <c r="L376" s="4">
        <v>10</v>
      </c>
      <c r="M376" s="4">
        <v>20</v>
      </c>
      <c r="N376" s="4">
        <v>8</v>
      </c>
    </row>
    <row r="377" spans="1:14" ht="30" x14ac:dyDescent="0.25">
      <c r="A377" s="2">
        <v>375</v>
      </c>
      <c r="B377" s="7" t="s">
        <v>1255</v>
      </c>
      <c r="C377" s="2" t="s">
        <v>1256</v>
      </c>
      <c r="D377" s="3">
        <v>44255.541666666664</v>
      </c>
      <c r="E377" s="2" t="s">
        <v>1257</v>
      </c>
      <c r="F377" s="2" t="s">
        <v>14</v>
      </c>
      <c r="G377" s="7" t="s">
        <v>1258</v>
      </c>
      <c r="H377" s="2">
        <v>30</v>
      </c>
      <c r="I377" s="2">
        <v>60</v>
      </c>
      <c r="J377" s="2" t="s">
        <v>1259</v>
      </c>
      <c r="K377" s="2">
        <v>2021</v>
      </c>
      <c r="L377" s="2">
        <v>2</v>
      </c>
      <c r="M377" s="2">
        <v>28</v>
      </c>
      <c r="N377" s="2">
        <v>13</v>
      </c>
    </row>
    <row r="378" spans="1:14" ht="30" x14ac:dyDescent="0.25">
      <c r="A378" s="4">
        <v>376</v>
      </c>
      <c r="B378" s="8" t="s">
        <v>1260</v>
      </c>
      <c r="C378" s="4" t="s">
        <v>1261</v>
      </c>
      <c r="D378" s="5">
        <v>43263.854166666664</v>
      </c>
      <c r="E378" s="4" t="s">
        <v>1262</v>
      </c>
      <c r="F378" s="4" t="s">
        <v>29</v>
      </c>
      <c r="G378" s="8" t="s">
        <v>1263</v>
      </c>
      <c r="H378" s="4">
        <v>28</v>
      </c>
      <c r="I378" s="4">
        <v>55</v>
      </c>
      <c r="J378" s="4" t="s">
        <v>1264</v>
      </c>
      <c r="K378" s="4">
        <v>2018</v>
      </c>
      <c r="L378" s="4">
        <v>6</v>
      </c>
      <c r="M378" s="4">
        <v>12</v>
      </c>
      <c r="N378" s="4">
        <v>20</v>
      </c>
    </row>
    <row r="379" spans="1:14" ht="30" x14ac:dyDescent="0.25">
      <c r="A379" s="2">
        <v>377</v>
      </c>
      <c r="B379" s="7" t="s">
        <v>1265</v>
      </c>
      <c r="C379" s="2" t="s">
        <v>1266</v>
      </c>
      <c r="D379" s="3">
        <v>42437.597222222219</v>
      </c>
      <c r="E379" s="2" t="s">
        <v>1267</v>
      </c>
      <c r="F379" s="2" t="s">
        <v>24</v>
      </c>
      <c r="G379" s="7" t="s">
        <v>1268</v>
      </c>
      <c r="H379" s="2">
        <v>20</v>
      </c>
      <c r="I379" s="2">
        <v>40</v>
      </c>
      <c r="J379" s="2" t="s">
        <v>1269</v>
      </c>
      <c r="K379" s="2">
        <v>2016</v>
      </c>
      <c r="L379" s="2">
        <v>3</v>
      </c>
      <c r="M379" s="2">
        <v>8</v>
      </c>
      <c r="N379" s="2">
        <v>14</v>
      </c>
    </row>
    <row r="380" spans="1:14" ht="30" x14ac:dyDescent="0.25">
      <c r="A380" s="4">
        <v>378</v>
      </c>
      <c r="B380" s="8" t="s">
        <v>1270</v>
      </c>
      <c r="C380" s="4" t="s">
        <v>1271</v>
      </c>
      <c r="D380" s="5">
        <v>45034.715277777781</v>
      </c>
      <c r="E380" s="4" t="s">
        <v>1272</v>
      </c>
      <c r="F380" s="4" t="s">
        <v>14</v>
      </c>
      <c r="G380" s="8" t="s">
        <v>1273</v>
      </c>
      <c r="H380" s="4">
        <v>18</v>
      </c>
      <c r="I380" s="4">
        <v>35</v>
      </c>
      <c r="J380" s="4" t="s">
        <v>1274</v>
      </c>
      <c r="K380" s="4">
        <v>2023</v>
      </c>
      <c r="L380" s="4">
        <v>4</v>
      </c>
      <c r="M380" s="4">
        <v>18</v>
      </c>
      <c r="N380" s="4">
        <v>17</v>
      </c>
    </row>
    <row r="381" spans="1:14" ht="30" x14ac:dyDescent="0.25">
      <c r="A381" s="2">
        <v>379</v>
      </c>
      <c r="B381" s="7" t="s">
        <v>1275</v>
      </c>
      <c r="C381" s="2" t="s">
        <v>1276</v>
      </c>
      <c r="D381" s="3">
        <v>44037.53125</v>
      </c>
      <c r="E381" s="2" t="s">
        <v>1277</v>
      </c>
      <c r="F381" s="2" t="s">
        <v>29</v>
      </c>
      <c r="G381" s="7" t="s">
        <v>1278</v>
      </c>
      <c r="H381" s="2">
        <v>22</v>
      </c>
      <c r="I381" s="2">
        <v>45</v>
      </c>
      <c r="J381" s="2" t="s">
        <v>1279</v>
      </c>
      <c r="K381" s="2">
        <v>2020</v>
      </c>
      <c r="L381" s="2">
        <v>7</v>
      </c>
      <c r="M381" s="2">
        <v>25</v>
      </c>
      <c r="N381" s="2">
        <v>12</v>
      </c>
    </row>
    <row r="382" spans="1:14" ht="30" x14ac:dyDescent="0.25">
      <c r="A382" s="4">
        <v>380</v>
      </c>
      <c r="B382" s="8" t="s">
        <v>1280</v>
      </c>
      <c r="C382" s="4" t="s">
        <v>1281</v>
      </c>
      <c r="D382" s="5">
        <v>43799.8125</v>
      </c>
      <c r="E382" s="4" t="s">
        <v>1282</v>
      </c>
      <c r="F382" s="4" t="s">
        <v>24</v>
      </c>
      <c r="G382" s="8" t="s">
        <v>1283</v>
      </c>
      <c r="H382" s="4">
        <v>35</v>
      </c>
      <c r="I382" s="4">
        <v>70</v>
      </c>
      <c r="J382" s="4" t="s">
        <v>1284</v>
      </c>
      <c r="K382" s="4">
        <v>2019</v>
      </c>
      <c r="L382" s="4">
        <v>11</v>
      </c>
      <c r="M382" s="4">
        <v>30</v>
      </c>
      <c r="N382" s="4">
        <v>19</v>
      </c>
    </row>
    <row r="383" spans="1:14" ht="30" x14ac:dyDescent="0.25">
      <c r="A383" s="2">
        <v>381</v>
      </c>
      <c r="B383" s="7" t="s">
        <v>1285</v>
      </c>
      <c r="C383" s="2" t="s">
        <v>1286</v>
      </c>
      <c r="D383" s="3">
        <v>42248.666666666664</v>
      </c>
      <c r="E383" s="2" t="s">
        <v>1287</v>
      </c>
      <c r="F383" s="2" t="s">
        <v>14</v>
      </c>
      <c r="G383" s="7" t="s">
        <v>1288</v>
      </c>
      <c r="H383" s="2">
        <v>15</v>
      </c>
      <c r="I383" s="2">
        <v>30</v>
      </c>
      <c r="J383" s="2" t="s">
        <v>1289</v>
      </c>
      <c r="K383" s="2">
        <v>2015</v>
      </c>
      <c r="L383" s="2">
        <v>9</v>
      </c>
      <c r="M383" s="2">
        <v>1</v>
      </c>
      <c r="N383" s="2">
        <v>16</v>
      </c>
    </row>
    <row r="384" spans="1:14" ht="30" x14ac:dyDescent="0.25">
      <c r="A384" s="4">
        <v>382</v>
      </c>
      <c r="B384" s="8" t="s">
        <v>1290</v>
      </c>
      <c r="C384" s="4" t="s">
        <v>1291</v>
      </c>
      <c r="D384" s="5">
        <v>44686.427083333336</v>
      </c>
      <c r="E384" s="4" t="s">
        <v>1292</v>
      </c>
      <c r="F384" s="4" t="s">
        <v>29</v>
      </c>
      <c r="G384" s="8" t="s">
        <v>1293</v>
      </c>
      <c r="H384" s="4">
        <v>25</v>
      </c>
      <c r="I384" s="4">
        <v>50</v>
      </c>
      <c r="J384" s="4" t="s">
        <v>1294</v>
      </c>
      <c r="K384" s="4">
        <v>2022</v>
      </c>
      <c r="L384" s="4">
        <v>5</v>
      </c>
      <c r="M384" s="4">
        <v>5</v>
      </c>
      <c r="N384" s="4">
        <v>10</v>
      </c>
    </row>
    <row r="385" spans="1:14" ht="30" x14ac:dyDescent="0.25">
      <c r="A385" s="2">
        <v>383</v>
      </c>
      <c r="B385" s="7" t="s">
        <v>1295</v>
      </c>
      <c r="C385" s="2" t="s">
        <v>1296</v>
      </c>
      <c r="D385" s="3">
        <v>43289.958333333336</v>
      </c>
      <c r="E385" s="2" t="s">
        <v>1297</v>
      </c>
      <c r="F385" s="2" t="s">
        <v>24</v>
      </c>
      <c r="G385" s="7" t="s">
        <v>1298</v>
      </c>
      <c r="H385" s="2">
        <v>40</v>
      </c>
      <c r="I385" s="2">
        <v>80</v>
      </c>
      <c r="J385" s="2" t="s">
        <v>1299</v>
      </c>
      <c r="K385" s="2">
        <v>2018</v>
      </c>
      <c r="L385" s="2">
        <v>7</v>
      </c>
      <c r="M385" s="2">
        <v>8</v>
      </c>
      <c r="N385" s="2">
        <v>23</v>
      </c>
    </row>
    <row r="386" spans="1:14" ht="30" x14ac:dyDescent="0.25">
      <c r="A386" s="4">
        <v>384</v>
      </c>
      <c r="B386" s="8" t="s">
        <v>1300</v>
      </c>
      <c r="C386" s="4" t="s">
        <v>1301</v>
      </c>
      <c r="D386" s="5">
        <v>44459.604166666664</v>
      </c>
      <c r="E386" s="4" t="s">
        <v>1302</v>
      </c>
      <c r="F386" s="4" t="s">
        <v>14</v>
      </c>
      <c r="G386" s="8" t="s">
        <v>1303</v>
      </c>
      <c r="H386" s="4">
        <v>18</v>
      </c>
      <c r="I386" s="4">
        <v>35</v>
      </c>
      <c r="J386" s="4" t="s">
        <v>1304</v>
      </c>
      <c r="K386" s="4">
        <v>2021</v>
      </c>
      <c r="L386" s="4">
        <v>9</v>
      </c>
      <c r="M386" s="4">
        <v>20</v>
      </c>
      <c r="N386" s="4">
        <v>14</v>
      </c>
    </row>
    <row r="387" spans="1:14" ht="30" x14ac:dyDescent="0.25">
      <c r="A387" s="2">
        <v>385</v>
      </c>
      <c r="B387" s="7" t="s">
        <v>1305</v>
      </c>
      <c r="C387" s="2" t="s">
        <v>1306</v>
      </c>
      <c r="D387" s="3">
        <v>42689.489583333336</v>
      </c>
      <c r="E387" s="2" t="s">
        <v>1307</v>
      </c>
      <c r="F387" s="2" t="s">
        <v>29</v>
      </c>
      <c r="G387" s="7" t="s">
        <v>1308</v>
      </c>
      <c r="H387" s="2">
        <v>28</v>
      </c>
      <c r="I387" s="2">
        <v>55</v>
      </c>
      <c r="J387" s="2" t="s">
        <v>1309</v>
      </c>
      <c r="K387" s="2">
        <v>2016</v>
      </c>
      <c r="L387" s="2">
        <v>11</v>
      </c>
      <c r="M387" s="2">
        <v>15</v>
      </c>
      <c r="N387" s="2">
        <v>11</v>
      </c>
    </row>
    <row r="388" spans="1:14" ht="30" x14ac:dyDescent="0.25">
      <c r="A388" s="4">
        <v>386</v>
      </c>
      <c r="B388" s="8" t="s">
        <v>1310</v>
      </c>
      <c r="C388" s="4" t="s">
        <v>1311</v>
      </c>
      <c r="D388" s="5">
        <v>43842.75</v>
      </c>
      <c r="E388" s="4" t="s">
        <v>481</v>
      </c>
      <c r="F388" s="4" t="s">
        <v>24</v>
      </c>
      <c r="G388" s="8" t="s">
        <v>1312</v>
      </c>
      <c r="H388" s="4">
        <v>30</v>
      </c>
      <c r="I388" s="4">
        <v>60</v>
      </c>
      <c r="J388" s="4" t="s">
        <v>1313</v>
      </c>
      <c r="K388" s="4">
        <v>2020</v>
      </c>
      <c r="L388" s="4">
        <v>1</v>
      </c>
      <c r="M388" s="4">
        <v>12</v>
      </c>
      <c r="N388" s="4">
        <v>18</v>
      </c>
    </row>
    <row r="389" spans="1:14" ht="30" x14ac:dyDescent="0.25">
      <c r="A389" s="2">
        <v>387</v>
      </c>
      <c r="B389" s="7" t="s">
        <v>1314</v>
      </c>
      <c r="C389" s="2" t="s">
        <v>1315</v>
      </c>
      <c r="D389" s="3">
        <v>43097.802083333336</v>
      </c>
      <c r="E389" s="2" t="s">
        <v>1316</v>
      </c>
      <c r="F389" s="2" t="s">
        <v>29</v>
      </c>
      <c r="G389" s="7" t="s">
        <v>1317</v>
      </c>
      <c r="H389" s="2">
        <v>22</v>
      </c>
      <c r="I389" s="2">
        <v>45</v>
      </c>
      <c r="J389" s="2" t="s">
        <v>1318</v>
      </c>
      <c r="K389" s="2">
        <v>2017</v>
      </c>
      <c r="L389" s="2">
        <v>12</v>
      </c>
      <c r="M389" s="2">
        <v>28</v>
      </c>
      <c r="N389" s="2">
        <v>19</v>
      </c>
    </row>
    <row r="390" spans="1:14" ht="30" x14ac:dyDescent="0.25">
      <c r="A390" s="4">
        <v>388</v>
      </c>
      <c r="B390" s="8" t="s">
        <v>1319</v>
      </c>
      <c r="C390" s="4" t="s">
        <v>1320</v>
      </c>
      <c r="D390" s="5">
        <v>43526.847222222219</v>
      </c>
      <c r="E390" s="4" t="s">
        <v>1321</v>
      </c>
      <c r="F390" s="4" t="s">
        <v>14</v>
      </c>
      <c r="G390" s="8" t="s">
        <v>1322</v>
      </c>
      <c r="H390" s="4">
        <v>35</v>
      </c>
      <c r="I390" s="4">
        <v>70</v>
      </c>
      <c r="J390" s="4" t="s">
        <v>1323</v>
      </c>
      <c r="K390" s="4">
        <v>2019</v>
      </c>
      <c r="L390" s="4">
        <v>3</v>
      </c>
      <c r="M390" s="4">
        <v>2</v>
      </c>
      <c r="N390" s="4">
        <v>20</v>
      </c>
    </row>
    <row r="391" spans="1:14" ht="30" x14ac:dyDescent="0.25">
      <c r="A391" s="2">
        <v>389</v>
      </c>
      <c r="B391" s="7" t="s">
        <v>1324</v>
      </c>
      <c r="C391" s="2" t="s">
        <v>1325</v>
      </c>
      <c r="D391" s="3">
        <v>44720.645833333336</v>
      </c>
      <c r="E391" s="2" t="s">
        <v>1326</v>
      </c>
      <c r="F391" s="2" t="s">
        <v>24</v>
      </c>
      <c r="G391" s="7" t="s">
        <v>1327</v>
      </c>
      <c r="H391" s="2">
        <v>20</v>
      </c>
      <c r="I391" s="2">
        <v>40</v>
      </c>
      <c r="J391" s="2" t="s">
        <v>1328</v>
      </c>
      <c r="K391" s="2">
        <v>2022</v>
      </c>
      <c r="L391" s="2">
        <v>6</v>
      </c>
      <c r="M391" s="2">
        <v>8</v>
      </c>
      <c r="N391" s="2">
        <v>15</v>
      </c>
    </row>
    <row r="392" spans="1:14" ht="30" x14ac:dyDescent="0.25">
      <c r="A392" s="4">
        <v>390</v>
      </c>
      <c r="B392" s="8" t="s">
        <v>1329</v>
      </c>
      <c r="C392" s="4" t="s">
        <v>1330</v>
      </c>
      <c r="D392" s="5">
        <v>43330.614583333336</v>
      </c>
      <c r="E392" s="4" t="s">
        <v>1331</v>
      </c>
      <c r="F392" s="4" t="s">
        <v>29</v>
      </c>
      <c r="G392" s="8" t="s">
        <v>1332</v>
      </c>
      <c r="H392" s="4">
        <v>18</v>
      </c>
      <c r="I392" s="4">
        <v>35</v>
      </c>
      <c r="J392" s="4" t="s">
        <v>1333</v>
      </c>
      <c r="K392" s="4">
        <v>2018</v>
      </c>
      <c r="L392" s="4">
        <v>8</v>
      </c>
      <c r="M392" s="4">
        <v>18</v>
      </c>
      <c r="N392" s="4">
        <v>14</v>
      </c>
    </row>
    <row r="393" spans="1:14" ht="30" x14ac:dyDescent="0.25">
      <c r="A393" s="2">
        <v>391</v>
      </c>
      <c r="B393" s="7" t="s">
        <v>1334</v>
      </c>
      <c r="C393" s="2" t="s">
        <v>1236</v>
      </c>
      <c r="D393" s="3">
        <v>44783.916666666664</v>
      </c>
      <c r="E393" s="2" t="s">
        <v>1237</v>
      </c>
      <c r="F393" s="2" t="s">
        <v>24</v>
      </c>
      <c r="G393" s="7" t="s">
        <v>1335</v>
      </c>
      <c r="H393" s="2">
        <v>25</v>
      </c>
      <c r="I393" s="2">
        <v>50</v>
      </c>
      <c r="J393" s="2" t="s">
        <v>1239</v>
      </c>
      <c r="K393" s="2">
        <v>2022</v>
      </c>
      <c r="L393" s="2">
        <v>8</v>
      </c>
      <c r="M393" s="2">
        <v>10</v>
      </c>
      <c r="N393" s="2">
        <v>22</v>
      </c>
    </row>
    <row r="394" spans="1:14" ht="30" x14ac:dyDescent="0.25">
      <c r="A394" s="4">
        <v>392</v>
      </c>
      <c r="B394" s="8" t="s">
        <v>1336</v>
      </c>
      <c r="C394" s="4" t="s">
        <v>1337</v>
      </c>
      <c r="D394" s="5">
        <v>43560.729166666664</v>
      </c>
      <c r="E394" s="4" t="s">
        <v>1338</v>
      </c>
      <c r="F394" s="4" t="s">
        <v>14</v>
      </c>
      <c r="G394" s="8" t="s">
        <v>1339</v>
      </c>
      <c r="H394" s="4">
        <v>18</v>
      </c>
      <c r="I394" s="4">
        <v>35</v>
      </c>
      <c r="J394" s="4" t="s">
        <v>1244</v>
      </c>
      <c r="K394" s="4">
        <v>2019</v>
      </c>
      <c r="L394" s="4">
        <v>4</v>
      </c>
      <c r="M394" s="4">
        <v>5</v>
      </c>
      <c r="N394" s="4">
        <v>17</v>
      </c>
    </row>
    <row r="395" spans="1:14" ht="30" x14ac:dyDescent="0.25">
      <c r="A395" s="2">
        <v>393</v>
      </c>
      <c r="B395" s="7" t="s">
        <v>1340</v>
      </c>
      <c r="C395" s="2" t="s">
        <v>1341</v>
      </c>
      <c r="D395" s="3">
        <v>44180.65625</v>
      </c>
      <c r="E395" s="2" t="s">
        <v>1342</v>
      </c>
      <c r="F395" s="2" t="s">
        <v>29</v>
      </c>
      <c r="G395" s="7" t="s">
        <v>1343</v>
      </c>
      <c r="H395" s="2">
        <v>22</v>
      </c>
      <c r="I395" s="2">
        <v>45</v>
      </c>
      <c r="J395" s="2" t="s">
        <v>1249</v>
      </c>
      <c r="K395" s="2">
        <v>2020</v>
      </c>
      <c r="L395" s="2">
        <v>12</v>
      </c>
      <c r="M395" s="2">
        <v>15</v>
      </c>
      <c r="N395" s="2">
        <v>15</v>
      </c>
    </row>
    <row r="396" spans="1:14" ht="30" x14ac:dyDescent="0.25">
      <c r="A396" s="4">
        <v>394</v>
      </c>
      <c r="B396" s="8" t="s">
        <v>1344</v>
      </c>
      <c r="C396" s="4" t="s">
        <v>1345</v>
      </c>
      <c r="D396" s="5">
        <v>43028.34375</v>
      </c>
      <c r="E396" s="4" t="s">
        <v>1346</v>
      </c>
      <c r="F396" s="4" t="s">
        <v>24</v>
      </c>
      <c r="G396" s="8" t="s">
        <v>1347</v>
      </c>
      <c r="H396" s="4">
        <v>35</v>
      </c>
      <c r="I396" s="4">
        <v>70</v>
      </c>
      <c r="J396" s="4" t="s">
        <v>1254</v>
      </c>
      <c r="K396" s="4">
        <v>2017</v>
      </c>
      <c r="L396" s="4">
        <v>10</v>
      </c>
      <c r="M396" s="4">
        <v>20</v>
      </c>
      <c r="N396" s="4">
        <v>8</v>
      </c>
    </row>
    <row r="397" spans="1:14" x14ac:dyDescent="0.25">
      <c r="A397" s="2">
        <v>395</v>
      </c>
      <c r="B397" s="7" t="s">
        <v>1348</v>
      </c>
      <c r="C397" s="2" t="s">
        <v>1349</v>
      </c>
      <c r="D397" s="3">
        <v>44255.541666666664</v>
      </c>
      <c r="E397" s="2" t="s">
        <v>1350</v>
      </c>
      <c r="F397" s="2" t="s">
        <v>14</v>
      </c>
      <c r="G397" s="7" t="s">
        <v>1351</v>
      </c>
      <c r="H397" s="2">
        <v>30</v>
      </c>
      <c r="I397" s="2">
        <v>60</v>
      </c>
      <c r="J397" s="2" t="s">
        <v>1259</v>
      </c>
      <c r="K397" s="2">
        <v>2021</v>
      </c>
      <c r="L397" s="2">
        <v>2</v>
      </c>
      <c r="M397" s="2">
        <v>28</v>
      </c>
      <c r="N397" s="2">
        <v>13</v>
      </c>
    </row>
    <row r="398" spans="1:14" ht="45" x14ac:dyDescent="0.25">
      <c r="A398" s="4">
        <v>396</v>
      </c>
      <c r="B398" s="8" t="s">
        <v>1352</v>
      </c>
      <c r="C398" s="4" t="s">
        <v>1353</v>
      </c>
      <c r="D398" s="5">
        <v>43263.854166666664</v>
      </c>
      <c r="E398" s="4" t="s">
        <v>1354</v>
      </c>
      <c r="F398" s="4" t="s">
        <v>29</v>
      </c>
      <c r="G398" s="8" t="s">
        <v>1355</v>
      </c>
      <c r="H398" s="4">
        <v>28</v>
      </c>
      <c r="I398" s="4">
        <v>55</v>
      </c>
      <c r="J398" s="4" t="s">
        <v>1264</v>
      </c>
      <c r="K398" s="4">
        <v>2018</v>
      </c>
      <c r="L398" s="4">
        <v>6</v>
      </c>
      <c r="M398" s="4">
        <v>12</v>
      </c>
      <c r="N398" s="4">
        <v>20</v>
      </c>
    </row>
    <row r="399" spans="1:14" ht="30" x14ac:dyDescent="0.25">
      <c r="A399" s="2">
        <v>397</v>
      </c>
      <c r="B399" s="7" t="s">
        <v>1356</v>
      </c>
      <c r="C399" s="2" t="s">
        <v>1266</v>
      </c>
      <c r="D399" s="3">
        <v>42437.597222222219</v>
      </c>
      <c r="E399" s="2" t="s">
        <v>1357</v>
      </c>
      <c r="F399" s="2" t="s">
        <v>24</v>
      </c>
      <c r="G399" s="7" t="s">
        <v>1358</v>
      </c>
      <c r="H399" s="2">
        <v>20</v>
      </c>
      <c r="I399" s="2">
        <v>40</v>
      </c>
      <c r="J399" s="2" t="s">
        <v>1269</v>
      </c>
      <c r="K399" s="2">
        <v>2016</v>
      </c>
      <c r="L399" s="2">
        <v>3</v>
      </c>
      <c r="M399" s="2">
        <v>8</v>
      </c>
      <c r="N399" s="2">
        <v>14</v>
      </c>
    </row>
    <row r="400" spans="1:14" ht="30" x14ac:dyDescent="0.25">
      <c r="A400" s="4">
        <v>398</v>
      </c>
      <c r="B400" s="8" t="s">
        <v>1359</v>
      </c>
      <c r="C400" s="4" t="s">
        <v>1185</v>
      </c>
      <c r="D400" s="5">
        <v>45034.715277777781</v>
      </c>
      <c r="E400" s="4" t="s">
        <v>1272</v>
      </c>
      <c r="F400" s="4" t="s">
        <v>14</v>
      </c>
      <c r="G400" s="8" t="s">
        <v>1360</v>
      </c>
      <c r="H400" s="4">
        <v>18</v>
      </c>
      <c r="I400" s="4">
        <v>35</v>
      </c>
      <c r="J400" s="4" t="s">
        <v>1274</v>
      </c>
      <c r="K400" s="4">
        <v>2023</v>
      </c>
      <c r="L400" s="4">
        <v>4</v>
      </c>
      <c r="M400" s="4">
        <v>18</v>
      </c>
      <c r="N400" s="4">
        <v>17</v>
      </c>
    </row>
    <row r="401" spans="1:14" ht="30" x14ac:dyDescent="0.25">
      <c r="A401" s="2">
        <v>399</v>
      </c>
      <c r="B401" s="7" t="s">
        <v>1361</v>
      </c>
      <c r="C401" s="2" t="s">
        <v>1362</v>
      </c>
      <c r="D401" s="3">
        <v>44037.53125</v>
      </c>
      <c r="E401" s="2" t="s">
        <v>1363</v>
      </c>
      <c r="F401" s="2" t="s">
        <v>29</v>
      </c>
      <c r="G401" s="7" t="s">
        <v>1364</v>
      </c>
      <c r="H401" s="2">
        <v>22</v>
      </c>
      <c r="I401" s="2">
        <v>45</v>
      </c>
      <c r="J401" s="2" t="s">
        <v>1279</v>
      </c>
      <c r="K401" s="2">
        <v>2020</v>
      </c>
      <c r="L401" s="2">
        <v>7</v>
      </c>
      <c r="M401" s="2">
        <v>25</v>
      </c>
      <c r="N401" s="2">
        <v>12</v>
      </c>
    </row>
    <row r="402" spans="1:14" ht="30" x14ac:dyDescent="0.25">
      <c r="A402" s="4">
        <v>400</v>
      </c>
      <c r="B402" s="8" t="s">
        <v>1365</v>
      </c>
      <c r="C402" s="4" t="s">
        <v>1366</v>
      </c>
      <c r="D402" s="5">
        <v>43799.8125</v>
      </c>
      <c r="E402" s="4" t="s">
        <v>1282</v>
      </c>
      <c r="F402" s="4" t="s">
        <v>24</v>
      </c>
      <c r="G402" s="8" t="s">
        <v>1283</v>
      </c>
      <c r="H402" s="4">
        <v>35</v>
      </c>
      <c r="I402" s="4">
        <v>70</v>
      </c>
      <c r="J402" s="4" t="s">
        <v>1284</v>
      </c>
      <c r="K402" s="4">
        <v>2019</v>
      </c>
      <c r="L402" s="4">
        <v>11</v>
      </c>
      <c r="M402" s="4">
        <v>30</v>
      </c>
      <c r="N402" s="4">
        <v>19</v>
      </c>
    </row>
    <row r="403" spans="1:14" ht="30" x14ac:dyDescent="0.25">
      <c r="A403" s="2">
        <v>401</v>
      </c>
      <c r="B403" s="7" t="s">
        <v>1367</v>
      </c>
      <c r="C403" s="2" t="s">
        <v>1368</v>
      </c>
      <c r="D403" s="3">
        <v>42248.666666666664</v>
      </c>
      <c r="E403" s="2" t="s">
        <v>1287</v>
      </c>
      <c r="F403" s="2" t="s">
        <v>14</v>
      </c>
      <c r="G403" s="7" t="s">
        <v>1369</v>
      </c>
      <c r="H403" s="2">
        <v>15</v>
      </c>
      <c r="I403" s="2">
        <v>30</v>
      </c>
      <c r="J403" s="2" t="s">
        <v>1289</v>
      </c>
      <c r="K403" s="2">
        <v>2015</v>
      </c>
      <c r="L403" s="2">
        <v>9</v>
      </c>
      <c r="M403" s="2">
        <v>1</v>
      </c>
      <c r="N403" s="2">
        <v>16</v>
      </c>
    </row>
    <row r="404" spans="1:14" ht="30" x14ac:dyDescent="0.25">
      <c r="A404" s="4">
        <v>402</v>
      </c>
      <c r="B404" s="8" t="s">
        <v>1370</v>
      </c>
      <c r="C404" s="4" t="s">
        <v>1371</v>
      </c>
      <c r="D404" s="5">
        <v>44686.427083333336</v>
      </c>
      <c r="E404" s="4" t="s">
        <v>1292</v>
      </c>
      <c r="F404" s="4" t="s">
        <v>29</v>
      </c>
      <c r="G404" s="8" t="s">
        <v>1293</v>
      </c>
      <c r="H404" s="4">
        <v>25</v>
      </c>
      <c r="I404" s="4">
        <v>50</v>
      </c>
      <c r="J404" s="4" t="s">
        <v>1294</v>
      </c>
      <c r="K404" s="4">
        <v>2022</v>
      </c>
      <c r="L404" s="4">
        <v>5</v>
      </c>
      <c r="M404" s="4">
        <v>5</v>
      </c>
      <c r="N404" s="4">
        <v>10</v>
      </c>
    </row>
    <row r="405" spans="1:14" ht="30" x14ac:dyDescent="0.25">
      <c r="A405" s="2">
        <v>403</v>
      </c>
      <c r="B405" s="7" t="s">
        <v>1372</v>
      </c>
      <c r="C405" s="2" t="s">
        <v>1373</v>
      </c>
      <c r="D405" s="3">
        <v>43289.958333333336</v>
      </c>
      <c r="E405" s="2" t="s">
        <v>1297</v>
      </c>
      <c r="F405" s="2" t="s">
        <v>24</v>
      </c>
      <c r="G405" s="7" t="s">
        <v>1298</v>
      </c>
      <c r="H405" s="2">
        <v>40</v>
      </c>
      <c r="I405" s="2">
        <v>80</v>
      </c>
      <c r="J405" s="2" t="s">
        <v>1299</v>
      </c>
      <c r="K405" s="2">
        <v>2018</v>
      </c>
      <c r="L405" s="2">
        <v>7</v>
      </c>
      <c r="M405" s="2">
        <v>8</v>
      </c>
      <c r="N405" s="2">
        <v>23</v>
      </c>
    </row>
    <row r="406" spans="1:14" ht="30" x14ac:dyDescent="0.25">
      <c r="A406" s="4">
        <v>404</v>
      </c>
      <c r="B406" s="8" t="s">
        <v>1300</v>
      </c>
      <c r="C406" s="4" t="s">
        <v>1301</v>
      </c>
      <c r="D406" s="5">
        <v>44459.604166666664</v>
      </c>
      <c r="E406" s="4" t="s">
        <v>1302</v>
      </c>
      <c r="F406" s="4" t="s">
        <v>14</v>
      </c>
      <c r="G406" s="8" t="s">
        <v>1303</v>
      </c>
      <c r="H406" s="4">
        <v>18</v>
      </c>
      <c r="I406" s="4">
        <v>35</v>
      </c>
      <c r="J406" s="4" t="s">
        <v>1304</v>
      </c>
      <c r="K406" s="4">
        <v>2021</v>
      </c>
      <c r="L406" s="4">
        <v>9</v>
      </c>
      <c r="M406" s="4">
        <v>20</v>
      </c>
      <c r="N406" s="4">
        <v>14</v>
      </c>
    </row>
    <row r="407" spans="1:14" ht="30" x14ac:dyDescent="0.25">
      <c r="A407" s="2">
        <v>405</v>
      </c>
      <c r="B407" s="7" t="s">
        <v>1305</v>
      </c>
      <c r="C407" s="2" t="s">
        <v>1374</v>
      </c>
      <c r="D407" s="3">
        <v>42689.489583333336</v>
      </c>
      <c r="E407" s="2" t="s">
        <v>1307</v>
      </c>
      <c r="F407" s="2" t="s">
        <v>29</v>
      </c>
      <c r="G407" s="7" t="s">
        <v>1308</v>
      </c>
      <c r="H407" s="2">
        <v>28</v>
      </c>
      <c r="I407" s="2">
        <v>55</v>
      </c>
      <c r="J407" s="2" t="s">
        <v>1309</v>
      </c>
      <c r="K407" s="2">
        <v>2016</v>
      </c>
      <c r="L407" s="2">
        <v>11</v>
      </c>
      <c r="M407" s="2">
        <v>15</v>
      </c>
      <c r="N407" s="2">
        <v>11</v>
      </c>
    </row>
    <row r="408" spans="1:14" ht="30" x14ac:dyDescent="0.25">
      <c r="A408" s="4">
        <v>406</v>
      </c>
      <c r="B408" s="8" t="s">
        <v>1310</v>
      </c>
      <c r="C408" s="4" t="s">
        <v>1311</v>
      </c>
      <c r="D408" s="5">
        <v>43842.75</v>
      </c>
      <c r="E408" s="4" t="s">
        <v>481</v>
      </c>
      <c r="F408" s="4" t="s">
        <v>24</v>
      </c>
      <c r="G408" s="8" t="s">
        <v>1312</v>
      </c>
      <c r="H408" s="4">
        <v>30</v>
      </c>
      <c r="I408" s="4">
        <v>60</v>
      </c>
      <c r="J408" s="4" t="s">
        <v>1313</v>
      </c>
      <c r="K408" s="4">
        <v>2020</v>
      </c>
      <c r="L408" s="4">
        <v>1</v>
      </c>
      <c r="M408" s="4">
        <v>12</v>
      </c>
      <c r="N408" s="4">
        <v>18</v>
      </c>
    </row>
    <row r="409" spans="1:14" ht="30" x14ac:dyDescent="0.25">
      <c r="A409" s="2">
        <v>407</v>
      </c>
      <c r="B409" s="7" t="s">
        <v>1314</v>
      </c>
      <c r="C409" s="2" t="s">
        <v>1315</v>
      </c>
      <c r="D409" s="3">
        <v>43097.802083333336</v>
      </c>
      <c r="E409" s="2" t="s">
        <v>1316</v>
      </c>
      <c r="F409" s="2" t="s">
        <v>29</v>
      </c>
      <c r="G409" s="7" t="s">
        <v>1317</v>
      </c>
      <c r="H409" s="2">
        <v>22</v>
      </c>
      <c r="I409" s="2">
        <v>45</v>
      </c>
      <c r="J409" s="2" t="s">
        <v>1318</v>
      </c>
      <c r="K409" s="2">
        <v>2017</v>
      </c>
      <c r="L409" s="2">
        <v>12</v>
      </c>
      <c r="M409" s="2">
        <v>28</v>
      </c>
      <c r="N409" s="2">
        <v>19</v>
      </c>
    </row>
    <row r="410" spans="1:14" ht="30" x14ac:dyDescent="0.25">
      <c r="A410" s="4">
        <v>408</v>
      </c>
      <c r="B410" s="8" t="s">
        <v>1375</v>
      </c>
      <c r="C410" s="4" t="s">
        <v>1376</v>
      </c>
      <c r="D410" s="5">
        <v>43526.847222222219</v>
      </c>
      <c r="E410" s="4" t="s">
        <v>1321</v>
      </c>
      <c r="F410" s="4" t="s">
        <v>14</v>
      </c>
      <c r="G410" s="8" t="s">
        <v>1377</v>
      </c>
      <c r="H410" s="4">
        <v>35</v>
      </c>
      <c r="I410" s="4">
        <v>70</v>
      </c>
      <c r="J410" s="4" t="s">
        <v>1323</v>
      </c>
      <c r="K410" s="4">
        <v>2019</v>
      </c>
      <c r="L410" s="4">
        <v>3</v>
      </c>
      <c r="M410" s="4">
        <v>2</v>
      </c>
      <c r="N410" s="4">
        <v>20</v>
      </c>
    </row>
    <row r="411" spans="1:14" ht="30" x14ac:dyDescent="0.25">
      <c r="A411" s="2">
        <v>409</v>
      </c>
      <c r="B411" s="7" t="s">
        <v>1378</v>
      </c>
      <c r="C411" s="2" t="s">
        <v>1379</v>
      </c>
      <c r="D411" s="3">
        <v>44720.645833333336</v>
      </c>
      <c r="E411" s="2" t="s">
        <v>1326</v>
      </c>
      <c r="F411" s="2" t="s">
        <v>24</v>
      </c>
      <c r="G411" s="7" t="s">
        <v>1380</v>
      </c>
      <c r="H411" s="2">
        <v>20</v>
      </c>
      <c r="I411" s="2">
        <v>40</v>
      </c>
      <c r="J411" s="2" t="s">
        <v>1328</v>
      </c>
      <c r="K411" s="2">
        <v>2022</v>
      </c>
      <c r="L411" s="2">
        <v>6</v>
      </c>
      <c r="M411" s="2">
        <v>8</v>
      </c>
      <c r="N411" s="2">
        <v>15</v>
      </c>
    </row>
    <row r="412" spans="1:14" ht="30" x14ac:dyDescent="0.25">
      <c r="A412" s="4">
        <v>410</v>
      </c>
      <c r="B412" s="8" t="s">
        <v>1381</v>
      </c>
      <c r="C412" s="4" t="s">
        <v>1330</v>
      </c>
      <c r="D412" s="5">
        <v>43330.614583333336</v>
      </c>
      <c r="E412" s="4" t="s">
        <v>1331</v>
      </c>
      <c r="F412" s="4" t="s">
        <v>29</v>
      </c>
      <c r="G412" s="8" t="s">
        <v>1332</v>
      </c>
      <c r="H412" s="4">
        <v>18</v>
      </c>
      <c r="I412" s="4">
        <v>35</v>
      </c>
      <c r="J412" s="4" t="s">
        <v>1333</v>
      </c>
      <c r="K412" s="4">
        <v>2018</v>
      </c>
      <c r="L412" s="4">
        <v>8</v>
      </c>
      <c r="M412" s="4">
        <v>18</v>
      </c>
      <c r="N412" s="4">
        <v>14</v>
      </c>
    </row>
    <row r="413" spans="1:14" ht="45" x14ac:dyDescent="0.25">
      <c r="A413" s="2">
        <v>411</v>
      </c>
      <c r="B413" s="7" t="s">
        <v>1382</v>
      </c>
      <c r="C413" s="2" t="s">
        <v>1383</v>
      </c>
      <c r="D413" s="3">
        <v>42316.416666666664</v>
      </c>
      <c r="E413" s="2" t="s">
        <v>1233</v>
      </c>
      <c r="F413" s="2" t="s">
        <v>24</v>
      </c>
      <c r="G413" s="7" t="s">
        <v>1384</v>
      </c>
      <c r="H413" s="2">
        <v>18</v>
      </c>
      <c r="I413" s="2">
        <v>35</v>
      </c>
      <c r="J413" s="2" t="s">
        <v>36</v>
      </c>
      <c r="K413" s="2">
        <v>2015</v>
      </c>
      <c r="L413" s="2">
        <v>11</v>
      </c>
      <c r="M413" s="2">
        <v>8</v>
      </c>
      <c r="N413" s="2">
        <v>10</v>
      </c>
    </row>
    <row r="414" spans="1:14" ht="30" x14ac:dyDescent="0.25">
      <c r="A414" s="4">
        <v>412</v>
      </c>
      <c r="B414" s="8" t="s">
        <v>1385</v>
      </c>
      <c r="C414" s="4" t="s">
        <v>281</v>
      </c>
      <c r="D414" s="5">
        <v>44167.729166666664</v>
      </c>
      <c r="E414" s="4" t="s">
        <v>1386</v>
      </c>
      <c r="F414" s="4" t="s">
        <v>14</v>
      </c>
      <c r="G414" s="8" t="s">
        <v>1387</v>
      </c>
      <c r="H414" s="4">
        <v>22</v>
      </c>
      <c r="I414" s="4">
        <v>45</v>
      </c>
      <c r="J414" s="4" t="s">
        <v>1388</v>
      </c>
      <c r="K414" s="4">
        <v>2020</v>
      </c>
      <c r="L414" s="4">
        <v>12</v>
      </c>
      <c r="M414" s="4">
        <v>2</v>
      </c>
      <c r="N414" s="4">
        <v>17</v>
      </c>
    </row>
    <row r="415" spans="1:14" ht="30" x14ac:dyDescent="0.25">
      <c r="A415" s="2">
        <v>413</v>
      </c>
      <c r="B415" s="7" t="s">
        <v>1389</v>
      </c>
      <c r="C415" s="2" t="s">
        <v>875</v>
      </c>
      <c r="D415" s="3">
        <v>42896.510416666664</v>
      </c>
      <c r="E415" s="2" t="s">
        <v>1390</v>
      </c>
      <c r="F415" s="2" t="s">
        <v>24</v>
      </c>
      <c r="G415" s="7" t="s">
        <v>1391</v>
      </c>
      <c r="H415" s="2">
        <v>28</v>
      </c>
      <c r="I415" s="2">
        <v>55</v>
      </c>
      <c r="J415" s="2" t="s">
        <v>1392</v>
      </c>
      <c r="K415" s="2">
        <v>2017</v>
      </c>
      <c r="L415" s="2">
        <v>6</v>
      </c>
      <c r="M415" s="2">
        <v>10</v>
      </c>
      <c r="N415" s="2">
        <v>12</v>
      </c>
    </row>
    <row r="416" spans="1:14" ht="30" x14ac:dyDescent="0.25">
      <c r="A416" s="4">
        <v>414</v>
      </c>
      <c r="B416" s="8" t="s">
        <v>1393</v>
      </c>
      <c r="C416" s="4" t="s">
        <v>1394</v>
      </c>
      <c r="D416" s="5">
        <v>44301.597222222219</v>
      </c>
      <c r="E416" s="4" t="s">
        <v>1395</v>
      </c>
      <c r="F416" s="4" t="s">
        <v>29</v>
      </c>
      <c r="G416" s="8" t="s">
        <v>1396</v>
      </c>
      <c r="H416" s="4">
        <v>35</v>
      </c>
      <c r="I416" s="4">
        <v>70</v>
      </c>
      <c r="J416" s="4" t="s">
        <v>1269</v>
      </c>
      <c r="K416" s="4">
        <v>2021</v>
      </c>
      <c r="L416" s="4">
        <v>4</v>
      </c>
      <c r="M416" s="4">
        <v>15</v>
      </c>
      <c r="N416" s="4">
        <v>14</v>
      </c>
    </row>
    <row r="417" spans="1:14" ht="30" x14ac:dyDescent="0.25">
      <c r="A417" s="2">
        <v>415</v>
      </c>
      <c r="B417" s="7" t="s">
        <v>1397</v>
      </c>
      <c r="C417" s="2" t="s">
        <v>1398</v>
      </c>
      <c r="D417" s="3">
        <v>43736.822916666664</v>
      </c>
      <c r="E417" s="2" t="s">
        <v>1399</v>
      </c>
      <c r="F417" s="2" t="s">
        <v>14</v>
      </c>
      <c r="G417" s="7" t="s">
        <v>1400</v>
      </c>
      <c r="H417" s="2">
        <v>20</v>
      </c>
      <c r="I417" s="2">
        <v>40</v>
      </c>
      <c r="J417" s="2" t="s">
        <v>1401</v>
      </c>
      <c r="K417" s="2">
        <v>2019</v>
      </c>
      <c r="L417" s="2">
        <v>9</v>
      </c>
      <c r="M417" s="2">
        <v>28</v>
      </c>
      <c r="N417" s="2">
        <v>19</v>
      </c>
    </row>
    <row r="418" spans="1:14" ht="30" x14ac:dyDescent="0.25">
      <c r="A418" s="4">
        <v>416</v>
      </c>
      <c r="B418" s="8" t="s">
        <v>1402</v>
      </c>
      <c r="C418" s="4" t="s">
        <v>1403</v>
      </c>
      <c r="D418" s="5">
        <v>42709.875</v>
      </c>
      <c r="E418" s="4" t="s">
        <v>1404</v>
      </c>
      <c r="F418" s="4" t="s">
        <v>24</v>
      </c>
      <c r="G418" s="8" t="s">
        <v>1405</v>
      </c>
      <c r="H418" s="4">
        <v>25</v>
      </c>
      <c r="I418" s="4">
        <v>50</v>
      </c>
      <c r="J418" s="4" t="s">
        <v>1406</v>
      </c>
      <c r="K418" s="4">
        <v>2016</v>
      </c>
      <c r="L418" s="4">
        <v>12</v>
      </c>
      <c r="M418" s="4">
        <v>5</v>
      </c>
      <c r="N418" s="4">
        <v>21</v>
      </c>
    </row>
    <row r="419" spans="1:14" ht="30" x14ac:dyDescent="0.25">
      <c r="A419" s="2">
        <v>417</v>
      </c>
      <c r="B419" s="7" t="s">
        <v>1407</v>
      </c>
      <c r="C419" s="2" t="s">
        <v>1408</v>
      </c>
      <c r="D419" s="3">
        <v>43141.979166666664</v>
      </c>
      <c r="E419" s="2" t="s">
        <v>1409</v>
      </c>
      <c r="F419" s="2" t="s">
        <v>29</v>
      </c>
      <c r="G419" s="7" t="s">
        <v>1410</v>
      </c>
      <c r="H419" s="2">
        <v>30</v>
      </c>
      <c r="I419" s="2">
        <v>60</v>
      </c>
      <c r="J419" s="2" t="s">
        <v>1411</v>
      </c>
      <c r="K419" s="2">
        <v>2018</v>
      </c>
      <c r="L419" s="2">
        <v>2</v>
      </c>
      <c r="M419" s="2">
        <v>10</v>
      </c>
      <c r="N419" s="2">
        <v>23</v>
      </c>
    </row>
    <row r="420" spans="1:14" ht="30" x14ac:dyDescent="0.25">
      <c r="A420" s="4">
        <v>418</v>
      </c>
      <c r="B420" s="8" t="s">
        <v>1412</v>
      </c>
      <c r="C420" s="4" t="s">
        <v>1413</v>
      </c>
      <c r="D420" s="5">
        <v>44972.354166666664</v>
      </c>
      <c r="E420" s="4" t="s">
        <v>1414</v>
      </c>
      <c r="F420" s="4" t="s">
        <v>14</v>
      </c>
      <c r="G420" s="8" t="s">
        <v>1415</v>
      </c>
      <c r="H420" s="4">
        <v>18</v>
      </c>
      <c r="I420" s="4">
        <v>35</v>
      </c>
      <c r="J420" s="4" t="s">
        <v>1416</v>
      </c>
      <c r="K420" s="4">
        <v>2023</v>
      </c>
      <c r="L420" s="4">
        <v>2</v>
      </c>
      <c r="M420" s="4">
        <v>15</v>
      </c>
      <c r="N420" s="4">
        <v>8</v>
      </c>
    </row>
    <row r="421" spans="1:14" ht="30" x14ac:dyDescent="0.25">
      <c r="A421" s="2">
        <v>419</v>
      </c>
      <c r="B421" s="7" t="s">
        <v>1417</v>
      </c>
      <c r="C421" s="2" t="s">
        <v>1418</v>
      </c>
      <c r="D421" s="3">
        <v>42238.625</v>
      </c>
      <c r="E421" s="2" t="s">
        <v>1419</v>
      </c>
      <c r="F421" s="2" t="s">
        <v>24</v>
      </c>
      <c r="G421" s="7" t="s">
        <v>1420</v>
      </c>
      <c r="H421" s="2">
        <v>22</v>
      </c>
      <c r="I421" s="2">
        <v>45</v>
      </c>
      <c r="J421" s="2" t="s">
        <v>1421</v>
      </c>
      <c r="K421" s="2">
        <v>2015</v>
      </c>
      <c r="L421" s="2">
        <v>8</v>
      </c>
      <c r="M421" s="2">
        <v>22</v>
      </c>
      <c r="N421" s="2">
        <v>15</v>
      </c>
    </row>
    <row r="422" spans="1:14" ht="30" x14ac:dyDescent="0.25">
      <c r="A422" s="4">
        <v>420</v>
      </c>
      <c r="B422" s="8" t="s">
        <v>1422</v>
      </c>
      <c r="C422" s="4" t="s">
        <v>1423</v>
      </c>
      <c r="D422" s="5">
        <v>44155.78125</v>
      </c>
      <c r="E422" s="4" t="s">
        <v>1424</v>
      </c>
      <c r="F422" s="4" t="s">
        <v>29</v>
      </c>
      <c r="G422" s="8" t="s">
        <v>1425</v>
      </c>
      <c r="H422" s="4">
        <v>28</v>
      </c>
      <c r="I422" s="4">
        <v>55</v>
      </c>
      <c r="J422" s="4" t="s">
        <v>1426</v>
      </c>
      <c r="K422" s="4">
        <v>2020</v>
      </c>
      <c r="L422" s="4">
        <v>11</v>
      </c>
      <c r="M422" s="4">
        <v>20</v>
      </c>
      <c r="N422" s="4">
        <v>18</v>
      </c>
    </row>
    <row r="423" spans="1:14" x14ac:dyDescent="0.25">
      <c r="A423" s="2">
        <v>421</v>
      </c>
      <c r="B423" s="7" t="s">
        <v>1427</v>
      </c>
      <c r="C423" s="2" t="s">
        <v>1428</v>
      </c>
      <c r="D423" s="3">
        <v>43682.875</v>
      </c>
      <c r="E423" s="2" t="s">
        <v>1429</v>
      </c>
      <c r="F423" s="2" t="s">
        <v>24</v>
      </c>
      <c r="G423" s="7" t="s">
        <v>1430</v>
      </c>
      <c r="H423" s="2">
        <v>15</v>
      </c>
      <c r="I423" s="2">
        <v>30</v>
      </c>
      <c r="J423" s="2" t="s">
        <v>1269</v>
      </c>
      <c r="K423" s="2">
        <v>2019</v>
      </c>
      <c r="L423" s="2">
        <v>8</v>
      </c>
      <c r="M423" s="2">
        <v>5</v>
      </c>
      <c r="N423" s="2">
        <v>21</v>
      </c>
    </row>
    <row r="424" spans="1:14" ht="30" x14ac:dyDescent="0.25">
      <c r="A424" s="4">
        <v>422</v>
      </c>
      <c r="B424" s="8" t="s">
        <v>1431</v>
      </c>
      <c r="C424" s="4" t="s">
        <v>1432</v>
      </c>
      <c r="D424" s="5">
        <v>44239.697916666664</v>
      </c>
      <c r="E424" s="4" t="s">
        <v>1433</v>
      </c>
      <c r="F424" s="4" t="s">
        <v>14</v>
      </c>
      <c r="G424" s="8" t="s">
        <v>1434</v>
      </c>
      <c r="H424" s="4">
        <v>18</v>
      </c>
      <c r="I424" s="4">
        <v>35</v>
      </c>
      <c r="J424" s="4" t="s">
        <v>591</v>
      </c>
      <c r="K424" s="4">
        <v>2021</v>
      </c>
      <c r="L424" s="4">
        <v>2</v>
      </c>
      <c r="M424" s="4">
        <v>12</v>
      </c>
      <c r="N424" s="4">
        <v>16</v>
      </c>
    </row>
    <row r="425" spans="1:14" ht="30" x14ac:dyDescent="0.25">
      <c r="A425" s="2">
        <v>423</v>
      </c>
      <c r="B425" s="7" t="s">
        <v>1435</v>
      </c>
      <c r="C425" s="2" t="s">
        <v>1436</v>
      </c>
      <c r="D425" s="3">
        <v>44163.597222222219</v>
      </c>
      <c r="E425" s="2" t="s">
        <v>1437</v>
      </c>
      <c r="F425" s="2" t="s">
        <v>29</v>
      </c>
      <c r="G425" s="7" t="s">
        <v>1438</v>
      </c>
      <c r="H425" s="2">
        <v>22</v>
      </c>
      <c r="I425" s="2">
        <v>45</v>
      </c>
      <c r="J425" s="2" t="s">
        <v>1401</v>
      </c>
      <c r="K425" s="2">
        <v>2020</v>
      </c>
      <c r="L425" s="2">
        <v>11</v>
      </c>
      <c r="M425" s="2">
        <v>28</v>
      </c>
      <c r="N425" s="2">
        <v>14</v>
      </c>
    </row>
    <row r="426" spans="1:14" ht="30" x14ac:dyDescent="0.25">
      <c r="A426" s="4">
        <v>424</v>
      </c>
      <c r="B426" s="8" t="s">
        <v>1439</v>
      </c>
      <c r="C426" s="4" t="s">
        <v>1440</v>
      </c>
      <c r="D426" s="5">
        <v>42505.9375</v>
      </c>
      <c r="E426" s="4" t="s">
        <v>1441</v>
      </c>
      <c r="F426" s="4" t="s">
        <v>24</v>
      </c>
      <c r="G426" s="8" t="s">
        <v>1442</v>
      </c>
      <c r="H426" s="4">
        <v>28</v>
      </c>
      <c r="I426" s="4">
        <v>55</v>
      </c>
      <c r="J426" s="4" t="s">
        <v>1443</v>
      </c>
      <c r="K426" s="4">
        <v>2016</v>
      </c>
      <c r="L426" s="4">
        <v>5</v>
      </c>
      <c r="M426" s="4">
        <v>15</v>
      </c>
      <c r="N426" s="4">
        <v>22</v>
      </c>
    </row>
    <row r="427" spans="1:14" x14ac:dyDescent="0.25">
      <c r="A427" s="2">
        <v>425</v>
      </c>
      <c r="B427" s="7" t="s">
        <v>1444</v>
      </c>
      <c r="C427" s="2" t="s">
        <v>1445</v>
      </c>
      <c r="D427" s="3">
        <v>43353.552083333336</v>
      </c>
      <c r="E427" s="2" t="s">
        <v>1446</v>
      </c>
      <c r="F427" s="2" t="s">
        <v>14</v>
      </c>
      <c r="G427" s="7" t="s">
        <v>1447</v>
      </c>
      <c r="H427" s="2">
        <v>22</v>
      </c>
      <c r="I427" s="2">
        <v>45</v>
      </c>
      <c r="J427" s="2" t="s">
        <v>1279</v>
      </c>
      <c r="K427" s="2">
        <v>2018</v>
      </c>
      <c r="L427" s="2">
        <v>9</v>
      </c>
      <c r="M427" s="2">
        <v>10</v>
      </c>
      <c r="N427" s="2">
        <v>13</v>
      </c>
    </row>
    <row r="428" spans="1:14" ht="30" x14ac:dyDescent="0.25">
      <c r="A428" s="4">
        <v>426</v>
      </c>
      <c r="B428" s="8" t="s">
        <v>1448</v>
      </c>
      <c r="C428" s="4" t="s">
        <v>1449</v>
      </c>
      <c r="D428" s="5">
        <v>44640.8125</v>
      </c>
      <c r="E428" s="4" t="s">
        <v>1450</v>
      </c>
      <c r="F428" s="4" t="s">
        <v>29</v>
      </c>
      <c r="G428" s="8" t="s">
        <v>1451</v>
      </c>
      <c r="H428" s="4">
        <v>25</v>
      </c>
      <c r="I428" s="4">
        <v>50</v>
      </c>
      <c r="J428" s="4" t="s">
        <v>1421</v>
      </c>
      <c r="K428" s="4">
        <v>2022</v>
      </c>
      <c r="L428" s="4">
        <v>3</v>
      </c>
      <c r="M428" s="4">
        <v>20</v>
      </c>
      <c r="N428" s="4">
        <v>19</v>
      </c>
    </row>
    <row r="429" spans="1:14" ht="30" x14ac:dyDescent="0.25">
      <c r="A429" s="2">
        <v>427</v>
      </c>
      <c r="B429" s="7" t="s">
        <v>1452</v>
      </c>
      <c r="C429" s="2" t="s">
        <v>1453</v>
      </c>
      <c r="D429" s="3">
        <v>42934.739583333336</v>
      </c>
      <c r="E429" s="2" t="s">
        <v>1454</v>
      </c>
      <c r="F429" s="2" t="s">
        <v>24</v>
      </c>
      <c r="G429" s="7" t="s">
        <v>1455</v>
      </c>
      <c r="H429" s="2">
        <v>30</v>
      </c>
      <c r="I429" s="2">
        <v>60</v>
      </c>
      <c r="J429" s="2" t="s">
        <v>1406</v>
      </c>
      <c r="K429" s="2">
        <v>2017</v>
      </c>
      <c r="L429" s="2">
        <v>7</v>
      </c>
      <c r="M429" s="2">
        <v>18</v>
      </c>
      <c r="N429" s="2">
        <v>17</v>
      </c>
    </row>
    <row r="430" spans="1:14" ht="30" x14ac:dyDescent="0.25">
      <c r="A430" s="4">
        <v>428</v>
      </c>
      <c r="B430" s="8" t="s">
        <v>1456</v>
      </c>
      <c r="C430" s="4" t="s">
        <v>1457</v>
      </c>
      <c r="D430" s="5">
        <v>43449.416666666664</v>
      </c>
      <c r="E430" s="4" t="s">
        <v>1458</v>
      </c>
      <c r="F430" s="4" t="s">
        <v>14</v>
      </c>
      <c r="G430" s="8" t="s">
        <v>1459</v>
      </c>
      <c r="H430" s="4">
        <v>18</v>
      </c>
      <c r="I430" s="4">
        <v>35</v>
      </c>
      <c r="J430" s="4" t="s">
        <v>1460</v>
      </c>
      <c r="K430" s="4">
        <v>2018</v>
      </c>
      <c r="L430" s="4">
        <v>12</v>
      </c>
      <c r="M430" s="4">
        <v>15</v>
      </c>
      <c r="N430" s="4">
        <v>10</v>
      </c>
    </row>
    <row r="431" spans="1:14" ht="30" x14ac:dyDescent="0.25">
      <c r="A431" s="2">
        <v>429</v>
      </c>
      <c r="B431" s="7" t="s">
        <v>1461</v>
      </c>
      <c r="C431" s="2" t="s">
        <v>1436</v>
      </c>
      <c r="D431" s="3">
        <v>42183.885416666664</v>
      </c>
      <c r="E431" s="2" t="s">
        <v>1462</v>
      </c>
      <c r="F431" s="2" t="s">
        <v>29</v>
      </c>
      <c r="G431" s="7" t="s">
        <v>1463</v>
      </c>
      <c r="H431" s="2">
        <v>28</v>
      </c>
      <c r="I431" s="2">
        <v>55</v>
      </c>
      <c r="J431" s="2" t="s">
        <v>1464</v>
      </c>
      <c r="K431" s="2">
        <v>2015</v>
      </c>
      <c r="L431" s="2">
        <v>6</v>
      </c>
      <c r="M431" s="2">
        <v>28</v>
      </c>
      <c r="N431" s="2">
        <v>21</v>
      </c>
    </row>
    <row r="432" spans="1:14" ht="30" x14ac:dyDescent="0.25">
      <c r="A432" s="4">
        <v>430</v>
      </c>
      <c r="B432" s="8" t="s">
        <v>1465</v>
      </c>
      <c r="C432" s="4" t="s">
        <v>1466</v>
      </c>
      <c r="D432" s="5">
        <v>43923.597222222219</v>
      </c>
      <c r="E432" s="4" t="s">
        <v>1467</v>
      </c>
      <c r="F432" s="4" t="s">
        <v>24</v>
      </c>
      <c r="G432" s="8" t="s">
        <v>1468</v>
      </c>
      <c r="H432" s="4">
        <v>35</v>
      </c>
      <c r="I432" s="4">
        <v>70</v>
      </c>
      <c r="J432" s="4" t="s">
        <v>1469</v>
      </c>
      <c r="K432" s="4">
        <v>2020</v>
      </c>
      <c r="L432" s="4">
        <v>4</v>
      </c>
      <c r="M432" s="4">
        <v>2</v>
      </c>
      <c r="N432" s="4">
        <v>14</v>
      </c>
    </row>
    <row r="433" spans="1:14" ht="30" x14ac:dyDescent="0.25">
      <c r="A433" s="2">
        <v>431</v>
      </c>
      <c r="B433" s="7" t="s">
        <v>1470</v>
      </c>
      <c r="C433" s="2" t="s">
        <v>1471</v>
      </c>
      <c r="D433" s="3">
        <v>43746.770833333336</v>
      </c>
      <c r="E433" s="2" t="s">
        <v>1472</v>
      </c>
      <c r="F433" s="2" t="s">
        <v>14</v>
      </c>
      <c r="G433" s="7" t="s">
        <v>1473</v>
      </c>
      <c r="H433" s="2">
        <v>20</v>
      </c>
      <c r="I433" s="2">
        <v>40</v>
      </c>
      <c r="J433" s="2" t="s">
        <v>1474</v>
      </c>
      <c r="K433" s="2">
        <v>2019</v>
      </c>
      <c r="L433" s="2">
        <v>10</v>
      </c>
      <c r="M433" s="2">
        <v>8</v>
      </c>
      <c r="N433" s="2">
        <v>18</v>
      </c>
    </row>
    <row r="434" spans="1:14" ht="30" x14ac:dyDescent="0.25">
      <c r="A434" s="4">
        <v>432</v>
      </c>
      <c r="B434" s="8" t="s">
        <v>1475</v>
      </c>
      <c r="C434" s="4" t="s">
        <v>1476</v>
      </c>
      <c r="D434" s="5">
        <v>42696.40625</v>
      </c>
      <c r="E434" s="4" t="s">
        <v>1477</v>
      </c>
      <c r="F434" s="4" t="s">
        <v>29</v>
      </c>
      <c r="G434" s="8" t="s">
        <v>1478</v>
      </c>
      <c r="H434" s="4">
        <v>22</v>
      </c>
      <c r="I434" s="4">
        <v>45</v>
      </c>
      <c r="J434" s="4" t="s">
        <v>1479</v>
      </c>
      <c r="K434" s="4">
        <v>2016</v>
      </c>
      <c r="L434" s="4">
        <v>11</v>
      </c>
      <c r="M434" s="4">
        <v>22</v>
      </c>
      <c r="N434" s="4">
        <v>9</v>
      </c>
    </row>
    <row r="435" spans="1:14" ht="30" x14ac:dyDescent="0.25">
      <c r="A435" s="2">
        <v>433</v>
      </c>
      <c r="B435" s="7" t="s">
        <v>1480</v>
      </c>
      <c r="C435" s="2" t="s">
        <v>1440</v>
      </c>
      <c r="D435" s="3">
        <v>44791.916666666664</v>
      </c>
      <c r="E435" s="2" t="s">
        <v>1481</v>
      </c>
      <c r="F435" s="2" t="s">
        <v>24</v>
      </c>
      <c r="G435" s="7" t="s">
        <v>1482</v>
      </c>
      <c r="H435" s="2">
        <v>40</v>
      </c>
      <c r="I435" s="2">
        <v>80</v>
      </c>
      <c r="J435" s="2" t="s">
        <v>1483</v>
      </c>
      <c r="K435" s="2">
        <v>2022</v>
      </c>
      <c r="L435" s="2">
        <v>8</v>
      </c>
      <c r="M435" s="2">
        <v>18</v>
      </c>
      <c r="N435" s="2">
        <v>22</v>
      </c>
    </row>
    <row r="436" spans="1:14" ht="30" x14ac:dyDescent="0.25">
      <c r="A436" s="4">
        <v>434</v>
      </c>
      <c r="B436" s="8" t="s">
        <v>1484</v>
      </c>
      <c r="C436" s="4" t="s">
        <v>1485</v>
      </c>
      <c r="D436" s="5">
        <v>42806.979166666664</v>
      </c>
      <c r="E436" s="4" t="s">
        <v>1486</v>
      </c>
      <c r="F436" s="4" t="s">
        <v>872</v>
      </c>
      <c r="G436" s="8" t="s">
        <v>1487</v>
      </c>
      <c r="H436" s="4">
        <v>18</v>
      </c>
      <c r="I436" s="4">
        <v>35</v>
      </c>
      <c r="J436" s="4" t="s">
        <v>188</v>
      </c>
      <c r="K436" s="4">
        <v>2017</v>
      </c>
      <c r="L436" s="4">
        <v>3</v>
      </c>
      <c r="M436" s="4">
        <v>12</v>
      </c>
      <c r="N436" s="4">
        <v>23</v>
      </c>
    </row>
    <row r="437" spans="1:14" ht="30" x14ac:dyDescent="0.25">
      <c r="A437" s="2">
        <v>435</v>
      </c>
      <c r="B437" s="7" t="s">
        <v>1488</v>
      </c>
      <c r="C437" s="2" t="s">
        <v>982</v>
      </c>
      <c r="D437" s="3">
        <v>42353.677083333336</v>
      </c>
      <c r="E437" s="2" t="s">
        <v>1489</v>
      </c>
      <c r="F437" s="2" t="s">
        <v>29</v>
      </c>
      <c r="G437" s="7" t="s">
        <v>1490</v>
      </c>
      <c r="H437" s="2">
        <v>25</v>
      </c>
      <c r="I437" s="2">
        <v>50</v>
      </c>
      <c r="J437" s="2" t="s">
        <v>247</v>
      </c>
      <c r="K437" s="2">
        <v>2015</v>
      </c>
      <c r="L437" s="2">
        <v>12</v>
      </c>
      <c r="M437" s="2">
        <v>15</v>
      </c>
      <c r="N437" s="2">
        <v>16</v>
      </c>
    </row>
    <row r="438" spans="1:14" ht="30" x14ac:dyDescent="0.25">
      <c r="A438" s="4">
        <v>436</v>
      </c>
      <c r="B438" s="8" t="s">
        <v>1491</v>
      </c>
      <c r="C438" s="4" t="s">
        <v>1492</v>
      </c>
      <c r="D438" s="5">
        <v>44444.5625</v>
      </c>
      <c r="E438" s="4" t="s">
        <v>1493</v>
      </c>
      <c r="F438" s="4" t="s">
        <v>24</v>
      </c>
      <c r="G438" s="8" t="s">
        <v>1494</v>
      </c>
      <c r="H438" s="4">
        <v>35</v>
      </c>
      <c r="I438" s="4">
        <v>70</v>
      </c>
      <c r="J438" s="4" t="s">
        <v>197</v>
      </c>
      <c r="K438" s="4">
        <v>2021</v>
      </c>
      <c r="L438" s="4">
        <v>9</v>
      </c>
      <c r="M438" s="4">
        <v>5</v>
      </c>
      <c r="N438" s="4">
        <v>13</v>
      </c>
    </row>
    <row r="439" spans="1:14" ht="30" x14ac:dyDescent="0.25">
      <c r="A439" s="2">
        <v>437</v>
      </c>
      <c r="B439" s="7" t="s">
        <v>1495</v>
      </c>
      <c r="C439" s="2" t="s">
        <v>1496</v>
      </c>
      <c r="D439" s="3">
        <v>43242.864583333336</v>
      </c>
      <c r="E439" s="2" t="s">
        <v>1497</v>
      </c>
      <c r="F439" s="2" t="s">
        <v>14</v>
      </c>
      <c r="G439" s="7" t="s">
        <v>1498</v>
      </c>
      <c r="H439" s="2">
        <v>18</v>
      </c>
      <c r="I439" s="2">
        <v>35</v>
      </c>
      <c r="J439" s="2" t="s">
        <v>1499</v>
      </c>
      <c r="K439" s="2">
        <v>2018</v>
      </c>
      <c r="L439" s="2">
        <v>5</v>
      </c>
      <c r="M439" s="2">
        <v>22</v>
      </c>
      <c r="N439" s="2">
        <v>20</v>
      </c>
    </row>
    <row r="440" spans="1:14" ht="30" x14ac:dyDescent="0.25">
      <c r="A440" s="4">
        <v>438</v>
      </c>
      <c r="B440" s="8" t="s">
        <v>1500</v>
      </c>
      <c r="C440" s="4" t="s">
        <v>1501</v>
      </c>
      <c r="D440" s="5">
        <v>42561.763888888891</v>
      </c>
      <c r="E440" s="4" t="s">
        <v>1502</v>
      </c>
      <c r="F440" s="4" t="s">
        <v>29</v>
      </c>
      <c r="G440" s="8" t="s">
        <v>1503</v>
      </c>
      <c r="H440" s="4">
        <v>28</v>
      </c>
      <c r="I440" s="4">
        <v>55</v>
      </c>
      <c r="J440" s="4" t="s">
        <v>1504</v>
      </c>
      <c r="K440" s="4">
        <v>2016</v>
      </c>
      <c r="L440" s="4">
        <v>7</v>
      </c>
      <c r="M440" s="4">
        <v>10</v>
      </c>
      <c r="N440" s="4">
        <v>18</v>
      </c>
    </row>
    <row r="441" spans="1:14" ht="30" x14ac:dyDescent="0.25">
      <c r="A441" s="2">
        <v>439</v>
      </c>
      <c r="B441" s="7" t="s">
        <v>1505</v>
      </c>
      <c r="C441" s="2" t="s">
        <v>1506</v>
      </c>
      <c r="D441" s="3">
        <v>43585.583333333336</v>
      </c>
      <c r="E441" s="2" t="s">
        <v>1507</v>
      </c>
      <c r="F441" s="2" t="s">
        <v>24</v>
      </c>
      <c r="G441" s="7" t="s">
        <v>1508</v>
      </c>
      <c r="H441" s="2">
        <v>22</v>
      </c>
      <c r="I441" s="2">
        <v>45</v>
      </c>
      <c r="J441" s="2" t="s">
        <v>1509</v>
      </c>
      <c r="K441" s="2">
        <v>2019</v>
      </c>
      <c r="L441" s="2">
        <v>4</v>
      </c>
      <c r="M441" s="2">
        <v>30</v>
      </c>
      <c r="N441" s="2">
        <v>14</v>
      </c>
    </row>
    <row r="442" spans="1:14" ht="30" x14ac:dyDescent="0.25">
      <c r="A442" s="4">
        <v>440</v>
      </c>
      <c r="B442" s="8" t="s">
        <v>1510</v>
      </c>
      <c r="C442" s="4" t="s">
        <v>1511</v>
      </c>
      <c r="D442" s="5">
        <v>44569.479166666664</v>
      </c>
      <c r="E442" s="4" t="s">
        <v>1512</v>
      </c>
      <c r="F442" s="4" t="s">
        <v>14</v>
      </c>
      <c r="G442" s="8" t="s">
        <v>1513</v>
      </c>
      <c r="H442" s="4">
        <v>20</v>
      </c>
      <c r="I442" s="4">
        <v>40</v>
      </c>
      <c r="J442" s="4" t="s">
        <v>1514</v>
      </c>
      <c r="K442" s="4">
        <v>2022</v>
      </c>
      <c r="L442" s="4">
        <v>1</v>
      </c>
      <c r="M442" s="4">
        <v>8</v>
      </c>
      <c r="N442" s="4">
        <v>11</v>
      </c>
    </row>
    <row r="443" spans="1:14" ht="30" x14ac:dyDescent="0.25">
      <c r="A443" s="2">
        <v>441</v>
      </c>
      <c r="B443" s="7" t="s">
        <v>1515</v>
      </c>
      <c r="C443" s="2" t="s">
        <v>1516</v>
      </c>
      <c r="D443" s="3">
        <v>42988.802083333336</v>
      </c>
      <c r="E443" s="2" t="s">
        <v>1517</v>
      </c>
      <c r="F443" s="2" t="s">
        <v>872</v>
      </c>
      <c r="G443" s="7" t="s">
        <v>1518</v>
      </c>
      <c r="H443" s="2">
        <v>20</v>
      </c>
      <c r="I443" s="2">
        <v>40</v>
      </c>
      <c r="J443" s="2" t="s">
        <v>36</v>
      </c>
      <c r="K443" s="2">
        <v>2017</v>
      </c>
      <c r="L443" s="2">
        <v>9</v>
      </c>
      <c r="M443" s="2">
        <v>10</v>
      </c>
      <c r="N443" s="2">
        <v>19</v>
      </c>
    </row>
    <row r="444" spans="1:14" ht="30" x14ac:dyDescent="0.25">
      <c r="A444" s="4">
        <v>442</v>
      </c>
      <c r="B444" s="8" t="s">
        <v>1519</v>
      </c>
      <c r="C444" s="4" t="s">
        <v>1520</v>
      </c>
      <c r="D444" s="5">
        <v>44669.479166666664</v>
      </c>
      <c r="E444" s="4" t="s">
        <v>1521</v>
      </c>
      <c r="F444" s="4" t="s">
        <v>24</v>
      </c>
      <c r="G444" s="8" t="s">
        <v>1522</v>
      </c>
      <c r="H444" s="4">
        <v>25</v>
      </c>
      <c r="I444" s="4">
        <v>50</v>
      </c>
      <c r="J444" s="4" t="s">
        <v>121</v>
      </c>
      <c r="K444" s="4">
        <v>2022</v>
      </c>
      <c r="L444" s="4">
        <v>4</v>
      </c>
      <c r="M444" s="4">
        <v>18</v>
      </c>
      <c r="N444" s="4">
        <v>11</v>
      </c>
    </row>
    <row r="445" spans="1:14" ht="30" x14ac:dyDescent="0.25">
      <c r="A445" s="2">
        <v>443</v>
      </c>
      <c r="B445" s="7" t="s">
        <v>1523</v>
      </c>
      <c r="C445" s="2" t="s">
        <v>1524</v>
      </c>
      <c r="D445" s="3">
        <v>43439.90625</v>
      </c>
      <c r="E445" s="2" t="s">
        <v>1525</v>
      </c>
      <c r="F445" s="2" t="s">
        <v>29</v>
      </c>
      <c r="G445" s="7" t="s">
        <v>1526</v>
      </c>
      <c r="H445" s="2">
        <v>18</v>
      </c>
      <c r="I445" s="2">
        <v>35</v>
      </c>
      <c r="J445" s="2" t="s">
        <v>96</v>
      </c>
      <c r="K445" s="2">
        <v>2018</v>
      </c>
      <c r="L445" s="2">
        <v>12</v>
      </c>
      <c r="M445" s="2">
        <v>5</v>
      </c>
      <c r="N445" s="2">
        <v>21</v>
      </c>
    </row>
    <row r="446" spans="1:14" ht="30" x14ac:dyDescent="0.25">
      <c r="A446" s="4">
        <v>444</v>
      </c>
      <c r="B446" s="8" t="s">
        <v>1527</v>
      </c>
      <c r="C446" s="4" t="s">
        <v>647</v>
      </c>
      <c r="D446" s="5">
        <v>42549.597222222219</v>
      </c>
      <c r="E446" s="4" t="s">
        <v>1528</v>
      </c>
      <c r="F446" s="4" t="s">
        <v>872</v>
      </c>
      <c r="G446" s="8" t="s">
        <v>1529</v>
      </c>
      <c r="H446" s="4">
        <v>22</v>
      </c>
      <c r="I446" s="4">
        <v>45</v>
      </c>
      <c r="J446" s="4" t="s">
        <v>107</v>
      </c>
      <c r="K446" s="4">
        <v>2016</v>
      </c>
      <c r="L446" s="4">
        <v>6</v>
      </c>
      <c r="M446" s="4">
        <v>28</v>
      </c>
      <c r="N446" s="4">
        <v>14</v>
      </c>
    </row>
    <row r="447" spans="1:14" ht="30" x14ac:dyDescent="0.25">
      <c r="A447" s="2">
        <v>445</v>
      </c>
      <c r="B447" s="7" t="s">
        <v>1530</v>
      </c>
      <c r="C447" s="2" t="s">
        <v>982</v>
      </c>
      <c r="D447" s="3">
        <v>43760.708333333336</v>
      </c>
      <c r="E447" s="2" t="s">
        <v>1531</v>
      </c>
      <c r="F447" s="2" t="s">
        <v>24</v>
      </c>
      <c r="G447" s="7" t="s">
        <v>1532</v>
      </c>
      <c r="H447" s="2">
        <v>15</v>
      </c>
      <c r="I447" s="2">
        <v>30</v>
      </c>
      <c r="J447" s="2" t="s">
        <v>1533</v>
      </c>
      <c r="K447" s="2">
        <v>2019</v>
      </c>
      <c r="L447" s="2">
        <v>10</v>
      </c>
      <c r="M447" s="2">
        <v>22</v>
      </c>
      <c r="N447" s="2">
        <v>17</v>
      </c>
    </row>
    <row r="448" spans="1:14" ht="30" x14ac:dyDescent="0.25">
      <c r="A448" s="4">
        <v>446</v>
      </c>
      <c r="B448" s="8" t="s">
        <v>1534</v>
      </c>
      <c r="C448" s="4" t="s">
        <v>1516</v>
      </c>
      <c r="D448" s="5">
        <v>44270.947916666664</v>
      </c>
      <c r="E448" s="4" t="s">
        <v>1535</v>
      </c>
      <c r="F448" s="4" t="s">
        <v>29</v>
      </c>
      <c r="G448" s="8" t="s">
        <v>1536</v>
      </c>
      <c r="H448" s="4">
        <v>28</v>
      </c>
      <c r="I448" s="4">
        <v>55</v>
      </c>
      <c r="J448" s="4" t="s">
        <v>1537</v>
      </c>
      <c r="K448" s="4">
        <v>2021</v>
      </c>
      <c r="L448" s="4">
        <v>3</v>
      </c>
      <c r="M448" s="4">
        <v>15</v>
      </c>
      <c r="N448" s="4">
        <v>22</v>
      </c>
    </row>
    <row r="449" spans="1:14" ht="30" x14ac:dyDescent="0.25">
      <c r="A449" s="2">
        <v>447</v>
      </c>
      <c r="B449" s="7" t="s">
        <v>1538</v>
      </c>
      <c r="C449" s="2" t="s">
        <v>1539</v>
      </c>
      <c r="D449" s="3">
        <v>42957.8125</v>
      </c>
      <c r="E449" s="2" t="s">
        <v>1540</v>
      </c>
      <c r="F449" s="2" t="s">
        <v>872</v>
      </c>
      <c r="G449" s="7" t="s">
        <v>1541</v>
      </c>
      <c r="H449" s="2">
        <v>22</v>
      </c>
      <c r="I449" s="2">
        <v>45</v>
      </c>
      <c r="J449" s="2" t="s">
        <v>1542</v>
      </c>
      <c r="K449" s="2">
        <v>2017</v>
      </c>
      <c r="L449" s="2">
        <v>8</v>
      </c>
      <c r="M449" s="2">
        <v>10</v>
      </c>
      <c r="N449" s="2">
        <v>19</v>
      </c>
    </row>
    <row r="450" spans="1:14" ht="30" x14ac:dyDescent="0.25">
      <c r="A450" s="4">
        <v>448</v>
      </c>
      <c r="B450" s="8" t="s">
        <v>1543</v>
      </c>
      <c r="C450" s="4" t="s">
        <v>1524</v>
      </c>
      <c r="D450" s="5">
        <v>44954.604166666664</v>
      </c>
      <c r="E450" s="4" t="s">
        <v>1544</v>
      </c>
      <c r="F450" s="4" t="s">
        <v>24</v>
      </c>
      <c r="G450" s="8" t="s">
        <v>1545</v>
      </c>
      <c r="H450" s="4">
        <v>30</v>
      </c>
      <c r="I450" s="4">
        <v>60</v>
      </c>
      <c r="J450" s="4" t="s">
        <v>162</v>
      </c>
      <c r="K450" s="4">
        <v>2023</v>
      </c>
      <c r="L450" s="4">
        <v>1</v>
      </c>
      <c r="M450" s="4">
        <v>28</v>
      </c>
      <c r="N450" s="4">
        <v>14</v>
      </c>
    </row>
    <row r="451" spans="1:14" ht="30" x14ac:dyDescent="0.25">
      <c r="A451" s="2">
        <v>449</v>
      </c>
      <c r="B451" s="7" t="s">
        <v>1546</v>
      </c>
      <c r="C451" s="2" t="s">
        <v>1547</v>
      </c>
      <c r="D451" s="3">
        <v>42716.416666666664</v>
      </c>
      <c r="E451" s="2" t="s">
        <v>1548</v>
      </c>
      <c r="F451" s="2" t="s">
        <v>29</v>
      </c>
      <c r="G451" s="7" t="s">
        <v>1549</v>
      </c>
      <c r="H451" s="2">
        <v>25</v>
      </c>
      <c r="I451" s="2">
        <v>50</v>
      </c>
      <c r="J451" s="2" t="s">
        <v>1550</v>
      </c>
      <c r="K451" s="2">
        <v>2016</v>
      </c>
      <c r="L451" s="2">
        <v>12</v>
      </c>
      <c r="M451" s="2">
        <v>12</v>
      </c>
      <c r="N451" s="2">
        <v>10</v>
      </c>
    </row>
    <row r="452" spans="1:14" ht="30" x14ac:dyDescent="0.25">
      <c r="A452" s="4">
        <v>450</v>
      </c>
      <c r="B452" s="8" t="s">
        <v>1551</v>
      </c>
      <c r="C452" s="4" t="s">
        <v>1552</v>
      </c>
      <c r="D452" s="5">
        <v>44030.635416666664</v>
      </c>
      <c r="E452" s="4" t="s">
        <v>1553</v>
      </c>
      <c r="F452" s="4" t="s">
        <v>872</v>
      </c>
      <c r="G452" s="8" t="s">
        <v>1554</v>
      </c>
      <c r="H452" s="4">
        <v>35</v>
      </c>
      <c r="I452" s="4">
        <v>70</v>
      </c>
      <c r="J452" s="4" t="s">
        <v>1555</v>
      </c>
      <c r="K452" s="4">
        <v>2020</v>
      </c>
      <c r="L452" s="4">
        <v>7</v>
      </c>
      <c r="M452" s="4">
        <v>18</v>
      </c>
      <c r="N452" s="4">
        <v>15</v>
      </c>
    </row>
    <row r="453" spans="1:14" ht="30" x14ac:dyDescent="0.25">
      <c r="A453" s="2">
        <v>451</v>
      </c>
      <c r="B453" s="7" t="s">
        <v>1556</v>
      </c>
      <c r="C453" s="2" t="s">
        <v>1466</v>
      </c>
      <c r="D453" s="3">
        <v>44701.854166666664</v>
      </c>
      <c r="E453" s="2" t="s">
        <v>1557</v>
      </c>
      <c r="F453" s="2" t="s">
        <v>24</v>
      </c>
      <c r="G453" s="7" t="s">
        <v>1558</v>
      </c>
      <c r="H453" s="2">
        <v>30</v>
      </c>
      <c r="I453" s="2">
        <v>60</v>
      </c>
      <c r="J453" s="2" t="s">
        <v>1483</v>
      </c>
      <c r="K453" s="2">
        <v>2022</v>
      </c>
      <c r="L453" s="2">
        <v>5</v>
      </c>
      <c r="M453" s="2">
        <v>20</v>
      </c>
      <c r="N453" s="2">
        <v>20</v>
      </c>
    </row>
    <row r="454" spans="1:14" ht="30" x14ac:dyDescent="0.25">
      <c r="A454" s="4">
        <v>452</v>
      </c>
      <c r="B454" s="8" t="s">
        <v>1559</v>
      </c>
      <c r="C454" s="4" t="s">
        <v>1520</v>
      </c>
      <c r="D454" s="5">
        <v>43777.614583333336</v>
      </c>
      <c r="E454" s="4" t="s">
        <v>1560</v>
      </c>
      <c r="F454" s="4" t="s">
        <v>872</v>
      </c>
      <c r="G454" s="8" t="s">
        <v>1561</v>
      </c>
      <c r="H454" s="4">
        <v>18</v>
      </c>
      <c r="I454" s="4">
        <v>35</v>
      </c>
      <c r="J454" s="4" t="s">
        <v>1562</v>
      </c>
      <c r="K454" s="4">
        <v>2019</v>
      </c>
      <c r="L454" s="4">
        <v>11</v>
      </c>
      <c r="M454" s="4">
        <v>8</v>
      </c>
      <c r="N454" s="4">
        <v>14</v>
      </c>
    </row>
    <row r="455" spans="1:14" ht="30" x14ac:dyDescent="0.25">
      <c r="A455" s="2">
        <v>453</v>
      </c>
      <c r="B455" s="7" t="s">
        <v>1563</v>
      </c>
      <c r="C455" s="2" t="s">
        <v>978</v>
      </c>
      <c r="D455" s="3">
        <v>42822.916666666664</v>
      </c>
      <c r="E455" s="2" t="s">
        <v>1564</v>
      </c>
      <c r="F455" s="2" t="s">
        <v>29</v>
      </c>
      <c r="G455" s="7" t="s">
        <v>1565</v>
      </c>
      <c r="H455" s="2">
        <v>28</v>
      </c>
      <c r="I455" s="2">
        <v>55</v>
      </c>
      <c r="J455" s="2" t="s">
        <v>36</v>
      </c>
      <c r="K455" s="2">
        <v>2017</v>
      </c>
      <c r="L455" s="2">
        <v>3</v>
      </c>
      <c r="M455" s="2">
        <v>28</v>
      </c>
      <c r="N455" s="2">
        <v>22</v>
      </c>
    </row>
    <row r="456" spans="1:14" ht="30" x14ac:dyDescent="0.25">
      <c r="A456" s="4">
        <v>454</v>
      </c>
      <c r="B456" s="8" t="s">
        <v>1566</v>
      </c>
      <c r="C456" s="4" t="s">
        <v>1567</v>
      </c>
      <c r="D456" s="5">
        <v>44089.760416666664</v>
      </c>
      <c r="E456" s="4" t="s">
        <v>1568</v>
      </c>
      <c r="F456" s="4" t="s">
        <v>24</v>
      </c>
      <c r="G456" s="8" t="s">
        <v>1569</v>
      </c>
      <c r="H456" s="4">
        <v>22</v>
      </c>
      <c r="I456" s="4">
        <v>45</v>
      </c>
      <c r="J456" s="4" t="s">
        <v>121</v>
      </c>
      <c r="K456" s="4">
        <v>2020</v>
      </c>
      <c r="L456" s="4">
        <v>9</v>
      </c>
      <c r="M456" s="4">
        <v>15</v>
      </c>
      <c r="N456" s="4">
        <v>18</v>
      </c>
    </row>
    <row r="457" spans="1:14" ht="30" x14ac:dyDescent="0.25">
      <c r="A457" s="2">
        <v>455</v>
      </c>
      <c r="B457" s="7" t="s">
        <v>1570</v>
      </c>
      <c r="C457" s="2" t="s">
        <v>1516</v>
      </c>
      <c r="D457" s="3">
        <v>43261.5625</v>
      </c>
      <c r="E457" s="2" t="s">
        <v>1571</v>
      </c>
      <c r="F457" s="2" t="s">
        <v>872</v>
      </c>
      <c r="G457" s="7" t="s">
        <v>1572</v>
      </c>
      <c r="H457" s="2">
        <v>20</v>
      </c>
      <c r="I457" s="2">
        <v>40</v>
      </c>
      <c r="J457" s="2" t="s">
        <v>107</v>
      </c>
      <c r="K457" s="2">
        <v>2018</v>
      </c>
      <c r="L457" s="2">
        <v>6</v>
      </c>
      <c r="M457" s="2">
        <v>10</v>
      </c>
      <c r="N457" s="2">
        <v>13</v>
      </c>
    </row>
    <row r="458" spans="1:14" ht="30" x14ac:dyDescent="0.25">
      <c r="A458" s="4">
        <v>456</v>
      </c>
      <c r="B458" s="8" t="s">
        <v>1573</v>
      </c>
      <c r="C458" s="4" t="s">
        <v>1524</v>
      </c>
      <c r="D458" s="5">
        <v>42726.90625</v>
      </c>
      <c r="E458" s="4" t="s">
        <v>1574</v>
      </c>
      <c r="F458" s="4" t="s">
        <v>29</v>
      </c>
      <c r="G458" s="8" t="s">
        <v>1575</v>
      </c>
      <c r="H458" s="4">
        <v>25</v>
      </c>
      <c r="I458" s="4">
        <v>50</v>
      </c>
      <c r="J458" s="4" t="s">
        <v>96</v>
      </c>
      <c r="K458" s="4">
        <v>2016</v>
      </c>
      <c r="L458" s="4">
        <v>12</v>
      </c>
      <c r="M458" s="4">
        <v>22</v>
      </c>
      <c r="N458" s="4">
        <v>21</v>
      </c>
    </row>
    <row r="459" spans="1:14" ht="30" x14ac:dyDescent="0.25">
      <c r="A459" s="2">
        <v>457</v>
      </c>
      <c r="B459" s="7" t="s">
        <v>1576</v>
      </c>
      <c r="C459" s="2" t="s">
        <v>1547</v>
      </c>
      <c r="D459" s="3">
        <v>44201.680555555555</v>
      </c>
      <c r="E459" s="2" t="s">
        <v>1577</v>
      </c>
      <c r="F459" s="2" t="s">
        <v>24</v>
      </c>
      <c r="G459" s="7" t="s">
        <v>1578</v>
      </c>
      <c r="H459" s="2">
        <v>15</v>
      </c>
      <c r="I459" s="2">
        <v>30</v>
      </c>
      <c r="J459" s="2" t="s">
        <v>1533</v>
      </c>
      <c r="K459" s="2">
        <v>2021</v>
      </c>
      <c r="L459" s="2">
        <v>1</v>
      </c>
      <c r="M459" s="2">
        <v>5</v>
      </c>
      <c r="N459" s="2">
        <v>16</v>
      </c>
    </row>
    <row r="460" spans="1:14" ht="30" x14ac:dyDescent="0.25">
      <c r="A460" s="4">
        <v>458</v>
      </c>
      <c r="B460" s="8" t="s">
        <v>1579</v>
      </c>
      <c r="C460" s="4" t="s">
        <v>1539</v>
      </c>
      <c r="D460" s="5">
        <v>43573.458333333336</v>
      </c>
      <c r="E460" s="4" t="s">
        <v>1580</v>
      </c>
      <c r="F460" s="4" t="s">
        <v>872</v>
      </c>
      <c r="G460" s="8" t="s">
        <v>1581</v>
      </c>
      <c r="H460" s="4">
        <v>22</v>
      </c>
      <c r="I460" s="4">
        <v>45</v>
      </c>
      <c r="J460" s="4" t="s">
        <v>1537</v>
      </c>
      <c r="K460" s="4">
        <v>2019</v>
      </c>
      <c r="L460" s="4">
        <v>4</v>
      </c>
      <c r="M460" s="4">
        <v>18</v>
      </c>
      <c r="N460" s="4">
        <v>11</v>
      </c>
    </row>
    <row r="461" spans="1:14" ht="30" x14ac:dyDescent="0.25">
      <c r="A461" s="2">
        <v>459</v>
      </c>
      <c r="B461" s="7" t="s">
        <v>1582</v>
      </c>
      <c r="C461" s="2" t="s">
        <v>978</v>
      </c>
      <c r="D461" s="3">
        <v>42975.8125</v>
      </c>
      <c r="E461" s="2" t="s">
        <v>1583</v>
      </c>
      <c r="F461" s="2" t="s">
        <v>29</v>
      </c>
      <c r="G461" s="7" t="s">
        <v>1584</v>
      </c>
      <c r="H461" s="2">
        <v>18</v>
      </c>
      <c r="I461" s="2">
        <v>35</v>
      </c>
      <c r="J461" s="2" t="s">
        <v>162</v>
      </c>
      <c r="K461" s="2">
        <v>2017</v>
      </c>
      <c r="L461" s="2">
        <v>8</v>
      </c>
      <c r="M461" s="2">
        <v>28</v>
      </c>
      <c r="N461" s="2">
        <v>19</v>
      </c>
    </row>
    <row r="462" spans="1:14" ht="30" x14ac:dyDescent="0.25">
      <c r="A462" s="4">
        <v>460</v>
      </c>
      <c r="B462" s="8" t="s">
        <v>1585</v>
      </c>
      <c r="C462" s="4" t="s">
        <v>1586</v>
      </c>
      <c r="D462" s="5">
        <v>44967.604166666664</v>
      </c>
      <c r="E462" s="4" t="s">
        <v>1587</v>
      </c>
      <c r="F462" s="4" t="s">
        <v>24</v>
      </c>
      <c r="G462" s="8" t="s">
        <v>1588</v>
      </c>
      <c r="H462" s="4">
        <v>28</v>
      </c>
      <c r="I462" s="4">
        <v>55</v>
      </c>
      <c r="J462" s="4" t="s">
        <v>1542</v>
      </c>
      <c r="K462" s="4">
        <v>2023</v>
      </c>
      <c r="L462" s="4">
        <v>2</v>
      </c>
      <c r="M462" s="4">
        <v>10</v>
      </c>
      <c r="N462" s="4">
        <v>14</v>
      </c>
    </row>
    <row r="463" spans="1:14" ht="30" x14ac:dyDescent="0.25">
      <c r="A463" s="2">
        <v>461</v>
      </c>
      <c r="B463" s="7" t="s">
        <v>1589</v>
      </c>
      <c r="C463" s="2" t="s">
        <v>1590</v>
      </c>
      <c r="D463" s="3">
        <v>44752.927083333336</v>
      </c>
      <c r="E463" s="2" t="s">
        <v>1591</v>
      </c>
      <c r="F463" s="2" t="s">
        <v>24</v>
      </c>
      <c r="G463" s="7" t="s">
        <v>1592</v>
      </c>
      <c r="H463" s="2">
        <v>30</v>
      </c>
      <c r="I463" s="2">
        <v>60</v>
      </c>
      <c r="J463" s="2" t="s">
        <v>1555</v>
      </c>
      <c r="K463" s="2">
        <v>2022</v>
      </c>
      <c r="L463" s="2">
        <v>7</v>
      </c>
      <c r="M463" s="2">
        <v>10</v>
      </c>
      <c r="N463" s="2">
        <v>22</v>
      </c>
    </row>
    <row r="464" spans="1:14" ht="30" x14ac:dyDescent="0.25">
      <c r="A464" s="4">
        <v>462</v>
      </c>
      <c r="B464" s="8" t="s">
        <v>1593</v>
      </c>
      <c r="C464" s="4" t="s">
        <v>1403</v>
      </c>
      <c r="D464" s="5">
        <v>43600.895833333336</v>
      </c>
      <c r="E464" s="4" t="s">
        <v>1594</v>
      </c>
      <c r="F464" s="4" t="s">
        <v>872</v>
      </c>
      <c r="G464" s="8" t="s">
        <v>1595</v>
      </c>
      <c r="H464" s="4">
        <v>18</v>
      </c>
      <c r="I464" s="4">
        <v>35</v>
      </c>
      <c r="J464" s="4" t="s">
        <v>1550</v>
      </c>
      <c r="K464" s="4">
        <v>2019</v>
      </c>
      <c r="L464" s="4">
        <v>5</v>
      </c>
      <c r="M464" s="4">
        <v>15</v>
      </c>
      <c r="N464" s="4">
        <v>21</v>
      </c>
    </row>
    <row r="465" spans="1:14" ht="30" x14ac:dyDescent="0.25">
      <c r="A465" s="2">
        <v>463</v>
      </c>
      <c r="B465" s="7" t="s">
        <v>1596</v>
      </c>
      <c r="C465" s="2" t="s">
        <v>1524</v>
      </c>
      <c r="D465" s="3">
        <v>43432.583333333336</v>
      </c>
      <c r="E465" s="2" t="s">
        <v>1597</v>
      </c>
      <c r="F465" s="2" t="s">
        <v>29</v>
      </c>
      <c r="G465" s="7" t="s">
        <v>1598</v>
      </c>
      <c r="H465" s="2">
        <v>22</v>
      </c>
      <c r="I465" s="2">
        <v>45</v>
      </c>
      <c r="J465" s="2" t="s">
        <v>1533</v>
      </c>
      <c r="K465" s="2">
        <v>2018</v>
      </c>
      <c r="L465" s="2">
        <v>11</v>
      </c>
      <c r="M465" s="2">
        <v>28</v>
      </c>
      <c r="N465" s="2">
        <v>14</v>
      </c>
    </row>
    <row r="466" spans="1:14" ht="30" x14ac:dyDescent="0.25">
      <c r="A466" s="4">
        <v>464</v>
      </c>
      <c r="B466" s="8" t="s">
        <v>1599</v>
      </c>
      <c r="C466" s="4" t="s">
        <v>1547</v>
      </c>
      <c r="D466" s="5">
        <v>44257.739583333336</v>
      </c>
      <c r="E466" s="4" t="s">
        <v>1600</v>
      </c>
      <c r="F466" s="4" t="s">
        <v>24</v>
      </c>
      <c r="G466" s="8" t="s">
        <v>1601</v>
      </c>
      <c r="H466" s="4">
        <v>25</v>
      </c>
      <c r="I466" s="4">
        <v>50</v>
      </c>
      <c r="J466" s="4" t="s">
        <v>121</v>
      </c>
      <c r="K466" s="4">
        <v>2021</v>
      </c>
      <c r="L466" s="4">
        <v>3</v>
      </c>
      <c r="M466" s="4">
        <v>2</v>
      </c>
      <c r="N466" s="4">
        <v>17</v>
      </c>
    </row>
    <row r="467" spans="1:14" ht="30" x14ac:dyDescent="0.25">
      <c r="A467" s="2">
        <v>465</v>
      </c>
      <c r="B467" s="7" t="s">
        <v>1602</v>
      </c>
      <c r="C467" s="2" t="s">
        <v>978</v>
      </c>
      <c r="D467" s="3">
        <v>42661.8125</v>
      </c>
      <c r="E467" s="2" t="s">
        <v>1603</v>
      </c>
      <c r="F467" s="2" t="s">
        <v>872</v>
      </c>
      <c r="G467" s="7" t="s">
        <v>1604</v>
      </c>
      <c r="H467" s="2">
        <v>20</v>
      </c>
      <c r="I467" s="2">
        <v>40</v>
      </c>
      <c r="J467" s="2" t="s">
        <v>96</v>
      </c>
      <c r="K467" s="2">
        <v>2016</v>
      </c>
      <c r="L467" s="2">
        <v>10</v>
      </c>
      <c r="M467" s="2">
        <v>18</v>
      </c>
      <c r="N467" s="2">
        <v>19</v>
      </c>
    </row>
    <row r="468" spans="1:14" ht="30" x14ac:dyDescent="0.25">
      <c r="A468" s="4">
        <v>466</v>
      </c>
      <c r="B468" s="8" t="s">
        <v>1605</v>
      </c>
      <c r="C468" s="4" t="s">
        <v>1516</v>
      </c>
      <c r="D468" s="5">
        <v>44058.520833333336</v>
      </c>
      <c r="E468" s="4" t="s">
        <v>1606</v>
      </c>
      <c r="F468" s="4" t="s">
        <v>29</v>
      </c>
      <c r="G468" s="8" t="s">
        <v>1607</v>
      </c>
      <c r="H468" s="4">
        <v>28</v>
      </c>
      <c r="I468" s="4">
        <v>55</v>
      </c>
      <c r="J468" s="4" t="s">
        <v>1542</v>
      </c>
      <c r="K468" s="4">
        <v>2020</v>
      </c>
      <c r="L468" s="4">
        <v>8</v>
      </c>
      <c r="M468" s="4">
        <v>15</v>
      </c>
      <c r="N468" s="4">
        <v>12</v>
      </c>
    </row>
    <row r="469" spans="1:14" ht="30" x14ac:dyDescent="0.25">
      <c r="A469" s="2">
        <v>467</v>
      </c>
      <c r="B469" s="7" t="s">
        <v>1608</v>
      </c>
      <c r="C469" s="2" t="s">
        <v>1520</v>
      </c>
      <c r="D469" s="3">
        <v>42853.680555555555</v>
      </c>
      <c r="E469" s="2" t="s">
        <v>1609</v>
      </c>
      <c r="F469" s="2" t="s">
        <v>24</v>
      </c>
      <c r="G469" s="7" t="s">
        <v>1610</v>
      </c>
      <c r="H469" s="2">
        <v>18</v>
      </c>
      <c r="I469" s="2">
        <v>35</v>
      </c>
      <c r="J469" s="2" t="s">
        <v>107</v>
      </c>
      <c r="K469" s="2">
        <v>2017</v>
      </c>
      <c r="L469" s="2">
        <v>4</v>
      </c>
      <c r="M469" s="2">
        <v>28</v>
      </c>
      <c r="N469" s="2">
        <v>16</v>
      </c>
    </row>
    <row r="470" spans="1:14" ht="30" x14ac:dyDescent="0.25">
      <c r="A470" s="4">
        <v>468</v>
      </c>
      <c r="B470" s="8" t="s">
        <v>1611</v>
      </c>
      <c r="C470" s="4" t="s">
        <v>1586</v>
      </c>
      <c r="D470" s="5">
        <v>43718.875</v>
      </c>
      <c r="E470" s="4" t="s">
        <v>1612</v>
      </c>
      <c r="F470" s="4" t="s">
        <v>872</v>
      </c>
      <c r="G470" s="8" t="s">
        <v>1613</v>
      </c>
      <c r="H470" s="4">
        <v>22</v>
      </c>
      <c r="I470" s="4">
        <v>45</v>
      </c>
      <c r="J470" s="4" t="s">
        <v>36</v>
      </c>
      <c r="K470" s="4">
        <v>2019</v>
      </c>
      <c r="L470" s="4">
        <v>9</v>
      </c>
      <c r="M470" s="4">
        <v>10</v>
      </c>
      <c r="N470" s="4">
        <v>21</v>
      </c>
    </row>
    <row r="471" spans="1:14" ht="30" x14ac:dyDescent="0.25">
      <c r="A471" s="2">
        <v>469</v>
      </c>
      <c r="B471" s="7" t="s">
        <v>1614</v>
      </c>
      <c r="C471" s="2" t="s">
        <v>1547</v>
      </c>
      <c r="D471" s="3">
        <v>44589.572916666664</v>
      </c>
      <c r="E471" s="2" t="s">
        <v>1615</v>
      </c>
      <c r="F471" s="2" t="s">
        <v>29</v>
      </c>
      <c r="G471" s="7" t="s">
        <v>1616</v>
      </c>
      <c r="H471" s="2">
        <v>15</v>
      </c>
      <c r="I471" s="2">
        <v>30</v>
      </c>
      <c r="J471" s="2" t="s">
        <v>1537</v>
      </c>
      <c r="K471" s="2">
        <v>2022</v>
      </c>
      <c r="L471" s="2">
        <v>1</v>
      </c>
      <c r="M471" s="2">
        <v>28</v>
      </c>
      <c r="N471" s="2">
        <v>13</v>
      </c>
    </row>
    <row r="472" spans="1:14" ht="45" x14ac:dyDescent="0.25">
      <c r="A472" s="4">
        <v>470</v>
      </c>
      <c r="B472" s="8" t="s">
        <v>1617</v>
      </c>
      <c r="C472" s="4" t="s">
        <v>1618</v>
      </c>
      <c r="D472" s="5">
        <v>42536.9375</v>
      </c>
      <c r="E472" s="4" t="s">
        <v>1619</v>
      </c>
      <c r="F472" s="4" t="s">
        <v>24</v>
      </c>
      <c r="G472" s="8" t="s">
        <v>1620</v>
      </c>
      <c r="H472" s="4">
        <v>30</v>
      </c>
      <c r="I472" s="4">
        <v>60</v>
      </c>
      <c r="J472" s="4" t="s">
        <v>1562</v>
      </c>
      <c r="K472" s="4">
        <v>2016</v>
      </c>
      <c r="L472" s="4">
        <v>6</v>
      </c>
      <c r="M472" s="4">
        <v>15</v>
      </c>
      <c r="N472" s="4">
        <v>22</v>
      </c>
    </row>
    <row r="473" spans="1:14" ht="30" x14ac:dyDescent="0.25">
      <c r="A473" s="2">
        <v>471</v>
      </c>
      <c r="B473" s="7" t="s">
        <v>1621</v>
      </c>
      <c r="C473" s="2" t="s">
        <v>1622</v>
      </c>
      <c r="D473" s="3">
        <v>44428.65625</v>
      </c>
      <c r="E473" s="2" t="s">
        <v>1623</v>
      </c>
      <c r="F473" s="2" t="s">
        <v>24</v>
      </c>
      <c r="G473" s="7" t="s">
        <v>1624</v>
      </c>
      <c r="H473" s="2">
        <v>40</v>
      </c>
      <c r="I473" s="2">
        <v>80</v>
      </c>
      <c r="J473" s="2" t="s">
        <v>96</v>
      </c>
      <c r="K473" s="2">
        <v>2021</v>
      </c>
      <c r="L473" s="2">
        <v>8</v>
      </c>
      <c r="M473" s="2">
        <v>20</v>
      </c>
      <c r="N473" s="2">
        <v>15</v>
      </c>
    </row>
    <row r="474" spans="1:14" ht="30" x14ac:dyDescent="0.25">
      <c r="A474" s="4">
        <v>472</v>
      </c>
      <c r="B474" s="8" t="s">
        <v>1625</v>
      </c>
      <c r="C474" s="4" t="s">
        <v>1626</v>
      </c>
      <c r="D474" s="5">
        <v>43202.770833333336</v>
      </c>
      <c r="E474" s="4" t="s">
        <v>1557</v>
      </c>
      <c r="F474" s="4" t="s">
        <v>872</v>
      </c>
      <c r="G474" s="8" t="s">
        <v>1627</v>
      </c>
      <c r="H474" s="4">
        <v>35</v>
      </c>
      <c r="I474" s="4">
        <v>70</v>
      </c>
      <c r="J474" s="4" t="s">
        <v>121</v>
      </c>
      <c r="K474" s="4">
        <v>2018</v>
      </c>
      <c r="L474" s="4">
        <v>4</v>
      </c>
      <c r="M474" s="4">
        <v>12</v>
      </c>
      <c r="N474" s="4">
        <v>18</v>
      </c>
    </row>
    <row r="475" spans="1:14" ht="30" x14ac:dyDescent="0.25">
      <c r="A475" s="2">
        <v>473</v>
      </c>
      <c r="B475" s="7" t="s">
        <v>1628</v>
      </c>
      <c r="C475" s="2" t="s">
        <v>875</v>
      </c>
      <c r="D475" s="3">
        <v>44607.513888888891</v>
      </c>
      <c r="E475" s="2" t="s">
        <v>1629</v>
      </c>
      <c r="F475" s="2" t="s">
        <v>29</v>
      </c>
      <c r="G475" s="7" t="s">
        <v>1630</v>
      </c>
      <c r="H475" s="2">
        <v>25</v>
      </c>
      <c r="I475" s="2">
        <v>50</v>
      </c>
      <c r="J475" s="2" t="s">
        <v>107</v>
      </c>
      <c r="K475" s="2">
        <v>2022</v>
      </c>
      <c r="L475" s="2">
        <v>2</v>
      </c>
      <c r="M475" s="2">
        <v>15</v>
      </c>
      <c r="N475" s="2">
        <v>12</v>
      </c>
    </row>
    <row r="476" spans="1:14" ht="30" x14ac:dyDescent="0.25">
      <c r="A476" s="4">
        <v>474</v>
      </c>
      <c r="B476" s="8" t="s">
        <v>1631</v>
      </c>
      <c r="C476" s="4" t="s">
        <v>1632</v>
      </c>
      <c r="D476" s="5">
        <v>43766.59375</v>
      </c>
      <c r="E476" s="4" t="s">
        <v>1633</v>
      </c>
      <c r="F476" s="4" t="s">
        <v>24</v>
      </c>
      <c r="G476" s="8" t="s">
        <v>1634</v>
      </c>
      <c r="H476" s="4">
        <v>30</v>
      </c>
      <c r="I476" s="4">
        <v>60</v>
      </c>
      <c r="J476" s="4" t="s">
        <v>36</v>
      </c>
      <c r="K476" s="4">
        <v>2019</v>
      </c>
      <c r="L476" s="4">
        <v>10</v>
      </c>
      <c r="M476" s="4">
        <v>28</v>
      </c>
      <c r="N476" s="4">
        <v>14</v>
      </c>
    </row>
    <row r="477" spans="1:14" ht="30" x14ac:dyDescent="0.25">
      <c r="A477" s="2">
        <v>475</v>
      </c>
      <c r="B477" s="7" t="s">
        <v>1635</v>
      </c>
      <c r="C477" s="2" t="s">
        <v>1636</v>
      </c>
      <c r="D477" s="3">
        <v>43091.875</v>
      </c>
      <c r="E477" s="2" t="s">
        <v>1637</v>
      </c>
      <c r="F477" s="2" t="s">
        <v>872</v>
      </c>
      <c r="G477" s="7" t="s">
        <v>1638</v>
      </c>
      <c r="H477" s="2">
        <v>22</v>
      </c>
      <c r="I477" s="2">
        <v>45</v>
      </c>
      <c r="J477" s="2" t="s">
        <v>162</v>
      </c>
      <c r="K477" s="2">
        <v>2017</v>
      </c>
      <c r="L477" s="2">
        <v>12</v>
      </c>
      <c r="M477" s="2">
        <v>22</v>
      </c>
      <c r="N477" s="2">
        <v>21</v>
      </c>
    </row>
    <row r="478" spans="1:14" ht="30" x14ac:dyDescent="0.25">
      <c r="A478" s="4">
        <v>476</v>
      </c>
      <c r="B478" s="8" t="s">
        <v>1639</v>
      </c>
      <c r="C478" s="4" t="s">
        <v>1210</v>
      </c>
      <c r="D478" s="5">
        <v>43992.729166666664</v>
      </c>
      <c r="E478" s="4" t="s">
        <v>1640</v>
      </c>
      <c r="F478" s="4" t="s">
        <v>29</v>
      </c>
      <c r="G478" s="8" t="s">
        <v>1641</v>
      </c>
      <c r="H478" s="4">
        <v>28</v>
      </c>
      <c r="I478" s="4">
        <v>55</v>
      </c>
      <c r="J478" s="4" t="s">
        <v>1533</v>
      </c>
      <c r="K478" s="4">
        <v>2020</v>
      </c>
      <c r="L478" s="4">
        <v>6</v>
      </c>
      <c r="M478" s="4">
        <v>10</v>
      </c>
      <c r="N478" s="4">
        <v>17</v>
      </c>
    </row>
    <row r="479" spans="1:14" ht="30" x14ac:dyDescent="0.25">
      <c r="A479" s="2">
        <v>477</v>
      </c>
      <c r="B479" s="7" t="s">
        <v>1642</v>
      </c>
      <c r="C479" s="2" t="s">
        <v>1643</v>
      </c>
      <c r="D479" s="3">
        <v>42631.822916666664</v>
      </c>
      <c r="E479" s="2" t="s">
        <v>1644</v>
      </c>
      <c r="F479" s="2" t="s">
        <v>24</v>
      </c>
      <c r="G479" s="7" t="s">
        <v>1645</v>
      </c>
      <c r="H479" s="2">
        <v>18</v>
      </c>
      <c r="I479" s="2">
        <v>35</v>
      </c>
      <c r="J479" s="2" t="s">
        <v>1542</v>
      </c>
      <c r="K479" s="2">
        <v>2016</v>
      </c>
      <c r="L479" s="2">
        <v>9</v>
      </c>
      <c r="M479" s="2">
        <v>18</v>
      </c>
      <c r="N479" s="2">
        <v>19</v>
      </c>
    </row>
    <row r="480" spans="1:14" ht="30" x14ac:dyDescent="0.25">
      <c r="A480" s="4">
        <v>478</v>
      </c>
      <c r="B480" s="8" t="s">
        <v>1646</v>
      </c>
      <c r="C480" s="4" t="s">
        <v>1622</v>
      </c>
      <c r="D480" s="5">
        <v>44995.604166666664</v>
      </c>
      <c r="E480" s="4" t="s">
        <v>1647</v>
      </c>
      <c r="F480" s="4" t="s">
        <v>872</v>
      </c>
      <c r="G480" s="8" t="s">
        <v>1648</v>
      </c>
      <c r="H480" s="4">
        <v>20</v>
      </c>
      <c r="I480" s="4">
        <v>40</v>
      </c>
      <c r="J480" s="4" t="s">
        <v>1555</v>
      </c>
      <c r="K480" s="4">
        <v>2023</v>
      </c>
      <c r="L480" s="4">
        <v>3</v>
      </c>
      <c r="M480" s="4">
        <v>10</v>
      </c>
      <c r="N480" s="4">
        <v>14</v>
      </c>
    </row>
    <row r="481" spans="1:14" ht="45" x14ac:dyDescent="0.25">
      <c r="A481" s="2">
        <v>479</v>
      </c>
      <c r="B481" s="7" t="s">
        <v>1649</v>
      </c>
      <c r="C481" s="2" t="s">
        <v>1650</v>
      </c>
      <c r="D481" s="3">
        <v>43590.510416666664</v>
      </c>
      <c r="E481" s="2" t="s">
        <v>1651</v>
      </c>
      <c r="F481" s="2" t="s">
        <v>29</v>
      </c>
      <c r="G481" s="7" t="s">
        <v>1652</v>
      </c>
      <c r="H481" s="2">
        <v>25</v>
      </c>
      <c r="I481" s="2">
        <v>50</v>
      </c>
      <c r="J481" s="2" t="s">
        <v>1537</v>
      </c>
      <c r="K481" s="2">
        <v>2019</v>
      </c>
      <c r="L481" s="2">
        <v>5</v>
      </c>
      <c r="M481" s="2">
        <v>5</v>
      </c>
      <c r="N481" s="2">
        <v>12</v>
      </c>
    </row>
    <row r="482" spans="1:14" ht="30" x14ac:dyDescent="0.25">
      <c r="A482" s="4">
        <v>480</v>
      </c>
      <c r="B482" s="8" t="s">
        <v>1653</v>
      </c>
      <c r="C482" s="4" t="s">
        <v>1654</v>
      </c>
      <c r="D482" s="5">
        <v>43340.666666666664</v>
      </c>
      <c r="E482" s="4" t="s">
        <v>1655</v>
      </c>
      <c r="F482" s="4" t="s">
        <v>24</v>
      </c>
      <c r="G482" s="8" t="s">
        <v>1656</v>
      </c>
      <c r="H482" s="4">
        <v>30</v>
      </c>
      <c r="I482" s="4">
        <v>60</v>
      </c>
      <c r="J482" s="4" t="s">
        <v>1483</v>
      </c>
      <c r="K482" s="4">
        <v>2018</v>
      </c>
      <c r="L482" s="4">
        <v>8</v>
      </c>
      <c r="M482" s="4">
        <v>28</v>
      </c>
      <c r="N482" s="4">
        <v>16</v>
      </c>
    </row>
    <row r="483" spans="1:14" ht="30" x14ac:dyDescent="0.25">
      <c r="A483" s="2">
        <v>481</v>
      </c>
      <c r="B483" s="7" t="s">
        <v>1657</v>
      </c>
      <c r="C483" s="2" t="s">
        <v>1658</v>
      </c>
      <c r="D483" s="3">
        <v>44880.864583333336</v>
      </c>
      <c r="E483" s="2" t="s">
        <v>1659</v>
      </c>
      <c r="F483" s="2" t="s">
        <v>872</v>
      </c>
      <c r="G483" s="7" t="s">
        <v>1660</v>
      </c>
      <c r="H483" s="2">
        <v>35</v>
      </c>
      <c r="I483" s="2">
        <v>70</v>
      </c>
      <c r="J483" s="2" t="s">
        <v>96</v>
      </c>
      <c r="K483" s="2">
        <v>2022</v>
      </c>
      <c r="L483" s="2">
        <v>11</v>
      </c>
      <c r="M483" s="2">
        <v>15</v>
      </c>
      <c r="N483" s="2">
        <v>20</v>
      </c>
    </row>
    <row r="484" spans="1:14" ht="30" x14ac:dyDescent="0.25">
      <c r="A484" s="4">
        <v>482</v>
      </c>
      <c r="B484" s="8" t="s">
        <v>1661</v>
      </c>
      <c r="C484" s="4" t="s">
        <v>1622</v>
      </c>
      <c r="D484" s="5">
        <v>43648.708333333336</v>
      </c>
      <c r="E484" s="4" t="s">
        <v>1662</v>
      </c>
      <c r="F484" s="4" t="s">
        <v>24</v>
      </c>
      <c r="G484" s="8" t="s">
        <v>1663</v>
      </c>
      <c r="H484" s="4">
        <v>40</v>
      </c>
      <c r="I484" s="4">
        <v>80</v>
      </c>
      <c r="J484" s="4" t="s">
        <v>121</v>
      </c>
      <c r="K484" s="4">
        <v>2019</v>
      </c>
      <c r="L484" s="4">
        <v>7</v>
      </c>
      <c r="M484" s="4">
        <v>2</v>
      </c>
      <c r="N484" s="4">
        <v>17</v>
      </c>
    </row>
    <row r="485" spans="1:14" ht="30" x14ac:dyDescent="0.25">
      <c r="A485" s="2">
        <v>483</v>
      </c>
      <c r="B485" s="7" t="s">
        <v>1664</v>
      </c>
      <c r="C485" s="2" t="s">
        <v>386</v>
      </c>
      <c r="D485" s="3">
        <v>44304.597222222219</v>
      </c>
      <c r="E485" s="2" t="s">
        <v>1665</v>
      </c>
      <c r="F485" s="2" t="s">
        <v>29</v>
      </c>
      <c r="G485" s="7" t="s">
        <v>1666</v>
      </c>
      <c r="H485" s="2">
        <v>30</v>
      </c>
      <c r="I485" s="2">
        <v>60</v>
      </c>
      <c r="J485" s="2" t="s">
        <v>107</v>
      </c>
      <c r="K485" s="2">
        <v>2021</v>
      </c>
      <c r="L485" s="2">
        <v>4</v>
      </c>
      <c r="M485" s="2">
        <v>18</v>
      </c>
      <c r="N485" s="2">
        <v>14</v>
      </c>
    </row>
    <row r="486" spans="1:14" ht="30" x14ac:dyDescent="0.25">
      <c r="A486" s="4">
        <v>484</v>
      </c>
      <c r="B486" s="8" t="s">
        <v>1667</v>
      </c>
      <c r="C486" s="4" t="s">
        <v>1668</v>
      </c>
      <c r="D486" s="5">
        <v>44962.8125</v>
      </c>
      <c r="E486" s="4" t="s">
        <v>1669</v>
      </c>
      <c r="F486" s="4" t="s">
        <v>872</v>
      </c>
      <c r="G486" s="8" t="s">
        <v>1670</v>
      </c>
      <c r="H486" s="4">
        <v>25</v>
      </c>
      <c r="I486" s="4">
        <v>50</v>
      </c>
      <c r="J486" s="4" t="s">
        <v>36</v>
      </c>
      <c r="K486" s="4">
        <v>2023</v>
      </c>
      <c r="L486" s="4">
        <v>2</v>
      </c>
      <c r="M486" s="4">
        <v>5</v>
      </c>
      <c r="N486" s="4">
        <v>19</v>
      </c>
    </row>
    <row r="487" spans="1:14" ht="30" x14ac:dyDescent="0.25">
      <c r="A487" s="2">
        <v>485</v>
      </c>
      <c r="B487" s="7" t="s">
        <v>1671</v>
      </c>
      <c r="C487" s="2" t="s">
        <v>922</v>
      </c>
      <c r="D487" s="3">
        <v>43365.53125</v>
      </c>
      <c r="E487" s="2" t="s">
        <v>1672</v>
      </c>
      <c r="F487" s="2" t="s">
        <v>24</v>
      </c>
      <c r="G487" s="7" t="s">
        <v>1673</v>
      </c>
      <c r="H487" s="2">
        <v>22</v>
      </c>
      <c r="I487" s="2">
        <v>45</v>
      </c>
      <c r="J487" s="2" t="s">
        <v>162</v>
      </c>
      <c r="K487" s="2">
        <v>2018</v>
      </c>
      <c r="L487" s="2">
        <v>9</v>
      </c>
      <c r="M487" s="2">
        <v>22</v>
      </c>
      <c r="N487" s="2">
        <v>12</v>
      </c>
    </row>
    <row r="488" spans="1:14" ht="30" x14ac:dyDescent="0.25">
      <c r="A488" s="4">
        <v>486</v>
      </c>
      <c r="B488" s="8" t="s">
        <v>1674</v>
      </c>
      <c r="C488" s="4" t="s">
        <v>1636</v>
      </c>
      <c r="D488" s="5">
        <v>42714.885416666664</v>
      </c>
      <c r="E488" s="4" t="s">
        <v>1675</v>
      </c>
      <c r="F488" s="4" t="s">
        <v>29</v>
      </c>
      <c r="G488" s="8" t="s">
        <v>1676</v>
      </c>
      <c r="H488" s="4">
        <v>28</v>
      </c>
      <c r="I488" s="4">
        <v>55</v>
      </c>
      <c r="J488" s="4" t="s">
        <v>1533</v>
      </c>
      <c r="K488" s="4">
        <v>2016</v>
      </c>
      <c r="L488" s="4">
        <v>12</v>
      </c>
      <c r="M488" s="4">
        <v>10</v>
      </c>
      <c r="N488" s="4">
        <v>21</v>
      </c>
    </row>
    <row r="489" spans="1:14" ht="30" x14ac:dyDescent="0.25">
      <c r="A489" s="2">
        <v>487</v>
      </c>
      <c r="B489" s="7" t="s">
        <v>1677</v>
      </c>
      <c r="C489" s="2" t="s">
        <v>1306</v>
      </c>
      <c r="D489" s="3">
        <v>43979.666666666664</v>
      </c>
      <c r="E489" s="2" t="s">
        <v>1678</v>
      </c>
      <c r="F489" s="2" t="s">
        <v>872</v>
      </c>
      <c r="G489" s="7" t="s">
        <v>1679</v>
      </c>
      <c r="H489" s="2">
        <v>18</v>
      </c>
      <c r="I489" s="2">
        <v>35</v>
      </c>
      <c r="J489" s="2" t="s">
        <v>1542</v>
      </c>
      <c r="K489" s="2">
        <v>2020</v>
      </c>
      <c r="L489" s="2">
        <v>5</v>
      </c>
      <c r="M489" s="2">
        <v>28</v>
      </c>
      <c r="N489" s="2">
        <v>16</v>
      </c>
    </row>
    <row r="490" spans="1:14" ht="30" x14ac:dyDescent="0.25">
      <c r="A490" s="4">
        <v>488</v>
      </c>
      <c r="B490" s="8" t="s">
        <v>1680</v>
      </c>
      <c r="C490" s="4" t="s">
        <v>1681</v>
      </c>
      <c r="D490" s="5">
        <v>43054.9375</v>
      </c>
      <c r="E490" s="4" t="s">
        <v>1682</v>
      </c>
      <c r="F490" s="4" t="s">
        <v>24</v>
      </c>
      <c r="G490" s="8" t="s">
        <v>1683</v>
      </c>
      <c r="H490" s="4">
        <v>22</v>
      </c>
      <c r="I490" s="4">
        <v>45</v>
      </c>
      <c r="J490" s="4" t="s">
        <v>1555</v>
      </c>
      <c r="K490" s="4">
        <v>2017</v>
      </c>
      <c r="L490" s="4">
        <v>11</v>
      </c>
      <c r="M490" s="4">
        <v>15</v>
      </c>
      <c r="N490" s="4">
        <v>22</v>
      </c>
    </row>
    <row r="491" spans="1:14" ht="30" x14ac:dyDescent="0.25">
      <c r="A491" s="2">
        <v>489</v>
      </c>
      <c r="B491" s="7" t="s">
        <v>1684</v>
      </c>
      <c r="C491" s="2" t="s">
        <v>1626</v>
      </c>
      <c r="D491" s="3">
        <v>44410.791666666664</v>
      </c>
      <c r="E491" s="2" t="s">
        <v>1685</v>
      </c>
      <c r="F491" s="2" t="s">
        <v>29</v>
      </c>
      <c r="G491" s="7" t="s">
        <v>1686</v>
      </c>
      <c r="H491" s="2">
        <v>30</v>
      </c>
      <c r="I491" s="2">
        <v>60</v>
      </c>
      <c r="J491" s="2" t="s">
        <v>1537</v>
      </c>
      <c r="K491" s="2">
        <v>2021</v>
      </c>
      <c r="L491" s="2">
        <v>8</v>
      </c>
      <c r="M491" s="2">
        <v>2</v>
      </c>
      <c r="N491" s="2">
        <v>19</v>
      </c>
    </row>
    <row r="492" spans="1:14" ht="30" x14ac:dyDescent="0.25">
      <c r="A492" s="4">
        <v>490</v>
      </c>
      <c r="B492" s="8" t="s">
        <v>1687</v>
      </c>
      <c r="C492" s="4" t="s">
        <v>1688</v>
      </c>
      <c r="D492" s="5">
        <v>43552.645833333336</v>
      </c>
      <c r="E492" s="4" t="s">
        <v>1689</v>
      </c>
      <c r="F492" s="4" t="s">
        <v>24</v>
      </c>
      <c r="G492" s="8" t="s">
        <v>1690</v>
      </c>
      <c r="H492" s="4">
        <v>35</v>
      </c>
      <c r="I492" s="4">
        <v>70</v>
      </c>
      <c r="J492" s="4" t="s">
        <v>1483</v>
      </c>
      <c r="K492" s="4">
        <v>2019</v>
      </c>
      <c r="L492" s="4">
        <v>3</v>
      </c>
      <c r="M492" s="4">
        <v>28</v>
      </c>
      <c r="N492" s="4">
        <v>15</v>
      </c>
    </row>
    <row r="493" spans="1:14" ht="30" x14ac:dyDescent="0.25">
      <c r="A493" s="2">
        <v>491</v>
      </c>
      <c r="B493" s="7" t="s">
        <v>1691</v>
      </c>
      <c r="C493" s="2" t="s">
        <v>1692</v>
      </c>
      <c r="D493" s="3">
        <v>43232.729166666664</v>
      </c>
      <c r="E493" s="2" t="s">
        <v>1693</v>
      </c>
      <c r="F493" s="2" t="s">
        <v>872</v>
      </c>
      <c r="G493" s="7" t="s">
        <v>1694</v>
      </c>
      <c r="H493" s="2">
        <v>28</v>
      </c>
      <c r="I493" s="2">
        <v>55</v>
      </c>
      <c r="J493" s="2" t="s">
        <v>1542</v>
      </c>
      <c r="K493" s="2">
        <v>2018</v>
      </c>
      <c r="L493" s="2">
        <v>5</v>
      </c>
      <c r="M493" s="2">
        <v>12</v>
      </c>
      <c r="N493" s="2">
        <v>17</v>
      </c>
    </row>
    <row r="494" spans="1:14" ht="30" x14ac:dyDescent="0.25">
      <c r="A494" s="4">
        <v>492</v>
      </c>
      <c r="B494" s="8" t="s">
        <v>1695</v>
      </c>
      <c r="C494" s="4" t="s">
        <v>1696</v>
      </c>
      <c r="D494" s="5">
        <v>44832.65625</v>
      </c>
      <c r="E494" s="4" t="s">
        <v>1697</v>
      </c>
      <c r="F494" s="4" t="s">
        <v>24</v>
      </c>
      <c r="G494" s="8" t="s">
        <v>1698</v>
      </c>
      <c r="H494" s="4">
        <v>30</v>
      </c>
      <c r="I494" s="4">
        <v>60</v>
      </c>
      <c r="J494" s="4" t="s">
        <v>96</v>
      </c>
      <c r="K494" s="4">
        <v>2022</v>
      </c>
      <c r="L494" s="4">
        <v>9</v>
      </c>
      <c r="M494" s="4">
        <v>28</v>
      </c>
      <c r="N494" s="4">
        <v>15</v>
      </c>
    </row>
    <row r="495" spans="1:14" ht="30" x14ac:dyDescent="0.25">
      <c r="A495" s="2">
        <v>493</v>
      </c>
      <c r="B495" s="7" t="s">
        <v>1699</v>
      </c>
      <c r="C495" s="2" t="s">
        <v>386</v>
      </c>
      <c r="D495" s="3">
        <v>43779.583333333336</v>
      </c>
      <c r="E495" s="2" t="s">
        <v>1700</v>
      </c>
      <c r="F495" s="2" t="s">
        <v>29</v>
      </c>
      <c r="G495" s="7" t="s">
        <v>1701</v>
      </c>
      <c r="H495" s="2">
        <v>22</v>
      </c>
      <c r="I495" s="2">
        <v>45</v>
      </c>
      <c r="J495" s="2" t="s">
        <v>1550</v>
      </c>
      <c r="K495" s="2">
        <v>2019</v>
      </c>
      <c r="L495" s="2">
        <v>11</v>
      </c>
      <c r="M495" s="2">
        <v>10</v>
      </c>
      <c r="N495" s="2">
        <v>14</v>
      </c>
    </row>
    <row r="496" spans="1:14" ht="45" x14ac:dyDescent="0.25">
      <c r="A496" s="4">
        <v>494</v>
      </c>
      <c r="B496" s="8" t="s">
        <v>1702</v>
      </c>
      <c r="C496" s="4" t="s">
        <v>1622</v>
      </c>
      <c r="D496" s="5">
        <v>44288.763888888891</v>
      </c>
      <c r="E496" s="4" t="s">
        <v>1703</v>
      </c>
      <c r="F496" s="4" t="s">
        <v>24</v>
      </c>
      <c r="G496" s="8" t="s">
        <v>1704</v>
      </c>
      <c r="H496" s="4">
        <v>35</v>
      </c>
      <c r="I496" s="4">
        <v>70</v>
      </c>
      <c r="J496" s="4" t="s">
        <v>1705</v>
      </c>
      <c r="K496" s="4">
        <v>2021</v>
      </c>
      <c r="L496" s="4">
        <v>4</v>
      </c>
      <c r="M496" s="4">
        <v>2</v>
      </c>
      <c r="N496" s="4">
        <v>18</v>
      </c>
    </row>
    <row r="497" spans="1:14" ht="30" x14ac:dyDescent="0.25">
      <c r="A497" s="2">
        <v>495</v>
      </c>
      <c r="B497" s="7" t="s">
        <v>1706</v>
      </c>
      <c r="C497" s="2" t="s">
        <v>1707</v>
      </c>
      <c r="D497" s="3">
        <v>42969.895833333336</v>
      </c>
      <c r="E497" s="2" t="s">
        <v>1708</v>
      </c>
      <c r="F497" s="2" t="s">
        <v>872</v>
      </c>
      <c r="G497" s="7" t="s">
        <v>1709</v>
      </c>
      <c r="H497" s="2">
        <v>18</v>
      </c>
      <c r="I497" s="2">
        <v>35</v>
      </c>
      <c r="J497" s="2" t="s">
        <v>1555</v>
      </c>
      <c r="K497" s="2">
        <v>2017</v>
      </c>
      <c r="L497" s="2">
        <v>8</v>
      </c>
      <c r="M497" s="2">
        <v>22</v>
      </c>
      <c r="N497" s="2">
        <v>21</v>
      </c>
    </row>
    <row r="498" spans="1:14" ht="30" x14ac:dyDescent="0.25">
      <c r="A498" s="4">
        <v>496</v>
      </c>
      <c r="B498" s="8" t="s">
        <v>1710</v>
      </c>
      <c r="C498" s="4" t="s">
        <v>1711</v>
      </c>
      <c r="D498" s="5">
        <v>43997.697916666664</v>
      </c>
      <c r="E498" s="4" t="s">
        <v>1712</v>
      </c>
      <c r="F498" s="4" t="s">
        <v>24</v>
      </c>
      <c r="G498" s="8" t="s">
        <v>1713</v>
      </c>
      <c r="H498" s="4">
        <v>25</v>
      </c>
      <c r="I498" s="4">
        <v>50</v>
      </c>
      <c r="J498" s="4" t="s">
        <v>96</v>
      </c>
      <c r="K498" s="4">
        <v>2020</v>
      </c>
      <c r="L498" s="4">
        <v>6</v>
      </c>
      <c r="M498" s="4">
        <v>15</v>
      </c>
      <c r="N498" s="4">
        <v>16</v>
      </c>
    </row>
    <row r="499" spans="1:14" ht="30" x14ac:dyDescent="0.25">
      <c r="A499" s="2">
        <v>497</v>
      </c>
      <c r="B499" s="7" t="s">
        <v>1714</v>
      </c>
      <c r="C499" s="2" t="s">
        <v>918</v>
      </c>
      <c r="D499" s="3">
        <v>42623.802083333336</v>
      </c>
      <c r="E499" s="2" t="s">
        <v>1715</v>
      </c>
      <c r="F499" s="2" t="s">
        <v>29</v>
      </c>
      <c r="G499" s="7" t="s">
        <v>1716</v>
      </c>
      <c r="H499" s="2">
        <v>22</v>
      </c>
      <c r="I499" s="2">
        <v>45</v>
      </c>
      <c r="J499" s="2" t="s">
        <v>1717</v>
      </c>
      <c r="K499" s="2">
        <v>2016</v>
      </c>
      <c r="L499" s="2">
        <v>9</v>
      </c>
      <c r="M499" s="2">
        <v>10</v>
      </c>
      <c r="N499" s="2">
        <v>19</v>
      </c>
    </row>
    <row r="500" spans="1:14" ht="30" x14ac:dyDescent="0.25">
      <c r="A500" s="4">
        <v>498</v>
      </c>
      <c r="B500" s="8" t="s">
        <v>1718</v>
      </c>
      <c r="C500" s="4" t="s">
        <v>1719</v>
      </c>
      <c r="D500" s="5">
        <v>44954.541666666664</v>
      </c>
      <c r="E500" s="4" t="s">
        <v>1720</v>
      </c>
      <c r="F500" s="4" t="s">
        <v>872</v>
      </c>
      <c r="G500" s="8" t="s">
        <v>1721</v>
      </c>
      <c r="H500" s="4">
        <v>30</v>
      </c>
      <c r="I500" s="4">
        <v>60</v>
      </c>
      <c r="J500" s="4" t="s">
        <v>1722</v>
      </c>
      <c r="K500" s="4">
        <v>2023</v>
      </c>
      <c r="L500" s="4">
        <v>1</v>
      </c>
      <c r="M500" s="4">
        <v>28</v>
      </c>
      <c r="N500" s="4">
        <v>13</v>
      </c>
    </row>
    <row r="501" spans="1:14" ht="30" x14ac:dyDescent="0.25">
      <c r="A501" s="2">
        <v>499</v>
      </c>
      <c r="B501" s="7" t="s">
        <v>1723</v>
      </c>
      <c r="C501" s="2" t="s">
        <v>1724</v>
      </c>
      <c r="D501" s="3">
        <v>43573.6875</v>
      </c>
      <c r="E501" s="2" t="s">
        <v>1725</v>
      </c>
      <c r="F501" s="2" t="s">
        <v>24</v>
      </c>
      <c r="G501" s="7" t="s">
        <v>1726</v>
      </c>
      <c r="H501" s="2">
        <v>20</v>
      </c>
      <c r="I501" s="2">
        <v>40</v>
      </c>
      <c r="J501" s="2" t="s">
        <v>1550</v>
      </c>
      <c r="K501" s="2">
        <v>2019</v>
      </c>
      <c r="L501" s="2">
        <v>4</v>
      </c>
      <c r="M501" s="2">
        <v>18</v>
      </c>
      <c r="N501" s="2">
        <v>16</v>
      </c>
    </row>
    <row r="502" spans="1:14" ht="45" x14ac:dyDescent="0.25">
      <c r="A502" s="4">
        <v>500</v>
      </c>
      <c r="B502" s="8" t="s">
        <v>1727</v>
      </c>
      <c r="C502" s="4" t="s">
        <v>1711</v>
      </c>
      <c r="D502" s="5">
        <v>43044.916666666664</v>
      </c>
      <c r="E502" s="4" t="s">
        <v>1728</v>
      </c>
      <c r="F502" s="4" t="s">
        <v>29</v>
      </c>
      <c r="G502" s="8" t="s">
        <v>1729</v>
      </c>
      <c r="H502" s="4">
        <v>28</v>
      </c>
      <c r="I502" s="4">
        <v>55</v>
      </c>
      <c r="J502" s="4" t="s">
        <v>1730</v>
      </c>
      <c r="K502" s="4">
        <v>2017</v>
      </c>
      <c r="L502" s="4">
        <v>11</v>
      </c>
      <c r="M502" s="4">
        <v>5</v>
      </c>
      <c r="N502" s="4">
        <v>22</v>
      </c>
    </row>
    <row r="503" spans="1:14" ht="45" x14ac:dyDescent="0.25">
      <c r="A503" s="2">
        <v>501</v>
      </c>
      <c r="B503" s="7" t="s">
        <v>1731</v>
      </c>
      <c r="C503" s="2" t="s">
        <v>386</v>
      </c>
      <c r="D503" s="3">
        <v>44762.90625</v>
      </c>
      <c r="E503" s="2" t="s">
        <v>1732</v>
      </c>
      <c r="F503" s="2" t="s">
        <v>24</v>
      </c>
      <c r="G503" s="7" t="s">
        <v>1733</v>
      </c>
      <c r="H503" s="2">
        <v>35</v>
      </c>
      <c r="I503" s="2">
        <v>70</v>
      </c>
      <c r="J503" s="2" t="s">
        <v>96</v>
      </c>
      <c r="K503" s="2">
        <v>2022</v>
      </c>
      <c r="L503" s="2">
        <v>7</v>
      </c>
      <c r="M503" s="2">
        <v>20</v>
      </c>
      <c r="N503" s="2">
        <v>21</v>
      </c>
    </row>
    <row r="504" spans="1:14" ht="45" x14ac:dyDescent="0.25">
      <c r="A504" s="4">
        <v>502</v>
      </c>
      <c r="B504" s="8" t="s">
        <v>1734</v>
      </c>
      <c r="C504" s="4" t="s">
        <v>1735</v>
      </c>
      <c r="D504" s="5">
        <v>43174.729166666664</v>
      </c>
      <c r="E504" s="4" t="s">
        <v>1736</v>
      </c>
      <c r="F504" s="4" t="s">
        <v>872</v>
      </c>
      <c r="G504" s="8" t="s">
        <v>1737</v>
      </c>
      <c r="H504" s="4">
        <v>25</v>
      </c>
      <c r="I504" s="4">
        <v>50</v>
      </c>
      <c r="J504" s="4" t="s">
        <v>1550</v>
      </c>
      <c r="K504" s="4">
        <v>2018</v>
      </c>
      <c r="L504" s="4">
        <v>3</v>
      </c>
      <c r="M504" s="4">
        <v>15</v>
      </c>
      <c r="N504" s="4">
        <v>17</v>
      </c>
    </row>
    <row r="505" spans="1:14" ht="30" x14ac:dyDescent="0.25">
      <c r="A505" s="2">
        <v>503</v>
      </c>
      <c r="B505" s="7" t="s">
        <v>1738</v>
      </c>
      <c r="C505" s="2" t="s">
        <v>918</v>
      </c>
      <c r="D505" s="3">
        <v>43766.59375</v>
      </c>
      <c r="E505" s="2" t="s">
        <v>1739</v>
      </c>
      <c r="F505" s="2" t="s">
        <v>29</v>
      </c>
      <c r="G505" s="7" t="s">
        <v>1740</v>
      </c>
      <c r="H505" s="2">
        <v>22</v>
      </c>
      <c r="I505" s="2">
        <v>45</v>
      </c>
      <c r="J505" s="2" t="s">
        <v>1741</v>
      </c>
      <c r="K505" s="2">
        <v>2019</v>
      </c>
      <c r="L505" s="2">
        <v>10</v>
      </c>
      <c r="M505" s="2">
        <v>28</v>
      </c>
      <c r="N505" s="2">
        <v>14</v>
      </c>
    </row>
    <row r="506" spans="1:14" ht="30" x14ac:dyDescent="0.25">
      <c r="A506" s="4">
        <v>504</v>
      </c>
      <c r="B506" s="8" t="s">
        <v>1742</v>
      </c>
      <c r="C506" s="4" t="s">
        <v>1743</v>
      </c>
      <c r="D506" s="5">
        <v>44357.666666666664</v>
      </c>
      <c r="E506" s="4" t="s">
        <v>1744</v>
      </c>
      <c r="F506" s="4" t="s">
        <v>24</v>
      </c>
      <c r="G506" s="8" t="s">
        <v>1745</v>
      </c>
      <c r="H506" s="4">
        <v>30</v>
      </c>
      <c r="I506" s="4">
        <v>60</v>
      </c>
      <c r="J506" s="4" t="s">
        <v>1537</v>
      </c>
      <c r="K506" s="4">
        <v>2021</v>
      </c>
      <c r="L506" s="4">
        <v>6</v>
      </c>
      <c r="M506" s="4">
        <v>10</v>
      </c>
      <c r="N506" s="4">
        <v>16</v>
      </c>
    </row>
    <row r="507" spans="1:14" ht="30" x14ac:dyDescent="0.25">
      <c r="A507" s="2">
        <v>505</v>
      </c>
      <c r="B507" s="7" t="s">
        <v>1746</v>
      </c>
      <c r="C507" s="2" t="s">
        <v>1711</v>
      </c>
      <c r="D507" s="3">
        <v>42965.8125</v>
      </c>
      <c r="E507" s="2" t="s">
        <v>1747</v>
      </c>
      <c r="F507" s="2" t="s">
        <v>872</v>
      </c>
      <c r="G507" s="7" t="s">
        <v>1748</v>
      </c>
      <c r="H507" s="2">
        <v>18</v>
      </c>
      <c r="I507" s="2">
        <v>35</v>
      </c>
      <c r="J507" s="2" t="s">
        <v>1749</v>
      </c>
      <c r="K507" s="2">
        <v>2017</v>
      </c>
      <c r="L507" s="2">
        <v>8</v>
      </c>
      <c r="M507" s="2">
        <v>18</v>
      </c>
      <c r="N507" s="2">
        <v>19</v>
      </c>
    </row>
    <row r="508" spans="1:14" ht="30" x14ac:dyDescent="0.25">
      <c r="A508" s="4">
        <v>506</v>
      </c>
      <c r="B508" s="8" t="s">
        <v>1750</v>
      </c>
      <c r="C508" s="4" t="s">
        <v>1210</v>
      </c>
      <c r="D508" s="5">
        <v>43936.229166666664</v>
      </c>
      <c r="E508" s="4" t="s">
        <v>1751</v>
      </c>
      <c r="F508" s="4" t="s">
        <v>29</v>
      </c>
      <c r="G508" s="8" t="s">
        <v>1752</v>
      </c>
      <c r="H508" s="4">
        <v>28</v>
      </c>
      <c r="I508" s="4">
        <v>55</v>
      </c>
      <c r="J508" s="4" t="s">
        <v>1555</v>
      </c>
      <c r="K508" s="4">
        <v>2020</v>
      </c>
      <c r="L508" s="4">
        <v>4</v>
      </c>
      <c r="M508" s="4">
        <v>15</v>
      </c>
      <c r="N508" s="4">
        <v>5</v>
      </c>
    </row>
    <row r="509" spans="1:14" ht="45" x14ac:dyDescent="0.25">
      <c r="A509" s="2">
        <v>507</v>
      </c>
      <c r="B509" s="7" t="s">
        <v>1753</v>
      </c>
      <c r="C509" s="2" t="s">
        <v>1707</v>
      </c>
      <c r="D509" s="3">
        <v>42696.541666666664</v>
      </c>
      <c r="E509" s="2" t="s">
        <v>1754</v>
      </c>
      <c r="F509" s="2" t="s">
        <v>24</v>
      </c>
      <c r="G509" s="7" t="s">
        <v>1755</v>
      </c>
      <c r="H509" s="2">
        <v>20</v>
      </c>
      <c r="I509" s="2">
        <v>40</v>
      </c>
      <c r="J509" s="2" t="s">
        <v>1756</v>
      </c>
      <c r="K509" s="2">
        <v>2016</v>
      </c>
      <c r="L509" s="2">
        <v>11</v>
      </c>
      <c r="M509" s="2">
        <v>22</v>
      </c>
      <c r="N509" s="2">
        <v>13</v>
      </c>
    </row>
    <row r="510" spans="1:14" ht="30" x14ac:dyDescent="0.25">
      <c r="A510" s="4">
        <v>508</v>
      </c>
      <c r="B510" s="8" t="s">
        <v>1757</v>
      </c>
      <c r="C510" s="4" t="s">
        <v>1320</v>
      </c>
      <c r="D510" s="5">
        <v>43475.614583333336</v>
      </c>
      <c r="E510" s="4" t="s">
        <v>1758</v>
      </c>
      <c r="F510" s="4" t="s">
        <v>872</v>
      </c>
      <c r="G510" s="8" t="s">
        <v>1759</v>
      </c>
      <c r="H510" s="4">
        <v>22</v>
      </c>
      <c r="I510" s="4">
        <v>45</v>
      </c>
      <c r="J510" s="4" t="s">
        <v>1760</v>
      </c>
      <c r="K510" s="4">
        <v>2019</v>
      </c>
      <c r="L510" s="4">
        <v>1</v>
      </c>
      <c r="M510" s="4">
        <v>10</v>
      </c>
      <c r="N510" s="4">
        <v>14</v>
      </c>
    </row>
    <row r="511" spans="1:14" ht="45" x14ac:dyDescent="0.25">
      <c r="A511" s="2">
        <v>509</v>
      </c>
      <c r="B511" s="7" t="s">
        <v>1761</v>
      </c>
      <c r="C511" s="2" t="s">
        <v>1762</v>
      </c>
      <c r="D511" s="3">
        <v>44985.680555555555</v>
      </c>
      <c r="E511" s="2" t="s">
        <v>1763</v>
      </c>
      <c r="F511" s="2" t="s">
        <v>29</v>
      </c>
      <c r="G511" s="7" t="s">
        <v>1764</v>
      </c>
      <c r="H511" s="2">
        <v>25</v>
      </c>
      <c r="I511" s="2">
        <v>50</v>
      </c>
      <c r="J511" s="2" t="s">
        <v>1555</v>
      </c>
      <c r="K511" s="2">
        <v>2023</v>
      </c>
      <c r="L511" s="2">
        <v>2</v>
      </c>
      <c r="M511" s="2">
        <v>28</v>
      </c>
      <c r="N511" s="2">
        <v>16</v>
      </c>
    </row>
    <row r="512" spans="1:14" ht="45" x14ac:dyDescent="0.25">
      <c r="A512" s="4">
        <v>510</v>
      </c>
      <c r="B512" s="8" t="s">
        <v>1765</v>
      </c>
      <c r="C512" s="4" t="s">
        <v>1766</v>
      </c>
      <c r="D512" s="5">
        <v>43248.770833333336</v>
      </c>
      <c r="E512" s="4" t="s">
        <v>1767</v>
      </c>
      <c r="F512" s="4" t="s">
        <v>24</v>
      </c>
      <c r="G512" s="8" t="s">
        <v>1768</v>
      </c>
      <c r="H512" s="4">
        <v>22</v>
      </c>
      <c r="I512" s="4">
        <v>45</v>
      </c>
      <c r="J512" s="4" t="s">
        <v>1769</v>
      </c>
      <c r="K512" s="4">
        <v>2018</v>
      </c>
      <c r="L512" s="4">
        <v>5</v>
      </c>
      <c r="M512" s="4">
        <v>28</v>
      </c>
      <c r="N512" s="4">
        <v>18</v>
      </c>
    </row>
    <row r="513" spans="1:14" ht="45" x14ac:dyDescent="0.25">
      <c r="A513" s="2">
        <v>511</v>
      </c>
      <c r="B513" s="7" t="s">
        <v>1770</v>
      </c>
      <c r="C513" s="2" t="s">
        <v>1771</v>
      </c>
      <c r="D513" s="3">
        <v>44819.833333333336</v>
      </c>
      <c r="E513" s="2" t="s">
        <v>1772</v>
      </c>
      <c r="F513" s="2" t="s">
        <v>24</v>
      </c>
      <c r="G513" s="7" t="s">
        <v>1773</v>
      </c>
      <c r="H513" s="2">
        <v>40</v>
      </c>
      <c r="I513" s="2">
        <v>80</v>
      </c>
      <c r="J513" s="2" t="s">
        <v>96</v>
      </c>
      <c r="K513" s="2">
        <v>2022</v>
      </c>
      <c r="L513" s="2">
        <v>9</v>
      </c>
      <c r="M513" s="2">
        <v>15</v>
      </c>
      <c r="N513" s="2">
        <v>20</v>
      </c>
    </row>
    <row r="514" spans="1:14" ht="30" x14ac:dyDescent="0.25">
      <c r="A514" s="4">
        <v>512</v>
      </c>
      <c r="B514" s="8" t="s">
        <v>1774</v>
      </c>
      <c r="C514" s="4" t="s">
        <v>1775</v>
      </c>
      <c r="D514" s="5">
        <v>43674.895833333336</v>
      </c>
      <c r="E514" s="4" t="s">
        <v>1776</v>
      </c>
      <c r="F514" s="4" t="s">
        <v>872</v>
      </c>
      <c r="G514" s="8" t="s">
        <v>1777</v>
      </c>
      <c r="H514" s="4">
        <v>35</v>
      </c>
      <c r="I514" s="4">
        <v>70</v>
      </c>
      <c r="J514" s="4" t="s">
        <v>96</v>
      </c>
      <c r="K514" s="4">
        <v>2019</v>
      </c>
      <c r="L514" s="4">
        <v>7</v>
      </c>
      <c r="M514" s="4">
        <v>28</v>
      </c>
      <c r="N514" s="4">
        <v>21</v>
      </c>
    </row>
    <row r="515" spans="1:14" ht="30" x14ac:dyDescent="0.25">
      <c r="A515" s="2">
        <v>513</v>
      </c>
      <c r="B515" s="7" t="s">
        <v>1778</v>
      </c>
      <c r="C515" s="2" t="s">
        <v>1696</v>
      </c>
      <c r="D515" s="3">
        <v>44326.822916666664</v>
      </c>
      <c r="E515" s="2" t="s">
        <v>1779</v>
      </c>
      <c r="F515" s="2" t="s">
        <v>29</v>
      </c>
      <c r="G515" s="7" t="s">
        <v>1780</v>
      </c>
      <c r="H515" s="2">
        <v>30</v>
      </c>
      <c r="I515" s="2">
        <v>60</v>
      </c>
      <c r="J515" s="2" t="s">
        <v>96</v>
      </c>
      <c r="K515" s="2">
        <v>2021</v>
      </c>
      <c r="L515" s="2">
        <v>5</v>
      </c>
      <c r="M515" s="2">
        <v>10</v>
      </c>
      <c r="N515" s="2">
        <v>19</v>
      </c>
    </row>
    <row r="516" spans="1:14" ht="30" x14ac:dyDescent="0.25">
      <c r="A516" s="4">
        <v>514</v>
      </c>
      <c r="B516" s="8" t="s">
        <v>1781</v>
      </c>
      <c r="C516" s="4" t="s">
        <v>1403</v>
      </c>
      <c r="D516" s="5">
        <v>43436.927083333336</v>
      </c>
      <c r="E516" s="4" t="s">
        <v>1782</v>
      </c>
      <c r="F516" s="4" t="s">
        <v>24</v>
      </c>
      <c r="G516" s="8" t="s">
        <v>1783</v>
      </c>
      <c r="H516" s="4">
        <v>22</v>
      </c>
      <c r="I516" s="4">
        <v>45</v>
      </c>
      <c r="J516" s="4" t="s">
        <v>107</v>
      </c>
      <c r="K516" s="4">
        <v>2018</v>
      </c>
      <c r="L516" s="4">
        <v>12</v>
      </c>
      <c r="M516" s="4">
        <v>2</v>
      </c>
      <c r="N516" s="4">
        <v>22</v>
      </c>
    </row>
    <row r="517" spans="1:14" ht="45" x14ac:dyDescent="0.25">
      <c r="A517" s="2">
        <v>515</v>
      </c>
      <c r="B517" s="7" t="s">
        <v>1784</v>
      </c>
      <c r="C517" s="2" t="s">
        <v>918</v>
      </c>
      <c r="D517" s="3">
        <v>44061.791666666664</v>
      </c>
      <c r="E517" s="2" t="s">
        <v>1785</v>
      </c>
      <c r="F517" s="2" t="s">
        <v>872</v>
      </c>
      <c r="G517" s="7" t="s">
        <v>1786</v>
      </c>
      <c r="H517" s="2">
        <v>18</v>
      </c>
      <c r="I517" s="2">
        <v>35</v>
      </c>
      <c r="J517" s="2" t="s">
        <v>107</v>
      </c>
      <c r="K517" s="2">
        <v>2020</v>
      </c>
      <c r="L517" s="2">
        <v>8</v>
      </c>
      <c r="M517" s="2">
        <v>18</v>
      </c>
      <c r="N517" s="2">
        <v>19</v>
      </c>
    </row>
    <row r="518" spans="1:14" ht="30" x14ac:dyDescent="0.25">
      <c r="A518" s="4">
        <v>516</v>
      </c>
      <c r="B518" s="8" t="s">
        <v>1787</v>
      </c>
      <c r="C518" s="4" t="s">
        <v>1622</v>
      </c>
      <c r="D518" s="5">
        <v>42822.854166666664</v>
      </c>
      <c r="E518" s="4" t="s">
        <v>1788</v>
      </c>
      <c r="F518" s="4" t="s">
        <v>29</v>
      </c>
      <c r="G518" s="8" t="s">
        <v>1789</v>
      </c>
      <c r="H518" s="4">
        <v>28</v>
      </c>
      <c r="I518" s="4">
        <v>55</v>
      </c>
      <c r="J518" s="4" t="s">
        <v>96</v>
      </c>
      <c r="K518" s="4">
        <v>2017</v>
      </c>
      <c r="L518" s="4">
        <v>3</v>
      </c>
      <c r="M518" s="4">
        <v>28</v>
      </c>
      <c r="N518" s="4">
        <v>20</v>
      </c>
    </row>
    <row r="519" spans="1:14" ht="30" x14ac:dyDescent="0.25">
      <c r="A519" s="2">
        <v>517</v>
      </c>
      <c r="B519" s="7" t="s">
        <v>1790</v>
      </c>
      <c r="C519" s="2" t="s">
        <v>1791</v>
      </c>
      <c r="D519" s="3">
        <v>44576.885416666664</v>
      </c>
      <c r="E519" s="2" t="s">
        <v>1792</v>
      </c>
      <c r="F519" s="2" t="s">
        <v>24</v>
      </c>
      <c r="G519" s="7" t="s">
        <v>1793</v>
      </c>
      <c r="H519" s="2">
        <v>25</v>
      </c>
      <c r="I519" s="2">
        <v>50</v>
      </c>
      <c r="J519" s="2" t="s">
        <v>96</v>
      </c>
      <c r="K519" s="2">
        <v>2022</v>
      </c>
      <c r="L519" s="2">
        <v>1</v>
      </c>
      <c r="M519" s="2">
        <v>15</v>
      </c>
      <c r="N519" s="2">
        <v>21</v>
      </c>
    </row>
    <row r="520" spans="1:14" ht="45" x14ac:dyDescent="0.25">
      <c r="A520" s="4">
        <v>518</v>
      </c>
      <c r="B520" s="8" t="s">
        <v>1794</v>
      </c>
      <c r="C520" s="4" t="s">
        <v>1795</v>
      </c>
      <c r="D520" s="5">
        <v>43626.78125</v>
      </c>
      <c r="E520" s="4" t="s">
        <v>1796</v>
      </c>
      <c r="F520" s="4" t="s">
        <v>872</v>
      </c>
      <c r="G520" s="8" t="s">
        <v>1797</v>
      </c>
      <c r="H520" s="4">
        <v>22</v>
      </c>
      <c r="I520" s="4">
        <v>45</v>
      </c>
      <c r="J520" s="4" t="s">
        <v>96</v>
      </c>
      <c r="K520" s="4">
        <v>2019</v>
      </c>
      <c r="L520" s="4">
        <v>6</v>
      </c>
      <c r="M520" s="4">
        <v>10</v>
      </c>
      <c r="N520" s="4">
        <v>18</v>
      </c>
    </row>
    <row r="521" spans="1:14" ht="45" x14ac:dyDescent="0.25">
      <c r="A521" s="2">
        <v>519</v>
      </c>
      <c r="B521" s="7" t="s">
        <v>1798</v>
      </c>
      <c r="C521" s="2" t="s">
        <v>1799</v>
      </c>
      <c r="D521" s="3">
        <v>45005.9375</v>
      </c>
      <c r="E521" s="2" t="s">
        <v>1800</v>
      </c>
      <c r="F521" s="2" t="s">
        <v>29</v>
      </c>
      <c r="G521" s="7" t="s">
        <v>1801</v>
      </c>
      <c r="H521" s="2">
        <v>35</v>
      </c>
      <c r="I521" s="2">
        <v>70</v>
      </c>
      <c r="J521" s="2" t="s">
        <v>96</v>
      </c>
      <c r="K521" s="2">
        <v>2023</v>
      </c>
      <c r="L521" s="2">
        <v>3</v>
      </c>
      <c r="M521" s="2">
        <v>20</v>
      </c>
      <c r="N521" s="2">
        <v>22</v>
      </c>
    </row>
    <row r="522" spans="1:14" ht="45" x14ac:dyDescent="0.25">
      <c r="A522" s="4">
        <v>520</v>
      </c>
      <c r="B522" s="8" t="s">
        <v>1802</v>
      </c>
      <c r="C522" s="4" t="s">
        <v>1803</v>
      </c>
      <c r="D522" s="5">
        <v>42702.791666666664</v>
      </c>
      <c r="E522" s="4" t="s">
        <v>1804</v>
      </c>
      <c r="F522" s="4" t="s">
        <v>24</v>
      </c>
      <c r="G522" s="8" t="s">
        <v>1805</v>
      </c>
      <c r="H522" s="4">
        <v>30</v>
      </c>
      <c r="I522" s="4">
        <v>60</v>
      </c>
      <c r="J522" s="4" t="s">
        <v>107</v>
      </c>
      <c r="K522" s="4">
        <v>2016</v>
      </c>
      <c r="L522" s="4">
        <v>11</v>
      </c>
      <c r="M522" s="4">
        <v>28</v>
      </c>
      <c r="N522" s="4">
        <v>19</v>
      </c>
    </row>
    <row r="523" spans="1:14" ht="45" x14ac:dyDescent="0.25">
      <c r="A523" s="2">
        <v>521</v>
      </c>
      <c r="B523" s="7" t="s">
        <v>1806</v>
      </c>
      <c r="C523" s="2" t="s">
        <v>1632</v>
      </c>
      <c r="D523" s="3">
        <v>43317.833333333336</v>
      </c>
      <c r="E523" s="2" t="s">
        <v>1807</v>
      </c>
      <c r="F523" s="2" t="s">
        <v>24</v>
      </c>
      <c r="G523" s="7" t="s">
        <v>1808</v>
      </c>
      <c r="H523" s="2">
        <v>40</v>
      </c>
      <c r="I523" s="2">
        <v>80</v>
      </c>
      <c r="J523" s="2" t="s">
        <v>121</v>
      </c>
      <c r="K523" s="2">
        <v>2018</v>
      </c>
      <c r="L523" s="2">
        <v>8</v>
      </c>
      <c r="M523" s="2">
        <v>5</v>
      </c>
      <c r="N523" s="2">
        <v>20</v>
      </c>
    </row>
    <row r="524" spans="1:14" ht="45" x14ac:dyDescent="0.25">
      <c r="A524" s="4">
        <v>522</v>
      </c>
      <c r="B524" s="8" t="s">
        <v>1809</v>
      </c>
      <c r="C524" s="4" t="s">
        <v>1810</v>
      </c>
      <c r="D524" s="5">
        <v>44301.895833333336</v>
      </c>
      <c r="E524" s="4" t="s">
        <v>1811</v>
      </c>
      <c r="F524" s="4" t="s">
        <v>872</v>
      </c>
      <c r="G524" s="8" t="s">
        <v>1812</v>
      </c>
      <c r="H524" s="4">
        <v>35</v>
      </c>
      <c r="I524" s="4">
        <v>70</v>
      </c>
      <c r="J524" s="4" t="s">
        <v>96</v>
      </c>
      <c r="K524" s="4">
        <v>2021</v>
      </c>
      <c r="L524" s="4">
        <v>4</v>
      </c>
      <c r="M524" s="4">
        <v>15</v>
      </c>
      <c r="N524" s="4">
        <v>21</v>
      </c>
    </row>
    <row r="525" spans="1:14" ht="45" x14ac:dyDescent="0.25">
      <c r="A525" s="2">
        <v>523</v>
      </c>
      <c r="B525" s="7" t="s">
        <v>1813</v>
      </c>
      <c r="C525" s="2" t="s">
        <v>1771</v>
      </c>
      <c r="D525" s="3">
        <v>43797.822916666664</v>
      </c>
      <c r="E525" s="2" t="s">
        <v>1814</v>
      </c>
      <c r="F525" s="2" t="s">
        <v>29</v>
      </c>
      <c r="G525" s="7" t="s">
        <v>1815</v>
      </c>
      <c r="H525" s="2">
        <v>30</v>
      </c>
      <c r="I525" s="2">
        <v>60</v>
      </c>
      <c r="J525" s="2" t="s">
        <v>107</v>
      </c>
      <c r="K525" s="2">
        <v>2019</v>
      </c>
      <c r="L525" s="2">
        <v>11</v>
      </c>
      <c r="M525" s="2">
        <v>28</v>
      </c>
      <c r="N525" s="2">
        <v>19</v>
      </c>
    </row>
    <row r="526" spans="1:14" ht="45" x14ac:dyDescent="0.25">
      <c r="A526" s="4">
        <v>524</v>
      </c>
      <c r="B526" s="8" t="s">
        <v>1816</v>
      </c>
      <c r="C526" s="4" t="s">
        <v>1817</v>
      </c>
      <c r="D526" s="5">
        <v>44004.916666666664</v>
      </c>
      <c r="E526" s="4" t="s">
        <v>1818</v>
      </c>
      <c r="F526" s="4" t="s">
        <v>24</v>
      </c>
      <c r="G526" s="8" t="s">
        <v>1819</v>
      </c>
      <c r="H526" s="4">
        <v>22</v>
      </c>
      <c r="I526" s="4">
        <v>45</v>
      </c>
      <c r="J526" s="4" t="s">
        <v>96</v>
      </c>
      <c r="K526" s="4">
        <v>2020</v>
      </c>
      <c r="L526" s="4">
        <v>6</v>
      </c>
      <c r="M526" s="4">
        <v>22</v>
      </c>
      <c r="N526" s="4">
        <v>22</v>
      </c>
    </row>
    <row r="527" spans="1:14" ht="30" x14ac:dyDescent="0.25">
      <c r="A527" s="2">
        <v>525</v>
      </c>
      <c r="B527" s="7" t="s">
        <v>1820</v>
      </c>
      <c r="C527" s="2" t="s">
        <v>1821</v>
      </c>
      <c r="D527" s="3">
        <v>42988.84375</v>
      </c>
      <c r="E527" s="2" t="s">
        <v>1822</v>
      </c>
      <c r="F527" s="2" t="s">
        <v>872</v>
      </c>
      <c r="G527" s="7" t="s">
        <v>1823</v>
      </c>
      <c r="H527" s="2">
        <v>18</v>
      </c>
      <c r="I527" s="2">
        <v>35</v>
      </c>
      <c r="J527" s="2" t="s">
        <v>96</v>
      </c>
      <c r="K527" s="2">
        <v>2017</v>
      </c>
      <c r="L527" s="2">
        <v>9</v>
      </c>
      <c r="M527" s="2">
        <v>10</v>
      </c>
      <c r="N527" s="2">
        <v>20</v>
      </c>
    </row>
    <row r="528" spans="1:14" ht="30" x14ac:dyDescent="0.25">
      <c r="A528" s="4">
        <v>526</v>
      </c>
      <c r="B528" s="8" t="s">
        <v>1824</v>
      </c>
      <c r="C528" s="4" t="s">
        <v>1825</v>
      </c>
      <c r="D528" s="5">
        <v>44620.885416666664</v>
      </c>
      <c r="E528" s="4" t="s">
        <v>1826</v>
      </c>
      <c r="F528" s="4" t="s">
        <v>29</v>
      </c>
      <c r="G528" s="8" t="s">
        <v>1827</v>
      </c>
      <c r="H528" s="4">
        <v>28</v>
      </c>
      <c r="I528" s="4">
        <v>55</v>
      </c>
      <c r="J528" s="4" t="s">
        <v>1828</v>
      </c>
      <c r="K528" s="4">
        <v>2022</v>
      </c>
      <c r="L528" s="4">
        <v>2</v>
      </c>
      <c r="M528" s="4">
        <v>28</v>
      </c>
      <c r="N528" s="4">
        <v>21</v>
      </c>
    </row>
    <row r="529" spans="1:14" ht="45" x14ac:dyDescent="0.25">
      <c r="A529" s="2">
        <v>527</v>
      </c>
      <c r="B529" s="7" t="s">
        <v>1829</v>
      </c>
      <c r="C529" s="2" t="s">
        <v>1830</v>
      </c>
      <c r="D529" s="3">
        <v>42505.8125</v>
      </c>
      <c r="E529" s="2" t="s">
        <v>1831</v>
      </c>
      <c r="F529" s="2" t="s">
        <v>24</v>
      </c>
      <c r="G529" s="7" t="s">
        <v>1832</v>
      </c>
      <c r="H529" s="2">
        <v>25</v>
      </c>
      <c r="I529" s="2">
        <v>50</v>
      </c>
      <c r="J529" s="2" t="s">
        <v>1833</v>
      </c>
      <c r="K529" s="2">
        <v>2016</v>
      </c>
      <c r="L529" s="2">
        <v>5</v>
      </c>
      <c r="M529" s="2">
        <v>15</v>
      </c>
      <c r="N529" s="2">
        <v>19</v>
      </c>
    </row>
    <row r="530" spans="1:14" ht="45" x14ac:dyDescent="0.25">
      <c r="A530" s="4">
        <v>528</v>
      </c>
      <c r="B530" s="8" t="s">
        <v>1834</v>
      </c>
      <c r="C530" s="4" t="s">
        <v>1835</v>
      </c>
      <c r="D530" s="5">
        <v>43444.9375</v>
      </c>
      <c r="E530" s="4" t="s">
        <v>1836</v>
      </c>
      <c r="F530" s="4" t="s">
        <v>872</v>
      </c>
      <c r="G530" s="8" t="s">
        <v>1837</v>
      </c>
      <c r="H530" s="4">
        <v>22</v>
      </c>
      <c r="I530" s="4">
        <v>45</v>
      </c>
      <c r="J530" s="4" t="s">
        <v>96</v>
      </c>
      <c r="K530" s="4">
        <v>2018</v>
      </c>
      <c r="L530" s="4">
        <v>12</v>
      </c>
      <c r="M530" s="4">
        <v>10</v>
      </c>
      <c r="N530" s="4">
        <v>22</v>
      </c>
    </row>
    <row r="531" spans="1:14" ht="45" x14ac:dyDescent="0.25">
      <c r="A531" s="2">
        <v>529</v>
      </c>
      <c r="B531" s="7" t="s">
        <v>1838</v>
      </c>
      <c r="C531" s="2" t="s">
        <v>1839</v>
      </c>
      <c r="D531" s="3">
        <v>44948.833333333336</v>
      </c>
      <c r="E531" s="2" t="s">
        <v>1840</v>
      </c>
      <c r="F531" s="2" t="s">
        <v>29</v>
      </c>
      <c r="G531" s="7" t="s">
        <v>1841</v>
      </c>
      <c r="H531" s="2">
        <v>35</v>
      </c>
      <c r="I531" s="2">
        <v>70</v>
      </c>
      <c r="J531" s="2" t="s">
        <v>96</v>
      </c>
      <c r="K531" s="2">
        <v>2023</v>
      </c>
      <c r="L531" s="2">
        <v>1</v>
      </c>
      <c r="M531" s="2">
        <v>22</v>
      </c>
      <c r="N531" s="2">
        <v>20</v>
      </c>
    </row>
    <row r="532" spans="1:14" ht="45" x14ac:dyDescent="0.25">
      <c r="A532" s="4">
        <v>530</v>
      </c>
      <c r="B532" s="8" t="s">
        <v>1842</v>
      </c>
      <c r="C532" s="4" t="s">
        <v>1843</v>
      </c>
      <c r="D532" s="5">
        <v>43895.78125</v>
      </c>
      <c r="E532" s="4" t="s">
        <v>1844</v>
      </c>
      <c r="F532" s="4" t="s">
        <v>24</v>
      </c>
      <c r="G532" s="8" t="s">
        <v>1845</v>
      </c>
      <c r="H532" s="4">
        <v>30</v>
      </c>
      <c r="I532" s="4">
        <v>60</v>
      </c>
      <c r="J532" s="4" t="s">
        <v>1846</v>
      </c>
      <c r="K532" s="4">
        <v>2020</v>
      </c>
      <c r="L532" s="4">
        <v>3</v>
      </c>
      <c r="M532" s="4">
        <v>5</v>
      </c>
      <c r="N532" s="4">
        <v>18</v>
      </c>
    </row>
    <row r="533" spans="1:14" ht="45" x14ac:dyDescent="0.25">
      <c r="A533" s="2">
        <v>531</v>
      </c>
      <c r="B533" s="7" t="s">
        <v>1847</v>
      </c>
      <c r="C533" s="2" t="s">
        <v>386</v>
      </c>
      <c r="D533" s="3">
        <v>43385.833333333336</v>
      </c>
      <c r="E533" s="2" t="s">
        <v>1848</v>
      </c>
      <c r="F533" s="2" t="s">
        <v>872</v>
      </c>
      <c r="G533" s="7" t="s">
        <v>1849</v>
      </c>
      <c r="H533" s="2">
        <v>40</v>
      </c>
      <c r="I533" s="2">
        <v>80</v>
      </c>
      <c r="J533" s="2" t="s">
        <v>96</v>
      </c>
      <c r="K533" s="2">
        <v>2018</v>
      </c>
      <c r="L533" s="2">
        <v>10</v>
      </c>
      <c r="M533" s="2">
        <v>12</v>
      </c>
      <c r="N533" s="2">
        <v>20</v>
      </c>
    </row>
    <row r="534" spans="1:14" ht="45" x14ac:dyDescent="0.25">
      <c r="A534" s="4">
        <v>532</v>
      </c>
      <c r="B534" s="8" t="s">
        <v>1850</v>
      </c>
      <c r="C534" s="4" t="s">
        <v>1403</v>
      </c>
      <c r="D534" s="5">
        <v>43641.927083333336</v>
      </c>
      <c r="E534" s="4" t="s">
        <v>1851</v>
      </c>
      <c r="F534" s="4" t="s">
        <v>24</v>
      </c>
      <c r="G534" s="8" t="s">
        <v>1852</v>
      </c>
      <c r="H534" s="4">
        <v>35</v>
      </c>
      <c r="I534" s="4">
        <v>70</v>
      </c>
      <c r="J534" s="4" t="s">
        <v>107</v>
      </c>
      <c r="K534" s="4">
        <v>2019</v>
      </c>
      <c r="L534" s="4">
        <v>6</v>
      </c>
      <c r="M534" s="4">
        <v>25</v>
      </c>
      <c r="N534" s="4">
        <v>22</v>
      </c>
    </row>
    <row r="535" spans="1:14" ht="45" x14ac:dyDescent="0.25">
      <c r="A535" s="2">
        <v>533</v>
      </c>
      <c r="B535" s="7" t="s">
        <v>1853</v>
      </c>
      <c r="C535" s="2" t="s">
        <v>1854</v>
      </c>
      <c r="D535" s="3">
        <v>44020.8125</v>
      </c>
      <c r="E535" s="2" t="s">
        <v>1855</v>
      </c>
      <c r="F535" s="2" t="s">
        <v>29</v>
      </c>
      <c r="G535" s="7" t="s">
        <v>1856</v>
      </c>
      <c r="H535" s="2">
        <v>30</v>
      </c>
      <c r="I535" s="2">
        <v>60</v>
      </c>
      <c r="J535" s="2" t="s">
        <v>121</v>
      </c>
      <c r="K535" s="2">
        <v>2020</v>
      </c>
      <c r="L535" s="2">
        <v>7</v>
      </c>
      <c r="M535" s="2">
        <v>8</v>
      </c>
      <c r="N535" s="2">
        <v>19</v>
      </c>
    </row>
    <row r="536" spans="1:14" ht="45" x14ac:dyDescent="0.25">
      <c r="A536" s="4">
        <v>534</v>
      </c>
      <c r="B536" s="8" t="s">
        <v>1857</v>
      </c>
      <c r="C536" s="4" t="s">
        <v>1821</v>
      </c>
      <c r="D536" s="5">
        <v>42996.90625</v>
      </c>
      <c r="E536" s="4" t="s">
        <v>1858</v>
      </c>
      <c r="F536" s="4" t="s">
        <v>872</v>
      </c>
      <c r="G536" s="8" t="s">
        <v>1859</v>
      </c>
      <c r="H536" s="4">
        <v>22</v>
      </c>
      <c r="I536" s="4">
        <v>45</v>
      </c>
      <c r="J536" s="4" t="s">
        <v>36</v>
      </c>
      <c r="K536" s="4">
        <v>2017</v>
      </c>
      <c r="L536" s="4">
        <v>9</v>
      </c>
      <c r="M536" s="4">
        <v>18</v>
      </c>
      <c r="N536" s="4">
        <v>21</v>
      </c>
    </row>
    <row r="537" spans="1:14" ht="60" x14ac:dyDescent="0.25">
      <c r="A537" s="2">
        <v>535</v>
      </c>
      <c r="B537" s="7" t="s">
        <v>1860</v>
      </c>
      <c r="C537" s="2" t="s">
        <v>1861</v>
      </c>
      <c r="D537" s="3">
        <v>44211.75</v>
      </c>
      <c r="E537" s="2" t="s">
        <v>1862</v>
      </c>
      <c r="F537" s="2" t="s">
        <v>24</v>
      </c>
      <c r="G537" s="7" t="s">
        <v>1863</v>
      </c>
      <c r="H537" s="2">
        <v>28</v>
      </c>
      <c r="I537" s="2">
        <v>55</v>
      </c>
      <c r="J537" s="2" t="s">
        <v>162</v>
      </c>
      <c r="K537" s="2">
        <v>2021</v>
      </c>
      <c r="L537" s="2">
        <v>1</v>
      </c>
      <c r="M537" s="2">
        <v>15</v>
      </c>
      <c r="N537" s="2">
        <v>18</v>
      </c>
    </row>
    <row r="538" spans="1:14" ht="45" x14ac:dyDescent="0.25">
      <c r="A538" s="4">
        <v>536</v>
      </c>
      <c r="B538" s="8" t="s">
        <v>1864</v>
      </c>
      <c r="C538" s="4" t="s">
        <v>1636</v>
      </c>
      <c r="D538" s="5">
        <v>42428.854166666664</v>
      </c>
      <c r="E538" s="4" t="s">
        <v>1865</v>
      </c>
      <c r="F538" s="4" t="s">
        <v>29</v>
      </c>
      <c r="G538" s="8" t="s">
        <v>1866</v>
      </c>
      <c r="H538" s="4">
        <v>18</v>
      </c>
      <c r="I538" s="4">
        <v>35</v>
      </c>
      <c r="J538" s="4" t="s">
        <v>96</v>
      </c>
      <c r="K538" s="4">
        <v>2016</v>
      </c>
      <c r="L538" s="4">
        <v>2</v>
      </c>
      <c r="M538" s="4">
        <v>28</v>
      </c>
      <c r="N538" s="4">
        <v>20</v>
      </c>
    </row>
    <row r="539" spans="1:14" ht="60" x14ac:dyDescent="0.25">
      <c r="A539" s="2">
        <v>537</v>
      </c>
      <c r="B539" s="7" t="s">
        <v>1867</v>
      </c>
      <c r="C539" s="2" t="s">
        <v>1306</v>
      </c>
      <c r="D539" s="3">
        <v>44671.729166666664</v>
      </c>
      <c r="E539" s="2" t="s">
        <v>1868</v>
      </c>
      <c r="F539" s="2" t="s">
        <v>872</v>
      </c>
      <c r="G539" s="7" t="s">
        <v>1869</v>
      </c>
      <c r="H539" s="2">
        <v>22</v>
      </c>
      <c r="I539" s="2">
        <v>45</v>
      </c>
      <c r="J539" s="2" t="s">
        <v>1542</v>
      </c>
      <c r="K539" s="2">
        <v>2022</v>
      </c>
      <c r="L539" s="2">
        <v>4</v>
      </c>
      <c r="M539" s="2">
        <v>20</v>
      </c>
      <c r="N539" s="2">
        <v>17</v>
      </c>
    </row>
    <row r="540" spans="1:14" ht="45" x14ac:dyDescent="0.25">
      <c r="A540" s="4">
        <v>538</v>
      </c>
      <c r="B540" s="8" t="s">
        <v>1870</v>
      </c>
      <c r="C540" s="4" t="s">
        <v>1160</v>
      </c>
      <c r="D540" s="5">
        <v>43774.885416666664</v>
      </c>
      <c r="E540" s="4" t="s">
        <v>1871</v>
      </c>
      <c r="F540" s="4" t="s">
        <v>24</v>
      </c>
      <c r="G540" s="8" t="s">
        <v>1872</v>
      </c>
      <c r="H540" s="4">
        <v>28</v>
      </c>
      <c r="I540" s="4">
        <v>55</v>
      </c>
      <c r="J540" s="4" t="s">
        <v>1533</v>
      </c>
      <c r="K540" s="4">
        <v>2019</v>
      </c>
      <c r="L540" s="4">
        <v>11</v>
      </c>
      <c r="M540" s="4">
        <v>5</v>
      </c>
      <c r="N540" s="4">
        <v>21</v>
      </c>
    </row>
    <row r="541" spans="1:14" ht="45" x14ac:dyDescent="0.25">
      <c r="A541" s="2">
        <v>539</v>
      </c>
      <c r="B541" s="7" t="s">
        <v>1873</v>
      </c>
      <c r="C541" s="2" t="s">
        <v>1874</v>
      </c>
      <c r="D541" s="3">
        <v>42197.916666666664</v>
      </c>
      <c r="E541" s="2" t="s">
        <v>1875</v>
      </c>
      <c r="F541" s="2" t="s">
        <v>29</v>
      </c>
      <c r="G541" s="7" t="s">
        <v>1876</v>
      </c>
      <c r="H541" s="2">
        <v>35</v>
      </c>
      <c r="I541" s="2">
        <v>70</v>
      </c>
      <c r="J541" s="2" t="s">
        <v>1555</v>
      </c>
      <c r="K541" s="2">
        <v>2015</v>
      </c>
      <c r="L541" s="2">
        <v>7</v>
      </c>
      <c r="M541" s="2">
        <v>12</v>
      </c>
      <c r="N541" s="2">
        <v>22</v>
      </c>
    </row>
    <row r="542" spans="1:14" ht="45" x14ac:dyDescent="0.25">
      <c r="A542" s="4">
        <v>540</v>
      </c>
      <c r="B542" s="8" t="s">
        <v>1877</v>
      </c>
      <c r="C542" s="4" t="s">
        <v>1878</v>
      </c>
      <c r="D542" s="5">
        <v>44084.822916666664</v>
      </c>
      <c r="E542" s="4" t="s">
        <v>1879</v>
      </c>
      <c r="F542" s="4" t="s">
        <v>872</v>
      </c>
      <c r="G542" s="8" t="s">
        <v>1880</v>
      </c>
      <c r="H542" s="4">
        <v>22</v>
      </c>
      <c r="I542" s="4">
        <v>45</v>
      </c>
      <c r="J542" s="4" t="s">
        <v>1537</v>
      </c>
      <c r="K542" s="4">
        <v>2020</v>
      </c>
      <c r="L542" s="4">
        <v>9</v>
      </c>
      <c r="M542" s="4">
        <v>10</v>
      </c>
      <c r="N542" s="4">
        <v>19</v>
      </c>
    </row>
    <row r="543" spans="1:14" ht="45" x14ac:dyDescent="0.25">
      <c r="A543" s="2">
        <v>541</v>
      </c>
      <c r="B543" s="7" t="s">
        <v>1881</v>
      </c>
      <c r="C543" s="2" t="s">
        <v>1622</v>
      </c>
      <c r="D543" s="3">
        <v>43296.895833333336</v>
      </c>
      <c r="E543" s="2" t="s">
        <v>1882</v>
      </c>
      <c r="F543" s="2" t="s">
        <v>24</v>
      </c>
      <c r="G543" s="7" t="s">
        <v>1883</v>
      </c>
      <c r="H543" s="2">
        <v>40</v>
      </c>
      <c r="I543" s="2">
        <v>80</v>
      </c>
      <c r="J543" s="2" t="s">
        <v>1537</v>
      </c>
      <c r="K543" s="2">
        <v>2018</v>
      </c>
      <c r="L543" s="2">
        <v>7</v>
      </c>
      <c r="M543" s="2">
        <v>15</v>
      </c>
      <c r="N543" s="2">
        <v>21</v>
      </c>
    </row>
    <row r="544" spans="1:14" ht="45" x14ac:dyDescent="0.25">
      <c r="A544" s="4">
        <v>542</v>
      </c>
      <c r="B544" s="8" t="s">
        <v>1884</v>
      </c>
      <c r="C544" s="4" t="s">
        <v>1306</v>
      </c>
      <c r="D544" s="5">
        <v>44051.822916666664</v>
      </c>
      <c r="E544" s="4" t="s">
        <v>1885</v>
      </c>
      <c r="F544" s="4" t="s">
        <v>872</v>
      </c>
      <c r="G544" s="8" t="s">
        <v>1886</v>
      </c>
      <c r="H544" s="4">
        <v>35</v>
      </c>
      <c r="I544" s="4">
        <v>70</v>
      </c>
      <c r="J544" s="4" t="s">
        <v>96</v>
      </c>
      <c r="K544" s="4">
        <v>2020</v>
      </c>
      <c r="L544" s="4">
        <v>8</v>
      </c>
      <c r="M544" s="4">
        <v>8</v>
      </c>
      <c r="N544" s="4">
        <v>19</v>
      </c>
    </row>
    <row r="545" spans="1:14" ht="45" x14ac:dyDescent="0.25">
      <c r="A545" s="2">
        <v>543</v>
      </c>
      <c r="B545" s="7" t="s">
        <v>1887</v>
      </c>
      <c r="C545" s="2" t="s">
        <v>386</v>
      </c>
      <c r="D545" s="3">
        <v>43641.927083333336</v>
      </c>
      <c r="E545" s="2" t="s">
        <v>1888</v>
      </c>
      <c r="F545" s="2" t="s">
        <v>29</v>
      </c>
      <c r="G545" s="7" t="s">
        <v>1889</v>
      </c>
      <c r="H545" s="2">
        <v>30</v>
      </c>
      <c r="I545" s="2">
        <v>60</v>
      </c>
      <c r="J545" s="2" t="s">
        <v>162</v>
      </c>
      <c r="K545" s="2">
        <v>2019</v>
      </c>
      <c r="L545" s="2">
        <v>6</v>
      </c>
      <c r="M545" s="2">
        <v>25</v>
      </c>
      <c r="N545" s="2">
        <v>22</v>
      </c>
    </row>
    <row r="546" spans="1:14" ht="45" x14ac:dyDescent="0.25">
      <c r="A546" s="4">
        <v>544</v>
      </c>
      <c r="B546" s="8" t="s">
        <v>1890</v>
      </c>
      <c r="C546" s="4" t="s">
        <v>1891</v>
      </c>
      <c r="D546" s="5">
        <v>44507.729166666664</v>
      </c>
      <c r="E546" s="4" t="s">
        <v>1892</v>
      </c>
      <c r="F546" s="4" t="s">
        <v>24</v>
      </c>
      <c r="G546" s="8" t="s">
        <v>1893</v>
      </c>
      <c r="H546" s="4">
        <v>22</v>
      </c>
      <c r="I546" s="4">
        <v>45</v>
      </c>
      <c r="J546" s="4" t="s">
        <v>1894</v>
      </c>
      <c r="K546" s="4">
        <v>2021</v>
      </c>
      <c r="L546" s="4">
        <v>11</v>
      </c>
      <c r="M546" s="4">
        <v>7</v>
      </c>
      <c r="N546" s="4">
        <v>17</v>
      </c>
    </row>
    <row r="547" spans="1:14" ht="45" x14ac:dyDescent="0.25">
      <c r="A547" s="2">
        <v>545</v>
      </c>
      <c r="B547" s="7" t="s">
        <v>1895</v>
      </c>
      <c r="C547" s="2" t="s">
        <v>1735</v>
      </c>
      <c r="D547" s="3">
        <v>42988.84375</v>
      </c>
      <c r="E547" s="2" t="s">
        <v>1896</v>
      </c>
      <c r="F547" s="2" t="s">
        <v>872</v>
      </c>
      <c r="G547" s="7" t="s">
        <v>1897</v>
      </c>
      <c r="H547" s="2">
        <v>28</v>
      </c>
      <c r="I547" s="2">
        <v>55</v>
      </c>
      <c r="J547" s="2" t="s">
        <v>107</v>
      </c>
      <c r="K547" s="2">
        <v>2017</v>
      </c>
      <c r="L547" s="2">
        <v>9</v>
      </c>
      <c r="M547" s="2">
        <v>10</v>
      </c>
      <c r="N547" s="2">
        <v>20</v>
      </c>
    </row>
    <row r="548" spans="1:14" ht="45" x14ac:dyDescent="0.25">
      <c r="A548" s="4">
        <v>546</v>
      </c>
      <c r="B548" s="8" t="s">
        <v>1898</v>
      </c>
      <c r="C548" s="4" t="s">
        <v>1899</v>
      </c>
      <c r="D548" s="5">
        <v>44732.875</v>
      </c>
      <c r="E548" s="4" t="s">
        <v>1900</v>
      </c>
      <c r="F548" s="4" t="s">
        <v>29</v>
      </c>
      <c r="G548" s="8" t="s">
        <v>1901</v>
      </c>
      <c r="H548" s="4">
        <v>18</v>
      </c>
      <c r="I548" s="4">
        <v>35</v>
      </c>
      <c r="J548" s="4" t="s">
        <v>96</v>
      </c>
      <c r="K548" s="4">
        <v>2022</v>
      </c>
      <c r="L548" s="4">
        <v>6</v>
      </c>
      <c r="M548" s="4">
        <v>20</v>
      </c>
      <c r="N548" s="4">
        <v>21</v>
      </c>
    </row>
    <row r="549" spans="1:14" ht="45" x14ac:dyDescent="0.25">
      <c r="A549" s="2">
        <v>547</v>
      </c>
      <c r="B549" s="7" t="s">
        <v>1902</v>
      </c>
      <c r="C549" s="2" t="s">
        <v>1711</v>
      </c>
      <c r="D549" s="3">
        <v>42470.770833333336</v>
      </c>
      <c r="E549" s="2" t="s">
        <v>1903</v>
      </c>
      <c r="F549" s="2" t="s">
        <v>24</v>
      </c>
      <c r="G549" s="7" t="s">
        <v>1904</v>
      </c>
      <c r="H549" s="2">
        <v>22</v>
      </c>
      <c r="I549" s="2">
        <v>45</v>
      </c>
      <c r="J549" s="2" t="s">
        <v>1905</v>
      </c>
      <c r="K549" s="2">
        <v>2016</v>
      </c>
      <c r="L549" s="2">
        <v>4</v>
      </c>
      <c r="M549" s="2">
        <v>10</v>
      </c>
      <c r="N549" s="2">
        <v>18</v>
      </c>
    </row>
    <row r="550" spans="1:14" ht="45" x14ac:dyDescent="0.25">
      <c r="A550" s="4">
        <v>548</v>
      </c>
      <c r="B550" s="8" t="s">
        <v>1906</v>
      </c>
      <c r="C550" s="4" t="s">
        <v>1688</v>
      </c>
      <c r="D550" s="5">
        <v>43793.822916666664</v>
      </c>
      <c r="E550" s="4" t="s">
        <v>1907</v>
      </c>
      <c r="F550" s="4" t="s">
        <v>872</v>
      </c>
      <c r="G550" s="8" t="s">
        <v>1908</v>
      </c>
      <c r="H550" s="4">
        <v>28</v>
      </c>
      <c r="I550" s="4">
        <v>55</v>
      </c>
      <c r="J550" s="4" t="s">
        <v>1533</v>
      </c>
      <c r="K550" s="4">
        <v>2019</v>
      </c>
      <c r="L550" s="4">
        <v>11</v>
      </c>
      <c r="M550" s="4">
        <v>24</v>
      </c>
      <c r="N550" s="4">
        <v>19</v>
      </c>
    </row>
    <row r="551" spans="1:14" ht="45" x14ac:dyDescent="0.25">
      <c r="A551" s="2">
        <v>549</v>
      </c>
      <c r="B551" s="7" t="s">
        <v>1909</v>
      </c>
      <c r="C551" s="2" t="s">
        <v>1091</v>
      </c>
      <c r="D551" s="3">
        <v>42275.9375</v>
      </c>
      <c r="E551" s="2" t="s">
        <v>1910</v>
      </c>
      <c r="F551" s="2" t="s">
        <v>29</v>
      </c>
      <c r="G551" s="7" t="s">
        <v>1911</v>
      </c>
      <c r="H551" s="2">
        <v>35</v>
      </c>
      <c r="I551" s="2">
        <v>70</v>
      </c>
      <c r="J551" s="2" t="s">
        <v>1550</v>
      </c>
      <c r="K551" s="2">
        <v>2015</v>
      </c>
      <c r="L551" s="2">
        <v>9</v>
      </c>
      <c r="M551" s="2">
        <v>28</v>
      </c>
      <c r="N551" s="2">
        <v>22</v>
      </c>
    </row>
    <row r="552" spans="1:14" ht="45" x14ac:dyDescent="0.25">
      <c r="A552" s="4">
        <v>550</v>
      </c>
      <c r="B552" s="8" t="s">
        <v>1912</v>
      </c>
      <c r="C552" s="4" t="s">
        <v>1913</v>
      </c>
      <c r="D552" s="5">
        <v>44177.833333333336</v>
      </c>
      <c r="E552" s="4" t="s">
        <v>1914</v>
      </c>
      <c r="F552" s="4" t="s">
        <v>24</v>
      </c>
      <c r="G552" s="8" t="s">
        <v>1915</v>
      </c>
      <c r="H552" s="4">
        <v>22</v>
      </c>
      <c r="I552" s="4">
        <v>45</v>
      </c>
      <c r="J552" s="4" t="s">
        <v>121</v>
      </c>
      <c r="K552" s="4">
        <v>2020</v>
      </c>
      <c r="L552" s="4">
        <v>12</v>
      </c>
      <c r="M552" s="4">
        <v>12</v>
      </c>
      <c r="N552" s="4">
        <v>20</v>
      </c>
    </row>
    <row r="553" spans="1:14" ht="45" x14ac:dyDescent="0.25">
      <c r="A553" s="2">
        <v>551</v>
      </c>
      <c r="B553" s="7" t="s">
        <v>1916</v>
      </c>
      <c r="C553" s="2" t="s">
        <v>1471</v>
      </c>
      <c r="D553" s="3">
        <v>43771.78125</v>
      </c>
      <c r="E553" s="2" t="s">
        <v>1917</v>
      </c>
      <c r="F553" s="2" t="s">
        <v>872</v>
      </c>
      <c r="G553" s="7" t="s">
        <v>1918</v>
      </c>
      <c r="H553" s="2">
        <v>40</v>
      </c>
      <c r="I553" s="2">
        <v>80</v>
      </c>
      <c r="J553" s="2" t="s">
        <v>1537</v>
      </c>
      <c r="K553" s="2">
        <v>2019</v>
      </c>
      <c r="L553" s="2">
        <v>11</v>
      </c>
      <c r="M553" s="2">
        <v>2</v>
      </c>
      <c r="N553" s="2">
        <v>18</v>
      </c>
    </row>
    <row r="554" spans="1:14" ht="45" x14ac:dyDescent="0.25">
      <c r="A554" s="4">
        <v>552</v>
      </c>
      <c r="B554" s="8" t="s">
        <v>1919</v>
      </c>
      <c r="C554" s="4" t="s">
        <v>658</v>
      </c>
      <c r="D554" s="5">
        <v>43291.885416666664</v>
      </c>
      <c r="E554" s="4" t="s">
        <v>1920</v>
      </c>
      <c r="F554" s="4" t="s">
        <v>24</v>
      </c>
      <c r="G554" s="8" t="s">
        <v>1921</v>
      </c>
      <c r="H554" s="4">
        <v>35</v>
      </c>
      <c r="I554" s="4">
        <v>70</v>
      </c>
      <c r="J554" s="4" t="s">
        <v>96</v>
      </c>
      <c r="K554" s="4">
        <v>2018</v>
      </c>
      <c r="L554" s="4">
        <v>7</v>
      </c>
      <c r="M554" s="4">
        <v>10</v>
      </c>
      <c r="N554" s="4">
        <v>21</v>
      </c>
    </row>
    <row r="555" spans="1:14" ht="45" x14ac:dyDescent="0.25">
      <c r="A555" s="2">
        <v>553</v>
      </c>
      <c r="B555" s="7" t="s">
        <v>1922</v>
      </c>
      <c r="C555" s="2" t="s">
        <v>1692</v>
      </c>
      <c r="D555" s="3">
        <v>44092.8125</v>
      </c>
      <c r="E555" s="2" t="s">
        <v>1923</v>
      </c>
      <c r="F555" s="2" t="s">
        <v>29</v>
      </c>
      <c r="G555" s="7" t="s">
        <v>1924</v>
      </c>
      <c r="H555" s="2">
        <v>30</v>
      </c>
      <c r="I555" s="2">
        <v>60</v>
      </c>
      <c r="J555" s="2" t="s">
        <v>107</v>
      </c>
      <c r="K555" s="2">
        <v>2020</v>
      </c>
      <c r="L555" s="2">
        <v>9</v>
      </c>
      <c r="M555" s="2">
        <v>18</v>
      </c>
      <c r="N555" s="2">
        <v>19</v>
      </c>
    </row>
    <row r="556" spans="1:14" ht="45" x14ac:dyDescent="0.25">
      <c r="A556" s="4">
        <v>554</v>
      </c>
      <c r="B556" s="8" t="s">
        <v>1925</v>
      </c>
      <c r="C556" s="4" t="s">
        <v>1926</v>
      </c>
      <c r="D556" s="5">
        <v>42870.916666666664</v>
      </c>
      <c r="E556" s="4" t="s">
        <v>1927</v>
      </c>
      <c r="F556" s="4" t="s">
        <v>872</v>
      </c>
      <c r="G556" s="8" t="s">
        <v>1928</v>
      </c>
      <c r="H556" s="4">
        <v>22</v>
      </c>
      <c r="I556" s="4">
        <v>45</v>
      </c>
      <c r="J556" s="4" t="s">
        <v>1542</v>
      </c>
      <c r="K556" s="4">
        <v>2017</v>
      </c>
      <c r="L556" s="4">
        <v>5</v>
      </c>
      <c r="M556" s="4">
        <v>15</v>
      </c>
      <c r="N556" s="4">
        <v>22</v>
      </c>
    </row>
    <row r="557" spans="1:14" ht="45" x14ac:dyDescent="0.25">
      <c r="A557" s="2">
        <v>555</v>
      </c>
      <c r="B557" s="7" t="s">
        <v>1929</v>
      </c>
      <c r="C557" s="2" t="s">
        <v>1930</v>
      </c>
      <c r="D557" s="3">
        <v>44291.84375</v>
      </c>
      <c r="E557" s="2" t="s">
        <v>1931</v>
      </c>
      <c r="F557" s="2" t="s">
        <v>24</v>
      </c>
      <c r="G557" s="7" t="s">
        <v>1932</v>
      </c>
      <c r="H557" s="2">
        <v>28</v>
      </c>
      <c r="I557" s="2">
        <v>55</v>
      </c>
      <c r="J557" s="2" t="s">
        <v>1555</v>
      </c>
      <c r="K557" s="2">
        <v>2021</v>
      </c>
      <c r="L557" s="2">
        <v>4</v>
      </c>
      <c r="M557" s="2">
        <v>5</v>
      </c>
      <c r="N557" s="2">
        <v>20</v>
      </c>
    </row>
    <row r="558" spans="1:14" ht="45" x14ac:dyDescent="0.25">
      <c r="A558" s="4">
        <v>556</v>
      </c>
      <c r="B558" s="8" t="s">
        <v>1933</v>
      </c>
      <c r="C558" s="4" t="s">
        <v>1934</v>
      </c>
      <c r="D558" s="5">
        <v>42602.770833333336</v>
      </c>
      <c r="E558" s="4" t="s">
        <v>1935</v>
      </c>
      <c r="F558" s="4" t="s">
        <v>29</v>
      </c>
      <c r="G558" s="8" t="s">
        <v>1936</v>
      </c>
      <c r="H558" s="4">
        <v>18</v>
      </c>
      <c r="I558" s="4">
        <v>35</v>
      </c>
      <c r="J558" s="4" t="s">
        <v>96</v>
      </c>
      <c r="K558" s="4">
        <v>2016</v>
      </c>
      <c r="L558" s="4">
        <v>8</v>
      </c>
      <c r="M558" s="4">
        <v>20</v>
      </c>
      <c r="N558" s="4">
        <v>18</v>
      </c>
    </row>
    <row r="559" spans="1:14" ht="45" x14ac:dyDescent="0.25">
      <c r="A559" s="2">
        <v>557</v>
      </c>
      <c r="B559" s="7" t="s">
        <v>1937</v>
      </c>
      <c r="C559" s="2" t="s">
        <v>1938</v>
      </c>
      <c r="D559" s="3">
        <v>43508.822916666664</v>
      </c>
      <c r="E559" s="2" t="s">
        <v>1939</v>
      </c>
      <c r="F559" s="2" t="s">
        <v>872</v>
      </c>
      <c r="G559" s="7" t="s">
        <v>1940</v>
      </c>
      <c r="H559" s="2">
        <v>22</v>
      </c>
      <c r="I559" s="2">
        <v>45</v>
      </c>
      <c r="J559" s="2" t="s">
        <v>121</v>
      </c>
      <c r="K559" s="2">
        <v>2019</v>
      </c>
      <c r="L559" s="2">
        <v>2</v>
      </c>
      <c r="M559" s="2">
        <v>12</v>
      </c>
      <c r="N559" s="2">
        <v>19</v>
      </c>
    </row>
    <row r="560" spans="1:14" ht="45" x14ac:dyDescent="0.25">
      <c r="A560" s="4">
        <v>558</v>
      </c>
      <c r="B560" s="8" t="s">
        <v>1941</v>
      </c>
      <c r="C560" s="4" t="s">
        <v>1942</v>
      </c>
      <c r="D560" s="5">
        <v>42183.833333333336</v>
      </c>
      <c r="E560" s="4" t="s">
        <v>1943</v>
      </c>
      <c r="F560" s="4" t="s">
        <v>24</v>
      </c>
      <c r="G560" s="8" t="s">
        <v>1944</v>
      </c>
      <c r="H560" s="4">
        <v>28</v>
      </c>
      <c r="I560" s="4">
        <v>55</v>
      </c>
      <c r="J560" s="4" t="s">
        <v>36</v>
      </c>
      <c r="K560" s="4">
        <v>2015</v>
      </c>
      <c r="L560" s="4">
        <v>6</v>
      </c>
      <c r="M560" s="4">
        <v>28</v>
      </c>
      <c r="N560" s="4">
        <v>20</v>
      </c>
    </row>
    <row r="561" spans="1:14" ht="45" x14ac:dyDescent="0.25">
      <c r="A561" s="2">
        <v>559</v>
      </c>
      <c r="B561" s="7" t="s">
        <v>1945</v>
      </c>
      <c r="C561" s="2" t="s">
        <v>1946</v>
      </c>
      <c r="D561" s="3">
        <v>44569.895833333336</v>
      </c>
      <c r="E561" s="2" t="s">
        <v>1947</v>
      </c>
      <c r="F561" s="2" t="s">
        <v>29</v>
      </c>
      <c r="G561" s="7" t="s">
        <v>1948</v>
      </c>
      <c r="H561" s="2">
        <v>35</v>
      </c>
      <c r="I561" s="2">
        <v>70</v>
      </c>
      <c r="J561" s="2" t="s">
        <v>1533</v>
      </c>
      <c r="K561" s="2">
        <v>2022</v>
      </c>
      <c r="L561" s="2">
        <v>1</v>
      </c>
      <c r="M561" s="2">
        <v>8</v>
      </c>
      <c r="N561" s="2">
        <v>21</v>
      </c>
    </row>
    <row r="562" spans="1:14" ht="45" x14ac:dyDescent="0.25">
      <c r="A562" s="4">
        <v>560</v>
      </c>
      <c r="B562" s="8" t="s">
        <v>1949</v>
      </c>
      <c r="C562" s="4" t="s">
        <v>978</v>
      </c>
      <c r="D562" s="5">
        <v>43449.84375</v>
      </c>
      <c r="E562" s="4" t="s">
        <v>1950</v>
      </c>
      <c r="F562" s="4" t="s">
        <v>872</v>
      </c>
      <c r="G562" s="8" t="s">
        <v>1951</v>
      </c>
      <c r="H562" s="4">
        <v>22</v>
      </c>
      <c r="I562" s="4">
        <v>45</v>
      </c>
      <c r="J562" s="4" t="s">
        <v>1562</v>
      </c>
      <c r="K562" s="4">
        <v>2018</v>
      </c>
      <c r="L562" s="4">
        <v>12</v>
      </c>
      <c r="M562" s="4">
        <v>15</v>
      </c>
      <c r="N562" s="4">
        <v>20</v>
      </c>
    </row>
    <row r="563" spans="1:14" ht="45" x14ac:dyDescent="0.25">
      <c r="A563" s="2">
        <v>561</v>
      </c>
      <c r="B563" s="7" t="s">
        <v>1952</v>
      </c>
      <c r="C563" s="2" t="s">
        <v>1762</v>
      </c>
      <c r="D563" s="3">
        <v>44387.791666666664</v>
      </c>
      <c r="E563" s="2" t="s">
        <v>1953</v>
      </c>
      <c r="F563" s="2" t="s">
        <v>24</v>
      </c>
      <c r="G563" s="7" t="s">
        <v>1954</v>
      </c>
      <c r="H563" s="2">
        <v>40</v>
      </c>
      <c r="I563" s="2">
        <v>80</v>
      </c>
      <c r="J563" s="2" t="s">
        <v>121</v>
      </c>
      <c r="K563" s="2">
        <v>2021</v>
      </c>
      <c r="L563" s="2">
        <v>7</v>
      </c>
      <c r="M563" s="2">
        <v>10</v>
      </c>
      <c r="N563" s="2">
        <v>19</v>
      </c>
    </row>
    <row r="564" spans="1:14" ht="45" x14ac:dyDescent="0.25">
      <c r="A564" s="4">
        <v>562</v>
      </c>
      <c r="B564" s="8" t="s">
        <v>1955</v>
      </c>
      <c r="C564" s="4" t="s">
        <v>1320</v>
      </c>
      <c r="D564" s="5">
        <v>43736.854166666664</v>
      </c>
      <c r="E564" s="4" t="s">
        <v>1956</v>
      </c>
      <c r="F564" s="4" t="s">
        <v>872</v>
      </c>
      <c r="G564" s="8" t="s">
        <v>1957</v>
      </c>
      <c r="H564" s="4">
        <v>35</v>
      </c>
      <c r="I564" s="4">
        <v>70</v>
      </c>
      <c r="J564" s="4" t="s">
        <v>96</v>
      </c>
      <c r="K564" s="4">
        <v>2019</v>
      </c>
      <c r="L564" s="4">
        <v>9</v>
      </c>
      <c r="M564" s="4">
        <v>28</v>
      </c>
      <c r="N564" s="4">
        <v>20</v>
      </c>
    </row>
    <row r="565" spans="1:14" ht="45" x14ac:dyDescent="0.25">
      <c r="A565" s="2">
        <v>563</v>
      </c>
      <c r="B565" s="7" t="s">
        <v>1958</v>
      </c>
      <c r="C565" s="2" t="s">
        <v>1959</v>
      </c>
      <c r="D565" s="3">
        <v>44635.78125</v>
      </c>
      <c r="E565" s="2" t="s">
        <v>1960</v>
      </c>
      <c r="F565" s="2" t="s">
        <v>29</v>
      </c>
      <c r="G565" s="7" t="s">
        <v>1961</v>
      </c>
      <c r="H565" s="2">
        <v>30</v>
      </c>
      <c r="I565" s="2">
        <v>60</v>
      </c>
      <c r="J565" s="2" t="s">
        <v>1542</v>
      </c>
      <c r="K565" s="2">
        <v>2022</v>
      </c>
      <c r="L565" s="2">
        <v>3</v>
      </c>
      <c r="M565" s="2">
        <v>15</v>
      </c>
      <c r="N565" s="2">
        <v>18</v>
      </c>
    </row>
    <row r="566" spans="1:14" ht="45" x14ac:dyDescent="0.25">
      <c r="A566" s="4">
        <v>564</v>
      </c>
      <c r="B566" s="8" t="s">
        <v>1962</v>
      </c>
      <c r="C566" s="4" t="s">
        <v>1810</v>
      </c>
      <c r="D566" s="5">
        <v>43044.885416666664</v>
      </c>
      <c r="E566" s="4" t="s">
        <v>1963</v>
      </c>
      <c r="F566" s="4" t="s">
        <v>24</v>
      </c>
      <c r="G566" s="8" t="s">
        <v>1964</v>
      </c>
      <c r="H566" s="4">
        <v>22</v>
      </c>
      <c r="I566" s="4">
        <v>45</v>
      </c>
      <c r="J566" s="4" t="s">
        <v>1537</v>
      </c>
      <c r="K566" s="4">
        <v>2017</v>
      </c>
      <c r="L566" s="4">
        <v>11</v>
      </c>
      <c r="M566" s="4">
        <v>5</v>
      </c>
      <c r="N566" s="4">
        <v>21</v>
      </c>
    </row>
    <row r="567" spans="1:14" ht="45" x14ac:dyDescent="0.25">
      <c r="A567" s="2">
        <v>565</v>
      </c>
      <c r="B567" s="7" t="s">
        <v>1965</v>
      </c>
      <c r="C567" s="2" t="s">
        <v>1966</v>
      </c>
      <c r="D567" s="3">
        <v>43971.6875</v>
      </c>
      <c r="E567" s="2" t="s">
        <v>1967</v>
      </c>
      <c r="F567" s="2" t="s">
        <v>872</v>
      </c>
      <c r="G567" s="7" t="s">
        <v>1968</v>
      </c>
      <c r="H567" s="2">
        <v>28</v>
      </c>
      <c r="I567" s="2">
        <v>55</v>
      </c>
      <c r="J567" s="2" t="s">
        <v>1533</v>
      </c>
      <c r="K567" s="2">
        <v>2020</v>
      </c>
      <c r="L567" s="2">
        <v>5</v>
      </c>
      <c r="M567" s="2">
        <v>20</v>
      </c>
      <c r="N567" s="2">
        <v>16</v>
      </c>
    </row>
    <row r="568" spans="1:14" ht="45" x14ac:dyDescent="0.25">
      <c r="A568" s="4">
        <v>566</v>
      </c>
      <c r="B568" s="8" t="s">
        <v>1969</v>
      </c>
      <c r="C568" s="4" t="s">
        <v>1970</v>
      </c>
      <c r="D568" s="5">
        <v>42604.822916666664</v>
      </c>
      <c r="E568" s="4" t="s">
        <v>1971</v>
      </c>
      <c r="F568" s="4" t="s">
        <v>29</v>
      </c>
      <c r="G568" s="8" t="s">
        <v>1972</v>
      </c>
      <c r="H568" s="4">
        <v>18</v>
      </c>
      <c r="I568" s="4">
        <v>35</v>
      </c>
      <c r="J568" s="4" t="s">
        <v>107</v>
      </c>
      <c r="K568" s="4">
        <v>2016</v>
      </c>
      <c r="L568" s="4">
        <v>8</v>
      </c>
      <c r="M568" s="4">
        <v>22</v>
      </c>
      <c r="N568" s="4">
        <v>19</v>
      </c>
    </row>
    <row r="569" spans="1:14" ht="45" x14ac:dyDescent="0.25">
      <c r="A569" s="2">
        <v>567</v>
      </c>
      <c r="B569" s="7" t="s">
        <v>1973</v>
      </c>
      <c r="C569" s="2" t="s">
        <v>1974</v>
      </c>
      <c r="D569" s="3">
        <v>45026.71875</v>
      </c>
      <c r="E569" s="2" t="s">
        <v>1975</v>
      </c>
      <c r="F569" s="2" t="s">
        <v>24</v>
      </c>
      <c r="G569" s="7" t="s">
        <v>1976</v>
      </c>
      <c r="H569" s="2">
        <v>22</v>
      </c>
      <c r="I569" s="2">
        <v>45</v>
      </c>
      <c r="J569" s="2" t="s">
        <v>162</v>
      </c>
      <c r="K569" s="2">
        <v>2023</v>
      </c>
      <c r="L569" s="2">
        <v>4</v>
      </c>
      <c r="M569" s="2">
        <v>10</v>
      </c>
      <c r="N569" s="2">
        <v>17</v>
      </c>
    </row>
    <row r="570" spans="1:14" ht="45" x14ac:dyDescent="0.25">
      <c r="A570" s="4">
        <v>568</v>
      </c>
      <c r="B570" s="8" t="s">
        <v>1977</v>
      </c>
      <c r="C570" s="4" t="s">
        <v>1978</v>
      </c>
      <c r="D570" s="5">
        <v>42356.75</v>
      </c>
      <c r="E570" s="4" t="s">
        <v>1979</v>
      </c>
      <c r="F570" s="4" t="s">
        <v>872</v>
      </c>
      <c r="G570" s="8" t="s">
        <v>1980</v>
      </c>
      <c r="H570" s="4">
        <v>28</v>
      </c>
      <c r="I570" s="4">
        <v>55</v>
      </c>
      <c r="J570" s="4" t="s">
        <v>1550</v>
      </c>
      <c r="K570" s="4">
        <v>2015</v>
      </c>
      <c r="L570" s="4">
        <v>12</v>
      </c>
      <c r="M570" s="4">
        <v>18</v>
      </c>
      <c r="N570" s="4">
        <v>18</v>
      </c>
    </row>
    <row r="571" spans="1:14" ht="45" x14ac:dyDescent="0.25">
      <c r="A571" s="2">
        <v>569</v>
      </c>
      <c r="B571" s="7" t="s">
        <v>1981</v>
      </c>
      <c r="C571" s="2" t="s">
        <v>1982</v>
      </c>
      <c r="D571" s="3">
        <v>44477.854166666664</v>
      </c>
      <c r="E571" s="2" t="s">
        <v>1983</v>
      </c>
      <c r="F571" s="2" t="s">
        <v>29</v>
      </c>
      <c r="G571" s="7" t="s">
        <v>1984</v>
      </c>
      <c r="H571" s="2">
        <v>35</v>
      </c>
      <c r="I571" s="2">
        <v>70</v>
      </c>
      <c r="J571" s="2" t="s">
        <v>1555</v>
      </c>
      <c r="K571" s="2">
        <v>2021</v>
      </c>
      <c r="L571" s="2">
        <v>10</v>
      </c>
      <c r="M571" s="2">
        <v>8</v>
      </c>
      <c r="N571" s="2">
        <v>20</v>
      </c>
    </row>
    <row r="572" spans="1:14" ht="45" x14ac:dyDescent="0.25">
      <c r="A572" s="4">
        <v>570</v>
      </c>
      <c r="B572" s="8" t="s">
        <v>1985</v>
      </c>
      <c r="C572" s="4" t="s">
        <v>1986</v>
      </c>
      <c r="D572" s="5">
        <v>43546.90625</v>
      </c>
      <c r="E572" s="4" t="s">
        <v>1987</v>
      </c>
      <c r="F572" s="4" t="s">
        <v>24</v>
      </c>
      <c r="G572" s="8" t="s">
        <v>1988</v>
      </c>
      <c r="H572" s="4">
        <v>22</v>
      </c>
      <c r="I572" s="4">
        <v>45</v>
      </c>
      <c r="J572" s="4" t="s">
        <v>36</v>
      </c>
      <c r="K572" s="4">
        <v>2019</v>
      </c>
      <c r="L572" s="4">
        <v>3</v>
      </c>
      <c r="M572" s="4">
        <v>22</v>
      </c>
      <c r="N572" s="4">
        <v>21</v>
      </c>
    </row>
    <row r="573" spans="1:14" ht="45" x14ac:dyDescent="0.25">
      <c r="A573" s="2">
        <v>571</v>
      </c>
      <c r="B573" s="7" t="s">
        <v>1989</v>
      </c>
      <c r="C573" s="2" t="s">
        <v>1990</v>
      </c>
      <c r="D573" s="3">
        <v>43266.916666666664</v>
      </c>
      <c r="E573" s="2" t="s">
        <v>1991</v>
      </c>
      <c r="F573" s="2" t="s">
        <v>872</v>
      </c>
      <c r="G573" s="7" t="s">
        <v>1992</v>
      </c>
      <c r="H573" s="2">
        <v>40</v>
      </c>
      <c r="I573" s="2">
        <v>80</v>
      </c>
      <c r="J573" s="2" t="s">
        <v>96</v>
      </c>
      <c r="K573" s="2">
        <v>2018</v>
      </c>
      <c r="L573" s="2">
        <v>6</v>
      </c>
      <c r="M573" s="2">
        <v>15</v>
      </c>
      <c r="N573" s="2">
        <v>22</v>
      </c>
    </row>
    <row r="574" spans="1:14" ht="45" x14ac:dyDescent="0.25">
      <c r="A574" s="4">
        <v>572</v>
      </c>
      <c r="B574" s="8" t="s">
        <v>1993</v>
      </c>
      <c r="C574" s="4" t="s">
        <v>1994</v>
      </c>
      <c r="D574" s="5">
        <v>43705.8125</v>
      </c>
      <c r="E574" s="4" t="s">
        <v>1995</v>
      </c>
      <c r="F574" s="4" t="s">
        <v>24</v>
      </c>
      <c r="G574" s="8" t="s">
        <v>1996</v>
      </c>
      <c r="H574" s="4">
        <v>35</v>
      </c>
      <c r="I574" s="4">
        <v>70</v>
      </c>
      <c r="J574" s="4" t="s">
        <v>1997</v>
      </c>
      <c r="K574" s="4">
        <v>2019</v>
      </c>
      <c r="L574" s="4">
        <v>8</v>
      </c>
      <c r="M574" s="4">
        <v>28</v>
      </c>
      <c r="N574" s="4">
        <v>19</v>
      </c>
    </row>
    <row r="575" spans="1:14" ht="45" x14ac:dyDescent="0.25">
      <c r="A575" s="2">
        <v>573</v>
      </c>
      <c r="B575" s="7" t="s">
        <v>1998</v>
      </c>
      <c r="C575" s="2" t="s">
        <v>1999</v>
      </c>
      <c r="D575" s="3">
        <v>44896.739583333336</v>
      </c>
      <c r="E575" s="2" t="s">
        <v>2000</v>
      </c>
      <c r="F575" s="2" t="s">
        <v>29</v>
      </c>
      <c r="G575" s="7" t="s">
        <v>2001</v>
      </c>
      <c r="H575" s="2">
        <v>30</v>
      </c>
      <c r="I575" s="2">
        <v>60</v>
      </c>
      <c r="J575" s="2" t="s">
        <v>121</v>
      </c>
      <c r="K575" s="2">
        <v>2022</v>
      </c>
      <c r="L575" s="2">
        <v>12</v>
      </c>
      <c r="M575" s="2">
        <v>1</v>
      </c>
      <c r="N575" s="2">
        <v>17</v>
      </c>
    </row>
    <row r="576" spans="1:14" ht="45" x14ac:dyDescent="0.25">
      <c r="A576" s="4">
        <v>574</v>
      </c>
      <c r="B576" s="8" t="s">
        <v>2002</v>
      </c>
      <c r="C576" s="4" t="s">
        <v>2003</v>
      </c>
      <c r="D576" s="5">
        <v>42835.885416666664</v>
      </c>
      <c r="E576" s="4" t="s">
        <v>2004</v>
      </c>
      <c r="F576" s="4" t="s">
        <v>872</v>
      </c>
      <c r="G576" s="8" t="s">
        <v>2005</v>
      </c>
      <c r="H576" s="4">
        <v>22</v>
      </c>
      <c r="I576" s="4">
        <v>45</v>
      </c>
      <c r="J576" s="4" t="s">
        <v>107</v>
      </c>
      <c r="K576" s="4">
        <v>2017</v>
      </c>
      <c r="L576" s="4">
        <v>4</v>
      </c>
      <c r="M576" s="4">
        <v>10</v>
      </c>
      <c r="N576" s="4">
        <v>21</v>
      </c>
    </row>
    <row r="577" spans="1:14" ht="45" x14ac:dyDescent="0.25">
      <c r="A577" s="2">
        <v>575</v>
      </c>
      <c r="B577" s="7" t="s">
        <v>2006</v>
      </c>
      <c r="C577" s="2" t="s">
        <v>2007</v>
      </c>
      <c r="D577" s="3">
        <v>43966.770833333336</v>
      </c>
      <c r="E577" s="2" t="s">
        <v>2008</v>
      </c>
      <c r="F577" s="2" t="s">
        <v>24</v>
      </c>
      <c r="G577" s="7" t="s">
        <v>2009</v>
      </c>
      <c r="H577" s="2">
        <v>28</v>
      </c>
      <c r="I577" s="2">
        <v>55</v>
      </c>
      <c r="J577" s="2" t="s">
        <v>36</v>
      </c>
      <c r="K577" s="2">
        <v>2020</v>
      </c>
      <c r="L577" s="2">
        <v>5</v>
      </c>
      <c r="M577" s="2">
        <v>15</v>
      </c>
      <c r="N577" s="2">
        <v>18</v>
      </c>
    </row>
    <row r="578" spans="1:14" ht="45" x14ac:dyDescent="0.25">
      <c r="A578" s="4">
        <v>576</v>
      </c>
      <c r="B578" s="8" t="s">
        <v>2010</v>
      </c>
      <c r="C578" s="4" t="s">
        <v>2011</v>
      </c>
      <c r="D578" s="5">
        <v>42635.833333333336</v>
      </c>
      <c r="E578" s="4" t="s">
        <v>2012</v>
      </c>
      <c r="F578" s="4" t="s">
        <v>29</v>
      </c>
      <c r="G578" s="8" t="s">
        <v>2013</v>
      </c>
      <c r="H578" s="4">
        <v>18</v>
      </c>
      <c r="I578" s="4">
        <v>35</v>
      </c>
      <c r="J578" s="4" t="s">
        <v>96</v>
      </c>
      <c r="K578" s="4">
        <v>2016</v>
      </c>
      <c r="L578" s="4">
        <v>9</v>
      </c>
      <c r="M578" s="4">
        <v>22</v>
      </c>
      <c r="N578" s="4">
        <v>20</v>
      </c>
    </row>
    <row r="579" spans="1:14" ht="45" x14ac:dyDescent="0.25">
      <c r="A579" s="2">
        <v>577</v>
      </c>
      <c r="B579" s="7" t="s">
        <v>2014</v>
      </c>
      <c r="C579" s="2" t="s">
        <v>2015</v>
      </c>
      <c r="D579" s="3">
        <v>44969.822916666664</v>
      </c>
      <c r="E579" s="2" t="s">
        <v>2016</v>
      </c>
      <c r="F579" s="2" t="s">
        <v>872</v>
      </c>
      <c r="G579" s="7" t="s">
        <v>2017</v>
      </c>
      <c r="H579" s="2">
        <v>22</v>
      </c>
      <c r="I579" s="2">
        <v>45</v>
      </c>
      <c r="J579" s="2" t="s">
        <v>1542</v>
      </c>
      <c r="K579" s="2">
        <v>2023</v>
      </c>
      <c r="L579" s="2">
        <v>2</v>
      </c>
      <c r="M579" s="2">
        <v>12</v>
      </c>
      <c r="N579" s="2">
        <v>19</v>
      </c>
    </row>
    <row r="580" spans="1:14" ht="45" x14ac:dyDescent="0.25">
      <c r="A580" s="4">
        <v>578</v>
      </c>
      <c r="B580" s="8" t="s">
        <v>2018</v>
      </c>
      <c r="C580" s="4" t="s">
        <v>2019</v>
      </c>
      <c r="D580" s="5">
        <v>42318.875</v>
      </c>
      <c r="E580" s="4" t="s">
        <v>2020</v>
      </c>
      <c r="F580" s="4" t="s">
        <v>24</v>
      </c>
      <c r="G580" s="8" t="s">
        <v>2021</v>
      </c>
      <c r="H580" s="4">
        <v>28</v>
      </c>
      <c r="I580" s="4">
        <v>55</v>
      </c>
      <c r="J580" s="4" t="s">
        <v>1550</v>
      </c>
      <c r="K580" s="4">
        <v>2015</v>
      </c>
      <c r="L580" s="4">
        <v>11</v>
      </c>
      <c r="M580" s="4">
        <v>10</v>
      </c>
      <c r="N580" s="4">
        <v>21</v>
      </c>
    </row>
    <row r="581" spans="1:14" ht="45" x14ac:dyDescent="0.25">
      <c r="A581" s="2">
        <v>579</v>
      </c>
      <c r="B581" s="7" t="s">
        <v>2022</v>
      </c>
      <c r="C581" s="2" t="s">
        <v>2023</v>
      </c>
      <c r="D581" s="3">
        <v>44397.760416666664</v>
      </c>
      <c r="E581" s="2" t="s">
        <v>2024</v>
      </c>
      <c r="F581" s="2" t="s">
        <v>29</v>
      </c>
      <c r="G581" s="7" t="s">
        <v>2025</v>
      </c>
      <c r="H581" s="2">
        <v>22</v>
      </c>
      <c r="I581" s="2">
        <v>45</v>
      </c>
      <c r="J581" s="2" t="s">
        <v>1537</v>
      </c>
      <c r="K581" s="2">
        <v>2021</v>
      </c>
      <c r="L581" s="2">
        <v>7</v>
      </c>
      <c r="M581" s="2">
        <v>20</v>
      </c>
      <c r="N581" s="2">
        <v>18</v>
      </c>
    </row>
    <row r="582" spans="1:14" ht="45" x14ac:dyDescent="0.25">
      <c r="A582" s="4">
        <v>580</v>
      </c>
      <c r="B582" s="8" t="s">
        <v>2026</v>
      </c>
      <c r="C582" s="4" t="s">
        <v>2027</v>
      </c>
      <c r="D582" s="5">
        <v>43573.854166666664</v>
      </c>
      <c r="E582" s="4" t="s">
        <v>2028</v>
      </c>
      <c r="F582" s="4" t="s">
        <v>872</v>
      </c>
      <c r="G582" s="8" t="s">
        <v>2029</v>
      </c>
      <c r="H582" s="4">
        <v>35</v>
      </c>
      <c r="I582" s="4">
        <v>70</v>
      </c>
      <c r="J582" s="4" t="s">
        <v>1717</v>
      </c>
      <c r="K582" s="4">
        <v>2019</v>
      </c>
      <c r="L582" s="4">
        <v>4</v>
      </c>
      <c r="M582" s="4">
        <v>18</v>
      </c>
      <c r="N582" s="4">
        <v>20</v>
      </c>
    </row>
    <row r="583" spans="1:14" ht="45" x14ac:dyDescent="0.25">
      <c r="A583" s="2">
        <v>581</v>
      </c>
      <c r="B583" s="7" t="s">
        <v>2030</v>
      </c>
      <c r="C583" s="2" t="s">
        <v>386</v>
      </c>
      <c r="D583" s="3">
        <v>45066.822916666664</v>
      </c>
      <c r="E583" s="2" t="s">
        <v>2031</v>
      </c>
      <c r="F583" s="2" t="s">
        <v>872</v>
      </c>
      <c r="G583" s="7" t="s">
        <v>2032</v>
      </c>
      <c r="H583" s="2">
        <v>15</v>
      </c>
      <c r="I583" s="2">
        <v>30</v>
      </c>
      <c r="J583" s="2" t="s">
        <v>2033</v>
      </c>
      <c r="K583" s="2">
        <v>2023</v>
      </c>
      <c r="L583" s="2">
        <v>5</v>
      </c>
      <c r="M583" s="2">
        <v>20</v>
      </c>
      <c r="N583" s="2">
        <v>19</v>
      </c>
    </row>
    <row r="584" spans="1:14" ht="45" x14ac:dyDescent="0.25">
      <c r="A584" s="4">
        <v>582</v>
      </c>
      <c r="B584" s="8" t="s">
        <v>2034</v>
      </c>
      <c r="C584" s="4" t="s">
        <v>2035</v>
      </c>
      <c r="D584" s="5">
        <v>45067.875</v>
      </c>
      <c r="E584" s="4" t="s">
        <v>2036</v>
      </c>
      <c r="F584" s="4" t="s">
        <v>24</v>
      </c>
      <c r="G584" s="8" t="s">
        <v>2037</v>
      </c>
      <c r="H584" s="4">
        <v>18</v>
      </c>
      <c r="I584" s="4">
        <v>35</v>
      </c>
      <c r="J584" s="4" t="s">
        <v>2038</v>
      </c>
      <c r="K584" s="4">
        <v>2023</v>
      </c>
      <c r="L584" s="4">
        <v>5</v>
      </c>
      <c r="M584" s="4">
        <v>21</v>
      </c>
      <c r="N584" s="4">
        <v>21</v>
      </c>
    </row>
    <row r="585" spans="1:14" ht="45" x14ac:dyDescent="0.25">
      <c r="A585" s="2">
        <v>583</v>
      </c>
      <c r="B585" s="7" t="s">
        <v>2039</v>
      </c>
      <c r="C585" s="2" t="s">
        <v>1622</v>
      </c>
      <c r="D585" s="3">
        <v>45068.604166666664</v>
      </c>
      <c r="E585" s="2" t="s">
        <v>2040</v>
      </c>
      <c r="F585" s="2" t="s">
        <v>29</v>
      </c>
      <c r="G585" s="7" t="s">
        <v>2041</v>
      </c>
      <c r="H585" s="2">
        <v>22</v>
      </c>
      <c r="I585" s="2">
        <v>45</v>
      </c>
      <c r="J585" s="2" t="s">
        <v>2042</v>
      </c>
      <c r="K585" s="2">
        <v>2023</v>
      </c>
      <c r="L585" s="2">
        <v>5</v>
      </c>
      <c r="M585" s="2">
        <v>22</v>
      </c>
      <c r="N585" s="2">
        <v>14</v>
      </c>
    </row>
    <row r="586" spans="1:14" ht="30" x14ac:dyDescent="0.25">
      <c r="A586" s="4">
        <v>584</v>
      </c>
      <c r="B586" s="8" t="s">
        <v>2043</v>
      </c>
      <c r="C586" s="4" t="s">
        <v>658</v>
      </c>
      <c r="D586" s="5">
        <v>45069.697916666664</v>
      </c>
      <c r="E586" s="4" t="s">
        <v>2044</v>
      </c>
      <c r="F586" s="4" t="s">
        <v>872</v>
      </c>
      <c r="G586" s="8" t="s">
        <v>2045</v>
      </c>
      <c r="H586" s="4">
        <v>20</v>
      </c>
      <c r="I586" s="4">
        <v>40</v>
      </c>
      <c r="J586" s="4" t="s">
        <v>2033</v>
      </c>
      <c r="K586" s="4">
        <v>2023</v>
      </c>
      <c r="L586" s="4">
        <v>5</v>
      </c>
      <c r="M586" s="4">
        <v>23</v>
      </c>
      <c r="N586" s="4">
        <v>16</v>
      </c>
    </row>
    <row r="587" spans="1:14" ht="45" x14ac:dyDescent="0.25">
      <c r="A587" s="2">
        <v>585</v>
      </c>
      <c r="B587" s="7" t="s">
        <v>2046</v>
      </c>
      <c r="C587" s="2" t="s">
        <v>1668</v>
      </c>
      <c r="D587" s="3">
        <v>45070.552083333336</v>
      </c>
      <c r="E587" s="2" t="s">
        <v>2047</v>
      </c>
      <c r="F587" s="2" t="s">
        <v>24</v>
      </c>
      <c r="G587" s="7" t="s">
        <v>2048</v>
      </c>
      <c r="H587" s="2">
        <v>25</v>
      </c>
      <c r="I587" s="2">
        <v>50</v>
      </c>
      <c r="J587" s="2" t="s">
        <v>2038</v>
      </c>
      <c r="K587" s="2">
        <v>2023</v>
      </c>
      <c r="L587" s="2">
        <v>5</v>
      </c>
      <c r="M587" s="2">
        <v>24</v>
      </c>
      <c r="N587" s="2">
        <v>13</v>
      </c>
    </row>
    <row r="588" spans="1:14" ht="30" x14ac:dyDescent="0.25">
      <c r="A588" s="4">
        <v>586</v>
      </c>
      <c r="B588" s="8" t="s">
        <v>2049</v>
      </c>
      <c r="C588" s="4" t="s">
        <v>2050</v>
      </c>
      <c r="D588" s="5">
        <v>45071.791666666664</v>
      </c>
      <c r="E588" s="4" t="s">
        <v>2051</v>
      </c>
      <c r="F588" s="4" t="s">
        <v>29</v>
      </c>
      <c r="G588" s="8" t="s">
        <v>2052</v>
      </c>
      <c r="H588" s="4">
        <v>20</v>
      </c>
      <c r="I588" s="4">
        <v>40</v>
      </c>
      <c r="J588" s="4" t="s">
        <v>2033</v>
      </c>
      <c r="K588" s="4">
        <v>2023</v>
      </c>
      <c r="L588" s="4">
        <v>5</v>
      </c>
      <c r="M588" s="4">
        <v>25</v>
      </c>
      <c r="N588" s="4">
        <v>19</v>
      </c>
    </row>
    <row r="589" spans="1:14" ht="30" x14ac:dyDescent="0.25">
      <c r="A589" s="2">
        <v>587</v>
      </c>
      <c r="B589" s="7" t="s">
        <v>2053</v>
      </c>
      <c r="C589" s="2" t="s">
        <v>1878</v>
      </c>
      <c r="D589" s="3">
        <v>45072.597222222219</v>
      </c>
      <c r="E589" s="2" t="s">
        <v>2054</v>
      </c>
      <c r="F589" s="2" t="s">
        <v>872</v>
      </c>
      <c r="G589" s="7" t="s">
        <v>2055</v>
      </c>
      <c r="H589" s="2">
        <v>28</v>
      </c>
      <c r="I589" s="2">
        <v>55</v>
      </c>
      <c r="J589" s="2" t="s">
        <v>2042</v>
      </c>
      <c r="K589" s="2">
        <v>2023</v>
      </c>
      <c r="L589" s="2">
        <v>5</v>
      </c>
      <c r="M589" s="2">
        <v>26</v>
      </c>
      <c r="N589" s="2">
        <v>14</v>
      </c>
    </row>
    <row r="590" spans="1:14" ht="45" x14ac:dyDescent="0.25">
      <c r="A590" s="4">
        <v>588</v>
      </c>
      <c r="B590" s="8" t="s">
        <v>2056</v>
      </c>
      <c r="C590" s="4" t="s">
        <v>2057</v>
      </c>
      <c r="D590" s="5">
        <v>45073.885416666664</v>
      </c>
      <c r="E590" s="4" t="s">
        <v>2058</v>
      </c>
      <c r="F590" s="4" t="s">
        <v>24</v>
      </c>
      <c r="G590" s="8" t="s">
        <v>2059</v>
      </c>
      <c r="H590" s="4">
        <v>22</v>
      </c>
      <c r="I590" s="4">
        <v>45</v>
      </c>
      <c r="J590" s="4" t="s">
        <v>2038</v>
      </c>
      <c r="K590" s="4">
        <v>2023</v>
      </c>
      <c r="L590" s="4">
        <v>5</v>
      </c>
      <c r="M590" s="4">
        <v>27</v>
      </c>
      <c r="N590" s="4">
        <v>21</v>
      </c>
    </row>
    <row r="591" spans="1:14" ht="45" x14ac:dyDescent="0.25">
      <c r="A591" s="2">
        <v>589</v>
      </c>
      <c r="B591" s="7" t="s">
        <v>2060</v>
      </c>
      <c r="C591" s="2" t="s">
        <v>1668</v>
      </c>
      <c r="D591" s="3">
        <v>45074.5</v>
      </c>
      <c r="E591" s="2" t="s">
        <v>2061</v>
      </c>
      <c r="F591" s="2" t="s">
        <v>29</v>
      </c>
      <c r="G591" s="7" t="s">
        <v>2062</v>
      </c>
      <c r="H591" s="2">
        <v>18</v>
      </c>
      <c r="I591" s="2">
        <v>35</v>
      </c>
      <c r="J591" s="2" t="s">
        <v>2033</v>
      </c>
      <c r="K591" s="2">
        <v>2023</v>
      </c>
      <c r="L591" s="2">
        <v>5</v>
      </c>
      <c r="M591" s="2">
        <v>28</v>
      </c>
      <c r="N591" s="2">
        <v>12</v>
      </c>
    </row>
    <row r="592" spans="1:14" ht="45" x14ac:dyDescent="0.25">
      <c r="A592" s="4">
        <v>590</v>
      </c>
      <c r="B592" s="8" t="s">
        <v>2063</v>
      </c>
      <c r="C592" s="4" t="s">
        <v>1622</v>
      </c>
      <c r="D592" s="5">
        <v>45075.979166666664</v>
      </c>
      <c r="E592" s="4" t="s">
        <v>2064</v>
      </c>
      <c r="F592" s="4" t="s">
        <v>872</v>
      </c>
      <c r="G592" s="8" t="s">
        <v>2065</v>
      </c>
      <c r="H592" s="4">
        <v>30</v>
      </c>
      <c r="I592" s="4">
        <v>60</v>
      </c>
      <c r="J592" s="4" t="s">
        <v>2042</v>
      </c>
      <c r="K592" s="4">
        <v>2023</v>
      </c>
      <c r="L592" s="4">
        <v>5</v>
      </c>
      <c r="M592" s="4">
        <v>29</v>
      </c>
      <c r="N592" s="4">
        <v>23</v>
      </c>
    </row>
    <row r="593" spans="1:14" ht="45" x14ac:dyDescent="0.25">
      <c r="A593" s="2">
        <v>591</v>
      </c>
      <c r="B593" s="7" t="s">
        <v>2066</v>
      </c>
      <c r="C593" s="2" t="s">
        <v>386</v>
      </c>
      <c r="D593" s="3">
        <v>45076.864583333336</v>
      </c>
      <c r="E593" s="2" t="s">
        <v>2067</v>
      </c>
      <c r="F593" s="2" t="s">
        <v>24</v>
      </c>
      <c r="G593" s="7" t="s">
        <v>2068</v>
      </c>
      <c r="H593" s="2">
        <v>22</v>
      </c>
      <c r="I593" s="2">
        <v>45</v>
      </c>
      <c r="J593" s="2" t="s">
        <v>2033</v>
      </c>
      <c r="K593" s="2">
        <v>2023</v>
      </c>
      <c r="L593" s="2">
        <v>5</v>
      </c>
      <c r="M593" s="2">
        <v>30</v>
      </c>
      <c r="N593" s="2">
        <v>20</v>
      </c>
    </row>
    <row r="594" spans="1:14" ht="30" x14ac:dyDescent="0.25">
      <c r="A594" s="4">
        <v>592</v>
      </c>
      <c r="B594" s="8" t="s">
        <v>2069</v>
      </c>
      <c r="C594" s="4" t="s">
        <v>1622</v>
      </c>
      <c r="D594" s="5">
        <v>45077.645833333336</v>
      </c>
      <c r="E594" s="4" t="s">
        <v>2070</v>
      </c>
      <c r="F594" s="4" t="s">
        <v>29</v>
      </c>
      <c r="G594" s="8" t="s">
        <v>2071</v>
      </c>
      <c r="H594" s="4">
        <v>35</v>
      </c>
      <c r="I594" s="4">
        <v>70</v>
      </c>
      <c r="J594" s="4" t="s">
        <v>2038</v>
      </c>
      <c r="K594" s="4">
        <v>2023</v>
      </c>
      <c r="L594" s="4">
        <v>5</v>
      </c>
      <c r="M594" s="4">
        <v>31</v>
      </c>
      <c r="N594" s="4">
        <v>15</v>
      </c>
    </row>
    <row r="595" spans="1:14" ht="30" x14ac:dyDescent="0.25">
      <c r="A595" s="2">
        <v>593</v>
      </c>
      <c r="B595" s="7" t="s">
        <v>2072</v>
      </c>
      <c r="C595" s="2" t="s">
        <v>386</v>
      </c>
      <c r="D595" s="3">
        <v>45078.75</v>
      </c>
      <c r="E595" s="2" t="s">
        <v>2073</v>
      </c>
      <c r="F595" s="2" t="s">
        <v>872</v>
      </c>
      <c r="G595" s="7" t="s">
        <v>2074</v>
      </c>
      <c r="H595" s="2">
        <v>20</v>
      </c>
      <c r="I595" s="2">
        <v>40</v>
      </c>
      <c r="J595" s="2" t="s">
        <v>2033</v>
      </c>
      <c r="K595" s="2">
        <v>2023</v>
      </c>
      <c r="L595" s="2">
        <v>6</v>
      </c>
      <c r="M595" s="2">
        <v>1</v>
      </c>
      <c r="N595" s="2">
        <v>18</v>
      </c>
    </row>
    <row r="596" spans="1:14" ht="45" x14ac:dyDescent="0.25">
      <c r="A596" s="4">
        <v>594</v>
      </c>
      <c r="B596" s="8" t="s">
        <v>2075</v>
      </c>
      <c r="C596" s="4" t="s">
        <v>658</v>
      </c>
      <c r="D596" s="5">
        <v>45079.604166666664</v>
      </c>
      <c r="E596" s="4" t="s">
        <v>2076</v>
      </c>
      <c r="F596" s="4" t="s">
        <v>24</v>
      </c>
      <c r="G596" s="8" t="s">
        <v>2077</v>
      </c>
      <c r="H596" s="4">
        <v>28</v>
      </c>
      <c r="I596" s="4">
        <v>55</v>
      </c>
      <c r="J596" s="4" t="s">
        <v>2042</v>
      </c>
      <c r="K596" s="4">
        <v>2023</v>
      </c>
      <c r="L596" s="4">
        <v>6</v>
      </c>
      <c r="M596" s="4">
        <v>2</v>
      </c>
      <c r="N596" s="4">
        <v>14</v>
      </c>
    </row>
    <row r="597" spans="1:14" ht="45" x14ac:dyDescent="0.25">
      <c r="A597" s="2">
        <v>595</v>
      </c>
      <c r="B597" s="7" t="s">
        <v>2078</v>
      </c>
      <c r="C597" s="2" t="s">
        <v>1622</v>
      </c>
      <c r="D597" s="3">
        <v>45080.885416666664</v>
      </c>
      <c r="E597" s="2" t="s">
        <v>2079</v>
      </c>
      <c r="F597" s="2" t="s">
        <v>29</v>
      </c>
      <c r="G597" s="7" t="s">
        <v>2080</v>
      </c>
      <c r="H597" s="2">
        <v>22</v>
      </c>
      <c r="I597" s="2">
        <v>45</v>
      </c>
      <c r="J597" s="2" t="s">
        <v>2038</v>
      </c>
      <c r="K597" s="2">
        <v>2023</v>
      </c>
      <c r="L597" s="2">
        <v>6</v>
      </c>
      <c r="M597" s="2">
        <v>3</v>
      </c>
      <c r="N597" s="2">
        <v>21</v>
      </c>
    </row>
    <row r="598" spans="1:14" ht="30" x14ac:dyDescent="0.25">
      <c r="A598" s="4">
        <v>596</v>
      </c>
      <c r="B598" s="8" t="s">
        <v>2081</v>
      </c>
      <c r="C598" s="4" t="s">
        <v>1821</v>
      </c>
      <c r="D598" s="5">
        <v>45081.8125</v>
      </c>
      <c r="E598" s="4" t="s">
        <v>2082</v>
      </c>
      <c r="F598" s="4" t="s">
        <v>872</v>
      </c>
      <c r="G598" s="8" t="s">
        <v>2083</v>
      </c>
      <c r="H598" s="4">
        <v>25</v>
      </c>
      <c r="I598" s="4">
        <v>50</v>
      </c>
      <c r="J598" s="4" t="s">
        <v>2033</v>
      </c>
      <c r="K598" s="4">
        <v>2023</v>
      </c>
      <c r="L598" s="4">
        <v>6</v>
      </c>
      <c r="M598" s="4">
        <v>4</v>
      </c>
      <c r="N598" s="4">
        <v>19</v>
      </c>
    </row>
    <row r="599" spans="1:14" ht="30" x14ac:dyDescent="0.25">
      <c r="A599" s="2">
        <v>597</v>
      </c>
      <c r="B599" s="7" t="s">
        <v>2084</v>
      </c>
      <c r="C599" s="2" t="s">
        <v>386</v>
      </c>
      <c r="D599" s="3">
        <v>45082.416666666664</v>
      </c>
      <c r="E599" s="2" t="s">
        <v>2085</v>
      </c>
      <c r="F599" s="2" t="s">
        <v>24</v>
      </c>
      <c r="G599" s="7" t="s">
        <v>2086</v>
      </c>
      <c r="H599" s="2">
        <v>18</v>
      </c>
      <c r="I599" s="2">
        <v>35</v>
      </c>
      <c r="J599" s="2" t="s">
        <v>2042</v>
      </c>
      <c r="K599" s="2">
        <v>2023</v>
      </c>
      <c r="L599" s="2">
        <v>6</v>
      </c>
      <c r="M599" s="2">
        <v>5</v>
      </c>
      <c r="N599" s="2">
        <v>10</v>
      </c>
    </row>
    <row r="600" spans="1:14" ht="30" x14ac:dyDescent="0.25">
      <c r="A600" s="4">
        <v>598</v>
      </c>
      <c r="B600" s="8" t="s">
        <v>2087</v>
      </c>
      <c r="C600" s="4" t="s">
        <v>1622</v>
      </c>
      <c r="D600" s="5">
        <v>45083.9375</v>
      </c>
      <c r="E600" s="4" t="s">
        <v>1262</v>
      </c>
      <c r="F600" s="4" t="s">
        <v>29</v>
      </c>
      <c r="G600" s="8" t="s">
        <v>2088</v>
      </c>
      <c r="H600" s="4">
        <v>28</v>
      </c>
      <c r="I600" s="4">
        <v>55</v>
      </c>
      <c r="J600" s="4" t="s">
        <v>2038</v>
      </c>
      <c r="K600" s="4">
        <v>2023</v>
      </c>
      <c r="L600" s="4">
        <v>6</v>
      </c>
      <c r="M600" s="4">
        <v>6</v>
      </c>
      <c r="N600" s="4">
        <v>22</v>
      </c>
    </row>
    <row r="601" spans="1:14" ht="30" x14ac:dyDescent="0.25">
      <c r="A601" s="2">
        <v>599</v>
      </c>
      <c r="B601" s="7" t="s">
        <v>2089</v>
      </c>
      <c r="C601" s="2" t="s">
        <v>1622</v>
      </c>
      <c r="D601" s="3">
        <v>45084.53125</v>
      </c>
      <c r="E601" s="2" t="s">
        <v>2090</v>
      </c>
      <c r="F601" s="2" t="s">
        <v>872</v>
      </c>
      <c r="G601" s="7" t="s">
        <v>2091</v>
      </c>
      <c r="H601" s="2">
        <v>22</v>
      </c>
      <c r="I601" s="2">
        <v>45</v>
      </c>
      <c r="J601" s="2" t="s">
        <v>2033</v>
      </c>
      <c r="K601" s="2">
        <v>2023</v>
      </c>
      <c r="L601" s="2">
        <v>6</v>
      </c>
      <c r="M601" s="2">
        <v>7</v>
      </c>
      <c r="N601" s="2">
        <v>12</v>
      </c>
    </row>
    <row r="602" spans="1:14" ht="45" x14ac:dyDescent="0.25">
      <c r="A602" s="4">
        <v>600</v>
      </c>
      <c r="B602" s="8" t="s">
        <v>2092</v>
      </c>
      <c r="C602" s="4" t="s">
        <v>386</v>
      </c>
      <c r="D602" s="5">
        <v>45085.666666666664</v>
      </c>
      <c r="E602" s="4" t="s">
        <v>2093</v>
      </c>
      <c r="F602" s="4" t="s">
        <v>24</v>
      </c>
      <c r="G602" s="8" t="s">
        <v>2094</v>
      </c>
      <c r="H602" s="4">
        <v>35</v>
      </c>
      <c r="I602" s="4">
        <v>70</v>
      </c>
      <c r="J602" s="4" t="s">
        <v>2042</v>
      </c>
      <c r="K602" s="4">
        <v>2023</v>
      </c>
      <c r="L602" s="4">
        <v>6</v>
      </c>
      <c r="M602" s="4">
        <v>8</v>
      </c>
      <c r="N602" s="4">
        <v>16</v>
      </c>
    </row>
    <row r="603" spans="1:14" ht="45" x14ac:dyDescent="0.25">
      <c r="A603" s="2">
        <v>601</v>
      </c>
      <c r="B603" s="7" t="s">
        <v>2095</v>
      </c>
      <c r="C603" s="2" t="s">
        <v>922</v>
      </c>
      <c r="D603" s="3">
        <v>45086.583333333336</v>
      </c>
      <c r="E603" s="2" t="s">
        <v>2096</v>
      </c>
      <c r="F603" s="2" t="s">
        <v>29</v>
      </c>
      <c r="G603" s="7" t="s">
        <v>2097</v>
      </c>
      <c r="H603" s="2">
        <v>20</v>
      </c>
      <c r="I603" s="2">
        <v>40</v>
      </c>
      <c r="J603" s="2" t="s">
        <v>2033</v>
      </c>
      <c r="K603" s="2">
        <v>2023</v>
      </c>
      <c r="L603" s="2">
        <v>6</v>
      </c>
      <c r="M603" s="2">
        <v>9</v>
      </c>
      <c r="N603" s="2">
        <v>14</v>
      </c>
    </row>
    <row r="604" spans="1:14" ht="30" x14ac:dyDescent="0.25">
      <c r="A604" s="4">
        <v>602</v>
      </c>
      <c r="B604" s="8" t="s">
        <v>2098</v>
      </c>
      <c r="C604" s="4" t="s">
        <v>922</v>
      </c>
      <c r="D604" s="5">
        <v>45087.729166666664</v>
      </c>
      <c r="E604" s="4" t="s">
        <v>2099</v>
      </c>
      <c r="F604" s="4" t="s">
        <v>872</v>
      </c>
      <c r="G604" s="8" t="s">
        <v>2100</v>
      </c>
      <c r="H604" s="4">
        <v>30</v>
      </c>
      <c r="I604" s="4">
        <v>60</v>
      </c>
      <c r="J604" s="4" t="s">
        <v>2038</v>
      </c>
      <c r="K604" s="4">
        <v>2023</v>
      </c>
      <c r="L604" s="4">
        <v>6</v>
      </c>
      <c r="M604" s="4">
        <v>10</v>
      </c>
      <c r="N604" s="4">
        <v>17</v>
      </c>
    </row>
    <row r="605" spans="1:14" ht="45" x14ac:dyDescent="0.25">
      <c r="A605" s="2">
        <v>603</v>
      </c>
      <c r="B605" s="7" t="s">
        <v>2101</v>
      </c>
      <c r="C605" s="2" t="s">
        <v>875</v>
      </c>
      <c r="D605" s="3">
        <v>45088.645833333336</v>
      </c>
      <c r="E605" s="2" t="s">
        <v>2102</v>
      </c>
      <c r="F605" s="2" t="s">
        <v>24</v>
      </c>
      <c r="G605" s="7" t="s">
        <v>2103</v>
      </c>
      <c r="H605" s="2">
        <v>35</v>
      </c>
      <c r="I605" s="2">
        <v>70</v>
      </c>
      <c r="J605" s="2" t="s">
        <v>2033</v>
      </c>
      <c r="K605" s="2">
        <v>2023</v>
      </c>
      <c r="L605" s="2">
        <v>6</v>
      </c>
      <c r="M605" s="2">
        <v>11</v>
      </c>
      <c r="N605" s="2">
        <v>15</v>
      </c>
    </row>
    <row r="606" spans="1:14" ht="45" x14ac:dyDescent="0.25">
      <c r="A606" s="4">
        <v>604</v>
      </c>
      <c r="B606" s="8" t="s">
        <v>2104</v>
      </c>
      <c r="C606" s="4" t="s">
        <v>1636</v>
      </c>
      <c r="D606" s="5">
        <v>45089.75</v>
      </c>
      <c r="E606" s="4" t="s">
        <v>2105</v>
      </c>
      <c r="F606" s="4" t="s">
        <v>872</v>
      </c>
      <c r="G606" s="8" t="s">
        <v>2106</v>
      </c>
      <c r="H606" s="4">
        <v>28</v>
      </c>
      <c r="I606" s="4">
        <v>55</v>
      </c>
      <c r="J606" s="4" t="s">
        <v>2042</v>
      </c>
      <c r="K606" s="4">
        <v>2023</v>
      </c>
      <c r="L606" s="4">
        <v>6</v>
      </c>
      <c r="M606" s="4">
        <v>12</v>
      </c>
      <c r="N606" s="4">
        <v>18</v>
      </c>
    </row>
    <row r="607" spans="1:14" ht="30" x14ac:dyDescent="0.25">
      <c r="A607" s="2">
        <v>605</v>
      </c>
      <c r="B607" s="7" t="s">
        <v>2107</v>
      </c>
      <c r="C607" s="2" t="s">
        <v>922</v>
      </c>
      <c r="D607" s="3">
        <v>45090.614583333336</v>
      </c>
      <c r="E607" s="2" t="s">
        <v>2108</v>
      </c>
      <c r="F607" s="2" t="s">
        <v>29</v>
      </c>
      <c r="G607" s="7" t="s">
        <v>2109</v>
      </c>
      <c r="H607" s="2">
        <v>22</v>
      </c>
      <c r="I607" s="2">
        <v>45</v>
      </c>
      <c r="J607" s="2" t="s">
        <v>2038</v>
      </c>
      <c r="K607" s="2">
        <v>2023</v>
      </c>
      <c r="L607" s="2">
        <v>6</v>
      </c>
      <c r="M607" s="2">
        <v>13</v>
      </c>
      <c r="N607" s="2">
        <v>14</v>
      </c>
    </row>
    <row r="608" spans="1:14" ht="45" x14ac:dyDescent="0.25">
      <c r="A608" s="4">
        <v>606</v>
      </c>
      <c r="B608" s="8" t="s">
        <v>2110</v>
      </c>
      <c r="C608" s="4" t="s">
        <v>875</v>
      </c>
      <c r="D608" s="5">
        <v>45091.8125</v>
      </c>
      <c r="E608" s="4" t="s">
        <v>2111</v>
      </c>
      <c r="F608" s="4" t="s">
        <v>24</v>
      </c>
      <c r="G608" s="8" t="s">
        <v>2112</v>
      </c>
      <c r="H608" s="4">
        <v>25</v>
      </c>
      <c r="I608" s="4">
        <v>50</v>
      </c>
      <c r="J608" s="4" t="s">
        <v>2033</v>
      </c>
      <c r="K608" s="4">
        <v>2023</v>
      </c>
      <c r="L608" s="4">
        <v>6</v>
      </c>
      <c r="M608" s="4">
        <v>14</v>
      </c>
      <c r="N608" s="4">
        <v>19</v>
      </c>
    </row>
    <row r="609" spans="1:14" ht="45" x14ac:dyDescent="0.25">
      <c r="A609" s="2">
        <v>607</v>
      </c>
      <c r="B609" s="7" t="s">
        <v>2113</v>
      </c>
      <c r="C609" s="2" t="s">
        <v>922</v>
      </c>
      <c r="D609" s="3">
        <v>45092.510416666664</v>
      </c>
      <c r="E609" s="2" t="s">
        <v>2114</v>
      </c>
      <c r="F609" s="2" t="s">
        <v>872</v>
      </c>
      <c r="G609" s="7" t="s">
        <v>2115</v>
      </c>
      <c r="H609" s="2">
        <v>30</v>
      </c>
      <c r="I609" s="2">
        <v>60</v>
      </c>
      <c r="J609" s="2" t="s">
        <v>2042</v>
      </c>
      <c r="K609" s="2">
        <v>2023</v>
      </c>
      <c r="L609" s="2">
        <v>6</v>
      </c>
      <c r="M609" s="2">
        <v>15</v>
      </c>
      <c r="N609" s="2">
        <v>12</v>
      </c>
    </row>
    <row r="610" spans="1:14" ht="45" x14ac:dyDescent="0.25">
      <c r="A610" s="4">
        <v>608</v>
      </c>
      <c r="B610" s="8" t="s">
        <v>2116</v>
      </c>
      <c r="C610" s="4" t="s">
        <v>1622</v>
      </c>
      <c r="D610" s="5">
        <v>45093.90625</v>
      </c>
      <c r="E610" s="4" t="s">
        <v>2117</v>
      </c>
      <c r="F610" s="4" t="s">
        <v>29</v>
      </c>
      <c r="G610" s="8" t="s">
        <v>2118</v>
      </c>
      <c r="H610" s="4">
        <v>18</v>
      </c>
      <c r="I610" s="4">
        <v>35</v>
      </c>
      <c r="J610" s="4" t="s">
        <v>2038</v>
      </c>
      <c r="K610" s="4">
        <v>2023</v>
      </c>
      <c r="L610" s="4">
        <v>6</v>
      </c>
      <c r="M610" s="4">
        <v>16</v>
      </c>
      <c r="N610" s="4">
        <v>21</v>
      </c>
    </row>
    <row r="611" spans="1:14" ht="45" x14ac:dyDescent="0.25">
      <c r="A611" s="2">
        <v>609</v>
      </c>
      <c r="B611" s="7" t="s">
        <v>2119</v>
      </c>
      <c r="C611" s="2" t="s">
        <v>1622</v>
      </c>
      <c r="D611" s="3">
        <v>45094.625</v>
      </c>
      <c r="E611" s="2" t="s">
        <v>2120</v>
      </c>
      <c r="F611" s="2" t="s">
        <v>24</v>
      </c>
      <c r="G611" s="7" t="s">
        <v>2121</v>
      </c>
      <c r="H611" s="2">
        <v>35</v>
      </c>
      <c r="I611" s="2">
        <v>70</v>
      </c>
      <c r="J611" s="2" t="s">
        <v>2033</v>
      </c>
      <c r="K611" s="2">
        <v>2023</v>
      </c>
      <c r="L611" s="2">
        <v>6</v>
      </c>
      <c r="M611" s="2">
        <v>17</v>
      </c>
      <c r="N611" s="2">
        <v>15</v>
      </c>
    </row>
    <row r="612" spans="1:14" ht="45" x14ac:dyDescent="0.25">
      <c r="A612" s="4">
        <v>610</v>
      </c>
      <c r="B612" s="8" t="s">
        <v>2122</v>
      </c>
      <c r="C612" s="4" t="s">
        <v>875</v>
      </c>
      <c r="D612" s="5">
        <v>45095.479166666664</v>
      </c>
      <c r="E612" s="4" t="s">
        <v>2123</v>
      </c>
      <c r="F612" s="4" t="s">
        <v>872</v>
      </c>
      <c r="G612" s="8" t="s">
        <v>2124</v>
      </c>
      <c r="H612" s="4">
        <v>28</v>
      </c>
      <c r="I612" s="4">
        <v>55</v>
      </c>
      <c r="J612" s="4" t="s">
        <v>2042</v>
      </c>
      <c r="K612" s="4">
        <v>2023</v>
      </c>
      <c r="L612" s="4">
        <v>6</v>
      </c>
      <c r="M612" s="4">
        <v>18</v>
      </c>
      <c r="N612" s="4">
        <v>11</v>
      </c>
    </row>
    <row r="613" spans="1:14" ht="45" x14ac:dyDescent="0.25">
      <c r="A613" s="2">
        <v>611</v>
      </c>
      <c r="B613" s="7" t="s">
        <v>2125</v>
      </c>
      <c r="C613" s="2" t="s">
        <v>1622</v>
      </c>
      <c r="D613" s="3">
        <v>45096.6875</v>
      </c>
      <c r="E613" s="2" t="s">
        <v>2126</v>
      </c>
      <c r="F613" s="2" t="s">
        <v>29</v>
      </c>
      <c r="G613" s="7" t="s">
        <v>2127</v>
      </c>
      <c r="H613" s="2">
        <v>22</v>
      </c>
      <c r="I613" s="2">
        <v>45</v>
      </c>
      <c r="J613" s="2" t="s">
        <v>2038</v>
      </c>
      <c r="K613" s="2">
        <v>2023</v>
      </c>
      <c r="L613" s="2">
        <v>6</v>
      </c>
      <c r="M613" s="2">
        <v>19</v>
      </c>
      <c r="N613" s="2">
        <v>16</v>
      </c>
    </row>
    <row r="614" spans="1:14" ht="45" x14ac:dyDescent="0.25">
      <c r="A614" s="4">
        <v>612</v>
      </c>
      <c r="B614" s="8" t="s">
        <v>2128</v>
      </c>
      <c r="C614" s="4" t="s">
        <v>1622</v>
      </c>
      <c r="D614" s="5">
        <v>45097.597222222219</v>
      </c>
      <c r="E614" s="4" t="s">
        <v>2129</v>
      </c>
      <c r="F614" s="4" t="s">
        <v>24</v>
      </c>
      <c r="G614" s="8" t="s">
        <v>2130</v>
      </c>
      <c r="H614" s="4">
        <v>20</v>
      </c>
      <c r="I614" s="4">
        <v>40</v>
      </c>
      <c r="J614" s="4" t="s">
        <v>2033</v>
      </c>
      <c r="K614" s="4">
        <v>2023</v>
      </c>
      <c r="L614" s="4">
        <v>6</v>
      </c>
      <c r="M614" s="4">
        <v>20</v>
      </c>
      <c r="N614" s="4">
        <v>14</v>
      </c>
    </row>
    <row r="615" spans="1:14" ht="45" x14ac:dyDescent="0.25">
      <c r="A615" s="2">
        <v>613</v>
      </c>
      <c r="B615" s="7" t="s">
        <v>2131</v>
      </c>
      <c r="C615" s="2" t="s">
        <v>875</v>
      </c>
      <c r="D615" s="3">
        <v>45098.791666666664</v>
      </c>
      <c r="E615" s="2" t="s">
        <v>2132</v>
      </c>
      <c r="F615" s="2" t="s">
        <v>872</v>
      </c>
      <c r="G615" s="7" t="s">
        <v>2133</v>
      </c>
      <c r="H615" s="2">
        <v>18</v>
      </c>
      <c r="I615" s="2">
        <v>35</v>
      </c>
      <c r="J615" s="2" t="s">
        <v>2042</v>
      </c>
      <c r="K615" s="2">
        <v>2023</v>
      </c>
      <c r="L615" s="2">
        <v>6</v>
      </c>
      <c r="M615" s="2">
        <v>21</v>
      </c>
      <c r="N615" s="2">
        <v>19</v>
      </c>
    </row>
    <row r="616" spans="1:14" ht="45" x14ac:dyDescent="0.25">
      <c r="A616" s="4">
        <v>614</v>
      </c>
      <c r="B616" s="8" t="s">
        <v>2134</v>
      </c>
      <c r="C616" s="4" t="s">
        <v>875</v>
      </c>
      <c r="D616" s="5">
        <v>45099.572916666664</v>
      </c>
      <c r="E616" s="4" t="s">
        <v>1178</v>
      </c>
      <c r="F616" s="4" t="s">
        <v>29</v>
      </c>
      <c r="G616" s="8" t="s">
        <v>2135</v>
      </c>
      <c r="H616" s="4">
        <v>25</v>
      </c>
      <c r="I616" s="4">
        <v>50</v>
      </c>
      <c r="J616" s="4" t="s">
        <v>2033</v>
      </c>
      <c r="K616" s="4">
        <v>2023</v>
      </c>
      <c r="L616" s="4">
        <v>6</v>
      </c>
      <c r="M616" s="4">
        <v>22</v>
      </c>
      <c r="N616" s="4">
        <v>13</v>
      </c>
    </row>
    <row r="617" spans="1:14" ht="45" x14ac:dyDescent="0.25">
      <c r="A617" s="2">
        <v>615</v>
      </c>
      <c r="B617" s="7" t="s">
        <v>2136</v>
      </c>
      <c r="C617" s="2" t="s">
        <v>875</v>
      </c>
      <c r="D617" s="3">
        <v>45100.78125</v>
      </c>
      <c r="E617" s="2" t="s">
        <v>2137</v>
      </c>
      <c r="F617" s="2" t="s">
        <v>24</v>
      </c>
      <c r="G617" s="7" t="s">
        <v>2138</v>
      </c>
      <c r="H617" s="2">
        <v>28</v>
      </c>
      <c r="I617" s="2">
        <v>55</v>
      </c>
      <c r="J617" s="2" t="s">
        <v>2042</v>
      </c>
      <c r="K617" s="2">
        <v>2023</v>
      </c>
      <c r="L617" s="2">
        <v>6</v>
      </c>
      <c r="M617" s="2">
        <v>23</v>
      </c>
      <c r="N617" s="2">
        <v>18</v>
      </c>
    </row>
    <row r="618" spans="1:14" ht="45" x14ac:dyDescent="0.25">
      <c r="A618" s="4">
        <v>616</v>
      </c>
      <c r="B618" s="8" t="s">
        <v>2139</v>
      </c>
      <c r="C618" s="4" t="s">
        <v>1622</v>
      </c>
      <c r="D618" s="5">
        <v>45101.677083333336</v>
      </c>
      <c r="E618" s="4" t="s">
        <v>2140</v>
      </c>
      <c r="F618" s="4" t="s">
        <v>872</v>
      </c>
      <c r="G618" s="8" t="s">
        <v>2141</v>
      </c>
      <c r="H618" s="4">
        <v>22</v>
      </c>
      <c r="I618" s="4">
        <v>45</v>
      </c>
      <c r="J618" s="4" t="s">
        <v>2038</v>
      </c>
      <c r="K618" s="4">
        <v>2023</v>
      </c>
      <c r="L618" s="4">
        <v>6</v>
      </c>
      <c r="M618" s="4">
        <v>24</v>
      </c>
      <c r="N618" s="4">
        <v>16</v>
      </c>
    </row>
    <row r="619" spans="1:14" ht="45" x14ac:dyDescent="0.25">
      <c r="A619" s="2">
        <v>617</v>
      </c>
      <c r="B619" s="7" t="s">
        <v>2142</v>
      </c>
      <c r="C619" s="2" t="s">
        <v>1636</v>
      </c>
      <c r="D619" s="3">
        <v>45102.854166666664</v>
      </c>
      <c r="E619" s="2" t="s">
        <v>2143</v>
      </c>
      <c r="F619" s="2" t="s">
        <v>29</v>
      </c>
      <c r="G619" s="7" t="s">
        <v>2144</v>
      </c>
      <c r="H619" s="2">
        <v>35</v>
      </c>
      <c r="I619" s="2">
        <v>70</v>
      </c>
      <c r="J619" s="2" t="s">
        <v>2033</v>
      </c>
      <c r="K619" s="2">
        <v>2023</v>
      </c>
      <c r="L619" s="2">
        <v>6</v>
      </c>
      <c r="M619" s="2">
        <v>25</v>
      </c>
      <c r="N619" s="2">
        <v>20</v>
      </c>
    </row>
    <row r="620" spans="1:14" ht="45" x14ac:dyDescent="0.25">
      <c r="A620" s="4">
        <v>618</v>
      </c>
      <c r="B620" s="8" t="s">
        <v>2145</v>
      </c>
      <c r="C620" s="4" t="s">
        <v>922</v>
      </c>
      <c r="D620" s="5">
        <v>45103.583333333336</v>
      </c>
      <c r="E620" s="4" t="s">
        <v>2146</v>
      </c>
      <c r="F620" s="4" t="s">
        <v>24</v>
      </c>
      <c r="G620" s="8" t="s">
        <v>2147</v>
      </c>
      <c r="H620" s="4">
        <v>30</v>
      </c>
      <c r="I620" s="4">
        <v>60</v>
      </c>
      <c r="J620" s="4" t="s">
        <v>2042</v>
      </c>
      <c r="K620" s="4">
        <v>2023</v>
      </c>
      <c r="L620" s="4">
        <v>6</v>
      </c>
      <c r="M620" s="4">
        <v>26</v>
      </c>
      <c r="N620" s="4">
        <v>14</v>
      </c>
    </row>
    <row r="621" spans="1:14" ht="45" x14ac:dyDescent="0.25">
      <c r="A621" s="2">
        <v>619</v>
      </c>
      <c r="B621" s="7" t="s">
        <v>2148</v>
      </c>
      <c r="C621" s="2" t="s">
        <v>875</v>
      </c>
      <c r="D621" s="3">
        <v>45104.739583333336</v>
      </c>
      <c r="E621" s="2" t="s">
        <v>2149</v>
      </c>
      <c r="F621" s="2" t="s">
        <v>872</v>
      </c>
      <c r="G621" s="7" t="s">
        <v>2150</v>
      </c>
      <c r="H621" s="2">
        <v>20</v>
      </c>
      <c r="I621" s="2">
        <v>40</v>
      </c>
      <c r="J621" s="2" t="s">
        <v>2033</v>
      </c>
      <c r="K621" s="2">
        <v>2023</v>
      </c>
      <c r="L621" s="2">
        <v>6</v>
      </c>
      <c r="M621" s="2">
        <v>27</v>
      </c>
      <c r="N621" s="2">
        <v>17</v>
      </c>
    </row>
    <row r="622" spans="1:14" ht="60" x14ac:dyDescent="0.25">
      <c r="A622" s="4">
        <v>620</v>
      </c>
      <c r="B622" s="8" t="s">
        <v>2151</v>
      </c>
      <c r="C622" s="4" t="s">
        <v>1622</v>
      </c>
      <c r="D622" s="5">
        <v>45105.927083333336</v>
      </c>
      <c r="E622" s="4" t="s">
        <v>2152</v>
      </c>
      <c r="F622" s="4" t="s">
        <v>29</v>
      </c>
      <c r="G622" s="8" t="s">
        <v>2153</v>
      </c>
      <c r="H622" s="4">
        <v>18</v>
      </c>
      <c r="I622" s="4">
        <v>35</v>
      </c>
      <c r="J622" s="4" t="s">
        <v>2042</v>
      </c>
      <c r="K622" s="4">
        <v>2023</v>
      </c>
      <c r="L622" s="4">
        <v>6</v>
      </c>
      <c r="M622" s="4">
        <v>28</v>
      </c>
      <c r="N622" s="4">
        <v>22</v>
      </c>
    </row>
    <row r="623" spans="1:14" ht="45" x14ac:dyDescent="0.25">
      <c r="A623" s="2">
        <v>621</v>
      </c>
      <c r="B623" s="7" t="s">
        <v>2154</v>
      </c>
      <c r="C623" s="2" t="s">
        <v>1622</v>
      </c>
      <c r="D623" s="3">
        <v>45106.6875</v>
      </c>
      <c r="E623" s="2" t="s">
        <v>2155</v>
      </c>
      <c r="F623" s="2" t="s">
        <v>24</v>
      </c>
      <c r="G623" s="7" t="s">
        <v>2156</v>
      </c>
      <c r="H623" s="2">
        <v>25</v>
      </c>
      <c r="I623" s="2">
        <v>50</v>
      </c>
      <c r="J623" s="2" t="s">
        <v>2033</v>
      </c>
      <c r="K623" s="2">
        <v>2023</v>
      </c>
      <c r="L623" s="2">
        <v>6</v>
      </c>
      <c r="M623" s="2">
        <v>29</v>
      </c>
      <c r="N623" s="2">
        <v>16</v>
      </c>
    </row>
    <row r="624" spans="1:14" ht="45" x14ac:dyDescent="0.25">
      <c r="A624" s="4">
        <v>622</v>
      </c>
      <c r="B624" s="8" t="s">
        <v>2157</v>
      </c>
      <c r="C624" s="4" t="s">
        <v>1636</v>
      </c>
      <c r="D624" s="5">
        <v>45107.8125</v>
      </c>
      <c r="E624" s="4" t="s">
        <v>2158</v>
      </c>
      <c r="F624" s="4" t="s">
        <v>872</v>
      </c>
      <c r="G624" s="8" t="s">
        <v>2159</v>
      </c>
      <c r="H624" s="4">
        <v>28</v>
      </c>
      <c r="I624" s="4">
        <v>55</v>
      </c>
      <c r="J624" s="4" t="s">
        <v>2042</v>
      </c>
      <c r="K624" s="4">
        <v>2023</v>
      </c>
      <c r="L624" s="4">
        <v>6</v>
      </c>
      <c r="M624" s="4">
        <v>30</v>
      </c>
      <c r="N624" s="4">
        <v>19</v>
      </c>
    </row>
    <row r="625" spans="1:14" ht="45" x14ac:dyDescent="0.25">
      <c r="A625" s="2">
        <v>623</v>
      </c>
      <c r="B625" s="7" t="s">
        <v>2160</v>
      </c>
      <c r="C625" s="2" t="s">
        <v>386</v>
      </c>
      <c r="D625" s="3">
        <v>45108.583333333336</v>
      </c>
      <c r="E625" s="2" t="s">
        <v>2161</v>
      </c>
      <c r="F625" s="2" t="s">
        <v>24</v>
      </c>
      <c r="G625" s="7" t="s">
        <v>2162</v>
      </c>
      <c r="H625" s="2">
        <v>30</v>
      </c>
      <c r="I625" s="2">
        <v>60</v>
      </c>
      <c r="J625" s="2" t="s">
        <v>2033</v>
      </c>
      <c r="K625" s="2">
        <v>2023</v>
      </c>
      <c r="L625" s="2">
        <v>7</v>
      </c>
      <c r="M625" s="2">
        <v>1</v>
      </c>
      <c r="N625" s="2">
        <v>14</v>
      </c>
    </row>
    <row r="626" spans="1:14" ht="45" x14ac:dyDescent="0.25">
      <c r="A626" s="4">
        <v>624</v>
      </c>
      <c r="B626" s="8" t="s">
        <v>2163</v>
      </c>
      <c r="C626" s="4" t="s">
        <v>1622</v>
      </c>
      <c r="D626" s="5">
        <v>45109.770833333336</v>
      </c>
      <c r="E626" s="4" t="s">
        <v>2164</v>
      </c>
      <c r="F626" s="4" t="s">
        <v>29</v>
      </c>
      <c r="G626" s="8" t="s">
        <v>2165</v>
      </c>
      <c r="H626" s="4">
        <v>22</v>
      </c>
      <c r="I626" s="4">
        <v>45</v>
      </c>
      <c r="J626" s="4" t="s">
        <v>2042</v>
      </c>
      <c r="K626" s="4">
        <v>2023</v>
      </c>
      <c r="L626" s="4">
        <v>7</v>
      </c>
      <c r="M626" s="4">
        <v>2</v>
      </c>
      <c r="N626" s="4">
        <v>18</v>
      </c>
    </row>
    <row r="627" spans="1:14" ht="45" x14ac:dyDescent="0.25">
      <c r="A627" s="2">
        <v>625</v>
      </c>
      <c r="B627" s="7" t="s">
        <v>2166</v>
      </c>
      <c r="C627" s="2" t="s">
        <v>1622</v>
      </c>
      <c r="D627" s="3">
        <v>45110.53125</v>
      </c>
      <c r="E627" s="2" t="s">
        <v>2167</v>
      </c>
      <c r="F627" s="2" t="s">
        <v>872</v>
      </c>
      <c r="G627" s="7" t="s">
        <v>2168</v>
      </c>
      <c r="H627" s="2">
        <v>28</v>
      </c>
      <c r="I627" s="2">
        <v>55</v>
      </c>
      <c r="J627" s="2" t="s">
        <v>2038</v>
      </c>
      <c r="K627" s="2">
        <v>2023</v>
      </c>
      <c r="L627" s="2">
        <v>7</v>
      </c>
      <c r="M627" s="2">
        <v>3</v>
      </c>
      <c r="N627" s="2">
        <v>12</v>
      </c>
    </row>
    <row r="628" spans="1:14" ht="45" x14ac:dyDescent="0.25">
      <c r="A628" s="4">
        <v>626</v>
      </c>
      <c r="B628" s="8" t="s">
        <v>2169</v>
      </c>
      <c r="C628" s="4" t="s">
        <v>875</v>
      </c>
      <c r="D628" s="5">
        <v>45111.708333333336</v>
      </c>
      <c r="E628" s="4" t="s">
        <v>2170</v>
      </c>
      <c r="F628" s="4" t="s">
        <v>24</v>
      </c>
      <c r="G628" s="8" t="s">
        <v>2171</v>
      </c>
      <c r="H628" s="4">
        <v>35</v>
      </c>
      <c r="I628" s="4">
        <v>70</v>
      </c>
      <c r="J628" s="4" t="s">
        <v>2033</v>
      </c>
      <c r="K628" s="4">
        <v>2023</v>
      </c>
      <c r="L628" s="4">
        <v>7</v>
      </c>
      <c r="M628" s="4">
        <v>4</v>
      </c>
      <c r="N628" s="4">
        <v>17</v>
      </c>
    </row>
    <row r="629" spans="1:14" ht="45" x14ac:dyDescent="0.25">
      <c r="A629" s="2">
        <v>627</v>
      </c>
      <c r="B629" s="7" t="s">
        <v>2172</v>
      </c>
      <c r="C629" s="2" t="s">
        <v>1622</v>
      </c>
      <c r="D629" s="3">
        <v>45112.84375</v>
      </c>
      <c r="E629" s="2" t="s">
        <v>2173</v>
      </c>
      <c r="F629" s="2" t="s">
        <v>872</v>
      </c>
      <c r="G629" s="7" t="s">
        <v>2174</v>
      </c>
      <c r="H629" s="2">
        <v>18</v>
      </c>
      <c r="I629" s="2">
        <v>35</v>
      </c>
      <c r="J629" s="2" t="s">
        <v>2042</v>
      </c>
      <c r="K629" s="2">
        <v>2023</v>
      </c>
      <c r="L629" s="2">
        <v>7</v>
      </c>
      <c r="M629" s="2">
        <v>5</v>
      </c>
      <c r="N629" s="2">
        <v>20</v>
      </c>
    </row>
    <row r="630" spans="1:14" ht="45" x14ac:dyDescent="0.25">
      <c r="A630" s="4">
        <v>628</v>
      </c>
      <c r="B630" s="8" t="s">
        <v>2175</v>
      </c>
      <c r="C630" s="4" t="s">
        <v>1622</v>
      </c>
      <c r="D630" s="5">
        <v>45113.604166666664</v>
      </c>
      <c r="E630" s="4" t="s">
        <v>2176</v>
      </c>
      <c r="F630" s="4" t="s">
        <v>29</v>
      </c>
      <c r="G630" s="8" t="s">
        <v>2177</v>
      </c>
      <c r="H630" s="4">
        <v>25</v>
      </c>
      <c r="I630" s="4">
        <v>50</v>
      </c>
      <c r="J630" s="4" t="s">
        <v>2033</v>
      </c>
      <c r="K630" s="4">
        <v>2023</v>
      </c>
      <c r="L630" s="4">
        <v>7</v>
      </c>
      <c r="M630" s="4">
        <v>6</v>
      </c>
      <c r="N630" s="4">
        <v>14</v>
      </c>
    </row>
    <row r="631" spans="1:14" ht="45" x14ac:dyDescent="0.25">
      <c r="A631" s="2">
        <v>629</v>
      </c>
      <c r="B631" s="7" t="s">
        <v>2178</v>
      </c>
      <c r="C631" s="2" t="s">
        <v>1622</v>
      </c>
      <c r="D631" s="3">
        <v>45114.822916666664</v>
      </c>
      <c r="E631" s="2" t="s">
        <v>2179</v>
      </c>
      <c r="F631" s="2" t="s">
        <v>24</v>
      </c>
      <c r="G631" s="7" t="s">
        <v>2180</v>
      </c>
      <c r="H631" s="2">
        <v>22</v>
      </c>
      <c r="I631" s="2">
        <v>45</v>
      </c>
      <c r="J631" s="2" t="s">
        <v>2042</v>
      </c>
      <c r="K631" s="2">
        <v>2023</v>
      </c>
      <c r="L631" s="2">
        <v>7</v>
      </c>
      <c r="M631" s="2">
        <v>7</v>
      </c>
      <c r="N631" s="2">
        <v>19</v>
      </c>
    </row>
    <row r="632" spans="1:14" ht="45" x14ac:dyDescent="0.25">
      <c r="A632" s="4">
        <v>630</v>
      </c>
      <c r="B632" s="8" t="s">
        <v>2181</v>
      </c>
      <c r="C632" s="4" t="s">
        <v>875</v>
      </c>
      <c r="D632" s="5">
        <v>45115.666666666664</v>
      </c>
      <c r="E632" s="4" t="s">
        <v>2182</v>
      </c>
      <c r="F632" s="4" t="s">
        <v>872</v>
      </c>
      <c r="G632" s="8" t="s">
        <v>2183</v>
      </c>
      <c r="H632" s="4">
        <v>30</v>
      </c>
      <c r="I632" s="4">
        <v>60</v>
      </c>
      <c r="J632" s="4" t="s">
        <v>2038</v>
      </c>
      <c r="K632" s="4">
        <v>2023</v>
      </c>
      <c r="L632" s="4">
        <v>7</v>
      </c>
      <c r="M632" s="4">
        <v>8</v>
      </c>
      <c r="N632" s="4">
        <v>16</v>
      </c>
    </row>
    <row r="633" spans="1:14" ht="45" x14ac:dyDescent="0.25">
      <c r="A633" s="2">
        <v>631</v>
      </c>
      <c r="B633" s="7" t="s">
        <v>2184</v>
      </c>
      <c r="C633" s="2" t="s">
        <v>1622</v>
      </c>
      <c r="D633" s="3">
        <v>45116.9375</v>
      </c>
      <c r="E633" s="2" t="s">
        <v>2185</v>
      </c>
      <c r="F633" s="2" t="s">
        <v>29</v>
      </c>
      <c r="G633" s="7" t="s">
        <v>2186</v>
      </c>
      <c r="H633" s="2">
        <v>20</v>
      </c>
      <c r="I633" s="2">
        <v>40</v>
      </c>
      <c r="J633" s="2" t="s">
        <v>2033</v>
      </c>
      <c r="K633" s="2">
        <v>2023</v>
      </c>
      <c r="L633" s="2">
        <v>7</v>
      </c>
      <c r="M633" s="2">
        <v>9</v>
      </c>
      <c r="N633" s="2">
        <v>22</v>
      </c>
    </row>
    <row r="634" spans="1:14" ht="60" x14ac:dyDescent="0.25">
      <c r="A634" s="4">
        <v>632</v>
      </c>
      <c r="B634" s="8" t="s">
        <v>2187</v>
      </c>
      <c r="C634" s="4" t="s">
        <v>386</v>
      </c>
      <c r="D634" s="5">
        <v>45117.597222222219</v>
      </c>
      <c r="E634" s="4" t="s">
        <v>2188</v>
      </c>
      <c r="F634" s="4" t="s">
        <v>24</v>
      </c>
      <c r="G634" s="8" t="s">
        <v>2189</v>
      </c>
      <c r="H634" s="4">
        <v>28</v>
      </c>
      <c r="I634" s="4">
        <v>55</v>
      </c>
      <c r="J634" s="4" t="s">
        <v>2042</v>
      </c>
      <c r="K634" s="4">
        <v>2023</v>
      </c>
      <c r="L634" s="4">
        <v>7</v>
      </c>
      <c r="M634" s="4">
        <v>10</v>
      </c>
      <c r="N634" s="4">
        <v>14</v>
      </c>
    </row>
    <row r="635" spans="1:14" ht="45" x14ac:dyDescent="0.25">
      <c r="A635" s="2">
        <v>633</v>
      </c>
      <c r="B635" s="7" t="s">
        <v>2190</v>
      </c>
      <c r="C635" s="2" t="s">
        <v>1636</v>
      </c>
      <c r="D635" s="3">
        <v>45118.78125</v>
      </c>
      <c r="E635" s="2" t="s">
        <v>2191</v>
      </c>
      <c r="F635" s="2" t="s">
        <v>872</v>
      </c>
      <c r="G635" s="7" t="s">
        <v>2192</v>
      </c>
      <c r="H635" s="2">
        <v>22</v>
      </c>
      <c r="I635" s="2">
        <v>45</v>
      </c>
      <c r="J635" s="2" t="s">
        <v>2038</v>
      </c>
      <c r="K635" s="2">
        <v>2023</v>
      </c>
      <c r="L635" s="2">
        <v>7</v>
      </c>
      <c r="M635" s="2">
        <v>11</v>
      </c>
      <c r="N635" s="2">
        <v>18</v>
      </c>
    </row>
    <row r="636" spans="1:14" ht="45" x14ac:dyDescent="0.25">
      <c r="A636" s="4">
        <v>634</v>
      </c>
      <c r="B636" s="8" t="s">
        <v>2193</v>
      </c>
      <c r="C636" s="4" t="s">
        <v>386</v>
      </c>
      <c r="D636" s="5">
        <v>45119.572916666664</v>
      </c>
      <c r="E636" s="4" t="s">
        <v>2194</v>
      </c>
      <c r="F636" s="4" t="s">
        <v>29</v>
      </c>
      <c r="G636" s="8" t="s">
        <v>2195</v>
      </c>
      <c r="H636" s="4">
        <v>25</v>
      </c>
      <c r="I636" s="4">
        <v>50</v>
      </c>
      <c r="J636" s="4" t="s">
        <v>2033</v>
      </c>
      <c r="K636" s="4">
        <v>2023</v>
      </c>
      <c r="L636" s="4">
        <v>7</v>
      </c>
      <c r="M636" s="4">
        <v>12</v>
      </c>
      <c r="N636" s="4">
        <v>13</v>
      </c>
    </row>
    <row r="637" spans="1:14" ht="45" x14ac:dyDescent="0.25">
      <c r="A637" s="2">
        <v>635</v>
      </c>
      <c r="B637" s="7" t="s">
        <v>2196</v>
      </c>
      <c r="C637" s="2" t="s">
        <v>1622</v>
      </c>
      <c r="D637" s="3">
        <v>45120.833333333336</v>
      </c>
      <c r="E637" s="2" t="s">
        <v>2197</v>
      </c>
      <c r="F637" s="2" t="s">
        <v>24</v>
      </c>
      <c r="G637" s="7" t="s">
        <v>2198</v>
      </c>
      <c r="H637" s="2">
        <v>35</v>
      </c>
      <c r="I637" s="2">
        <v>70</v>
      </c>
      <c r="J637" s="2" t="s">
        <v>2042</v>
      </c>
      <c r="K637" s="2">
        <v>2023</v>
      </c>
      <c r="L637" s="2">
        <v>7</v>
      </c>
      <c r="M637" s="2">
        <v>13</v>
      </c>
      <c r="N637" s="2">
        <v>20</v>
      </c>
    </row>
    <row r="638" spans="1:14" ht="45" x14ac:dyDescent="0.25">
      <c r="A638" s="4">
        <v>636</v>
      </c>
      <c r="B638" s="8" t="s">
        <v>2199</v>
      </c>
      <c r="C638" s="4" t="s">
        <v>1622</v>
      </c>
      <c r="D638" s="5">
        <v>45121.677083333336</v>
      </c>
      <c r="E638" s="4" t="s">
        <v>2200</v>
      </c>
      <c r="F638" s="4" t="s">
        <v>872</v>
      </c>
      <c r="G638" s="8" t="s">
        <v>2201</v>
      </c>
      <c r="H638" s="4">
        <v>20</v>
      </c>
      <c r="I638" s="4">
        <v>40</v>
      </c>
      <c r="J638" s="4" t="s">
        <v>2033</v>
      </c>
      <c r="K638" s="4">
        <v>2023</v>
      </c>
      <c r="L638" s="4">
        <v>7</v>
      </c>
      <c r="M638" s="4">
        <v>14</v>
      </c>
      <c r="N638" s="4">
        <v>16</v>
      </c>
    </row>
    <row r="639" spans="1:14" ht="45" x14ac:dyDescent="0.25">
      <c r="A639" s="2">
        <v>637</v>
      </c>
      <c r="B639" s="7" t="s">
        <v>2202</v>
      </c>
      <c r="C639" s="2" t="s">
        <v>1622</v>
      </c>
      <c r="D639" s="3">
        <v>45122.8125</v>
      </c>
      <c r="E639" s="2" t="s">
        <v>2203</v>
      </c>
      <c r="F639" s="2" t="s">
        <v>29</v>
      </c>
      <c r="G639" s="7" t="s">
        <v>2204</v>
      </c>
      <c r="H639" s="2">
        <v>28</v>
      </c>
      <c r="I639" s="2">
        <v>55</v>
      </c>
      <c r="J639" s="2" t="s">
        <v>2038</v>
      </c>
      <c r="K639" s="2">
        <v>2023</v>
      </c>
      <c r="L639" s="2">
        <v>7</v>
      </c>
      <c r="M639" s="2">
        <v>15</v>
      </c>
      <c r="N639" s="2">
        <v>19</v>
      </c>
    </row>
    <row r="640" spans="1:14" ht="45" x14ac:dyDescent="0.25">
      <c r="A640" s="4">
        <v>638</v>
      </c>
      <c r="B640" s="8" t="s">
        <v>2205</v>
      </c>
      <c r="C640" s="4" t="s">
        <v>1636</v>
      </c>
      <c r="D640" s="5">
        <v>45123.583333333336</v>
      </c>
      <c r="E640" s="4" t="s">
        <v>2206</v>
      </c>
      <c r="F640" s="4" t="s">
        <v>24</v>
      </c>
      <c r="G640" s="8" t="s">
        <v>2207</v>
      </c>
      <c r="H640" s="4">
        <v>30</v>
      </c>
      <c r="I640" s="4">
        <v>60</v>
      </c>
      <c r="J640" s="4" t="s">
        <v>2033</v>
      </c>
      <c r="K640" s="4">
        <v>2023</v>
      </c>
      <c r="L640" s="4">
        <v>7</v>
      </c>
      <c r="M640" s="4">
        <v>16</v>
      </c>
      <c r="N640" s="4">
        <v>14</v>
      </c>
    </row>
    <row r="641" spans="1:14" ht="45" x14ac:dyDescent="0.25">
      <c r="A641" s="2">
        <v>639</v>
      </c>
      <c r="B641" s="7" t="s">
        <v>2208</v>
      </c>
      <c r="C641" s="2" t="s">
        <v>922</v>
      </c>
      <c r="D641" s="3">
        <v>45124.927083333336</v>
      </c>
      <c r="E641" s="2" t="s">
        <v>2209</v>
      </c>
      <c r="F641" s="2" t="s">
        <v>872</v>
      </c>
      <c r="G641" s="7" t="s">
        <v>2210</v>
      </c>
      <c r="H641" s="2">
        <v>18</v>
      </c>
      <c r="I641" s="2">
        <v>35</v>
      </c>
      <c r="J641" s="2" t="s">
        <v>2042</v>
      </c>
      <c r="K641" s="2">
        <v>2023</v>
      </c>
      <c r="L641" s="2">
        <v>7</v>
      </c>
      <c r="M641" s="2">
        <v>17</v>
      </c>
      <c r="N641" s="2">
        <v>22</v>
      </c>
    </row>
    <row r="642" spans="1:14" ht="45" x14ac:dyDescent="0.25">
      <c r="A642" s="4">
        <v>640</v>
      </c>
      <c r="B642" s="8" t="s">
        <v>2211</v>
      </c>
      <c r="C642" s="4" t="s">
        <v>1622</v>
      </c>
      <c r="D642" s="5">
        <v>45125.6875</v>
      </c>
      <c r="E642" s="4" t="s">
        <v>2212</v>
      </c>
      <c r="F642" s="4" t="s">
        <v>29</v>
      </c>
      <c r="G642" s="8" t="s">
        <v>2156</v>
      </c>
      <c r="H642" s="4">
        <v>25</v>
      </c>
      <c r="I642" s="4">
        <v>50</v>
      </c>
      <c r="J642" s="4" t="s">
        <v>2033</v>
      </c>
      <c r="K642" s="4">
        <v>2023</v>
      </c>
      <c r="L642" s="4">
        <v>7</v>
      </c>
      <c r="M642" s="4">
        <v>18</v>
      </c>
      <c r="N642" s="4">
        <v>16</v>
      </c>
    </row>
    <row r="643" spans="1:14" ht="45" x14ac:dyDescent="0.25">
      <c r="A643" s="2">
        <v>641</v>
      </c>
      <c r="B643" s="7" t="s">
        <v>2213</v>
      </c>
      <c r="C643" s="2" t="s">
        <v>1636</v>
      </c>
      <c r="D643" s="3">
        <v>45126.822916666664</v>
      </c>
      <c r="E643" s="2" t="s">
        <v>2214</v>
      </c>
      <c r="F643" s="2" t="s">
        <v>24</v>
      </c>
      <c r="G643" s="7" t="s">
        <v>2215</v>
      </c>
      <c r="H643" s="2">
        <v>22</v>
      </c>
      <c r="I643" s="2">
        <v>45</v>
      </c>
      <c r="J643" s="2" t="s">
        <v>2042</v>
      </c>
      <c r="K643" s="2">
        <v>2023</v>
      </c>
      <c r="L643" s="2">
        <v>7</v>
      </c>
      <c r="M643" s="2">
        <v>19</v>
      </c>
      <c r="N643" s="2">
        <v>19</v>
      </c>
    </row>
    <row r="644" spans="1:14" ht="45" x14ac:dyDescent="0.25">
      <c r="A644" s="4">
        <v>642</v>
      </c>
      <c r="B644" s="8" t="s">
        <v>2216</v>
      </c>
      <c r="C644" s="4" t="s">
        <v>386</v>
      </c>
      <c r="D644" s="5">
        <v>45127.708333333336</v>
      </c>
      <c r="E644" s="4" t="s">
        <v>2217</v>
      </c>
      <c r="F644" s="4" t="s">
        <v>872</v>
      </c>
      <c r="G644" s="8" t="s">
        <v>2218</v>
      </c>
      <c r="H644" s="4">
        <v>30</v>
      </c>
      <c r="I644" s="4">
        <v>60</v>
      </c>
      <c r="J644" s="4" t="s">
        <v>2038</v>
      </c>
      <c r="K644" s="4">
        <v>2023</v>
      </c>
      <c r="L644" s="4">
        <v>7</v>
      </c>
      <c r="M644" s="4">
        <v>20</v>
      </c>
      <c r="N644" s="4">
        <v>17</v>
      </c>
    </row>
    <row r="645" spans="1:14" ht="45" x14ac:dyDescent="0.25">
      <c r="A645" s="2">
        <v>643</v>
      </c>
      <c r="B645" s="7" t="s">
        <v>2219</v>
      </c>
      <c r="C645" s="2" t="s">
        <v>2220</v>
      </c>
      <c r="D645" s="3">
        <v>45139.5625</v>
      </c>
      <c r="E645" s="2" t="s">
        <v>2221</v>
      </c>
      <c r="F645" s="2" t="s">
        <v>24</v>
      </c>
      <c r="G645" s="7" t="s">
        <v>2222</v>
      </c>
      <c r="H645" s="2">
        <v>20</v>
      </c>
      <c r="I645" s="2">
        <v>40</v>
      </c>
      <c r="J645" s="2" t="s">
        <v>2033</v>
      </c>
      <c r="K645" s="2">
        <v>2023</v>
      </c>
      <c r="L645" s="2">
        <v>8</v>
      </c>
      <c r="M645" s="2">
        <v>1</v>
      </c>
      <c r="N645" s="2">
        <v>13</v>
      </c>
    </row>
    <row r="646" spans="1:14" ht="45" x14ac:dyDescent="0.25">
      <c r="A646" s="4">
        <v>644</v>
      </c>
      <c r="B646" s="8" t="s">
        <v>2223</v>
      </c>
      <c r="C646" s="4" t="s">
        <v>386</v>
      </c>
      <c r="D646" s="5">
        <v>45140.614583333336</v>
      </c>
      <c r="E646" s="4" t="s">
        <v>2224</v>
      </c>
      <c r="F646" s="4" t="s">
        <v>872</v>
      </c>
      <c r="G646" s="8" t="s">
        <v>2225</v>
      </c>
      <c r="H646" s="4">
        <v>25</v>
      </c>
      <c r="I646" s="4">
        <v>50</v>
      </c>
      <c r="J646" s="4" t="s">
        <v>2042</v>
      </c>
      <c r="K646" s="4">
        <v>2023</v>
      </c>
      <c r="L646" s="4">
        <v>8</v>
      </c>
      <c r="M646" s="4">
        <v>2</v>
      </c>
      <c r="N646" s="4">
        <v>14</v>
      </c>
    </row>
    <row r="647" spans="1:14" ht="45" x14ac:dyDescent="0.25">
      <c r="A647" s="2">
        <v>645</v>
      </c>
      <c r="B647" s="7" t="s">
        <v>2226</v>
      </c>
      <c r="C647" s="2" t="s">
        <v>386</v>
      </c>
      <c r="D647" s="3">
        <v>45141.510416666664</v>
      </c>
      <c r="E647" s="2" t="s">
        <v>2227</v>
      </c>
      <c r="F647" s="2" t="s">
        <v>29</v>
      </c>
      <c r="G647" s="7" t="s">
        <v>2228</v>
      </c>
      <c r="H647" s="2">
        <v>18</v>
      </c>
      <c r="I647" s="2">
        <v>35</v>
      </c>
      <c r="J647" s="2" t="s">
        <v>2038</v>
      </c>
      <c r="K647" s="2">
        <v>2023</v>
      </c>
      <c r="L647" s="2">
        <v>8</v>
      </c>
      <c r="M647" s="2">
        <v>3</v>
      </c>
      <c r="N647" s="2">
        <v>12</v>
      </c>
    </row>
    <row r="648" spans="1:14" ht="45" x14ac:dyDescent="0.25">
      <c r="A648" s="4">
        <v>646</v>
      </c>
      <c r="B648" s="8" t="s">
        <v>2229</v>
      </c>
      <c r="C648" s="4" t="s">
        <v>1622</v>
      </c>
      <c r="D648" s="5">
        <v>45142.6875</v>
      </c>
      <c r="E648" s="4" t="s">
        <v>2230</v>
      </c>
      <c r="F648" s="4" t="s">
        <v>24</v>
      </c>
      <c r="G648" s="8" t="s">
        <v>2231</v>
      </c>
      <c r="H648" s="4">
        <v>22</v>
      </c>
      <c r="I648" s="4">
        <v>45</v>
      </c>
      <c r="J648" s="4" t="s">
        <v>2033</v>
      </c>
      <c r="K648" s="4">
        <v>2023</v>
      </c>
      <c r="L648" s="4">
        <v>8</v>
      </c>
      <c r="M648" s="4">
        <v>4</v>
      </c>
      <c r="N648" s="4">
        <v>16</v>
      </c>
    </row>
    <row r="649" spans="1:14" ht="45" x14ac:dyDescent="0.25">
      <c r="A649" s="2">
        <v>647</v>
      </c>
      <c r="B649" s="7" t="s">
        <v>2232</v>
      </c>
      <c r="C649" s="2" t="s">
        <v>386</v>
      </c>
      <c r="D649" s="3">
        <v>45143.822916666664</v>
      </c>
      <c r="E649" s="2" t="s">
        <v>2233</v>
      </c>
      <c r="F649" s="2" t="s">
        <v>872</v>
      </c>
      <c r="G649" s="7" t="s">
        <v>2234</v>
      </c>
      <c r="H649" s="2">
        <v>30</v>
      </c>
      <c r="I649" s="2">
        <v>60</v>
      </c>
      <c r="J649" s="2" t="s">
        <v>2038</v>
      </c>
      <c r="K649" s="2">
        <v>2023</v>
      </c>
      <c r="L649" s="2">
        <v>8</v>
      </c>
      <c r="M649" s="2">
        <v>5</v>
      </c>
      <c r="N649" s="2">
        <v>19</v>
      </c>
    </row>
    <row r="650" spans="1:14" ht="45" x14ac:dyDescent="0.25">
      <c r="A650" s="4">
        <v>648</v>
      </c>
      <c r="B650" s="8" t="s">
        <v>2235</v>
      </c>
      <c r="C650" s="4" t="s">
        <v>2236</v>
      </c>
      <c r="D650" s="5">
        <v>45144.583333333336</v>
      </c>
      <c r="E650" s="4" t="s">
        <v>2237</v>
      </c>
      <c r="F650" s="4" t="s">
        <v>29</v>
      </c>
      <c r="G650" s="8" t="s">
        <v>2238</v>
      </c>
      <c r="H650" s="4">
        <v>28</v>
      </c>
      <c r="I650" s="4">
        <v>55</v>
      </c>
      <c r="J650" s="4" t="s">
        <v>2033</v>
      </c>
      <c r="K650" s="4">
        <v>2023</v>
      </c>
      <c r="L650" s="4">
        <v>8</v>
      </c>
      <c r="M650" s="4">
        <v>6</v>
      </c>
      <c r="N650" s="4">
        <v>14</v>
      </c>
    </row>
    <row r="651" spans="1:14" ht="45" x14ac:dyDescent="0.25">
      <c r="A651" s="2">
        <v>649</v>
      </c>
      <c r="B651" s="7" t="s">
        <v>2239</v>
      </c>
      <c r="C651" s="2" t="s">
        <v>2240</v>
      </c>
      <c r="D651" s="3">
        <v>45145.822916666664</v>
      </c>
      <c r="E651" s="2" t="s">
        <v>2241</v>
      </c>
      <c r="F651" s="2" t="s">
        <v>24</v>
      </c>
      <c r="G651" s="7" t="s">
        <v>2242</v>
      </c>
      <c r="H651" s="2">
        <v>22</v>
      </c>
      <c r="I651" s="2">
        <v>45</v>
      </c>
      <c r="J651" s="2" t="s">
        <v>2042</v>
      </c>
      <c r="K651" s="2">
        <v>2023</v>
      </c>
      <c r="L651" s="2">
        <v>8</v>
      </c>
      <c r="M651" s="2">
        <v>7</v>
      </c>
      <c r="N651" s="2">
        <v>19</v>
      </c>
    </row>
    <row r="652" spans="1:14" ht="45" x14ac:dyDescent="0.25">
      <c r="A652" s="4">
        <v>650</v>
      </c>
      <c r="B652" s="8" t="s">
        <v>2243</v>
      </c>
      <c r="C652" s="4" t="s">
        <v>386</v>
      </c>
      <c r="D652" s="5">
        <v>45146.666666666664</v>
      </c>
      <c r="E652" s="4" t="s">
        <v>2244</v>
      </c>
      <c r="F652" s="4" t="s">
        <v>872</v>
      </c>
      <c r="G652" s="8" t="s">
        <v>2245</v>
      </c>
      <c r="H652" s="4">
        <v>30</v>
      </c>
      <c r="I652" s="4">
        <v>60</v>
      </c>
      <c r="J652" s="4" t="s">
        <v>2038</v>
      </c>
      <c r="K652" s="4">
        <v>2023</v>
      </c>
      <c r="L652" s="4">
        <v>8</v>
      </c>
      <c r="M652" s="4">
        <v>8</v>
      </c>
      <c r="N652" s="4">
        <v>16</v>
      </c>
    </row>
    <row r="653" spans="1:14" ht="45" x14ac:dyDescent="0.25">
      <c r="A653" s="2">
        <v>651</v>
      </c>
      <c r="B653" s="7" t="s">
        <v>2246</v>
      </c>
      <c r="C653" s="2" t="s">
        <v>1622</v>
      </c>
      <c r="D653" s="3">
        <v>45147.9375</v>
      </c>
      <c r="E653" s="2" t="s">
        <v>2247</v>
      </c>
      <c r="F653" s="2" t="s">
        <v>29</v>
      </c>
      <c r="G653" s="7" t="s">
        <v>2248</v>
      </c>
      <c r="H653" s="2">
        <v>20</v>
      </c>
      <c r="I653" s="2">
        <v>40</v>
      </c>
      <c r="J653" s="2" t="s">
        <v>2033</v>
      </c>
      <c r="K653" s="2">
        <v>2023</v>
      </c>
      <c r="L653" s="2">
        <v>8</v>
      </c>
      <c r="M653" s="2">
        <v>9</v>
      </c>
      <c r="N653" s="2">
        <v>22</v>
      </c>
    </row>
    <row r="654" spans="1:14" ht="45" x14ac:dyDescent="0.25">
      <c r="A654" s="4">
        <v>652</v>
      </c>
      <c r="B654" s="8" t="s">
        <v>2249</v>
      </c>
      <c r="C654" s="4" t="s">
        <v>1622</v>
      </c>
      <c r="D654" s="5">
        <v>45148.597222222219</v>
      </c>
      <c r="E654" s="4" t="s">
        <v>2250</v>
      </c>
      <c r="F654" s="4" t="s">
        <v>24</v>
      </c>
      <c r="G654" s="8" t="s">
        <v>2251</v>
      </c>
      <c r="H654" s="4">
        <v>28</v>
      </c>
      <c r="I654" s="4">
        <v>55</v>
      </c>
      <c r="J654" s="4" t="s">
        <v>2042</v>
      </c>
      <c r="K654" s="4">
        <v>2023</v>
      </c>
      <c r="L654" s="4">
        <v>8</v>
      </c>
      <c r="M654" s="4">
        <v>10</v>
      </c>
      <c r="N654" s="4">
        <v>14</v>
      </c>
    </row>
    <row r="655" spans="1:14" ht="45" x14ac:dyDescent="0.25">
      <c r="A655" s="2">
        <v>653</v>
      </c>
      <c r="B655" s="7" t="s">
        <v>2252</v>
      </c>
      <c r="C655" s="2" t="s">
        <v>1622</v>
      </c>
      <c r="D655" s="3">
        <v>45149.78125</v>
      </c>
      <c r="E655" s="2" t="s">
        <v>2253</v>
      </c>
      <c r="F655" s="2" t="s">
        <v>872</v>
      </c>
      <c r="G655" s="7" t="s">
        <v>2254</v>
      </c>
      <c r="H655" s="2">
        <v>22</v>
      </c>
      <c r="I655" s="2">
        <v>45</v>
      </c>
      <c r="J655" s="2" t="s">
        <v>2038</v>
      </c>
      <c r="K655" s="2">
        <v>2023</v>
      </c>
      <c r="L655" s="2">
        <v>8</v>
      </c>
      <c r="M655" s="2">
        <v>11</v>
      </c>
      <c r="N655" s="2">
        <v>18</v>
      </c>
    </row>
    <row r="656" spans="1:14" ht="45" x14ac:dyDescent="0.25">
      <c r="A656" s="4">
        <v>654</v>
      </c>
      <c r="B656" s="8" t="s">
        <v>2255</v>
      </c>
      <c r="C656" s="4" t="s">
        <v>386</v>
      </c>
      <c r="D656" s="5">
        <v>45150.572916666664</v>
      </c>
      <c r="E656" s="4" t="s">
        <v>2256</v>
      </c>
      <c r="F656" s="4" t="s">
        <v>29</v>
      </c>
      <c r="G656" s="8" t="s">
        <v>2257</v>
      </c>
      <c r="H656" s="4">
        <v>25</v>
      </c>
      <c r="I656" s="4">
        <v>50</v>
      </c>
      <c r="J656" s="4" t="s">
        <v>2033</v>
      </c>
      <c r="K656" s="4">
        <v>2023</v>
      </c>
      <c r="L656" s="4">
        <v>8</v>
      </c>
      <c r="M656" s="4">
        <v>12</v>
      </c>
      <c r="N656" s="4">
        <v>13</v>
      </c>
    </row>
    <row r="657" spans="1:14" ht="45" x14ac:dyDescent="0.25">
      <c r="A657" s="2">
        <v>655</v>
      </c>
      <c r="B657" s="7" t="s">
        <v>2258</v>
      </c>
      <c r="C657" s="2" t="s">
        <v>386</v>
      </c>
      <c r="D657" s="3">
        <v>45151.833333333336</v>
      </c>
      <c r="E657" s="2" t="s">
        <v>2259</v>
      </c>
      <c r="F657" s="2" t="s">
        <v>24</v>
      </c>
      <c r="G657" s="7" t="s">
        <v>2260</v>
      </c>
      <c r="H657" s="2">
        <v>35</v>
      </c>
      <c r="I657" s="2">
        <v>70</v>
      </c>
      <c r="J657" s="2" t="s">
        <v>2042</v>
      </c>
      <c r="K657" s="2">
        <v>2023</v>
      </c>
      <c r="L657" s="2">
        <v>8</v>
      </c>
      <c r="M657" s="2">
        <v>13</v>
      </c>
      <c r="N657" s="2">
        <v>20</v>
      </c>
    </row>
    <row r="658" spans="1:14" ht="45" x14ac:dyDescent="0.25">
      <c r="A658" s="4">
        <v>656</v>
      </c>
      <c r="B658" s="8" t="s">
        <v>2261</v>
      </c>
      <c r="C658" s="4" t="s">
        <v>1622</v>
      </c>
      <c r="D658" s="5">
        <v>45152.677083333336</v>
      </c>
      <c r="E658" s="4" t="s">
        <v>2262</v>
      </c>
      <c r="F658" s="4" t="s">
        <v>872</v>
      </c>
      <c r="G658" s="8" t="s">
        <v>2263</v>
      </c>
      <c r="H658" s="4">
        <v>20</v>
      </c>
      <c r="I658" s="4">
        <v>40</v>
      </c>
      <c r="J658" s="4" t="s">
        <v>2033</v>
      </c>
      <c r="K658" s="4">
        <v>2023</v>
      </c>
      <c r="L658" s="4">
        <v>8</v>
      </c>
      <c r="M658" s="4">
        <v>14</v>
      </c>
      <c r="N658" s="4">
        <v>16</v>
      </c>
    </row>
    <row r="659" spans="1:14" ht="45" x14ac:dyDescent="0.25">
      <c r="A659" s="2">
        <v>657</v>
      </c>
      <c r="B659" s="7" t="s">
        <v>2264</v>
      </c>
      <c r="C659" s="2" t="s">
        <v>386</v>
      </c>
      <c r="D659" s="3">
        <v>45153.8125</v>
      </c>
      <c r="E659" s="2" t="s">
        <v>2265</v>
      </c>
      <c r="F659" s="2" t="s">
        <v>29</v>
      </c>
      <c r="G659" s="7" t="s">
        <v>2266</v>
      </c>
      <c r="H659" s="2">
        <v>28</v>
      </c>
      <c r="I659" s="2">
        <v>55</v>
      </c>
      <c r="J659" s="2" t="s">
        <v>2038</v>
      </c>
      <c r="K659" s="2">
        <v>2023</v>
      </c>
      <c r="L659" s="2">
        <v>8</v>
      </c>
      <c r="M659" s="2">
        <v>15</v>
      </c>
      <c r="N659" s="2">
        <v>19</v>
      </c>
    </row>
    <row r="660" spans="1:14" ht="45" x14ac:dyDescent="0.25">
      <c r="A660" s="4">
        <v>658</v>
      </c>
      <c r="B660" s="8" t="s">
        <v>2267</v>
      </c>
      <c r="C660" s="4" t="s">
        <v>2268</v>
      </c>
      <c r="D660" s="5">
        <v>45154.583333333336</v>
      </c>
      <c r="E660" s="4" t="s">
        <v>2269</v>
      </c>
      <c r="F660" s="4" t="s">
        <v>24</v>
      </c>
      <c r="G660" s="8" t="s">
        <v>2270</v>
      </c>
      <c r="H660" s="4">
        <v>30</v>
      </c>
      <c r="I660" s="4">
        <v>60</v>
      </c>
      <c r="J660" s="4" t="s">
        <v>2033</v>
      </c>
      <c r="K660" s="4">
        <v>2023</v>
      </c>
      <c r="L660" s="4">
        <v>8</v>
      </c>
      <c r="M660" s="4">
        <v>16</v>
      </c>
      <c r="N660" s="4">
        <v>14</v>
      </c>
    </row>
    <row r="661" spans="1:14" ht="45" x14ac:dyDescent="0.25">
      <c r="A661" s="2">
        <v>659</v>
      </c>
      <c r="B661" s="7" t="s">
        <v>2271</v>
      </c>
      <c r="C661" s="2" t="s">
        <v>386</v>
      </c>
      <c r="D661" s="3">
        <v>45155.927083333336</v>
      </c>
      <c r="E661" s="2" t="s">
        <v>2272</v>
      </c>
      <c r="F661" s="2" t="s">
        <v>872</v>
      </c>
      <c r="G661" s="7" t="s">
        <v>2273</v>
      </c>
      <c r="H661" s="2">
        <v>18</v>
      </c>
      <c r="I661" s="2">
        <v>35</v>
      </c>
      <c r="J661" s="2" t="s">
        <v>2042</v>
      </c>
      <c r="K661" s="2">
        <v>2023</v>
      </c>
      <c r="L661" s="2">
        <v>8</v>
      </c>
      <c r="M661" s="2">
        <v>17</v>
      </c>
      <c r="N661" s="2">
        <v>22</v>
      </c>
    </row>
    <row r="662" spans="1:14" ht="45" x14ac:dyDescent="0.25">
      <c r="A662" s="4">
        <v>660</v>
      </c>
      <c r="B662" s="8" t="s">
        <v>2274</v>
      </c>
      <c r="C662" s="4" t="s">
        <v>2240</v>
      </c>
      <c r="D662" s="5">
        <v>45156.6875</v>
      </c>
      <c r="E662" s="4" t="s">
        <v>2275</v>
      </c>
      <c r="F662" s="4" t="s">
        <v>29</v>
      </c>
      <c r="G662" s="8" t="s">
        <v>2276</v>
      </c>
      <c r="H662" s="4">
        <v>25</v>
      </c>
      <c r="I662" s="4">
        <v>50</v>
      </c>
      <c r="J662" s="4" t="s">
        <v>2033</v>
      </c>
      <c r="K662" s="4">
        <v>2023</v>
      </c>
      <c r="L662" s="4">
        <v>8</v>
      </c>
      <c r="M662" s="4">
        <v>18</v>
      </c>
      <c r="N662" s="4">
        <v>16</v>
      </c>
    </row>
    <row r="663" spans="1:14" ht="45" x14ac:dyDescent="0.25">
      <c r="A663" s="2">
        <v>661</v>
      </c>
      <c r="B663" s="7" t="s">
        <v>2277</v>
      </c>
      <c r="C663" s="2" t="s">
        <v>2240</v>
      </c>
      <c r="D663" s="3">
        <v>45157.822916666664</v>
      </c>
      <c r="E663" s="2" t="s">
        <v>2278</v>
      </c>
      <c r="F663" s="2" t="s">
        <v>24</v>
      </c>
      <c r="G663" s="7" t="s">
        <v>2279</v>
      </c>
      <c r="H663" s="2">
        <v>22</v>
      </c>
      <c r="I663" s="2">
        <v>45</v>
      </c>
      <c r="J663" s="2" t="s">
        <v>2042</v>
      </c>
      <c r="K663" s="2">
        <v>2023</v>
      </c>
      <c r="L663" s="2">
        <v>8</v>
      </c>
      <c r="M663" s="2">
        <v>19</v>
      </c>
      <c r="N663" s="2">
        <v>19</v>
      </c>
    </row>
    <row r="664" spans="1:14" ht="45" x14ac:dyDescent="0.25">
      <c r="A664" s="4">
        <v>662</v>
      </c>
      <c r="B664" s="8" t="s">
        <v>2280</v>
      </c>
      <c r="C664" s="4" t="s">
        <v>2240</v>
      </c>
      <c r="D664" s="5">
        <v>45158.708333333336</v>
      </c>
      <c r="E664" s="4" t="s">
        <v>2281</v>
      </c>
      <c r="F664" s="4" t="s">
        <v>872</v>
      </c>
      <c r="G664" s="8" t="s">
        <v>2282</v>
      </c>
      <c r="H664" s="4">
        <v>30</v>
      </c>
      <c r="I664" s="4">
        <v>60</v>
      </c>
      <c r="J664" s="4" t="s">
        <v>2038</v>
      </c>
      <c r="K664" s="4">
        <v>2023</v>
      </c>
      <c r="L664" s="4">
        <v>8</v>
      </c>
      <c r="M664" s="4">
        <v>20</v>
      </c>
      <c r="N664" s="4">
        <v>17</v>
      </c>
    </row>
    <row r="665" spans="1:14" ht="45" x14ac:dyDescent="0.25">
      <c r="A665" s="2">
        <v>663</v>
      </c>
      <c r="B665" s="7" t="s">
        <v>2283</v>
      </c>
      <c r="C665" s="2" t="s">
        <v>1622</v>
      </c>
      <c r="D665" s="3">
        <v>45159.65625</v>
      </c>
      <c r="E665" s="2" t="s">
        <v>2284</v>
      </c>
      <c r="F665" s="2" t="s">
        <v>24</v>
      </c>
      <c r="G665" s="7" t="s">
        <v>2285</v>
      </c>
      <c r="H665" s="2">
        <v>15</v>
      </c>
      <c r="I665" s="2">
        <v>30</v>
      </c>
      <c r="J665" s="2" t="s">
        <v>2033</v>
      </c>
      <c r="K665" s="2">
        <v>2023</v>
      </c>
      <c r="L665" s="2">
        <v>8</v>
      </c>
      <c r="M665" s="2">
        <v>21</v>
      </c>
      <c r="N665" s="2">
        <v>15</v>
      </c>
    </row>
    <row r="666" spans="1:14" ht="45" x14ac:dyDescent="0.25">
      <c r="A666" s="4">
        <v>664</v>
      </c>
      <c r="B666" s="8" t="s">
        <v>2286</v>
      </c>
      <c r="C666" s="4" t="s">
        <v>386</v>
      </c>
      <c r="D666" s="5">
        <v>45160.520833333336</v>
      </c>
      <c r="E666" s="4" t="s">
        <v>2287</v>
      </c>
      <c r="F666" s="4" t="s">
        <v>29</v>
      </c>
      <c r="G666" s="8" t="s">
        <v>2288</v>
      </c>
      <c r="H666" s="4">
        <v>22</v>
      </c>
      <c r="I666" s="4">
        <v>40</v>
      </c>
      <c r="J666" s="4" t="s">
        <v>2038</v>
      </c>
      <c r="K666" s="4">
        <v>2023</v>
      </c>
      <c r="L666" s="4">
        <v>8</v>
      </c>
      <c r="M666" s="4">
        <v>22</v>
      </c>
      <c r="N666" s="4">
        <v>12</v>
      </c>
    </row>
    <row r="667" spans="1:14" ht="45" x14ac:dyDescent="0.25">
      <c r="A667" s="2">
        <v>665</v>
      </c>
      <c r="B667" s="7" t="s">
        <v>2289</v>
      </c>
      <c r="C667" s="2" t="s">
        <v>2268</v>
      </c>
      <c r="D667" s="3">
        <v>45161.697916666664</v>
      </c>
      <c r="E667" s="2" t="s">
        <v>2290</v>
      </c>
      <c r="F667" s="2" t="s">
        <v>872</v>
      </c>
      <c r="G667" s="7" t="s">
        <v>2291</v>
      </c>
      <c r="H667" s="2">
        <v>28</v>
      </c>
      <c r="I667" s="2">
        <v>55</v>
      </c>
      <c r="J667" s="2" t="s">
        <v>2033</v>
      </c>
      <c r="K667" s="2">
        <v>2023</v>
      </c>
      <c r="L667" s="2">
        <v>8</v>
      </c>
      <c r="M667" s="2">
        <v>23</v>
      </c>
      <c r="N667" s="2">
        <v>16</v>
      </c>
    </row>
    <row r="668" spans="1:14" ht="45" x14ac:dyDescent="0.25">
      <c r="A668" s="4">
        <v>666</v>
      </c>
      <c r="B668" s="8" t="s">
        <v>2292</v>
      </c>
      <c r="C668" s="4" t="s">
        <v>386</v>
      </c>
      <c r="D668" s="5">
        <v>45162.763888888891</v>
      </c>
      <c r="E668" s="4" t="s">
        <v>2293</v>
      </c>
      <c r="F668" s="4" t="s">
        <v>24</v>
      </c>
      <c r="G668" s="8" t="s">
        <v>2294</v>
      </c>
      <c r="H668" s="4">
        <v>20</v>
      </c>
      <c r="I668" s="4">
        <v>38</v>
      </c>
      <c r="J668" s="4" t="s">
        <v>2042</v>
      </c>
      <c r="K668" s="4">
        <v>2023</v>
      </c>
      <c r="L668" s="4">
        <v>8</v>
      </c>
      <c r="M668" s="4">
        <v>24</v>
      </c>
      <c r="N668" s="4">
        <v>18</v>
      </c>
    </row>
    <row r="669" spans="1:14" ht="45" x14ac:dyDescent="0.25">
      <c r="A669" s="2">
        <v>667</v>
      </c>
      <c r="B669" s="7" t="s">
        <v>2295</v>
      </c>
      <c r="C669" s="2" t="s">
        <v>1622</v>
      </c>
      <c r="D669" s="3">
        <v>45163.59375</v>
      </c>
      <c r="E669" s="2" t="s">
        <v>2296</v>
      </c>
      <c r="F669" s="2" t="s">
        <v>29</v>
      </c>
      <c r="G669" s="7" t="s">
        <v>2297</v>
      </c>
      <c r="H669" s="2">
        <v>25</v>
      </c>
      <c r="I669" s="2">
        <v>50</v>
      </c>
      <c r="J669" s="2" t="s">
        <v>2038</v>
      </c>
      <c r="K669" s="2">
        <v>2023</v>
      </c>
      <c r="L669" s="2">
        <v>8</v>
      </c>
      <c r="M669" s="2">
        <v>25</v>
      </c>
      <c r="N669" s="2">
        <v>14</v>
      </c>
    </row>
    <row r="670" spans="1:14" ht="45" x14ac:dyDescent="0.25">
      <c r="A670" s="4">
        <v>668</v>
      </c>
      <c r="B670" s="8" t="s">
        <v>2298</v>
      </c>
      <c r="C670" s="4" t="s">
        <v>2240</v>
      </c>
      <c r="D670" s="5">
        <v>45164.729166666664</v>
      </c>
      <c r="E670" s="4" t="s">
        <v>2299</v>
      </c>
      <c r="F670" s="4" t="s">
        <v>872</v>
      </c>
      <c r="G670" s="8" t="s">
        <v>2300</v>
      </c>
      <c r="H670" s="4">
        <v>18</v>
      </c>
      <c r="I670" s="4">
        <v>35</v>
      </c>
      <c r="J670" s="4" t="s">
        <v>2033</v>
      </c>
      <c r="K670" s="4">
        <v>2023</v>
      </c>
      <c r="L670" s="4">
        <v>8</v>
      </c>
      <c r="M670" s="4">
        <v>26</v>
      </c>
      <c r="N670" s="4">
        <v>17</v>
      </c>
    </row>
    <row r="671" spans="1:14" ht="45" x14ac:dyDescent="0.25">
      <c r="A671" s="2">
        <v>669</v>
      </c>
      <c r="B671" s="7" t="s">
        <v>2301</v>
      </c>
      <c r="C671" s="2" t="s">
        <v>2240</v>
      </c>
      <c r="D671" s="3">
        <v>45165.864583333336</v>
      </c>
      <c r="E671" s="2" t="s">
        <v>2302</v>
      </c>
      <c r="F671" s="2" t="s">
        <v>24</v>
      </c>
      <c r="G671" s="7" t="s">
        <v>2303</v>
      </c>
      <c r="H671" s="2">
        <v>22</v>
      </c>
      <c r="I671" s="2">
        <v>45</v>
      </c>
      <c r="J671" s="2" t="s">
        <v>2042</v>
      </c>
      <c r="K671" s="2">
        <v>2023</v>
      </c>
      <c r="L671" s="2">
        <v>8</v>
      </c>
      <c r="M671" s="2">
        <v>27</v>
      </c>
      <c r="N671" s="2">
        <v>20</v>
      </c>
    </row>
    <row r="672" spans="1:14" ht="45" x14ac:dyDescent="0.25">
      <c r="A672" s="4">
        <v>670</v>
      </c>
      <c r="B672" s="8" t="s">
        <v>2304</v>
      </c>
      <c r="C672" s="4" t="s">
        <v>1622</v>
      </c>
      <c r="D672" s="5">
        <v>45166.666666666664</v>
      </c>
      <c r="E672" s="4" t="s">
        <v>2305</v>
      </c>
      <c r="F672" s="4" t="s">
        <v>872</v>
      </c>
      <c r="G672" s="8" t="s">
        <v>2306</v>
      </c>
      <c r="H672" s="4">
        <v>18</v>
      </c>
      <c r="I672" s="4">
        <v>36</v>
      </c>
      <c r="J672" s="4" t="s">
        <v>2033</v>
      </c>
      <c r="K672" s="4">
        <v>2023</v>
      </c>
      <c r="L672" s="4">
        <v>8</v>
      </c>
      <c r="M672" s="4">
        <v>28</v>
      </c>
      <c r="N672" s="4">
        <v>16</v>
      </c>
    </row>
    <row r="673" spans="1:14" ht="45" x14ac:dyDescent="0.25">
      <c r="A673" s="2">
        <v>671</v>
      </c>
      <c r="B673" s="7" t="s">
        <v>2307</v>
      </c>
      <c r="C673" s="2" t="s">
        <v>386</v>
      </c>
      <c r="D673" s="3">
        <v>45167.572916666664</v>
      </c>
      <c r="E673" s="2" t="s">
        <v>2308</v>
      </c>
      <c r="F673" s="2" t="s">
        <v>24</v>
      </c>
      <c r="G673" s="7" t="s">
        <v>2309</v>
      </c>
      <c r="H673" s="2">
        <v>26</v>
      </c>
      <c r="I673" s="2">
        <v>48</v>
      </c>
      <c r="J673" s="2" t="s">
        <v>2038</v>
      </c>
      <c r="K673" s="2">
        <v>2023</v>
      </c>
      <c r="L673" s="2">
        <v>8</v>
      </c>
      <c r="M673" s="2">
        <v>29</v>
      </c>
      <c r="N673" s="2">
        <v>13</v>
      </c>
    </row>
    <row r="674" spans="1:14" ht="45" x14ac:dyDescent="0.25">
      <c r="A674" s="4">
        <v>672</v>
      </c>
      <c r="B674" s="8" t="s">
        <v>2310</v>
      </c>
      <c r="C674" s="4" t="s">
        <v>1622</v>
      </c>
      <c r="D674" s="5">
        <v>45168.729166666664</v>
      </c>
      <c r="E674" s="4" t="s">
        <v>2311</v>
      </c>
      <c r="F674" s="4" t="s">
        <v>29</v>
      </c>
      <c r="G674" s="8" t="s">
        <v>2312</v>
      </c>
      <c r="H674" s="4">
        <v>20</v>
      </c>
      <c r="I674" s="4">
        <v>40</v>
      </c>
      <c r="J674" s="4" t="s">
        <v>2033</v>
      </c>
      <c r="K674" s="4">
        <v>2023</v>
      </c>
      <c r="L674" s="4">
        <v>8</v>
      </c>
      <c r="M674" s="4">
        <v>30</v>
      </c>
      <c r="N674" s="4">
        <v>17</v>
      </c>
    </row>
    <row r="675" spans="1:14" ht="45" x14ac:dyDescent="0.25">
      <c r="A675" s="2">
        <v>673</v>
      </c>
      <c r="B675" s="7" t="s">
        <v>2313</v>
      </c>
      <c r="C675" s="2" t="s">
        <v>386</v>
      </c>
      <c r="D675" s="3">
        <v>45169.84375</v>
      </c>
      <c r="E675" s="2" t="s">
        <v>2314</v>
      </c>
      <c r="F675" s="2" t="s">
        <v>872</v>
      </c>
      <c r="G675" s="7" t="s">
        <v>2315</v>
      </c>
      <c r="H675" s="2">
        <v>24</v>
      </c>
      <c r="I675" s="2">
        <v>42</v>
      </c>
      <c r="J675" s="2" t="s">
        <v>2042</v>
      </c>
      <c r="K675" s="2">
        <v>2023</v>
      </c>
      <c r="L675" s="2">
        <v>8</v>
      </c>
      <c r="M675" s="2">
        <v>31</v>
      </c>
      <c r="N675" s="2">
        <v>20</v>
      </c>
    </row>
    <row r="676" spans="1:14" ht="45" x14ac:dyDescent="0.25">
      <c r="A676" s="4">
        <v>674</v>
      </c>
      <c r="B676" s="8" t="s">
        <v>2316</v>
      </c>
      <c r="C676" s="4" t="s">
        <v>1622</v>
      </c>
      <c r="D676" s="5">
        <v>45170.614583333336</v>
      </c>
      <c r="E676" s="4" t="s">
        <v>2317</v>
      </c>
      <c r="F676" s="4" t="s">
        <v>24</v>
      </c>
      <c r="G676" s="8" t="s">
        <v>2318</v>
      </c>
      <c r="H676" s="4">
        <v>21</v>
      </c>
      <c r="I676" s="4">
        <v>39</v>
      </c>
      <c r="J676" s="4" t="s">
        <v>2038</v>
      </c>
      <c r="K676" s="4">
        <v>2023</v>
      </c>
      <c r="L676" s="4">
        <v>9</v>
      </c>
      <c r="M676" s="4">
        <v>1</v>
      </c>
      <c r="N676" s="4">
        <v>14</v>
      </c>
    </row>
    <row r="677" spans="1:14" ht="45" x14ac:dyDescent="0.25">
      <c r="A677" s="2">
        <v>675</v>
      </c>
      <c r="B677" s="7" t="s">
        <v>2319</v>
      </c>
      <c r="C677" s="2" t="s">
        <v>2240</v>
      </c>
      <c r="D677" s="3">
        <v>45171.770833333336</v>
      </c>
      <c r="E677" s="2" t="s">
        <v>2320</v>
      </c>
      <c r="F677" s="2" t="s">
        <v>29</v>
      </c>
      <c r="G677" s="7" t="s">
        <v>2321</v>
      </c>
      <c r="H677" s="2">
        <v>17</v>
      </c>
      <c r="I677" s="2">
        <v>33</v>
      </c>
      <c r="J677" s="2" t="s">
        <v>2033</v>
      </c>
      <c r="K677" s="2">
        <v>2023</v>
      </c>
      <c r="L677" s="2">
        <v>9</v>
      </c>
      <c r="M677" s="2">
        <v>2</v>
      </c>
      <c r="N677" s="2">
        <v>18</v>
      </c>
    </row>
    <row r="678" spans="1:14" ht="45" x14ac:dyDescent="0.25">
      <c r="A678" s="4">
        <v>676</v>
      </c>
      <c r="B678" s="8" t="s">
        <v>2322</v>
      </c>
      <c r="C678" s="4" t="s">
        <v>386</v>
      </c>
      <c r="D678" s="5">
        <v>45172.916666666664</v>
      </c>
      <c r="E678" s="4" t="s">
        <v>2323</v>
      </c>
      <c r="F678" s="4" t="s">
        <v>872</v>
      </c>
      <c r="G678" s="8" t="s">
        <v>2324</v>
      </c>
      <c r="H678" s="4">
        <v>23</v>
      </c>
      <c r="I678" s="4">
        <v>44</v>
      </c>
      <c r="J678" s="4" t="s">
        <v>2042</v>
      </c>
      <c r="K678" s="4">
        <v>2023</v>
      </c>
      <c r="L678" s="4">
        <v>9</v>
      </c>
      <c r="M678" s="4">
        <v>3</v>
      </c>
      <c r="N678" s="4">
        <v>22</v>
      </c>
    </row>
    <row r="679" spans="1:14" ht="45" x14ac:dyDescent="0.25">
      <c r="A679" s="2">
        <v>677</v>
      </c>
      <c r="B679" s="7" t="s">
        <v>2325</v>
      </c>
      <c r="C679" s="2" t="s">
        <v>1622</v>
      </c>
      <c r="D679" s="3">
        <v>45173.635416666664</v>
      </c>
      <c r="E679" s="2" t="s">
        <v>2326</v>
      </c>
      <c r="F679" s="2" t="s">
        <v>24</v>
      </c>
      <c r="G679" s="7" t="s">
        <v>2327</v>
      </c>
      <c r="H679" s="2">
        <v>19</v>
      </c>
      <c r="I679" s="2">
        <v>37</v>
      </c>
      <c r="J679" s="2" t="s">
        <v>2033</v>
      </c>
      <c r="K679" s="2">
        <v>2023</v>
      </c>
      <c r="L679" s="2">
        <v>9</v>
      </c>
      <c r="M679" s="2">
        <v>4</v>
      </c>
      <c r="N679" s="2">
        <v>15</v>
      </c>
    </row>
    <row r="680" spans="1:14" ht="45" x14ac:dyDescent="0.25">
      <c r="A680" s="4">
        <v>678</v>
      </c>
      <c r="B680" s="8" t="s">
        <v>2328</v>
      </c>
      <c r="C680" s="4" t="s">
        <v>386</v>
      </c>
      <c r="D680" s="5">
        <v>45174.520833333336</v>
      </c>
      <c r="E680" s="4" t="s">
        <v>2329</v>
      </c>
      <c r="F680" s="4" t="s">
        <v>872</v>
      </c>
      <c r="G680" s="8" t="s">
        <v>2330</v>
      </c>
      <c r="H680" s="4">
        <v>27</v>
      </c>
      <c r="I680" s="4">
        <v>52</v>
      </c>
      <c r="J680" s="4" t="s">
        <v>2038</v>
      </c>
      <c r="K680" s="4">
        <v>2023</v>
      </c>
      <c r="L680" s="4">
        <v>9</v>
      </c>
      <c r="M680" s="4">
        <v>5</v>
      </c>
      <c r="N680" s="4">
        <v>12</v>
      </c>
    </row>
    <row r="681" spans="1:14" ht="45" x14ac:dyDescent="0.25">
      <c r="A681" s="2">
        <v>679</v>
      </c>
      <c r="B681" s="7" t="s">
        <v>2331</v>
      </c>
      <c r="C681" s="2" t="s">
        <v>1622</v>
      </c>
      <c r="D681" s="3">
        <v>45175.697916666664</v>
      </c>
      <c r="E681" s="2" t="s">
        <v>2332</v>
      </c>
      <c r="F681" s="2" t="s">
        <v>29</v>
      </c>
      <c r="G681" s="7" t="s">
        <v>2333</v>
      </c>
      <c r="H681" s="2">
        <v>22</v>
      </c>
      <c r="I681" s="2">
        <v>43</v>
      </c>
      <c r="J681" s="2" t="s">
        <v>2042</v>
      </c>
      <c r="K681" s="2">
        <v>2023</v>
      </c>
      <c r="L681" s="2">
        <v>9</v>
      </c>
      <c r="M681" s="2">
        <v>6</v>
      </c>
      <c r="N681" s="2">
        <v>16</v>
      </c>
    </row>
    <row r="682" spans="1:14" ht="45" x14ac:dyDescent="0.25">
      <c r="A682" s="4">
        <v>680</v>
      </c>
      <c r="B682" s="8" t="s">
        <v>2334</v>
      </c>
      <c r="C682" s="4" t="s">
        <v>386</v>
      </c>
      <c r="D682" s="5">
        <v>45176.763888888891</v>
      </c>
      <c r="E682" s="4" t="s">
        <v>2335</v>
      </c>
      <c r="F682" s="4" t="s">
        <v>24</v>
      </c>
      <c r="G682" s="8" t="s">
        <v>2336</v>
      </c>
      <c r="H682" s="4">
        <v>20</v>
      </c>
      <c r="I682" s="4">
        <v>39</v>
      </c>
      <c r="J682" s="4" t="s">
        <v>2033</v>
      </c>
      <c r="K682" s="4">
        <v>2023</v>
      </c>
      <c r="L682" s="4">
        <v>9</v>
      </c>
      <c r="M682" s="4">
        <v>7</v>
      </c>
      <c r="N682" s="4">
        <v>18</v>
      </c>
    </row>
    <row r="683" spans="1:14" ht="45" x14ac:dyDescent="0.25">
      <c r="A683" s="2">
        <v>681</v>
      </c>
      <c r="B683" s="7" t="s">
        <v>2337</v>
      </c>
      <c r="C683" s="2" t="s">
        <v>1622</v>
      </c>
      <c r="D683" s="3">
        <v>45177.59375</v>
      </c>
      <c r="E683" s="2" t="s">
        <v>2338</v>
      </c>
      <c r="F683" s="2" t="s">
        <v>29</v>
      </c>
      <c r="G683" s="7" t="s">
        <v>2339</v>
      </c>
      <c r="H683" s="2">
        <v>26</v>
      </c>
      <c r="I683" s="2">
        <v>48</v>
      </c>
      <c r="J683" s="2" t="s">
        <v>2038</v>
      </c>
      <c r="K683" s="2">
        <v>2023</v>
      </c>
      <c r="L683" s="2">
        <v>9</v>
      </c>
      <c r="M683" s="2">
        <v>8</v>
      </c>
      <c r="N683" s="2">
        <v>14</v>
      </c>
    </row>
    <row r="684" spans="1:14" ht="45" x14ac:dyDescent="0.25">
      <c r="A684" s="4">
        <v>682</v>
      </c>
      <c r="B684" s="8" t="s">
        <v>2340</v>
      </c>
      <c r="C684" s="4" t="s">
        <v>2240</v>
      </c>
      <c r="D684" s="5">
        <v>45178.729166666664</v>
      </c>
      <c r="E684" s="4" t="s">
        <v>2341</v>
      </c>
      <c r="F684" s="4" t="s">
        <v>872</v>
      </c>
      <c r="G684" s="8" t="s">
        <v>2342</v>
      </c>
      <c r="H684" s="4">
        <v>16</v>
      </c>
      <c r="I684" s="4">
        <v>32</v>
      </c>
      <c r="J684" s="4" t="s">
        <v>2033</v>
      </c>
      <c r="K684" s="4">
        <v>2023</v>
      </c>
      <c r="L684" s="4">
        <v>9</v>
      </c>
      <c r="M684" s="4">
        <v>9</v>
      </c>
      <c r="N684" s="4">
        <v>17</v>
      </c>
    </row>
    <row r="685" spans="1:14" ht="45" x14ac:dyDescent="0.25">
      <c r="A685" s="2">
        <v>683</v>
      </c>
      <c r="B685" s="7" t="s">
        <v>2343</v>
      </c>
      <c r="C685" s="2" t="s">
        <v>386</v>
      </c>
      <c r="D685" s="3">
        <v>45179.864583333336</v>
      </c>
      <c r="E685" s="2" t="s">
        <v>2344</v>
      </c>
      <c r="F685" s="2" t="s">
        <v>24</v>
      </c>
      <c r="G685" s="7" t="s">
        <v>2345</v>
      </c>
      <c r="H685" s="2">
        <v>23</v>
      </c>
      <c r="I685" s="2">
        <v>42</v>
      </c>
      <c r="J685" s="2" t="s">
        <v>2042</v>
      </c>
      <c r="K685" s="2">
        <v>2023</v>
      </c>
      <c r="L685" s="2">
        <v>9</v>
      </c>
      <c r="M685" s="2">
        <v>10</v>
      </c>
      <c r="N685" s="2">
        <v>20</v>
      </c>
    </row>
    <row r="686" spans="1:14" ht="45" x14ac:dyDescent="0.25">
      <c r="A686" s="4">
        <v>684</v>
      </c>
      <c r="B686" s="8" t="s">
        <v>2346</v>
      </c>
      <c r="C686" s="4" t="s">
        <v>2347</v>
      </c>
      <c r="D686" s="5">
        <v>45180.65625</v>
      </c>
      <c r="E686" s="4" t="s">
        <v>2348</v>
      </c>
      <c r="F686" s="4" t="s">
        <v>872</v>
      </c>
      <c r="G686" s="8" t="s">
        <v>2349</v>
      </c>
      <c r="H686" s="4">
        <v>15</v>
      </c>
      <c r="I686" s="4">
        <v>28</v>
      </c>
      <c r="J686" s="4" t="s">
        <v>2033</v>
      </c>
      <c r="K686" s="4">
        <v>2023</v>
      </c>
      <c r="L686" s="4">
        <v>9</v>
      </c>
      <c r="M686" s="4">
        <v>11</v>
      </c>
      <c r="N686" s="4">
        <v>15</v>
      </c>
    </row>
    <row r="687" spans="1:14" ht="45" x14ac:dyDescent="0.25">
      <c r="A687" s="2">
        <v>685</v>
      </c>
      <c r="B687" s="7" t="s">
        <v>2350</v>
      </c>
      <c r="C687" s="2" t="s">
        <v>2351</v>
      </c>
      <c r="D687" s="3">
        <v>45181.520833333336</v>
      </c>
      <c r="E687" s="2" t="s">
        <v>2352</v>
      </c>
      <c r="F687" s="2" t="s">
        <v>24</v>
      </c>
      <c r="G687" s="7" t="s">
        <v>2353</v>
      </c>
      <c r="H687" s="2">
        <v>18</v>
      </c>
      <c r="I687" s="2">
        <v>36</v>
      </c>
      <c r="J687" s="2" t="s">
        <v>2038</v>
      </c>
      <c r="K687" s="2">
        <v>2023</v>
      </c>
      <c r="L687" s="2">
        <v>9</v>
      </c>
      <c r="M687" s="2">
        <v>12</v>
      </c>
      <c r="N687" s="2">
        <v>12</v>
      </c>
    </row>
    <row r="688" spans="1:14" ht="45" x14ac:dyDescent="0.25">
      <c r="A688" s="4">
        <v>686</v>
      </c>
      <c r="B688" s="8" t="s">
        <v>2354</v>
      </c>
      <c r="C688" s="4" t="s">
        <v>2355</v>
      </c>
      <c r="D688" s="5">
        <v>45182.697916666664</v>
      </c>
      <c r="E688" s="4" t="s">
        <v>2356</v>
      </c>
      <c r="F688" s="4" t="s">
        <v>29</v>
      </c>
      <c r="G688" s="8" t="s">
        <v>2357</v>
      </c>
      <c r="H688" s="4">
        <v>20</v>
      </c>
      <c r="I688" s="4">
        <v>40</v>
      </c>
      <c r="J688" s="4" t="s">
        <v>2042</v>
      </c>
      <c r="K688" s="4">
        <v>2023</v>
      </c>
      <c r="L688" s="4">
        <v>9</v>
      </c>
      <c r="M688" s="4">
        <v>13</v>
      </c>
      <c r="N688" s="4">
        <v>16</v>
      </c>
    </row>
    <row r="689" spans="1:14" ht="45" x14ac:dyDescent="0.25">
      <c r="A689" s="2">
        <v>687</v>
      </c>
      <c r="B689" s="7" t="s">
        <v>2358</v>
      </c>
      <c r="C689" s="2" t="s">
        <v>2347</v>
      </c>
      <c r="D689" s="3">
        <v>45183.763888888891</v>
      </c>
      <c r="E689" s="2" t="s">
        <v>2359</v>
      </c>
      <c r="F689" s="2" t="s">
        <v>872</v>
      </c>
      <c r="G689" s="7" t="s">
        <v>2360</v>
      </c>
      <c r="H689" s="2">
        <v>17</v>
      </c>
      <c r="I689" s="2">
        <v>34</v>
      </c>
      <c r="J689" s="2" t="s">
        <v>2033</v>
      </c>
      <c r="K689" s="2">
        <v>2023</v>
      </c>
      <c r="L689" s="2">
        <v>9</v>
      </c>
      <c r="M689" s="2">
        <v>14</v>
      </c>
      <c r="N689" s="2">
        <v>18</v>
      </c>
    </row>
    <row r="690" spans="1:14" ht="45" x14ac:dyDescent="0.25">
      <c r="A690" s="4">
        <v>688</v>
      </c>
      <c r="B690" s="8" t="s">
        <v>2361</v>
      </c>
      <c r="C690" s="4" t="s">
        <v>2351</v>
      </c>
      <c r="D690" s="5">
        <v>45184.59375</v>
      </c>
      <c r="E690" s="4" t="s">
        <v>2362</v>
      </c>
      <c r="F690" s="4" t="s">
        <v>24</v>
      </c>
      <c r="G690" s="8" t="s">
        <v>2363</v>
      </c>
      <c r="H690" s="4">
        <v>21</v>
      </c>
      <c r="I690" s="4">
        <v>41</v>
      </c>
      <c r="J690" s="4" t="s">
        <v>2038</v>
      </c>
      <c r="K690" s="4">
        <v>2023</v>
      </c>
      <c r="L690" s="4">
        <v>9</v>
      </c>
      <c r="M690" s="4">
        <v>15</v>
      </c>
      <c r="N690" s="4">
        <v>14</v>
      </c>
    </row>
    <row r="691" spans="1:14" ht="60" x14ac:dyDescent="0.25">
      <c r="A691" s="2">
        <v>689</v>
      </c>
      <c r="B691" s="7" t="s">
        <v>2364</v>
      </c>
      <c r="C691" s="2" t="s">
        <v>2355</v>
      </c>
      <c r="D691" s="3">
        <v>45185.729166666664</v>
      </c>
      <c r="E691" s="2" t="s">
        <v>2365</v>
      </c>
      <c r="F691" s="2" t="s">
        <v>29</v>
      </c>
      <c r="G691" s="7" t="s">
        <v>2366</v>
      </c>
      <c r="H691" s="2">
        <v>19</v>
      </c>
      <c r="I691" s="2">
        <v>38</v>
      </c>
      <c r="J691" s="2" t="s">
        <v>2042</v>
      </c>
      <c r="K691" s="2">
        <v>2023</v>
      </c>
      <c r="L691" s="2">
        <v>9</v>
      </c>
      <c r="M691" s="2">
        <v>16</v>
      </c>
      <c r="N691" s="2">
        <v>17</v>
      </c>
    </row>
    <row r="692" spans="1:14" ht="45" x14ac:dyDescent="0.25">
      <c r="A692" s="4">
        <v>690</v>
      </c>
      <c r="B692" s="8" t="s">
        <v>2367</v>
      </c>
      <c r="C692" s="4" t="s">
        <v>2347</v>
      </c>
      <c r="D692" s="5">
        <v>45186.864583333336</v>
      </c>
      <c r="E692" s="4" t="s">
        <v>2368</v>
      </c>
      <c r="F692" s="4" t="s">
        <v>872</v>
      </c>
      <c r="G692" s="8" t="s">
        <v>2369</v>
      </c>
      <c r="H692" s="4">
        <v>22</v>
      </c>
      <c r="I692" s="4">
        <v>44</v>
      </c>
      <c r="J692" s="4" t="s">
        <v>2033</v>
      </c>
      <c r="K692" s="4">
        <v>2023</v>
      </c>
      <c r="L692" s="4">
        <v>9</v>
      </c>
      <c r="M692" s="4">
        <v>17</v>
      </c>
      <c r="N692" s="4">
        <v>20</v>
      </c>
    </row>
    <row r="693" spans="1:14" ht="45" x14ac:dyDescent="0.25">
      <c r="A693" s="2">
        <v>691</v>
      </c>
      <c r="B693" s="7" t="s">
        <v>2370</v>
      </c>
      <c r="C693" s="2" t="s">
        <v>2347</v>
      </c>
      <c r="D693" s="3">
        <v>45187.916666666664</v>
      </c>
      <c r="E693" s="2" t="s">
        <v>2371</v>
      </c>
      <c r="F693" s="2" t="s">
        <v>24</v>
      </c>
      <c r="G693" s="7" t="s">
        <v>2372</v>
      </c>
      <c r="H693" s="2">
        <v>16</v>
      </c>
      <c r="I693" s="2">
        <v>31</v>
      </c>
      <c r="J693" s="2" t="s">
        <v>2038</v>
      </c>
      <c r="K693" s="2">
        <v>2023</v>
      </c>
      <c r="L693" s="2">
        <v>9</v>
      </c>
      <c r="M693" s="2">
        <v>18</v>
      </c>
      <c r="N693" s="2">
        <v>22</v>
      </c>
    </row>
    <row r="694" spans="1:14" ht="45" x14ac:dyDescent="0.25">
      <c r="A694" s="4">
        <v>692</v>
      </c>
      <c r="B694" s="8" t="s">
        <v>2373</v>
      </c>
      <c r="C694" s="4" t="s">
        <v>2351</v>
      </c>
      <c r="D694" s="5">
        <v>45188.635416666664</v>
      </c>
      <c r="E694" s="4" t="s">
        <v>2374</v>
      </c>
      <c r="F694" s="4" t="s">
        <v>29</v>
      </c>
      <c r="G694" s="8" t="s">
        <v>2375</v>
      </c>
      <c r="H694" s="4">
        <v>14</v>
      </c>
      <c r="I694" s="4">
        <v>27</v>
      </c>
      <c r="J694" s="4" t="s">
        <v>2042</v>
      </c>
      <c r="K694" s="4">
        <v>2023</v>
      </c>
      <c r="L694" s="4">
        <v>9</v>
      </c>
      <c r="M694" s="4">
        <v>19</v>
      </c>
      <c r="N694" s="4">
        <v>15</v>
      </c>
    </row>
    <row r="695" spans="1:14" ht="45" x14ac:dyDescent="0.25">
      <c r="A695" s="2">
        <v>693</v>
      </c>
      <c r="B695" s="7" t="s">
        <v>2376</v>
      </c>
      <c r="C695" s="2" t="s">
        <v>2355</v>
      </c>
      <c r="D695" s="3">
        <v>45189.520833333336</v>
      </c>
      <c r="E695" s="2" t="s">
        <v>2377</v>
      </c>
      <c r="F695" s="2" t="s">
        <v>872</v>
      </c>
      <c r="G695" s="7" t="s">
        <v>2378</v>
      </c>
      <c r="H695" s="2">
        <v>18</v>
      </c>
      <c r="I695" s="2">
        <v>35</v>
      </c>
      <c r="J695" s="2" t="s">
        <v>2033</v>
      </c>
      <c r="K695" s="2">
        <v>2023</v>
      </c>
      <c r="L695" s="2">
        <v>9</v>
      </c>
      <c r="M695" s="2">
        <v>20</v>
      </c>
      <c r="N695" s="2">
        <v>12</v>
      </c>
    </row>
    <row r="696" spans="1:14" ht="45" x14ac:dyDescent="0.25">
      <c r="A696" s="4">
        <v>694</v>
      </c>
      <c r="B696" s="8" t="s">
        <v>2379</v>
      </c>
      <c r="C696" s="4" t="s">
        <v>2347</v>
      </c>
      <c r="D696" s="5">
        <v>45190.697916666664</v>
      </c>
      <c r="E696" s="4" t="s">
        <v>2380</v>
      </c>
      <c r="F696" s="4" t="s">
        <v>24</v>
      </c>
      <c r="G696" s="8" t="s">
        <v>2381</v>
      </c>
      <c r="H696" s="4">
        <v>20</v>
      </c>
      <c r="I696" s="4">
        <v>39</v>
      </c>
      <c r="J696" s="4" t="s">
        <v>2038</v>
      </c>
      <c r="K696" s="4">
        <v>2023</v>
      </c>
      <c r="L696" s="4">
        <v>9</v>
      </c>
      <c r="M696" s="4">
        <v>21</v>
      </c>
      <c r="N696" s="4">
        <v>16</v>
      </c>
    </row>
    <row r="697" spans="1:14" ht="45" x14ac:dyDescent="0.25">
      <c r="A697" s="2">
        <v>695</v>
      </c>
      <c r="B697" s="7" t="s">
        <v>2382</v>
      </c>
      <c r="C697" s="2" t="s">
        <v>2351</v>
      </c>
      <c r="D697" s="3">
        <v>45191.763888888891</v>
      </c>
      <c r="E697" s="2" t="s">
        <v>2383</v>
      </c>
      <c r="F697" s="2" t="s">
        <v>29</v>
      </c>
      <c r="G697" s="7" t="s">
        <v>2384</v>
      </c>
      <c r="H697" s="2">
        <v>23</v>
      </c>
      <c r="I697" s="2">
        <v>46</v>
      </c>
      <c r="J697" s="2" t="s">
        <v>2042</v>
      </c>
      <c r="K697" s="2">
        <v>2023</v>
      </c>
      <c r="L697" s="2">
        <v>9</v>
      </c>
      <c r="M697" s="2">
        <v>22</v>
      </c>
      <c r="N697" s="2">
        <v>18</v>
      </c>
    </row>
    <row r="698" spans="1:14" ht="45" x14ac:dyDescent="0.25">
      <c r="A698" s="4">
        <v>696</v>
      </c>
      <c r="B698" s="8" t="s">
        <v>2385</v>
      </c>
      <c r="C698" s="4" t="s">
        <v>2355</v>
      </c>
      <c r="D698" s="5">
        <v>45192.59375</v>
      </c>
      <c r="E698" s="4" t="s">
        <v>2386</v>
      </c>
      <c r="F698" s="4" t="s">
        <v>872</v>
      </c>
      <c r="G698" s="8" t="s">
        <v>2387</v>
      </c>
      <c r="H698" s="4">
        <v>25</v>
      </c>
      <c r="I698" s="4">
        <v>50</v>
      </c>
      <c r="J698" s="4" t="s">
        <v>2033</v>
      </c>
      <c r="K698" s="4">
        <v>2023</v>
      </c>
      <c r="L698" s="4">
        <v>9</v>
      </c>
      <c r="M698" s="4">
        <v>23</v>
      </c>
      <c r="N698" s="4">
        <v>14</v>
      </c>
    </row>
    <row r="699" spans="1:14" ht="45" x14ac:dyDescent="0.25">
      <c r="A699" s="2">
        <v>697</v>
      </c>
      <c r="B699" s="7" t="s">
        <v>2388</v>
      </c>
      <c r="C699" s="2" t="s">
        <v>2347</v>
      </c>
      <c r="D699" s="3">
        <v>45193.729166666664</v>
      </c>
      <c r="E699" s="2" t="s">
        <v>2389</v>
      </c>
      <c r="F699" s="2" t="s">
        <v>24</v>
      </c>
      <c r="G699" s="7" t="s">
        <v>2390</v>
      </c>
      <c r="H699" s="2">
        <v>21</v>
      </c>
      <c r="I699" s="2">
        <v>42</v>
      </c>
      <c r="J699" s="2" t="s">
        <v>2038</v>
      </c>
      <c r="K699" s="2">
        <v>2023</v>
      </c>
      <c r="L699" s="2">
        <v>9</v>
      </c>
      <c r="M699" s="2">
        <v>24</v>
      </c>
      <c r="N699" s="2">
        <v>17</v>
      </c>
    </row>
    <row r="700" spans="1:14" ht="45" x14ac:dyDescent="0.25">
      <c r="A700" s="4">
        <v>698</v>
      </c>
      <c r="B700" s="8" t="s">
        <v>2391</v>
      </c>
      <c r="C700" s="4" t="s">
        <v>2347</v>
      </c>
      <c r="D700" s="5">
        <v>45194.864583333336</v>
      </c>
      <c r="E700" s="4" t="s">
        <v>2392</v>
      </c>
      <c r="F700" s="4" t="s">
        <v>29</v>
      </c>
      <c r="G700" s="8" t="s">
        <v>2393</v>
      </c>
      <c r="H700" s="4">
        <v>19</v>
      </c>
      <c r="I700" s="4">
        <v>37</v>
      </c>
      <c r="J700" s="4" t="s">
        <v>2042</v>
      </c>
      <c r="K700" s="4">
        <v>2023</v>
      </c>
      <c r="L700" s="4">
        <v>9</v>
      </c>
      <c r="M700" s="4">
        <v>25</v>
      </c>
      <c r="N700" s="4">
        <v>20</v>
      </c>
    </row>
    <row r="701" spans="1:14" ht="45" x14ac:dyDescent="0.25">
      <c r="A701" s="2">
        <v>699</v>
      </c>
      <c r="B701" s="7" t="s">
        <v>2394</v>
      </c>
      <c r="C701" s="2" t="s">
        <v>2351</v>
      </c>
      <c r="D701" s="3">
        <v>45195.59375</v>
      </c>
      <c r="E701" s="2" t="s">
        <v>2395</v>
      </c>
      <c r="F701" s="2" t="s">
        <v>872</v>
      </c>
      <c r="G701" s="7" t="s">
        <v>2396</v>
      </c>
      <c r="H701" s="2">
        <v>16</v>
      </c>
      <c r="I701" s="2">
        <v>32</v>
      </c>
      <c r="J701" s="2" t="s">
        <v>2033</v>
      </c>
      <c r="K701" s="2">
        <v>2023</v>
      </c>
      <c r="L701" s="2">
        <v>9</v>
      </c>
      <c r="M701" s="2">
        <v>26</v>
      </c>
      <c r="N701" s="2">
        <v>14</v>
      </c>
    </row>
    <row r="702" spans="1:14" ht="45" x14ac:dyDescent="0.25">
      <c r="A702" s="4">
        <v>700</v>
      </c>
      <c r="B702" s="8" t="s">
        <v>2397</v>
      </c>
      <c r="C702" s="4" t="s">
        <v>2355</v>
      </c>
      <c r="D702" s="5">
        <v>45196.729166666664</v>
      </c>
      <c r="E702" s="4" t="s">
        <v>2398</v>
      </c>
      <c r="F702" s="4" t="s">
        <v>24</v>
      </c>
      <c r="G702" s="8" t="s">
        <v>2399</v>
      </c>
      <c r="H702" s="4">
        <v>18</v>
      </c>
      <c r="I702" s="4">
        <v>36</v>
      </c>
      <c r="J702" s="4" t="s">
        <v>2038</v>
      </c>
      <c r="K702" s="4">
        <v>2023</v>
      </c>
      <c r="L702" s="4">
        <v>9</v>
      </c>
      <c r="M702" s="4">
        <v>27</v>
      </c>
      <c r="N702" s="4">
        <v>17</v>
      </c>
    </row>
    <row r="703" spans="1:14" ht="45" x14ac:dyDescent="0.25">
      <c r="A703" s="2">
        <v>701</v>
      </c>
      <c r="B703" s="7" t="s">
        <v>2400</v>
      </c>
      <c r="C703" s="2" t="s">
        <v>2347</v>
      </c>
      <c r="D703" s="3">
        <v>45197.916666666664</v>
      </c>
      <c r="E703" s="2" t="s">
        <v>2401</v>
      </c>
      <c r="F703" s="2" t="s">
        <v>29</v>
      </c>
      <c r="G703" s="7" t="s">
        <v>2402</v>
      </c>
      <c r="H703" s="2">
        <v>21</v>
      </c>
      <c r="I703" s="2">
        <v>41</v>
      </c>
      <c r="J703" s="2" t="s">
        <v>2042</v>
      </c>
      <c r="K703" s="2">
        <v>2023</v>
      </c>
      <c r="L703" s="2">
        <v>9</v>
      </c>
      <c r="M703" s="2">
        <v>28</v>
      </c>
      <c r="N703" s="2">
        <v>22</v>
      </c>
    </row>
    <row r="704" spans="1:14" ht="45" x14ac:dyDescent="0.25">
      <c r="A704" s="4">
        <v>702</v>
      </c>
      <c r="B704" s="8" t="s">
        <v>2403</v>
      </c>
      <c r="C704" s="4" t="s">
        <v>2351</v>
      </c>
      <c r="D704" s="5">
        <v>45198.65625</v>
      </c>
      <c r="E704" s="4" t="s">
        <v>2404</v>
      </c>
      <c r="F704" s="4" t="s">
        <v>872</v>
      </c>
      <c r="G704" s="8" t="s">
        <v>2405</v>
      </c>
      <c r="H704" s="4">
        <v>24</v>
      </c>
      <c r="I704" s="4">
        <v>48</v>
      </c>
      <c r="J704" s="4" t="s">
        <v>2033</v>
      </c>
      <c r="K704" s="4">
        <v>2023</v>
      </c>
      <c r="L704" s="4">
        <v>9</v>
      </c>
      <c r="M704" s="4">
        <v>29</v>
      </c>
      <c r="N704" s="4">
        <v>15</v>
      </c>
    </row>
    <row r="705" spans="1:14" ht="45" x14ac:dyDescent="0.25">
      <c r="A705" s="2">
        <v>703</v>
      </c>
      <c r="B705" s="7" t="s">
        <v>2406</v>
      </c>
      <c r="C705" s="2" t="s">
        <v>2355</v>
      </c>
      <c r="D705" s="3">
        <v>45199.763888888891</v>
      </c>
      <c r="E705" s="2" t="s">
        <v>2407</v>
      </c>
      <c r="F705" s="2" t="s">
        <v>24</v>
      </c>
      <c r="G705" s="7" t="s">
        <v>2408</v>
      </c>
      <c r="H705" s="2">
        <v>22</v>
      </c>
      <c r="I705" s="2">
        <v>43</v>
      </c>
      <c r="J705" s="2" t="s">
        <v>2038</v>
      </c>
      <c r="K705" s="2">
        <v>2023</v>
      </c>
      <c r="L705" s="2">
        <v>9</v>
      </c>
      <c r="M705" s="2">
        <v>30</v>
      </c>
      <c r="N705" s="2">
        <v>18</v>
      </c>
    </row>
    <row r="706" spans="1:14" ht="45" x14ac:dyDescent="0.25">
      <c r="A706" s="4">
        <v>704</v>
      </c>
      <c r="B706" s="8" t="s">
        <v>2409</v>
      </c>
      <c r="C706" s="4" t="s">
        <v>2347</v>
      </c>
      <c r="D706" s="5">
        <v>45200.59375</v>
      </c>
      <c r="E706" s="4" t="s">
        <v>2410</v>
      </c>
      <c r="F706" s="4" t="s">
        <v>29</v>
      </c>
      <c r="G706" s="8" t="s">
        <v>2411</v>
      </c>
      <c r="H706" s="4">
        <v>20</v>
      </c>
      <c r="I706" s="4">
        <v>39</v>
      </c>
      <c r="J706" s="4" t="s">
        <v>2042</v>
      </c>
      <c r="K706" s="4">
        <v>2023</v>
      </c>
      <c r="L706" s="4">
        <v>10</v>
      </c>
      <c r="M706" s="4">
        <v>1</v>
      </c>
      <c r="N706" s="4">
        <v>14</v>
      </c>
    </row>
    <row r="707" spans="1:14" ht="45" x14ac:dyDescent="0.25">
      <c r="A707" s="2">
        <v>705</v>
      </c>
      <c r="B707" s="7" t="s">
        <v>2412</v>
      </c>
      <c r="C707" s="2" t="s">
        <v>2413</v>
      </c>
      <c r="D707" s="3">
        <v>45201.697916666664</v>
      </c>
      <c r="E707" s="2" t="s">
        <v>2414</v>
      </c>
      <c r="F707" s="2" t="s">
        <v>24</v>
      </c>
      <c r="G707" s="7" t="s">
        <v>2415</v>
      </c>
      <c r="H707" s="2">
        <v>23</v>
      </c>
      <c r="I707" s="2">
        <v>42</v>
      </c>
      <c r="J707" s="2" t="s">
        <v>2033</v>
      </c>
      <c r="K707" s="2">
        <v>2023</v>
      </c>
      <c r="L707" s="2">
        <v>10</v>
      </c>
      <c r="M707" s="2">
        <v>2</v>
      </c>
      <c r="N707" s="2">
        <v>16</v>
      </c>
    </row>
    <row r="708" spans="1:14" ht="45" x14ac:dyDescent="0.25">
      <c r="A708" s="4">
        <v>706</v>
      </c>
      <c r="B708" s="8" t="s">
        <v>2416</v>
      </c>
      <c r="C708" s="4" t="s">
        <v>2413</v>
      </c>
      <c r="D708" s="5">
        <v>45202.520833333336</v>
      </c>
      <c r="E708" s="4" t="s">
        <v>2417</v>
      </c>
      <c r="F708" s="4" t="s">
        <v>872</v>
      </c>
      <c r="G708" s="8" t="s">
        <v>2418</v>
      </c>
      <c r="H708" s="4">
        <v>26</v>
      </c>
      <c r="I708" s="4">
        <v>50</v>
      </c>
      <c r="J708" s="4" t="s">
        <v>2038</v>
      </c>
      <c r="K708" s="4">
        <v>2023</v>
      </c>
      <c r="L708" s="4">
        <v>10</v>
      </c>
      <c r="M708" s="4">
        <v>3</v>
      </c>
      <c r="N708" s="4">
        <v>12</v>
      </c>
    </row>
    <row r="709" spans="1:14" ht="45" x14ac:dyDescent="0.25">
      <c r="A709" s="2">
        <v>707</v>
      </c>
      <c r="B709" s="7" t="s">
        <v>2419</v>
      </c>
      <c r="C709" s="2" t="s">
        <v>2413</v>
      </c>
      <c r="D709" s="3">
        <v>45203.763888888891</v>
      </c>
      <c r="E709" s="2" t="s">
        <v>2420</v>
      </c>
      <c r="F709" s="2" t="s">
        <v>29</v>
      </c>
      <c r="G709" s="7" t="s">
        <v>2421</v>
      </c>
      <c r="H709" s="2">
        <v>19</v>
      </c>
      <c r="I709" s="2">
        <v>38</v>
      </c>
      <c r="J709" s="2" t="s">
        <v>2042</v>
      </c>
      <c r="K709" s="2">
        <v>2023</v>
      </c>
      <c r="L709" s="2">
        <v>10</v>
      </c>
      <c r="M709" s="2">
        <v>4</v>
      </c>
      <c r="N709" s="2">
        <v>18</v>
      </c>
    </row>
    <row r="710" spans="1:14" ht="45" x14ac:dyDescent="0.25">
      <c r="A710" s="4">
        <v>708</v>
      </c>
      <c r="B710" s="8" t="s">
        <v>2422</v>
      </c>
      <c r="C710" s="4" t="s">
        <v>2413</v>
      </c>
      <c r="D710" s="5">
        <v>45204.59375</v>
      </c>
      <c r="E710" s="4" t="s">
        <v>2423</v>
      </c>
      <c r="F710" s="4" t="s">
        <v>24</v>
      </c>
      <c r="G710" s="8" t="s">
        <v>2424</v>
      </c>
      <c r="H710" s="4">
        <v>21</v>
      </c>
      <c r="I710" s="4">
        <v>43</v>
      </c>
      <c r="J710" s="4" t="s">
        <v>2033</v>
      </c>
      <c r="K710" s="4">
        <v>2023</v>
      </c>
      <c r="L710" s="4">
        <v>10</v>
      </c>
      <c r="M710" s="4">
        <v>5</v>
      </c>
      <c r="N710" s="4">
        <v>14</v>
      </c>
    </row>
    <row r="711" spans="1:14" ht="60" x14ac:dyDescent="0.25">
      <c r="A711" s="2">
        <v>709</v>
      </c>
      <c r="B711" s="7" t="s">
        <v>2425</v>
      </c>
      <c r="C711" s="2" t="s">
        <v>2413</v>
      </c>
      <c r="D711" s="3">
        <v>45205.729166666664</v>
      </c>
      <c r="E711" s="2" t="s">
        <v>2426</v>
      </c>
      <c r="F711" s="2" t="s">
        <v>872</v>
      </c>
      <c r="G711" s="7" t="s">
        <v>2427</v>
      </c>
      <c r="H711" s="2">
        <v>18</v>
      </c>
      <c r="I711" s="2">
        <v>36</v>
      </c>
      <c r="J711" s="2" t="s">
        <v>2038</v>
      </c>
      <c r="K711" s="2">
        <v>2023</v>
      </c>
      <c r="L711" s="2">
        <v>10</v>
      </c>
      <c r="M711" s="2">
        <v>6</v>
      </c>
      <c r="N711" s="2">
        <v>17</v>
      </c>
    </row>
    <row r="712" spans="1:14" ht="45" x14ac:dyDescent="0.25">
      <c r="A712" s="4">
        <v>710</v>
      </c>
      <c r="B712" s="8" t="s">
        <v>2428</v>
      </c>
      <c r="C712" s="4" t="s">
        <v>2413</v>
      </c>
      <c r="D712" s="5">
        <v>45206.864583333336</v>
      </c>
      <c r="E712" s="4" t="s">
        <v>2429</v>
      </c>
      <c r="F712" s="4" t="s">
        <v>24</v>
      </c>
      <c r="G712" s="8" t="s">
        <v>2430</v>
      </c>
      <c r="H712" s="4">
        <v>22</v>
      </c>
      <c r="I712" s="4">
        <v>45</v>
      </c>
      <c r="J712" s="4" t="s">
        <v>2042</v>
      </c>
      <c r="K712" s="4">
        <v>2023</v>
      </c>
      <c r="L712" s="4">
        <v>10</v>
      </c>
      <c r="M712" s="4">
        <v>7</v>
      </c>
      <c r="N712" s="4">
        <v>20</v>
      </c>
    </row>
    <row r="713" spans="1:14" ht="45" x14ac:dyDescent="0.25">
      <c r="A713" s="2">
        <v>711</v>
      </c>
      <c r="B713" s="7" t="s">
        <v>2431</v>
      </c>
      <c r="C713" s="2" t="s">
        <v>2413</v>
      </c>
      <c r="D713" s="3">
        <v>45207.635416666664</v>
      </c>
      <c r="E713" s="2" t="s">
        <v>2432</v>
      </c>
      <c r="F713" s="2" t="s">
        <v>29</v>
      </c>
      <c r="G713" s="7" t="s">
        <v>2433</v>
      </c>
      <c r="H713" s="2">
        <v>24</v>
      </c>
      <c r="I713" s="2">
        <v>48</v>
      </c>
      <c r="J713" s="2" t="s">
        <v>2033</v>
      </c>
      <c r="K713" s="2">
        <v>2023</v>
      </c>
      <c r="L713" s="2">
        <v>10</v>
      </c>
      <c r="M713" s="2">
        <v>8</v>
      </c>
      <c r="N713" s="2">
        <v>15</v>
      </c>
    </row>
    <row r="714" spans="1:14" ht="60" x14ac:dyDescent="0.25">
      <c r="A714" s="4">
        <v>712</v>
      </c>
      <c r="B714" s="8" t="s">
        <v>2434</v>
      </c>
      <c r="C714" s="4" t="s">
        <v>2413</v>
      </c>
      <c r="D714" s="5">
        <v>45208.916666666664</v>
      </c>
      <c r="E714" s="4" t="s">
        <v>2435</v>
      </c>
      <c r="F714" s="4" t="s">
        <v>872</v>
      </c>
      <c r="G714" s="8" t="s">
        <v>2436</v>
      </c>
      <c r="H714" s="4">
        <v>20</v>
      </c>
      <c r="I714" s="4">
        <v>40</v>
      </c>
      <c r="J714" s="4" t="s">
        <v>2038</v>
      </c>
      <c r="K714" s="4">
        <v>2023</v>
      </c>
      <c r="L714" s="4">
        <v>10</v>
      </c>
      <c r="M714" s="4">
        <v>9</v>
      </c>
      <c r="N714" s="4">
        <v>22</v>
      </c>
    </row>
    <row r="715" spans="1:14" ht="45" x14ac:dyDescent="0.25">
      <c r="A715" s="2">
        <v>713</v>
      </c>
      <c r="B715" s="7" t="s">
        <v>2437</v>
      </c>
      <c r="C715" s="2" t="s">
        <v>2413</v>
      </c>
      <c r="D715" s="3">
        <v>45209.59375</v>
      </c>
      <c r="E715" s="2" t="s">
        <v>2438</v>
      </c>
      <c r="F715" s="2" t="s">
        <v>24</v>
      </c>
      <c r="G715" s="7" t="s">
        <v>2439</v>
      </c>
      <c r="H715" s="2">
        <v>25</v>
      </c>
      <c r="I715" s="2">
        <v>49</v>
      </c>
      <c r="J715" s="2" t="s">
        <v>2042</v>
      </c>
      <c r="K715" s="2">
        <v>2023</v>
      </c>
      <c r="L715" s="2">
        <v>10</v>
      </c>
      <c r="M715" s="2">
        <v>10</v>
      </c>
      <c r="N715" s="2">
        <v>14</v>
      </c>
    </row>
    <row r="716" spans="1:14" ht="45" x14ac:dyDescent="0.25">
      <c r="A716" s="4">
        <v>714</v>
      </c>
      <c r="B716" s="8" t="s">
        <v>2440</v>
      </c>
      <c r="C716" s="4" t="s">
        <v>2413</v>
      </c>
      <c r="D716" s="5">
        <v>45210.697916666664</v>
      </c>
      <c r="E716" s="4" t="s">
        <v>2441</v>
      </c>
      <c r="F716" s="4" t="s">
        <v>29</v>
      </c>
      <c r="G716" s="8" t="s">
        <v>2442</v>
      </c>
      <c r="H716" s="4">
        <v>19</v>
      </c>
      <c r="I716" s="4">
        <v>37</v>
      </c>
      <c r="J716" s="4" t="s">
        <v>2033</v>
      </c>
      <c r="K716" s="4">
        <v>2023</v>
      </c>
      <c r="L716" s="4">
        <v>10</v>
      </c>
      <c r="M716" s="4">
        <v>11</v>
      </c>
      <c r="N716" s="4">
        <v>16</v>
      </c>
    </row>
    <row r="717" spans="1:14" ht="45" x14ac:dyDescent="0.25">
      <c r="A717" s="2">
        <v>715</v>
      </c>
      <c r="B717" s="7" t="s">
        <v>2443</v>
      </c>
      <c r="C717" s="2" t="s">
        <v>2413</v>
      </c>
      <c r="D717" s="3">
        <v>45211.763888888891</v>
      </c>
      <c r="E717" s="2" t="s">
        <v>2444</v>
      </c>
      <c r="F717" s="2" t="s">
        <v>872</v>
      </c>
      <c r="G717" s="7" t="s">
        <v>2445</v>
      </c>
      <c r="H717" s="2">
        <v>23</v>
      </c>
      <c r="I717" s="2">
        <v>44</v>
      </c>
      <c r="J717" s="2" t="s">
        <v>2038</v>
      </c>
      <c r="K717" s="2">
        <v>2023</v>
      </c>
      <c r="L717" s="2">
        <v>10</v>
      </c>
      <c r="M717" s="2">
        <v>12</v>
      </c>
      <c r="N717" s="2">
        <v>18</v>
      </c>
    </row>
    <row r="718" spans="1:14" ht="45" x14ac:dyDescent="0.25">
      <c r="A718" s="4">
        <v>716</v>
      </c>
      <c r="B718" s="8" t="s">
        <v>2446</v>
      </c>
      <c r="C718" s="4" t="s">
        <v>2413</v>
      </c>
      <c r="D718" s="5">
        <v>45212.520833333336</v>
      </c>
      <c r="E718" s="4" t="s">
        <v>2447</v>
      </c>
      <c r="F718" s="4" t="s">
        <v>24</v>
      </c>
      <c r="G718" s="8" t="s">
        <v>2448</v>
      </c>
      <c r="H718" s="4">
        <v>20</v>
      </c>
      <c r="I718" s="4">
        <v>39</v>
      </c>
      <c r="J718" s="4" t="s">
        <v>2042</v>
      </c>
      <c r="K718" s="4">
        <v>2023</v>
      </c>
      <c r="L718" s="4">
        <v>10</v>
      </c>
      <c r="M718" s="4">
        <v>13</v>
      </c>
      <c r="N718" s="4">
        <v>12</v>
      </c>
    </row>
    <row r="719" spans="1:14" ht="45" x14ac:dyDescent="0.25">
      <c r="A719" s="2">
        <v>717</v>
      </c>
      <c r="B719" s="7" t="s">
        <v>2449</v>
      </c>
      <c r="C719" s="2" t="s">
        <v>2413</v>
      </c>
      <c r="D719" s="3">
        <v>45213.729166666664</v>
      </c>
      <c r="E719" s="2" t="s">
        <v>2450</v>
      </c>
      <c r="F719" s="2" t="s">
        <v>29</v>
      </c>
      <c r="G719" s="7" t="s">
        <v>2451</v>
      </c>
      <c r="H719" s="2">
        <v>18</v>
      </c>
      <c r="I719" s="2">
        <v>35</v>
      </c>
      <c r="J719" s="2" t="s">
        <v>2033</v>
      </c>
      <c r="K719" s="2">
        <v>2023</v>
      </c>
      <c r="L719" s="2">
        <v>10</v>
      </c>
      <c r="M719" s="2">
        <v>14</v>
      </c>
      <c r="N719" s="2">
        <v>17</v>
      </c>
    </row>
    <row r="720" spans="1:14" ht="45" x14ac:dyDescent="0.25">
      <c r="A720" s="4">
        <v>718</v>
      </c>
      <c r="B720" s="8" t="s">
        <v>2452</v>
      </c>
      <c r="C720" s="4" t="s">
        <v>2413</v>
      </c>
      <c r="D720" s="5">
        <v>45214.864583333336</v>
      </c>
      <c r="E720" s="4" t="s">
        <v>2453</v>
      </c>
      <c r="F720" s="4" t="s">
        <v>872</v>
      </c>
      <c r="G720" s="8" t="s">
        <v>2454</v>
      </c>
      <c r="H720" s="4">
        <v>22</v>
      </c>
      <c r="I720" s="4">
        <v>43</v>
      </c>
      <c r="J720" s="4" t="s">
        <v>2038</v>
      </c>
      <c r="K720" s="4">
        <v>2023</v>
      </c>
      <c r="L720" s="4">
        <v>10</v>
      </c>
      <c r="M720" s="4">
        <v>15</v>
      </c>
      <c r="N720" s="4">
        <v>20</v>
      </c>
    </row>
    <row r="721" spans="1:14" ht="45" x14ac:dyDescent="0.25">
      <c r="A721" s="2">
        <v>719</v>
      </c>
      <c r="B721" s="7" t="s">
        <v>2455</v>
      </c>
      <c r="C721" s="2" t="s">
        <v>2456</v>
      </c>
      <c r="D721" s="3">
        <v>45215.65625</v>
      </c>
      <c r="E721" s="2" t="s">
        <v>2457</v>
      </c>
      <c r="F721" s="2" t="s">
        <v>24</v>
      </c>
      <c r="G721" s="7" t="s">
        <v>2458</v>
      </c>
      <c r="H721" s="2">
        <v>27</v>
      </c>
      <c r="I721" s="2">
        <v>52</v>
      </c>
      <c r="J721" s="2" t="s">
        <v>2042</v>
      </c>
      <c r="K721" s="2">
        <v>2023</v>
      </c>
      <c r="L721" s="2">
        <v>10</v>
      </c>
      <c r="M721" s="2">
        <v>16</v>
      </c>
      <c r="N721" s="2">
        <v>15</v>
      </c>
    </row>
    <row r="722" spans="1:14" ht="45" x14ac:dyDescent="0.25">
      <c r="A722" s="4">
        <v>720</v>
      </c>
      <c r="B722" s="8" t="s">
        <v>2459</v>
      </c>
      <c r="C722" s="4" t="s">
        <v>2456</v>
      </c>
      <c r="D722" s="5">
        <v>45216.520833333336</v>
      </c>
      <c r="E722" s="4" t="s">
        <v>2460</v>
      </c>
      <c r="F722" s="4" t="s">
        <v>872</v>
      </c>
      <c r="G722" s="8" t="s">
        <v>2461</v>
      </c>
      <c r="H722" s="4">
        <v>24</v>
      </c>
      <c r="I722" s="4">
        <v>48</v>
      </c>
      <c r="J722" s="4" t="s">
        <v>2033</v>
      </c>
      <c r="K722" s="4">
        <v>2023</v>
      </c>
      <c r="L722" s="4">
        <v>10</v>
      </c>
      <c r="M722" s="4">
        <v>17</v>
      </c>
      <c r="N722" s="4">
        <v>12</v>
      </c>
    </row>
    <row r="723" spans="1:14" ht="45" x14ac:dyDescent="0.25">
      <c r="A723" s="2">
        <v>721</v>
      </c>
      <c r="B723" s="7" t="s">
        <v>2462</v>
      </c>
      <c r="C723" s="2" t="s">
        <v>2456</v>
      </c>
      <c r="D723" s="3">
        <v>45217.697916666664</v>
      </c>
      <c r="E723" s="2" t="s">
        <v>2463</v>
      </c>
      <c r="F723" s="2" t="s">
        <v>29</v>
      </c>
      <c r="G723" s="7" t="s">
        <v>2464</v>
      </c>
      <c r="H723" s="2">
        <v>19</v>
      </c>
      <c r="I723" s="2">
        <v>38</v>
      </c>
      <c r="J723" s="2" t="s">
        <v>2038</v>
      </c>
      <c r="K723" s="2">
        <v>2023</v>
      </c>
      <c r="L723" s="2">
        <v>10</v>
      </c>
      <c r="M723" s="2">
        <v>18</v>
      </c>
      <c r="N723" s="2">
        <v>16</v>
      </c>
    </row>
    <row r="724" spans="1:14" ht="45" x14ac:dyDescent="0.25">
      <c r="A724" s="4">
        <v>722</v>
      </c>
      <c r="B724" s="8" t="s">
        <v>2465</v>
      </c>
      <c r="C724" s="4" t="s">
        <v>2456</v>
      </c>
      <c r="D724" s="5">
        <v>45218.763888888891</v>
      </c>
      <c r="E724" s="4" t="s">
        <v>2466</v>
      </c>
      <c r="F724" s="4" t="s">
        <v>24</v>
      </c>
      <c r="G724" s="8" t="s">
        <v>2467</v>
      </c>
      <c r="H724" s="4">
        <v>21</v>
      </c>
      <c r="I724" s="4">
        <v>42</v>
      </c>
      <c r="J724" s="4" t="s">
        <v>2042</v>
      </c>
      <c r="K724" s="4">
        <v>2023</v>
      </c>
      <c r="L724" s="4">
        <v>10</v>
      </c>
      <c r="M724" s="4">
        <v>19</v>
      </c>
      <c r="N724" s="4">
        <v>18</v>
      </c>
    </row>
    <row r="725" spans="1:14" ht="45" x14ac:dyDescent="0.25">
      <c r="A725" s="2">
        <v>723</v>
      </c>
      <c r="B725" s="7" t="s">
        <v>2468</v>
      </c>
      <c r="C725" s="2" t="s">
        <v>2456</v>
      </c>
      <c r="D725" s="3">
        <v>45219.59375</v>
      </c>
      <c r="E725" s="2" t="s">
        <v>2469</v>
      </c>
      <c r="F725" s="2" t="s">
        <v>872</v>
      </c>
      <c r="G725" s="7" t="s">
        <v>2470</v>
      </c>
      <c r="H725" s="2">
        <v>26</v>
      </c>
      <c r="I725" s="2">
        <v>50</v>
      </c>
      <c r="J725" s="2" t="s">
        <v>2033</v>
      </c>
      <c r="K725" s="2">
        <v>2023</v>
      </c>
      <c r="L725" s="2">
        <v>10</v>
      </c>
      <c r="M725" s="2">
        <v>20</v>
      </c>
      <c r="N725" s="2">
        <v>14</v>
      </c>
    </row>
    <row r="726" spans="1:14" ht="45" x14ac:dyDescent="0.25">
      <c r="A726" s="4">
        <v>724</v>
      </c>
      <c r="B726" s="8" t="s">
        <v>2471</v>
      </c>
      <c r="C726" s="4" t="s">
        <v>2456</v>
      </c>
      <c r="D726" s="5">
        <v>45220.729166666664</v>
      </c>
      <c r="E726" s="4" t="s">
        <v>2472</v>
      </c>
      <c r="F726" s="4" t="s">
        <v>29</v>
      </c>
      <c r="G726" s="8" t="s">
        <v>2473</v>
      </c>
      <c r="H726" s="4">
        <v>23</v>
      </c>
      <c r="I726" s="4">
        <v>45</v>
      </c>
      <c r="J726" s="4" t="s">
        <v>2038</v>
      </c>
      <c r="K726" s="4">
        <v>2023</v>
      </c>
      <c r="L726" s="4">
        <v>10</v>
      </c>
      <c r="M726" s="4">
        <v>21</v>
      </c>
      <c r="N726" s="4">
        <v>17</v>
      </c>
    </row>
    <row r="727" spans="1:14" ht="45" x14ac:dyDescent="0.25">
      <c r="A727" s="2">
        <v>725</v>
      </c>
      <c r="B727" s="7" t="s">
        <v>2474</v>
      </c>
      <c r="C727" s="2" t="s">
        <v>2456</v>
      </c>
      <c r="D727" s="3">
        <v>45221.864583333336</v>
      </c>
      <c r="E727" s="2" t="s">
        <v>2475</v>
      </c>
      <c r="F727" s="2" t="s">
        <v>24</v>
      </c>
      <c r="G727" s="7" t="s">
        <v>2476</v>
      </c>
      <c r="H727" s="2">
        <v>22</v>
      </c>
      <c r="I727" s="2">
        <v>43</v>
      </c>
      <c r="J727" s="2" t="s">
        <v>2042</v>
      </c>
      <c r="K727" s="2">
        <v>2023</v>
      </c>
      <c r="L727" s="2">
        <v>10</v>
      </c>
      <c r="M727" s="2">
        <v>22</v>
      </c>
      <c r="N727" s="2">
        <v>20</v>
      </c>
    </row>
    <row r="728" spans="1:14" ht="45" x14ac:dyDescent="0.25">
      <c r="A728" s="4">
        <v>726</v>
      </c>
      <c r="B728" s="8" t="s">
        <v>2477</v>
      </c>
      <c r="C728" s="4" t="s">
        <v>2456</v>
      </c>
      <c r="D728" s="5">
        <v>42318.697916666664</v>
      </c>
      <c r="E728" s="4" t="s">
        <v>2478</v>
      </c>
      <c r="F728" s="4" t="s">
        <v>24</v>
      </c>
      <c r="G728" s="8" t="s">
        <v>2479</v>
      </c>
      <c r="H728" s="4">
        <v>23</v>
      </c>
      <c r="I728" s="4">
        <v>44</v>
      </c>
      <c r="J728" s="4" t="s">
        <v>2033</v>
      </c>
      <c r="K728" s="4">
        <v>2015</v>
      </c>
      <c r="L728" s="4">
        <v>11</v>
      </c>
      <c r="M728" s="4">
        <v>10</v>
      </c>
      <c r="N728" s="4">
        <v>16</v>
      </c>
    </row>
    <row r="729" spans="1:14" ht="45" x14ac:dyDescent="0.25">
      <c r="A729" s="2">
        <v>727</v>
      </c>
      <c r="B729" s="7" t="s">
        <v>2480</v>
      </c>
      <c r="C729" s="2" t="s">
        <v>2456</v>
      </c>
      <c r="D729" s="3">
        <v>42627.520833333336</v>
      </c>
      <c r="E729" s="2" t="s">
        <v>2481</v>
      </c>
      <c r="F729" s="2" t="s">
        <v>872</v>
      </c>
      <c r="G729" s="7" t="s">
        <v>2482</v>
      </c>
      <c r="H729" s="2">
        <v>26</v>
      </c>
      <c r="I729" s="2">
        <v>51</v>
      </c>
      <c r="J729" s="2" t="s">
        <v>2038</v>
      </c>
      <c r="K729" s="2">
        <v>2016</v>
      </c>
      <c r="L729" s="2">
        <v>9</v>
      </c>
      <c r="M729" s="2">
        <v>14</v>
      </c>
      <c r="N729" s="2">
        <v>12</v>
      </c>
    </row>
    <row r="730" spans="1:14" ht="45" x14ac:dyDescent="0.25">
      <c r="A730" s="4">
        <v>728</v>
      </c>
      <c r="B730" s="8" t="s">
        <v>2483</v>
      </c>
      <c r="C730" s="4" t="s">
        <v>2456</v>
      </c>
      <c r="D730" s="5">
        <v>42965.763888888891</v>
      </c>
      <c r="E730" s="4" t="s">
        <v>2484</v>
      </c>
      <c r="F730" s="4" t="s">
        <v>29</v>
      </c>
      <c r="G730" s="8" t="s">
        <v>2485</v>
      </c>
      <c r="H730" s="4">
        <v>20</v>
      </c>
      <c r="I730" s="4">
        <v>39</v>
      </c>
      <c r="J730" s="4" t="s">
        <v>2042</v>
      </c>
      <c r="K730" s="4">
        <v>2017</v>
      </c>
      <c r="L730" s="4">
        <v>8</v>
      </c>
      <c r="M730" s="4">
        <v>18</v>
      </c>
      <c r="N730" s="4">
        <v>18</v>
      </c>
    </row>
    <row r="731" spans="1:14" ht="45" x14ac:dyDescent="0.25">
      <c r="A731" s="2">
        <v>729</v>
      </c>
      <c r="B731" s="7" t="s">
        <v>2486</v>
      </c>
      <c r="C731" s="2" t="s">
        <v>2456</v>
      </c>
      <c r="D731" s="3">
        <v>43273.59375</v>
      </c>
      <c r="E731" s="2" t="s">
        <v>2487</v>
      </c>
      <c r="F731" s="2" t="s">
        <v>24</v>
      </c>
      <c r="G731" s="7" t="s">
        <v>2488</v>
      </c>
      <c r="H731" s="2">
        <v>25</v>
      </c>
      <c r="I731" s="2">
        <v>48</v>
      </c>
      <c r="J731" s="2" t="s">
        <v>2033</v>
      </c>
      <c r="K731" s="2">
        <v>2018</v>
      </c>
      <c r="L731" s="2">
        <v>6</v>
      </c>
      <c r="M731" s="2">
        <v>22</v>
      </c>
      <c r="N731" s="2">
        <v>14</v>
      </c>
    </row>
    <row r="732" spans="1:14" ht="45" x14ac:dyDescent="0.25">
      <c r="A732" s="4">
        <v>730</v>
      </c>
      <c r="B732" s="8" t="s">
        <v>2489</v>
      </c>
      <c r="C732" s="4" t="s">
        <v>2456</v>
      </c>
      <c r="D732" s="5">
        <v>43560.729166666664</v>
      </c>
      <c r="E732" s="4" t="s">
        <v>2490</v>
      </c>
      <c r="F732" s="4" t="s">
        <v>872</v>
      </c>
      <c r="G732" s="8" t="s">
        <v>2491</v>
      </c>
      <c r="H732" s="4">
        <v>22</v>
      </c>
      <c r="I732" s="4">
        <v>42</v>
      </c>
      <c r="J732" s="4" t="s">
        <v>2038</v>
      </c>
      <c r="K732" s="4">
        <v>2019</v>
      </c>
      <c r="L732" s="4">
        <v>4</v>
      </c>
      <c r="M732" s="4">
        <v>5</v>
      </c>
      <c r="N732" s="4">
        <v>17</v>
      </c>
    </row>
    <row r="733" spans="1:14" ht="45" x14ac:dyDescent="0.25">
      <c r="A733" s="2">
        <v>731</v>
      </c>
      <c r="B733" s="7" t="s">
        <v>2492</v>
      </c>
      <c r="C733" s="2" t="s">
        <v>2456</v>
      </c>
      <c r="D733" s="3">
        <v>43890.864583333336</v>
      </c>
      <c r="E733" s="2" t="s">
        <v>2493</v>
      </c>
      <c r="F733" s="2" t="s">
        <v>29</v>
      </c>
      <c r="G733" s="7" t="s">
        <v>2494</v>
      </c>
      <c r="H733" s="2">
        <v>21</v>
      </c>
      <c r="I733" s="2">
        <v>43</v>
      </c>
      <c r="J733" s="2" t="s">
        <v>2042</v>
      </c>
      <c r="K733" s="2">
        <v>2020</v>
      </c>
      <c r="L733" s="2">
        <v>2</v>
      </c>
      <c r="M733" s="2">
        <v>29</v>
      </c>
      <c r="N733" s="2">
        <v>20</v>
      </c>
    </row>
    <row r="734" spans="1:14" ht="45" x14ac:dyDescent="0.25">
      <c r="A734" s="4">
        <v>732</v>
      </c>
      <c r="B734" s="8" t="s">
        <v>2495</v>
      </c>
      <c r="C734" s="4" t="s">
        <v>2456</v>
      </c>
      <c r="D734" s="5">
        <v>44150.635416666664</v>
      </c>
      <c r="E734" s="4" t="s">
        <v>2496</v>
      </c>
      <c r="F734" s="4" t="s">
        <v>24</v>
      </c>
      <c r="G734" s="8" t="s">
        <v>2497</v>
      </c>
      <c r="H734" s="4">
        <v>24</v>
      </c>
      <c r="I734" s="4">
        <v>47</v>
      </c>
      <c r="J734" s="4" t="s">
        <v>2033</v>
      </c>
      <c r="K734" s="4">
        <v>2020</v>
      </c>
      <c r="L734" s="4">
        <v>11</v>
      </c>
      <c r="M734" s="4">
        <v>15</v>
      </c>
      <c r="N734" s="4">
        <v>15</v>
      </c>
    </row>
  </sheetData>
  <mergeCells count="1">
    <mergeCell ref="A1:N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BE8D2-F512-4E99-B068-5F343C1828D4}">
  <dimension ref="A1:N734"/>
  <sheetViews>
    <sheetView zoomScale="50" zoomScaleNormal="50" workbookViewId="0">
      <pane ySplit="2" topLeftCell="A3" activePane="bottomLeft" state="frozen"/>
      <selection pane="bottomLeft" activeCell="F726" sqref="F726"/>
    </sheetView>
  </sheetViews>
  <sheetFormatPr defaultRowHeight="15" x14ac:dyDescent="0.25"/>
  <cols>
    <col min="1" max="1" width="8.7109375" customWidth="1"/>
    <col min="2" max="2" width="50.7109375" style="9" customWidth="1"/>
    <col min="3" max="3" width="23.85546875" customWidth="1"/>
    <col min="4" max="4" width="22.7109375" customWidth="1"/>
    <col min="5" max="5" width="23.85546875" customWidth="1"/>
    <col min="6" max="6" width="22" customWidth="1"/>
    <col min="7" max="7" width="38.7109375" style="9" customWidth="1"/>
    <col min="8" max="8" width="12.7109375" customWidth="1"/>
    <col min="9" max="9" width="10.7109375" customWidth="1"/>
    <col min="10" max="10" width="21.5703125" customWidth="1"/>
    <col min="11" max="11" width="8.7109375" customWidth="1"/>
    <col min="12" max="12" width="9.5703125" customWidth="1"/>
    <col min="13" max="14" width="8.7109375" customWidth="1"/>
  </cols>
  <sheetData>
    <row r="1" spans="1:14" ht="30" customHeight="1" x14ac:dyDescent="0.25">
      <c r="A1" s="30" t="s">
        <v>2502</v>
      </c>
      <c r="B1" s="30"/>
      <c r="C1" s="30"/>
      <c r="D1" s="30"/>
      <c r="E1" s="30"/>
      <c r="F1" s="30"/>
      <c r="G1" s="30"/>
      <c r="H1" s="30"/>
      <c r="I1" s="30"/>
      <c r="J1" s="30"/>
      <c r="K1" s="30"/>
      <c r="L1" s="30"/>
      <c r="M1" s="30"/>
      <c r="N1" s="30"/>
    </row>
    <row r="2" spans="1:14" s="10" customFormat="1" ht="30" customHeight="1" x14ac:dyDescent="0.25">
      <c r="A2" s="10" t="s">
        <v>2498</v>
      </c>
      <c r="B2" s="10" t="s">
        <v>2503</v>
      </c>
      <c r="C2" s="10" t="s">
        <v>2504</v>
      </c>
      <c r="D2" s="10" t="s">
        <v>1</v>
      </c>
      <c r="E2" s="10" t="s">
        <v>2505</v>
      </c>
      <c r="F2" s="10" t="s">
        <v>2506</v>
      </c>
      <c r="G2" s="10" t="s">
        <v>2507</v>
      </c>
      <c r="H2" s="10" t="s">
        <v>4</v>
      </c>
      <c r="I2" s="10" t="s">
        <v>5</v>
      </c>
      <c r="J2" s="10" t="s">
        <v>2508</v>
      </c>
      <c r="K2" s="10" t="s">
        <v>7</v>
      </c>
      <c r="L2" s="10" t="s">
        <v>8</v>
      </c>
      <c r="M2" s="10" t="s">
        <v>9</v>
      </c>
      <c r="N2" s="10" t="s">
        <v>10</v>
      </c>
    </row>
    <row r="3" spans="1:14" x14ac:dyDescent="0.25">
      <c r="A3" s="11">
        <f>'Raw Data'!A3</f>
        <v>0</v>
      </c>
      <c r="B3" s="8" t="str">
        <f>TRIM(CLEAN('Raw Data'!B3))</f>
        <v>Enjoying a beautiful day at the park!</v>
      </c>
      <c r="C3" s="4" t="str">
        <f>TRIM(PROPER('Raw Data'!C3))</f>
        <v>Positive</v>
      </c>
      <c r="D3" s="5">
        <f>'Raw Data'!D3</f>
        <v>44941.520833333336</v>
      </c>
      <c r="E3" s="4" t="str">
        <f>TRIM(SUBSTITUTE('Raw Data'!E3," "," "))</f>
        <v>User123</v>
      </c>
      <c r="F3" s="4" t="str">
        <f>TRIM(PROPER('Raw Data'!F3))</f>
        <v>Twitter</v>
      </c>
      <c r="G3" s="8" t="str">
        <f>TRIM(CLEAN('Raw Data'!G3))</f>
        <v>#Nature #Park</v>
      </c>
      <c r="H3" s="12">
        <f>'Raw Data'!H3</f>
        <v>15</v>
      </c>
      <c r="I3" s="12">
        <f>'Raw Data'!I3</f>
        <v>30</v>
      </c>
      <c r="J3" s="12" t="str">
        <f>TRIM(UPPER('Raw Data'!J3))</f>
        <v>USA</v>
      </c>
      <c r="K3" s="12">
        <f>'Raw Data'!K3</f>
        <v>2023</v>
      </c>
      <c r="L3" s="12">
        <f>'Raw Data'!L3</f>
        <v>1</v>
      </c>
      <c r="M3" s="12">
        <f>'Raw Data'!M3</f>
        <v>15</v>
      </c>
      <c r="N3">
        <f>'Raw Data'!N3</f>
        <v>12</v>
      </c>
    </row>
    <row r="4" spans="1:14" x14ac:dyDescent="0.25">
      <c r="A4" s="11">
        <f>'Raw Data'!A4</f>
        <v>1</v>
      </c>
      <c r="B4" s="8" t="str">
        <f>TRIM(CLEAN('Raw Data'!B4))</f>
        <v>Traffic was terrible this morning.</v>
      </c>
      <c r="C4" s="4" t="str">
        <f>TRIM(PROPER('Raw Data'!C4))</f>
        <v>Negative</v>
      </c>
      <c r="D4" s="5">
        <f>'Raw Data'!D4</f>
        <v>44941.364583333336</v>
      </c>
      <c r="E4" s="4" t="str">
        <f>TRIM(SUBSTITUTE('Raw Data'!E4," "," "))</f>
        <v>CommuterX</v>
      </c>
      <c r="F4" s="4" t="str">
        <f>TRIM(PROPER('Raw Data'!F4))</f>
        <v>Twitter</v>
      </c>
      <c r="G4" s="8" t="str">
        <f>TRIM(CLEAN('Raw Data'!G4))</f>
        <v>#Traffic #Morning</v>
      </c>
      <c r="H4" s="12">
        <f>'Raw Data'!H4</f>
        <v>5</v>
      </c>
      <c r="I4" s="12">
        <v>30</v>
      </c>
      <c r="J4" s="12" t="str">
        <f>TRIM(UPPER('Raw Data'!J4))</f>
        <v>CANADA</v>
      </c>
      <c r="K4" s="12">
        <f>'Raw Data'!K4</f>
        <v>2023</v>
      </c>
      <c r="L4" s="12">
        <f>'Raw Data'!L4</f>
        <v>1</v>
      </c>
      <c r="M4" s="12">
        <f>'Raw Data'!M4</f>
        <v>15</v>
      </c>
      <c r="N4">
        <f>'Raw Data'!N4</f>
        <v>8</v>
      </c>
    </row>
    <row r="5" spans="1:14" x14ac:dyDescent="0.25">
      <c r="A5" s="11">
        <f>'Raw Data'!A5</f>
        <v>2</v>
      </c>
      <c r="B5" s="8" t="str">
        <f>TRIM(CLEAN('Raw Data'!B5))</f>
        <v>Just finished an amazing workout! 💪</v>
      </c>
      <c r="C5" s="4" t="str">
        <f>TRIM(PROPER('Raw Data'!C5))</f>
        <v>Positive</v>
      </c>
      <c r="D5" s="5">
        <f>'Raw Data'!D5</f>
        <v>44941.65625</v>
      </c>
      <c r="E5" s="4" t="str">
        <f>TRIM(SUBSTITUTE('Raw Data'!E5," "," "))</f>
        <v>FitnessFan</v>
      </c>
      <c r="F5" s="4" t="str">
        <f>TRIM(PROPER('Raw Data'!F5))</f>
        <v>Instagram</v>
      </c>
      <c r="G5" s="8" t="str">
        <f>TRIM(CLEAN('Raw Data'!G5))</f>
        <v>#Fitness #Workout</v>
      </c>
      <c r="H5" s="12">
        <f>'Raw Data'!H5</f>
        <v>20</v>
      </c>
      <c r="I5" s="12">
        <v>10</v>
      </c>
      <c r="J5" s="12" t="str">
        <f>TRIM(UPPER('Raw Data'!J5))</f>
        <v>USA</v>
      </c>
      <c r="K5" s="12">
        <f>'Raw Data'!K5</f>
        <v>2023</v>
      </c>
      <c r="L5" s="12">
        <f>'Raw Data'!L5</f>
        <v>1</v>
      </c>
      <c r="M5" s="12">
        <f>'Raw Data'!M5</f>
        <v>15</v>
      </c>
      <c r="N5">
        <f>'Raw Data'!N5</f>
        <v>15</v>
      </c>
    </row>
    <row r="6" spans="1:14" x14ac:dyDescent="0.25">
      <c r="A6" s="11">
        <f>'Raw Data'!A6</f>
        <v>3</v>
      </c>
      <c r="B6" s="8" t="str">
        <f>TRIM(CLEAN('Raw Data'!B6))</f>
        <v>Excited about the upcoming weekend getaway!</v>
      </c>
      <c r="C6" s="4" t="str">
        <f>TRIM(PROPER('Raw Data'!C6))</f>
        <v>Positive</v>
      </c>
      <c r="D6" s="5">
        <f>'Raw Data'!D6</f>
        <v>44941.763888888891</v>
      </c>
      <c r="E6" s="4" t="str">
        <f>TRIM(SUBSTITUTE('Raw Data'!E6," "," "))</f>
        <v>AdventureX</v>
      </c>
      <c r="F6" s="4" t="str">
        <f>TRIM(PROPER('Raw Data'!F6))</f>
        <v>Facebook</v>
      </c>
      <c r="G6" s="8" t="str">
        <f>TRIM(CLEAN('Raw Data'!G6))</f>
        <v>#Travel #Adventure</v>
      </c>
      <c r="H6" s="12">
        <f>'Raw Data'!H6</f>
        <v>8</v>
      </c>
      <c r="I6" s="12">
        <v>40</v>
      </c>
      <c r="J6" s="12" t="str">
        <f>TRIM(UPPER('Raw Data'!J6))</f>
        <v>UK</v>
      </c>
      <c r="K6" s="12">
        <f>'Raw Data'!K6</f>
        <v>2023</v>
      </c>
      <c r="L6" s="12">
        <f>'Raw Data'!L6</f>
        <v>1</v>
      </c>
      <c r="M6" s="12">
        <f>'Raw Data'!M6</f>
        <v>15</v>
      </c>
      <c r="N6">
        <f>'Raw Data'!N6</f>
        <v>18</v>
      </c>
    </row>
    <row r="7" spans="1:14" x14ac:dyDescent="0.25">
      <c r="A7" s="11">
        <f>'Raw Data'!A7</f>
        <v>4</v>
      </c>
      <c r="B7" s="8" t="str">
        <f>TRIM(CLEAN('Raw Data'!B7))</f>
        <v>Trying out a new recipe for dinner tonight.</v>
      </c>
      <c r="C7" s="4" t="str">
        <f>TRIM(PROPER('Raw Data'!C7))</f>
        <v>Neutral</v>
      </c>
      <c r="D7" s="5">
        <f>'Raw Data'!D7</f>
        <v>44941.829861111109</v>
      </c>
      <c r="E7" s="4" t="str">
        <f>TRIM(SUBSTITUTE('Raw Data'!E7," "," "))</f>
        <v>ChefCook</v>
      </c>
      <c r="F7" s="4" t="str">
        <f>TRIM(PROPER('Raw Data'!F7))</f>
        <v>Instagram</v>
      </c>
      <c r="G7" s="8" t="str">
        <f>TRIM(CLEAN('Raw Data'!G7))</f>
        <v>#Cooking #Food</v>
      </c>
      <c r="H7" s="12">
        <f>'Raw Data'!H7</f>
        <v>12</v>
      </c>
      <c r="I7" s="12">
        <v>15</v>
      </c>
      <c r="J7" s="12" t="str">
        <f>TRIM(UPPER('Raw Data'!J7))</f>
        <v>AUSTRALIA</v>
      </c>
      <c r="K7" s="12">
        <f>'Raw Data'!K7</f>
        <v>2023</v>
      </c>
      <c r="L7" s="12">
        <f>'Raw Data'!L7</f>
        <v>1</v>
      </c>
      <c r="M7" s="12">
        <f>'Raw Data'!M7</f>
        <v>15</v>
      </c>
      <c r="N7">
        <f>'Raw Data'!N7</f>
        <v>19</v>
      </c>
    </row>
    <row r="8" spans="1:14" x14ac:dyDescent="0.25">
      <c r="A8" s="11">
        <f>'Raw Data'!A8</f>
        <v>5</v>
      </c>
      <c r="B8" s="8" t="str">
        <f>TRIM(CLEAN('Raw Data'!B8))</f>
        <v>Feeling grateful for the little things in life.</v>
      </c>
      <c r="C8" s="4" t="str">
        <f>TRIM(PROPER('Raw Data'!C8))</f>
        <v>Positive</v>
      </c>
      <c r="D8" s="5">
        <f>'Raw Data'!D8</f>
        <v>44942.381944444445</v>
      </c>
      <c r="E8" s="4" t="str">
        <f>TRIM(SUBSTITUTE('Raw Data'!E8," "," "))</f>
        <v>GratitudeNow</v>
      </c>
      <c r="F8" s="4" t="str">
        <f>TRIM(PROPER('Raw Data'!F8))</f>
        <v>Twitter</v>
      </c>
      <c r="G8" s="8" t="str">
        <f>TRIM(CLEAN('Raw Data'!G8))</f>
        <v>#Gratitude #PositiveVibes</v>
      </c>
      <c r="H8" s="12">
        <f>'Raw Data'!H8</f>
        <v>25</v>
      </c>
      <c r="I8" s="12">
        <v>25</v>
      </c>
      <c r="J8" s="12" t="str">
        <f>TRIM(UPPER('Raw Data'!J8))</f>
        <v>INDIA</v>
      </c>
      <c r="K8" s="12">
        <f>'Raw Data'!K8</f>
        <v>2023</v>
      </c>
      <c r="L8" s="12">
        <f>'Raw Data'!L8</f>
        <v>1</v>
      </c>
      <c r="M8" s="12">
        <f>'Raw Data'!M8</f>
        <v>16</v>
      </c>
      <c r="N8">
        <f>'Raw Data'!N8</f>
        <v>9</v>
      </c>
    </row>
    <row r="9" spans="1:14" x14ac:dyDescent="0.25">
      <c r="A9" s="11">
        <f>'Raw Data'!A9</f>
        <v>6</v>
      </c>
      <c r="B9" s="8" t="str">
        <f>TRIM(CLEAN('Raw Data'!B9))</f>
        <v>Rainy days call for cozy blankets and hot cocoa.</v>
      </c>
      <c r="C9" s="4" t="str">
        <f>TRIM(PROPER('Raw Data'!C9))</f>
        <v>Positive</v>
      </c>
      <c r="D9" s="5">
        <f>'Raw Data'!D9</f>
        <v>44942.614583333336</v>
      </c>
      <c r="E9" s="4" t="str">
        <f>TRIM(SUBSTITUTE('Raw Data'!E9," "," "))</f>
        <v>RainyDays</v>
      </c>
      <c r="F9" s="4" t="str">
        <f>TRIM(PROPER('Raw Data'!F9))</f>
        <v>Facebook</v>
      </c>
      <c r="G9" s="8" t="str">
        <f>TRIM(CLEAN('Raw Data'!G9))</f>
        <v>#RainyDays #Cozy</v>
      </c>
      <c r="H9" s="12">
        <f>'Raw Data'!H9</f>
        <v>10</v>
      </c>
      <c r="I9" s="12">
        <v>50</v>
      </c>
      <c r="J9" s="12" t="str">
        <f>TRIM(UPPER('Raw Data'!J9))</f>
        <v>CANADA</v>
      </c>
      <c r="K9" s="12">
        <f>'Raw Data'!K9</f>
        <v>2023</v>
      </c>
      <c r="L9" s="12">
        <f>'Raw Data'!L9</f>
        <v>1</v>
      </c>
      <c r="M9" s="12">
        <f>'Raw Data'!M9</f>
        <v>16</v>
      </c>
      <c r="N9">
        <f>'Raw Data'!N9</f>
        <v>14</v>
      </c>
    </row>
    <row r="10" spans="1:14" x14ac:dyDescent="0.25">
      <c r="A10" s="11">
        <f>'Raw Data'!A10</f>
        <v>7</v>
      </c>
      <c r="B10" s="8" t="str">
        <f>TRIM(CLEAN('Raw Data'!B10))</f>
        <v>The new movie release is a must-watch!</v>
      </c>
      <c r="C10" s="4" t="str">
        <f>TRIM(PROPER('Raw Data'!C10))</f>
        <v>Positive</v>
      </c>
      <c r="D10" s="5">
        <f>'Raw Data'!D10</f>
        <v>44942.8125</v>
      </c>
      <c r="E10" s="4" t="str">
        <f>TRIM(SUBSTITUTE('Raw Data'!E10," "," "))</f>
        <v>MovieBuff</v>
      </c>
      <c r="F10" s="4" t="str">
        <f>TRIM(PROPER('Raw Data'!F10))</f>
        <v>Instagram</v>
      </c>
      <c r="G10" s="8" t="str">
        <f>TRIM(CLEAN('Raw Data'!G10))</f>
        <v>#MovieNight #MustWatch</v>
      </c>
      <c r="H10" s="12">
        <f>'Raw Data'!H10</f>
        <v>15</v>
      </c>
      <c r="I10" s="12">
        <v>20</v>
      </c>
      <c r="J10" s="12" t="str">
        <f>TRIM(UPPER('Raw Data'!J10))</f>
        <v>USA</v>
      </c>
      <c r="K10" s="12">
        <f>'Raw Data'!K10</f>
        <v>2023</v>
      </c>
      <c r="L10" s="12">
        <f>'Raw Data'!L10</f>
        <v>1</v>
      </c>
      <c r="M10" s="12">
        <f>'Raw Data'!M10</f>
        <v>16</v>
      </c>
      <c r="N10">
        <f>'Raw Data'!N10</f>
        <v>19</v>
      </c>
    </row>
    <row r="11" spans="1:14" x14ac:dyDescent="0.25">
      <c r="A11" s="11">
        <f>'Raw Data'!A11</f>
        <v>8</v>
      </c>
      <c r="B11" s="8" t="str">
        <f>TRIM(CLEAN('Raw Data'!B11))</f>
        <v>Political discussions heating up on the timeline.</v>
      </c>
      <c r="C11" s="4" t="str">
        <f>TRIM(PROPER('Raw Data'!C11))</f>
        <v>Negative</v>
      </c>
      <c r="D11" s="5">
        <f>'Raw Data'!D11</f>
        <v>44943.333333333336</v>
      </c>
      <c r="E11" s="4" t="str">
        <f>TRIM(SUBSTITUTE('Raw Data'!E11," "," "))</f>
        <v>DebateTalk</v>
      </c>
      <c r="F11" s="4" t="str">
        <f>TRIM(PROPER('Raw Data'!F11))</f>
        <v>Twitter</v>
      </c>
      <c r="G11" s="8" t="str">
        <f>TRIM(CLEAN('Raw Data'!G11))</f>
        <v>#Politics #Debate</v>
      </c>
      <c r="H11" s="12">
        <f>'Raw Data'!H11</f>
        <v>30</v>
      </c>
      <c r="I11" s="12">
        <v>30</v>
      </c>
      <c r="J11" s="12" t="str">
        <f>TRIM(UPPER('Raw Data'!J11))</f>
        <v>USA</v>
      </c>
      <c r="K11" s="12">
        <f>'Raw Data'!K11</f>
        <v>2023</v>
      </c>
      <c r="L11" s="12">
        <f>'Raw Data'!L11</f>
        <v>1</v>
      </c>
      <c r="M11" s="12">
        <f>'Raw Data'!M11</f>
        <v>17</v>
      </c>
      <c r="N11">
        <f>'Raw Data'!N11</f>
        <v>8</v>
      </c>
    </row>
    <row r="12" spans="1:14" x14ac:dyDescent="0.25">
      <c r="A12" s="11">
        <f>'Raw Data'!A12</f>
        <v>9</v>
      </c>
      <c r="B12" s="8" t="str">
        <f>TRIM(CLEAN('Raw Data'!B12))</f>
        <v>Missing summer vibes and beach days.</v>
      </c>
      <c r="C12" s="4" t="str">
        <f>TRIM(PROPER('Raw Data'!C12))</f>
        <v>Neutral</v>
      </c>
      <c r="D12" s="5">
        <f>'Raw Data'!D12</f>
        <v>44943.513888888891</v>
      </c>
      <c r="E12" s="4" t="str">
        <f>TRIM(SUBSTITUTE('Raw Data'!E12," "," "))</f>
        <v>BeachLover</v>
      </c>
      <c r="F12" s="4" t="str">
        <f>TRIM(PROPER('Raw Data'!F12))</f>
        <v>Facebook</v>
      </c>
      <c r="G12" s="8" t="str">
        <f>TRIM(CLEAN('Raw Data'!G12))</f>
        <v>#Summer #BeachDays</v>
      </c>
      <c r="H12" s="12">
        <f>'Raw Data'!H12</f>
        <v>18</v>
      </c>
      <c r="I12" s="12">
        <v>60</v>
      </c>
      <c r="J12" s="12" t="str">
        <f>TRIM(UPPER('Raw Data'!J12))</f>
        <v>AUSTRALIA</v>
      </c>
      <c r="K12" s="12">
        <f>'Raw Data'!K12</f>
        <v>2023</v>
      </c>
      <c r="L12" s="12">
        <f>'Raw Data'!L12</f>
        <v>1</v>
      </c>
      <c r="M12" s="12">
        <f>'Raw Data'!M12</f>
        <v>17</v>
      </c>
      <c r="N12">
        <f>'Raw Data'!N12</f>
        <v>12</v>
      </c>
    </row>
    <row r="13" spans="1:14" x14ac:dyDescent="0.25">
      <c r="A13" s="11">
        <f>'Raw Data'!A13</f>
        <v>10</v>
      </c>
      <c r="B13" s="8" t="str">
        <f>TRIM(CLEAN('Raw Data'!B13))</f>
        <v>Just published a new blog post. Check it out!</v>
      </c>
      <c r="C13" s="4" t="str">
        <f>TRIM(PROPER('Raw Data'!C13))</f>
        <v>Positive</v>
      </c>
      <c r="D13" s="5">
        <f>'Raw Data'!D13</f>
        <v>44943.635416666664</v>
      </c>
      <c r="E13" s="4" t="str">
        <f>TRIM(SUBSTITUTE('Raw Data'!E13," "," "))</f>
        <v>BloggerX</v>
      </c>
      <c r="F13" s="4" t="str">
        <f>TRIM(PROPER('Raw Data'!F13))</f>
        <v>Instagram</v>
      </c>
      <c r="G13" s="8" t="str">
        <f>TRIM(CLEAN('Raw Data'!G13))</f>
        <v>#Blogging #NewPost</v>
      </c>
      <c r="H13" s="12">
        <f>'Raw Data'!H13</f>
        <v>22</v>
      </c>
      <c r="I13" s="12">
        <v>35</v>
      </c>
      <c r="J13" s="12" t="str">
        <f>TRIM(UPPER('Raw Data'!J13))</f>
        <v>USA</v>
      </c>
      <c r="K13" s="12">
        <f>'Raw Data'!K13</f>
        <v>2023</v>
      </c>
      <c r="L13" s="12">
        <f>'Raw Data'!L13</f>
        <v>1</v>
      </c>
      <c r="M13" s="12">
        <f>'Raw Data'!M13</f>
        <v>17</v>
      </c>
      <c r="N13">
        <f>'Raw Data'!N13</f>
        <v>15</v>
      </c>
    </row>
    <row r="14" spans="1:14" x14ac:dyDescent="0.25">
      <c r="A14" s="11">
        <f>'Raw Data'!A14</f>
        <v>11</v>
      </c>
      <c r="B14" s="8" t="str">
        <f>TRIM(CLEAN('Raw Data'!B14))</f>
        <v>Feeling a bit under the weather today.</v>
      </c>
      <c r="C14" s="4" t="str">
        <f>TRIM(PROPER('Raw Data'!C14))</f>
        <v>Negative</v>
      </c>
      <c r="D14" s="5">
        <f>'Raw Data'!D14</f>
        <v>44944.4375</v>
      </c>
      <c r="E14" s="4" t="str">
        <f>TRIM(SUBSTITUTE('Raw Data'!E14," "," "))</f>
        <v>WellnessCheck</v>
      </c>
      <c r="F14" s="4" t="str">
        <f>TRIM(PROPER('Raw Data'!F14))</f>
        <v>Twitter</v>
      </c>
      <c r="G14" s="8" t="str">
        <f>TRIM(CLEAN('Raw Data'!G14))</f>
        <v>#SickDay #Health</v>
      </c>
      <c r="H14" s="12">
        <f>'Raw Data'!H14</f>
        <v>7</v>
      </c>
      <c r="I14" s="12">
        <v>45</v>
      </c>
      <c r="J14" s="12" t="str">
        <f>TRIM(UPPER('Raw Data'!J14))</f>
        <v>CANADA</v>
      </c>
      <c r="K14" s="12">
        <f>'Raw Data'!K14</f>
        <v>2023</v>
      </c>
      <c r="L14" s="12">
        <f>'Raw Data'!L14</f>
        <v>1</v>
      </c>
      <c r="M14" s="12">
        <f>'Raw Data'!M14</f>
        <v>18</v>
      </c>
      <c r="N14">
        <f>'Raw Data'!N14</f>
        <v>10</v>
      </c>
    </row>
    <row r="15" spans="1:14" x14ac:dyDescent="0.25">
      <c r="A15" s="11">
        <f>'Raw Data'!A15</f>
        <v>12</v>
      </c>
      <c r="B15" s="8" t="str">
        <f>TRIM(CLEAN('Raw Data'!B15))</f>
        <v>Exploring the city's hidden gems.</v>
      </c>
      <c r="C15" s="4" t="str">
        <f>TRIM(PROPER('Raw Data'!C15))</f>
        <v>Positive</v>
      </c>
      <c r="D15" s="5">
        <f>'Raw Data'!D15</f>
        <v>44944.618055555555</v>
      </c>
      <c r="E15" s="4" t="str">
        <f>TRIM(SUBSTITUTE('Raw Data'!E15," "," "))</f>
        <v>UrbanExplorer</v>
      </c>
      <c r="F15" s="4" t="str">
        <f>TRIM(PROPER('Raw Data'!F15))</f>
        <v>Facebook</v>
      </c>
      <c r="G15" s="8" t="str">
        <f>TRIM(CLEAN('Raw Data'!G15))</f>
        <v>#CityExplore #HiddenGems</v>
      </c>
      <c r="H15" s="12">
        <f>'Raw Data'!H15</f>
        <v>12</v>
      </c>
      <c r="I15" s="12">
        <v>15</v>
      </c>
      <c r="J15" s="12" t="str">
        <f>TRIM(UPPER('Raw Data'!J15))</f>
        <v>UK</v>
      </c>
      <c r="K15" s="12">
        <f>'Raw Data'!K15</f>
        <v>2023</v>
      </c>
      <c r="L15" s="12">
        <f>'Raw Data'!L15</f>
        <v>1</v>
      </c>
      <c r="M15" s="12">
        <f>'Raw Data'!M15</f>
        <v>18</v>
      </c>
      <c r="N15">
        <f>'Raw Data'!N15</f>
        <v>14</v>
      </c>
    </row>
    <row r="16" spans="1:14" x14ac:dyDescent="0.25">
      <c r="A16" s="11">
        <f>'Raw Data'!A16</f>
        <v>13</v>
      </c>
      <c r="B16" s="8" t="str">
        <f>TRIM(CLEAN('Raw Data'!B16))</f>
        <v>New year, new fitness goals! 💪</v>
      </c>
      <c r="C16" s="4" t="str">
        <f>TRIM(PROPER('Raw Data'!C16))</f>
        <v>Positive</v>
      </c>
      <c r="D16" s="5">
        <f>'Raw Data'!D16</f>
        <v>44944.75</v>
      </c>
      <c r="E16" s="4" t="str">
        <f>TRIM(SUBSTITUTE('Raw Data'!E16," "," "))</f>
        <v>FitJourney</v>
      </c>
      <c r="F16" s="4" t="str">
        <f>TRIM(PROPER('Raw Data'!F16))</f>
        <v>Instagram</v>
      </c>
      <c r="G16" s="8" t="str">
        <f>TRIM(CLEAN('Raw Data'!G16))</f>
        <v>#NewYear #FitnessGoals</v>
      </c>
      <c r="H16" s="12">
        <f>'Raw Data'!H16</f>
        <v>28</v>
      </c>
      <c r="I16" s="12">
        <v>25</v>
      </c>
      <c r="J16" s="12" t="str">
        <f>TRIM(UPPER('Raw Data'!J16))</f>
        <v>USA</v>
      </c>
      <c r="K16" s="12">
        <f>'Raw Data'!K16</f>
        <v>2023</v>
      </c>
      <c r="L16" s="12">
        <f>'Raw Data'!L16</f>
        <v>1</v>
      </c>
      <c r="M16" s="12">
        <f>'Raw Data'!M16</f>
        <v>18</v>
      </c>
      <c r="N16">
        <f>'Raw Data'!N16</f>
        <v>18</v>
      </c>
    </row>
    <row r="17" spans="1:14" x14ac:dyDescent="0.25">
      <c r="A17" s="11">
        <f>'Raw Data'!A17</f>
        <v>14</v>
      </c>
      <c r="B17" s="8" t="str">
        <f>TRIM(CLEAN('Raw Data'!B17))</f>
        <v>Technology is changing the way we live.</v>
      </c>
      <c r="C17" s="4" t="str">
        <f>TRIM(PROPER('Raw Data'!C17))</f>
        <v>Neutral</v>
      </c>
      <c r="D17" s="5">
        <f>'Raw Data'!D17</f>
        <v>44945.40625</v>
      </c>
      <c r="E17" s="4" t="str">
        <f>TRIM(SUBSTITUTE('Raw Data'!E17," "," "))</f>
        <v>TechEnthusiast</v>
      </c>
      <c r="F17" s="4" t="str">
        <f>TRIM(PROPER('Raw Data'!F17))</f>
        <v>Twitter</v>
      </c>
      <c r="G17" s="8" t="str">
        <f>TRIM(CLEAN('Raw Data'!G17))</f>
        <v>#Tech #Innovation</v>
      </c>
      <c r="H17" s="12">
        <f>'Raw Data'!H17</f>
        <v>15</v>
      </c>
      <c r="I17" s="12">
        <v>55</v>
      </c>
      <c r="J17" s="12" t="str">
        <f>TRIM(UPPER('Raw Data'!J17))</f>
        <v>INDIA</v>
      </c>
      <c r="K17" s="12">
        <f>'Raw Data'!K17</f>
        <v>2023</v>
      </c>
      <c r="L17" s="12">
        <f>'Raw Data'!L17</f>
        <v>1</v>
      </c>
      <c r="M17" s="12">
        <f>'Raw Data'!M17</f>
        <v>19</v>
      </c>
      <c r="N17">
        <f>'Raw Data'!N17</f>
        <v>9</v>
      </c>
    </row>
    <row r="18" spans="1:14" x14ac:dyDescent="0.25">
      <c r="A18" s="11">
        <f>'Raw Data'!A18</f>
        <v>15</v>
      </c>
      <c r="B18" s="8" t="str">
        <f>TRIM(CLEAN('Raw Data'!B18))</f>
        <v>Reflecting on the past and looking ahead.</v>
      </c>
      <c r="C18" s="4" t="str">
        <f>TRIM(PROPER('Raw Data'!C18))</f>
        <v>Positive</v>
      </c>
      <c r="D18" s="5">
        <f>'Raw Data'!D18</f>
        <v>44945.555555555555</v>
      </c>
      <c r="E18" s="4" t="str">
        <f>TRIM(SUBSTITUTE('Raw Data'!E18," "," "))</f>
        <v>Reflections</v>
      </c>
      <c r="F18" s="4" t="str">
        <f>TRIM(PROPER('Raw Data'!F18))</f>
        <v>Facebook</v>
      </c>
      <c r="G18" s="8" t="str">
        <f>TRIM(CLEAN('Raw Data'!G18))</f>
        <v>#Reflection #Future</v>
      </c>
      <c r="H18" s="12">
        <f>'Raw Data'!H18</f>
        <v>20</v>
      </c>
      <c r="I18" s="12">
        <v>30</v>
      </c>
      <c r="J18" s="12" t="str">
        <f>TRIM(UPPER('Raw Data'!J18))</f>
        <v>USA</v>
      </c>
      <c r="K18" s="12">
        <f>'Raw Data'!K18</f>
        <v>2023</v>
      </c>
      <c r="L18" s="12">
        <f>'Raw Data'!L18</f>
        <v>1</v>
      </c>
      <c r="M18" s="12">
        <f>'Raw Data'!M18</f>
        <v>19</v>
      </c>
      <c r="N18">
        <f>'Raw Data'!N18</f>
        <v>13</v>
      </c>
    </row>
    <row r="19" spans="1:14" x14ac:dyDescent="0.25">
      <c r="A19" s="11">
        <f>'Raw Data'!A19</f>
        <v>16</v>
      </c>
      <c r="B19" s="8" t="str">
        <f>TRIM(CLEAN('Raw Data'!B19))</f>
        <v>Just adopted a cute furry friend! 🐾</v>
      </c>
      <c r="C19" s="4" t="str">
        <f>TRIM(PROPER('Raw Data'!C19))</f>
        <v>Positive</v>
      </c>
      <c r="D19" s="5">
        <f>'Raw Data'!D19</f>
        <v>44945.715277777781</v>
      </c>
      <c r="E19" s="4" t="str">
        <f>TRIM(SUBSTITUTE('Raw Data'!E19," "," "))</f>
        <v>PetAdopter</v>
      </c>
      <c r="F19" s="4" t="str">
        <f>TRIM(PROPER('Raw Data'!F19))</f>
        <v>Instagram</v>
      </c>
      <c r="G19" s="8" t="str">
        <f>TRIM(CLEAN('Raw Data'!G19))</f>
        <v>#PetAdoption #FurryFriend</v>
      </c>
      <c r="H19" s="12">
        <f>'Raw Data'!H19</f>
        <v>15</v>
      </c>
      <c r="I19" s="12">
        <v>40</v>
      </c>
      <c r="J19" s="12" t="str">
        <f>TRIM(UPPER('Raw Data'!J19))</f>
        <v>CANADA</v>
      </c>
      <c r="K19" s="12">
        <f>'Raw Data'!K19</f>
        <v>2023</v>
      </c>
      <c r="L19" s="12">
        <f>'Raw Data'!L19</f>
        <v>1</v>
      </c>
      <c r="M19" s="12">
        <f>'Raw Data'!M19</f>
        <v>19</v>
      </c>
      <c r="N19">
        <f>'Raw Data'!N19</f>
        <v>17</v>
      </c>
    </row>
    <row r="20" spans="1:14" x14ac:dyDescent="0.25">
      <c r="A20" s="11">
        <f>'Raw Data'!A20</f>
        <v>17</v>
      </c>
      <c r="B20" s="8" t="str">
        <f>TRIM(CLEAN('Raw Data'!B20))</f>
        <v>Late-night gaming session with friends.</v>
      </c>
      <c r="C20" s="4" t="str">
        <f>TRIM(PROPER('Raw Data'!C20))</f>
        <v>Positive</v>
      </c>
      <c r="D20" s="5">
        <f>'Raw Data'!D20</f>
        <v>44946.003472222219</v>
      </c>
      <c r="E20" s="4" t="str">
        <f>TRIM(SUBSTITUTE('Raw Data'!E20," "," "))</f>
        <v>GamerX</v>
      </c>
      <c r="F20" s="4" t="str">
        <f>TRIM(PROPER('Raw Data'!F20))</f>
        <v>Twitter</v>
      </c>
      <c r="G20" s="8" t="str">
        <f>TRIM(CLEAN('Raw Data'!G20))</f>
        <v>#Gaming #LateNight</v>
      </c>
      <c r="H20" s="12">
        <f>'Raw Data'!H20</f>
        <v>18</v>
      </c>
      <c r="I20" s="12">
        <v>30</v>
      </c>
      <c r="J20" s="12" t="str">
        <f>TRIM(UPPER('Raw Data'!J20))</f>
        <v>UK</v>
      </c>
      <c r="K20" s="12">
        <f>'Raw Data'!K20</f>
        <v>2023</v>
      </c>
      <c r="L20" s="12">
        <f>'Raw Data'!L20</f>
        <v>1</v>
      </c>
      <c r="M20" s="12">
        <f>'Raw Data'!M20</f>
        <v>20</v>
      </c>
      <c r="N20">
        <f>'Raw Data'!N20</f>
        <v>0</v>
      </c>
    </row>
    <row r="21" spans="1:14" x14ac:dyDescent="0.25">
      <c r="A21" s="11">
        <f>'Raw Data'!A21</f>
        <v>18</v>
      </c>
      <c r="B21" s="8" t="str">
        <f>TRIM(CLEAN('Raw Data'!B21))</f>
        <v>Attending a virtual conference on AI.</v>
      </c>
      <c r="C21" s="4" t="str">
        <f>TRIM(PROPER('Raw Data'!C21))</f>
        <v>Neutral</v>
      </c>
      <c r="D21" s="5">
        <f>'Raw Data'!D21</f>
        <v>44946.479166666664</v>
      </c>
      <c r="E21" s="4" t="str">
        <f>TRIM(SUBSTITUTE('Raw Data'!E21," "," "))</f>
        <v>TechConference</v>
      </c>
      <c r="F21" s="4" t="str">
        <f>TRIM(PROPER('Raw Data'!F21))</f>
        <v>Facebook</v>
      </c>
      <c r="G21" s="8" t="str">
        <f>TRIM(CLEAN('Raw Data'!G21))</f>
        <v>#AI #TechConference</v>
      </c>
      <c r="H21" s="12">
        <f>'Raw Data'!H21</f>
        <v>25</v>
      </c>
      <c r="I21" s="12">
        <v>35</v>
      </c>
      <c r="J21" s="12" t="str">
        <f>TRIM(UPPER('Raw Data'!J21))</f>
        <v>USA</v>
      </c>
      <c r="K21" s="12">
        <f>'Raw Data'!K21</f>
        <v>2023</v>
      </c>
      <c r="L21" s="12">
        <f>'Raw Data'!L21</f>
        <v>1</v>
      </c>
      <c r="M21" s="12">
        <f>'Raw Data'!M21</f>
        <v>20</v>
      </c>
      <c r="N21">
        <f>'Raw Data'!N21</f>
        <v>11</v>
      </c>
    </row>
    <row r="22" spans="1:14" x14ac:dyDescent="0.25">
      <c r="A22" s="11">
        <f>'Raw Data'!A22</f>
        <v>19</v>
      </c>
      <c r="B22" s="8" t="str">
        <f>TRIM(CLEAN('Raw Data'!B22))</f>
        <v>Winter blues got me feeling low.</v>
      </c>
      <c r="C22" s="4" t="str">
        <f>TRIM(PROPER('Raw Data'!C22))</f>
        <v>Negative</v>
      </c>
      <c r="D22" s="5">
        <f>'Raw Data'!D22</f>
        <v>44946.635416666664</v>
      </c>
      <c r="E22" s="4" t="str">
        <f>TRIM(SUBSTITUTE('Raw Data'!E22," "," "))</f>
        <v>WinterBlues</v>
      </c>
      <c r="F22" s="4" t="str">
        <f>TRIM(PROPER('Raw Data'!F22))</f>
        <v>Instagram</v>
      </c>
      <c r="G22" s="8" t="str">
        <f>TRIM(CLEAN('Raw Data'!G22))</f>
        <v>#WinterBlues #Mood</v>
      </c>
      <c r="H22" s="12">
        <f>'Raw Data'!H22</f>
        <v>8</v>
      </c>
      <c r="I22" s="12">
        <v>50</v>
      </c>
      <c r="J22" s="12" t="str">
        <f>TRIM(UPPER('Raw Data'!J22))</f>
        <v>USA</v>
      </c>
      <c r="K22" s="12">
        <f>'Raw Data'!K22</f>
        <v>2023</v>
      </c>
      <c r="L22" s="12">
        <f>'Raw Data'!L22</f>
        <v>1</v>
      </c>
      <c r="M22" s="12">
        <f>'Raw Data'!M22</f>
        <v>20</v>
      </c>
      <c r="N22">
        <f>'Raw Data'!N22</f>
        <v>15</v>
      </c>
    </row>
    <row r="23" spans="1:14" x14ac:dyDescent="0.25">
      <c r="A23" s="11">
        <f>'Raw Data'!A23</f>
        <v>20</v>
      </c>
      <c r="B23" s="8" t="str">
        <f>TRIM(CLEAN('Raw Data'!B23))</f>
        <v>Sipping coffee and enjoying a good book.</v>
      </c>
      <c r="C23" s="4" t="str">
        <f>TRIM(PROPER('Raw Data'!C23))</f>
        <v>Positive</v>
      </c>
      <c r="D23" s="5">
        <f>'Raw Data'!D23</f>
        <v>44947.361111111109</v>
      </c>
      <c r="E23" s="4" t="str">
        <f>TRIM(SUBSTITUTE('Raw Data'!E23," "," "))</f>
        <v>Bookworm</v>
      </c>
      <c r="F23" s="4" t="str">
        <f>TRIM(PROPER('Raw Data'!F23))</f>
        <v>Twitter</v>
      </c>
      <c r="G23" s="8" t="str">
        <f>TRIM(CLEAN('Raw Data'!G23))</f>
        <v>#Reading #CoffeeTime</v>
      </c>
      <c r="H23" s="12">
        <f>'Raw Data'!H23</f>
        <v>22</v>
      </c>
      <c r="I23" s="12">
        <v>15</v>
      </c>
      <c r="J23" s="12" t="str">
        <f>TRIM(UPPER('Raw Data'!J23))</f>
        <v>INDIA</v>
      </c>
      <c r="K23" s="12">
        <f>'Raw Data'!K23</f>
        <v>2023</v>
      </c>
      <c r="L23" s="12">
        <f>'Raw Data'!L23</f>
        <v>1</v>
      </c>
      <c r="M23" s="12">
        <f>'Raw Data'!M23</f>
        <v>21</v>
      </c>
      <c r="N23">
        <f>'Raw Data'!N23</f>
        <v>8</v>
      </c>
    </row>
    <row r="24" spans="1:14" x14ac:dyDescent="0.25">
      <c r="A24" s="11">
        <f>'Raw Data'!A24</f>
        <v>21</v>
      </c>
      <c r="B24" s="8" t="str">
        <f>TRIM(CLEAN('Raw Data'!B24))</f>
        <v>Exploring the world of virtual reality.</v>
      </c>
      <c r="C24" s="4" t="str">
        <f>TRIM(PROPER('Raw Data'!C24))</f>
        <v>Positive</v>
      </c>
      <c r="D24" s="5">
        <f>'Raw Data'!D24</f>
        <v>44947.555555555555</v>
      </c>
      <c r="E24" s="4" t="str">
        <f>TRIM(SUBSTITUTE('Raw Data'!E24," "," "))</f>
        <v>VRExplorer</v>
      </c>
      <c r="F24" s="4" t="str">
        <f>TRIM(PROPER('Raw Data'!F24))</f>
        <v>Facebook</v>
      </c>
      <c r="G24" s="8" t="str">
        <f>TRIM(CLEAN('Raw Data'!G24))</f>
        <v>#VR #VirtualReality</v>
      </c>
      <c r="H24" s="12">
        <f>'Raw Data'!H24</f>
        <v>15</v>
      </c>
      <c r="I24" s="12">
        <v>45</v>
      </c>
      <c r="J24" s="12" t="str">
        <f>TRIM(UPPER('Raw Data'!J24))</f>
        <v>USA</v>
      </c>
      <c r="K24" s="12">
        <f>'Raw Data'!K24</f>
        <v>2023</v>
      </c>
      <c r="L24" s="12">
        <f>'Raw Data'!L24</f>
        <v>1</v>
      </c>
      <c r="M24" s="12">
        <f>'Raw Data'!M24</f>
        <v>21</v>
      </c>
      <c r="N24">
        <f>'Raw Data'!N24</f>
        <v>13</v>
      </c>
    </row>
    <row r="25" spans="1:14" x14ac:dyDescent="0.25">
      <c r="A25" s="11">
        <f>'Raw Data'!A25</f>
        <v>22</v>
      </c>
      <c r="B25" s="8" t="str">
        <f>TRIM(CLEAN('Raw Data'!B25))</f>
        <v>Productive day ticking off my to-do list.</v>
      </c>
      <c r="C25" s="4" t="str">
        <f>TRIM(PROPER('Raw Data'!C25))</f>
        <v>Positive</v>
      </c>
      <c r="D25" s="5">
        <f>'Raw Data'!D25</f>
        <v>44947.697916666664</v>
      </c>
      <c r="E25" s="4" t="str">
        <f>TRIM(SUBSTITUTE('Raw Data'!E25," "," "))</f>
        <v>ProductivityPro</v>
      </c>
      <c r="F25" s="4" t="str">
        <f>TRIM(PROPER('Raw Data'!F25))</f>
        <v>Instagram</v>
      </c>
      <c r="G25" s="8" t="str">
        <f>TRIM(CLEAN('Raw Data'!G25))</f>
        <v>#Productivity #WorkFromHome</v>
      </c>
      <c r="H25" s="12">
        <f>'Raw Data'!H25</f>
        <v>30</v>
      </c>
      <c r="I25" s="12">
        <v>30</v>
      </c>
      <c r="J25" s="12" t="str">
        <f>TRIM(UPPER('Raw Data'!J25))</f>
        <v>USA</v>
      </c>
      <c r="K25" s="12">
        <f>'Raw Data'!K25</f>
        <v>2023</v>
      </c>
      <c r="L25" s="12">
        <f>'Raw Data'!L25</f>
        <v>1</v>
      </c>
      <c r="M25" s="12">
        <f>'Raw Data'!M25</f>
        <v>21</v>
      </c>
      <c r="N25">
        <f>'Raw Data'!N25</f>
        <v>16</v>
      </c>
    </row>
    <row r="26" spans="1:14" x14ac:dyDescent="0.25">
      <c r="A26" s="11">
        <f>'Raw Data'!A26</f>
        <v>23</v>
      </c>
      <c r="B26" s="8" t="str">
        <f>TRIM(CLEAN('Raw Data'!B26))</f>
        <v>Just finished a challenging workout routine.</v>
      </c>
      <c r="C26" s="4" t="str">
        <f>TRIM(PROPER('Raw Data'!C26))</f>
        <v>Positive</v>
      </c>
      <c r="D26" s="5">
        <f>'Raw Data'!D26</f>
        <v>44948.385416666664</v>
      </c>
      <c r="E26" s="4" t="str">
        <f>TRIM(SUBSTITUTE('Raw Data'!E26," "," "))</f>
        <v>FitnessWarrior</v>
      </c>
      <c r="F26" s="4" t="str">
        <f>TRIM(PROPER('Raw Data'!F26))</f>
        <v>Twitter</v>
      </c>
      <c r="G26" s="8" t="str">
        <f>TRIM(CLEAN('Raw Data'!G26))</f>
        <v>#Fitness #ChallengeAccepted</v>
      </c>
      <c r="H26" s="12">
        <f>'Raw Data'!H26</f>
        <v>20</v>
      </c>
      <c r="I26" s="12">
        <v>60</v>
      </c>
      <c r="J26" s="12" t="str">
        <f>TRIM(UPPER('Raw Data'!J26))</f>
        <v>UK</v>
      </c>
      <c r="K26" s="12">
        <f>'Raw Data'!K26</f>
        <v>2023</v>
      </c>
      <c r="L26" s="12">
        <f>'Raw Data'!L26</f>
        <v>1</v>
      </c>
      <c r="M26" s="12">
        <f>'Raw Data'!M26</f>
        <v>22</v>
      </c>
      <c r="N26">
        <f>'Raw Data'!N26</f>
        <v>9</v>
      </c>
    </row>
    <row r="27" spans="1:14" x14ac:dyDescent="0.25">
      <c r="A27" s="11">
        <f>'Raw Data'!A27</f>
        <v>24</v>
      </c>
      <c r="B27" s="8" t="str">
        <f>TRIM(CLEAN('Raw Data'!B27))</f>
        <v>Celebrating a milestone at work! 🎉</v>
      </c>
      <c r="C27" s="4" t="str">
        <f>TRIM(PROPER('Raw Data'!C27))</f>
        <v>Positive</v>
      </c>
      <c r="D27" s="5">
        <f>'Raw Data'!D27</f>
        <v>44948.604166666664</v>
      </c>
      <c r="E27" s="4" t="str">
        <f>TRIM(SUBSTITUTE('Raw Data'!E27," "," "))</f>
        <v>CareerMilestone</v>
      </c>
      <c r="F27" s="4" t="str">
        <f>TRIM(PROPER('Raw Data'!F27))</f>
        <v>Facebook</v>
      </c>
      <c r="G27" s="8" t="str">
        <f>TRIM(CLEAN('Raw Data'!G27))</f>
        <v>#Career #Milestone</v>
      </c>
      <c r="H27" s="12">
        <f>'Raw Data'!H27</f>
        <v>12</v>
      </c>
      <c r="I27" s="12">
        <v>40</v>
      </c>
      <c r="J27" s="12" t="str">
        <f>TRIM(UPPER('Raw Data'!J27))</f>
        <v>CANADA</v>
      </c>
      <c r="K27" s="12">
        <f>'Raw Data'!K27</f>
        <v>2023</v>
      </c>
      <c r="L27" s="12">
        <f>'Raw Data'!L27</f>
        <v>1</v>
      </c>
      <c r="M27" s="12">
        <f>'Raw Data'!M27</f>
        <v>22</v>
      </c>
      <c r="N27">
        <f>'Raw Data'!N27</f>
        <v>14</v>
      </c>
    </row>
    <row r="28" spans="1:14" x14ac:dyDescent="0.25">
      <c r="A28" s="11">
        <f>'Raw Data'!A28</f>
        <v>25</v>
      </c>
      <c r="B28" s="8" t="str">
        <f>TRIM(CLEAN('Raw Data'!B28))</f>
        <v>Sunday brunch with friends.</v>
      </c>
      <c r="C28" s="4" t="str">
        <f>TRIM(PROPER('Raw Data'!C28))</f>
        <v>Positive</v>
      </c>
      <c r="D28" s="5">
        <f>'Raw Data'!D28</f>
        <v>44948.5</v>
      </c>
      <c r="E28" s="4" t="str">
        <f>TRIM(SUBSTITUTE('Raw Data'!E28," "," "))</f>
        <v>BrunchBuddy</v>
      </c>
      <c r="F28" s="4" t="str">
        <f>TRIM(PROPER('Raw Data'!F28))</f>
        <v>Instagram</v>
      </c>
      <c r="G28" s="8" t="str">
        <f>TRIM(CLEAN('Raw Data'!G28))</f>
        <v>#Brunch #Friends</v>
      </c>
      <c r="H28" s="12">
        <f>'Raw Data'!H28</f>
        <v>15</v>
      </c>
      <c r="I28" s="12">
        <v>25</v>
      </c>
      <c r="J28" s="12" t="str">
        <f>TRIM(UPPER('Raw Data'!J28))</f>
        <v>UK</v>
      </c>
      <c r="K28" s="12">
        <f>'Raw Data'!K28</f>
        <v>2023</v>
      </c>
      <c r="L28" s="12">
        <f>'Raw Data'!L28</f>
        <v>1</v>
      </c>
      <c r="M28" s="12">
        <f>'Raw Data'!M28</f>
        <v>22</v>
      </c>
      <c r="N28">
        <f>'Raw Data'!N28</f>
        <v>12</v>
      </c>
    </row>
    <row r="29" spans="1:14" x14ac:dyDescent="0.25">
      <c r="A29" s="11">
        <f>'Raw Data'!A29</f>
        <v>27</v>
      </c>
      <c r="B29" s="8" t="str">
        <f>TRIM(CLEAN('Raw Data'!B29))</f>
        <v>Learning a new language for personal growth.</v>
      </c>
      <c r="C29" s="4" t="str">
        <f>TRIM(PROPER('Raw Data'!C29))</f>
        <v>Positive</v>
      </c>
      <c r="D29" s="5">
        <f>'Raw Data'!D29</f>
        <v>44949.680555555555</v>
      </c>
      <c r="E29" s="4" t="str">
        <f>TRIM(SUBSTITUTE('Raw Data'!E29," "," "))</f>
        <v>LanguageLearner</v>
      </c>
      <c r="F29" s="4" t="str">
        <f>TRIM(PROPER('Raw Data'!F29))</f>
        <v>Facebook</v>
      </c>
      <c r="G29" s="8" t="str">
        <f>TRIM(CLEAN('Raw Data'!G29))</f>
        <v>#LanguageLearning #PersonalGrowth</v>
      </c>
      <c r="H29" s="12">
        <f>'Raw Data'!H29</f>
        <v>25</v>
      </c>
      <c r="I29" s="12">
        <v>30</v>
      </c>
      <c r="J29" s="12" t="str">
        <f>TRIM(UPPER('Raw Data'!J29))</f>
        <v>INDIA</v>
      </c>
      <c r="K29" s="12">
        <f>'Raw Data'!K29</f>
        <v>2023</v>
      </c>
      <c r="L29" s="12">
        <f>'Raw Data'!L29</f>
        <v>1</v>
      </c>
      <c r="M29" s="12">
        <f>'Raw Data'!M29</f>
        <v>23</v>
      </c>
      <c r="N29">
        <f>'Raw Data'!N29</f>
        <v>16</v>
      </c>
    </row>
    <row r="30" spans="1:14" x14ac:dyDescent="0.25">
      <c r="A30" s="11">
        <f>'Raw Data'!A30</f>
        <v>28</v>
      </c>
      <c r="B30" s="8" t="str">
        <f>TRIM(CLEAN('Raw Data'!B30))</f>
        <v>Quiet evening with a good book.</v>
      </c>
      <c r="C30" s="4" t="str">
        <f>TRIM(PROPER('Raw Data'!C30))</f>
        <v>Positive</v>
      </c>
      <c r="D30" s="5">
        <f>'Raw Data'!D30</f>
        <v>44949.822916666664</v>
      </c>
      <c r="E30" s="4" t="str">
        <f>TRIM(SUBSTITUTE('Raw Data'!E30," "," "))</f>
        <v>BookLover</v>
      </c>
      <c r="F30" s="4" t="str">
        <f>TRIM(PROPER('Raw Data'!F30))</f>
        <v>Instagram</v>
      </c>
      <c r="G30" s="8" t="str">
        <f>TRIM(CLEAN('Raw Data'!G30))</f>
        <v>#Reading #QuietTime</v>
      </c>
      <c r="H30" s="12">
        <f>'Raw Data'!H30</f>
        <v>15</v>
      </c>
      <c r="I30" s="12">
        <v>50</v>
      </c>
      <c r="J30" s="12" t="str">
        <f>TRIM(UPPER('Raw Data'!J30))</f>
        <v>AUSTRALIA</v>
      </c>
      <c r="K30" s="12">
        <f>'Raw Data'!K30</f>
        <v>2023</v>
      </c>
      <c r="L30" s="12">
        <f>'Raw Data'!L30</f>
        <v>1</v>
      </c>
      <c r="M30" s="12">
        <f>'Raw Data'!M30</f>
        <v>23</v>
      </c>
      <c r="N30">
        <f>'Raw Data'!N30</f>
        <v>19</v>
      </c>
    </row>
    <row r="31" spans="1:14" ht="30" x14ac:dyDescent="0.25">
      <c r="A31" s="11">
        <f>'Raw Data'!A31</f>
        <v>29</v>
      </c>
      <c r="B31" s="8" t="str">
        <f>TRIM(CLEAN('Raw Data'!B31))</f>
        <v>Reflecting on the importance of mental health.</v>
      </c>
      <c r="C31" s="4" t="str">
        <f>TRIM(PROPER('Raw Data'!C31))</f>
        <v>Positive</v>
      </c>
      <c r="D31" s="5">
        <f>'Raw Data'!D31</f>
        <v>44950.479166666664</v>
      </c>
      <c r="E31" s="4" t="str">
        <f>TRIM(SUBSTITUTE('Raw Data'!E31," "," "))</f>
        <v>MentalHealthMatters</v>
      </c>
      <c r="F31" s="4" t="str">
        <f>TRIM(PROPER('Raw Data'!F31))</f>
        <v>Twitter</v>
      </c>
      <c r="G31" s="8" t="str">
        <f>TRIM(CLEAN('Raw Data'!G31))</f>
        <v>#MentalHealth #SelfCare</v>
      </c>
      <c r="H31" s="12">
        <f>'Raw Data'!H31</f>
        <v>22</v>
      </c>
      <c r="I31" s="12">
        <v>30</v>
      </c>
      <c r="J31" s="12" t="str">
        <f>TRIM(UPPER('Raw Data'!J31))</f>
        <v>USA</v>
      </c>
      <c r="K31" s="12">
        <f>'Raw Data'!K31</f>
        <v>2023</v>
      </c>
      <c r="L31" s="12">
        <f>'Raw Data'!L31</f>
        <v>1</v>
      </c>
      <c r="M31" s="12">
        <f>'Raw Data'!M31</f>
        <v>24</v>
      </c>
      <c r="N31">
        <f>'Raw Data'!N31</f>
        <v>11</v>
      </c>
    </row>
    <row r="32" spans="1:14" x14ac:dyDescent="0.25">
      <c r="A32" s="11">
        <f>'Raw Data'!A32</f>
        <v>30</v>
      </c>
      <c r="B32" s="8" t="str">
        <f>TRIM(CLEAN('Raw Data'!B32))</f>
        <v>New painting in progress! 🎨</v>
      </c>
      <c r="C32" s="4" t="str">
        <f>TRIM(PROPER('Raw Data'!C32))</f>
        <v>Positive</v>
      </c>
      <c r="D32" s="5">
        <f>'Raw Data'!D32</f>
        <v>44950.625</v>
      </c>
      <c r="E32" s="4" t="str">
        <f>TRIM(SUBSTITUTE('Raw Data'!E32," "," "))</f>
        <v>ArtistInAction</v>
      </c>
      <c r="F32" s="4" t="str">
        <f>TRIM(PROPER('Raw Data'!F32))</f>
        <v>Facebook</v>
      </c>
      <c r="G32" s="8" t="str">
        <f>TRIM(CLEAN('Raw Data'!G32))</f>
        <v>#Art #PaintingInProgress</v>
      </c>
      <c r="H32" s="12">
        <f>'Raw Data'!H32</f>
        <v>12</v>
      </c>
      <c r="I32" s="12">
        <v>45</v>
      </c>
      <c r="J32" s="12" t="str">
        <f>TRIM(UPPER('Raw Data'!J32))</f>
        <v>CANADA</v>
      </c>
      <c r="K32" s="12">
        <f>'Raw Data'!K32</f>
        <v>2023</v>
      </c>
      <c r="L32" s="12">
        <f>'Raw Data'!L32</f>
        <v>1</v>
      </c>
      <c r="M32" s="12">
        <f>'Raw Data'!M32</f>
        <v>24</v>
      </c>
      <c r="N32">
        <f>'Raw Data'!N32</f>
        <v>15</v>
      </c>
    </row>
    <row r="33" spans="1:14" x14ac:dyDescent="0.25">
      <c r="A33" s="11">
        <f>'Raw Data'!A33</f>
        <v>31</v>
      </c>
      <c r="B33" s="8" t="str">
        <f>TRIM(CLEAN('Raw Data'!B33))</f>
        <v>Weekend road trip to explore scenic views.</v>
      </c>
      <c r="C33" s="4" t="str">
        <f>TRIM(PROPER('Raw Data'!C33))</f>
        <v>Positive</v>
      </c>
      <c r="D33" s="5">
        <f>'Raw Data'!D33</f>
        <v>44950.729166666664</v>
      </c>
      <c r="E33" s="4" t="str">
        <f>TRIM(SUBSTITUTE('Raw Data'!E33," "," "))</f>
        <v>RoadTripper</v>
      </c>
      <c r="F33" s="4" t="str">
        <f>TRIM(PROPER('Raw Data'!F33))</f>
        <v>Instagram</v>
      </c>
      <c r="G33" s="8" t="str">
        <f>TRIM(CLEAN('Raw Data'!G33))</f>
        <v>#RoadTrip #ScenicViews</v>
      </c>
      <c r="H33" s="12">
        <f>'Raw Data'!H33</f>
        <v>18</v>
      </c>
      <c r="I33" s="12">
        <v>25</v>
      </c>
      <c r="J33" s="12" t="str">
        <f>TRIM(UPPER('Raw Data'!J33))</f>
        <v>UK</v>
      </c>
      <c r="K33" s="12">
        <f>'Raw Data'!K33</f>
        <v>2023</v>
      </c>
      <c r="L33" s="12">
        <f>'Raw Data'!L33</f>
        <v>1</v>
      </c>
      <c r="M33" s="12">
        <f>'Raw Data'!M33</f>
        <v>24</v>
      </c>
      <c r="N33">
        <f>'Raw Data'!N33</f>
        <v>17</v>
      </c>
    </row>
    <row r="34" spans="1:14" x14ac:dyDescent="0.25">
      <c r="A34" s="11">
        <f>'Raw Data'!A34</f>
        <v>32</v>
      </c>
      <c r="B34" s="8" t="str">
        <f>TRIM(CLEAN('Raw Data'!B34))</f>
        <v>Enjoying a cup of tea and watching the sunset.</v>
      </c>
      <c r="C34" s="4" t="str">
        <f>TRIM(PROPER('Raw Data'!C34))</f>
        <v>Positive</v>
      </c>
      <c r="D34" s="5">
        <f>'Raw Data'!D34</f>
        <v>44951.75</v>
      </c>
      <c r="E34" s="4" t="str">
        <f>TRIM(SUBSTITUTE('Raw Data'!E34," "," "))</f>
        <v>SunsetWatcher</v>
      </c>
      <c r="F34" s="4" t="str">
        <f>TRIM(PROPER('Raw Data'!F34))</f>
        <v>Twitter</v>
      </c>
      <c r="G34" s="8" t="str">
        <f>TRIM(CLEAN('Raw Data'!G34))</f>
        <v>#TeaTime #Sunset</v>
      </c>
      <c r="H34" s="12">
        <f>'Raw Data'!H34</f>
        <v>15</v>
      </c>
      <c r="I34" s="12">
        <v>35</v>
      </c>
      <c r="J34" s="12" t="str">
        <f>TRIM(UPPER('Raw Data'!J34))</f>
        <v>INDIA</v>
      </c>
      <c r="K34" s="12">
        <f>'Raw Data'!K34</f>
        <v>2023</v>
      </c>
      <c r="L34" s="12">
        <f>'Raw Data'!L34</f>
        <v>1</v>
      </c>
      <c r="M34" s="12">
        <f>'Raw Data'!M34</f>
        <v>25</v>
      </c>
      <c r="N34">
        <f>'Raw Data'!N34</f>
        <v>18</v>
      </c>
    </row>
    <row r="35" spans="1:14" x14ac:dyDescent="0.25">
      <c r="A35" s="11">
        <f>'Raw Data'!A35</f>
        <v>33</v>
      </c>
      <c r="B35" s="8" t="str">
        <f>TRIM(CLEAN('Raw Data'!B35))</f>
        <v>Coding a new project with enthusiasm.</v>
      </c>
      <c r="C35" s="4" t="str">
        <f>TRIM(PROPER('Raw Data'!C35))</f>
        <v>Positive</v>
      </c>
      <c r="D35" s="5">
        <f>'Raw Data'!D35</f>
        <v>44951.552083333336</v>
      </c>
      <c r="E35" s="4" t="str">
        <f>TRIM(SUBSTITUTE('Raw Data'!E35," "," "))</f>
        <v>CodeEnthusiast</v>
      </c>
      <c r="F35" s="4" t="str">
        <f>TRIM(PROPER('Raw Data'!F35))</f>
        <v>Facebook</v>
      </c>
      <c r="G35" s="8" t="str">
        <f>TRIM(CLEAN('Raw Data'!G35))</f>
        <v>#Coding #Enthusiasm</v>
      </c>
      <c r="H35" s="12">
        <f>'Raw Data'!H35</f>
        <v>30</v>
      </c>
      <c r="I35" s="12">
        <v>30</v>
      </c>
      <c r="J35" s="12" t="str">
        <f>TRIM(UPPER('Raw Data'!J35))</f>
        <v>USA</v>
      </c>
      <c r="K35" s="12">
        <f>'Raw Data'!K35</f>
        <v>2023</v>
      </c>
      <c r="L35" s="12">
        <f>'Raw Data'!L35</f>
        <v>1</v>
      </c>
      <c r="M35" s="12">
        <f>'Raw Data'!M35</f>
        <v>25</v>
      </c>
      <c r="N35">
        <f>'Raw Data'!N35</f>
        <v>13</v>
      </c>
    </row>
    <row r="36" spans="1:14" x14ac:dyDescent="0.25">
      <c r="A36" s="11">
        <f>'Raw Data'!A36</f>
        <v>34</v>
      </c>
      <c r="B36" s="8" t="str">
        <f>TRIM(CLEAN('Raw Data'!B36))</f>
        <v>Feeling inspired after attending a workshop.</v>
      </c>
      <c r="C36" s="4" t="str">
        <f>TRIM(PROPER('Raw Data'!C36))</f>
        <v>Positive</v>
      </c>
      <c r="D36" s="5">
        <f>'Raw Data'!D36</f>
        <v>44952.40625</v>
      </c>
      <c r="E36" s="4" t="str">
        <f>TRIM(SUBSTITUTE('Raw Data'!E36," "," "))</f>
        <v>WorkshopAttendee</v>
      </c>
      <c r="F36" s="4" t="str">
        <f>TRIM(PROPER('Raw Data'!F36))</f>
        <v>Instagram</v>
      </c>
      <c r="G36" s="8" t="str">
        <f>TRIM(CLEAN('Raw Data'!G36))</f>
        <v>#Inspiration #Workshop</v>
      </c>
      <c r="H36" s="12">
        <f>'Raw Data'!H36</f>
        <v>25</v>
      </c>
      <c r="I36" s="12">
        <v>60</v>
      </c>
      <c r="J36" s="12" t="str">
        <f>TRIM(UPPER('Raw Data'!J36))</f>
        <v>USA</v>
      </c>
      <c r="K36" s="12">
        <f>'Raw Data'!K36</f>
        <v>2023</v>
      </c>
      <c r="L36" s="12">
        <f>'Raw Data'!L36</f>
        <v>1</v>
      </c>
      <c r="M36" s="12">
        <f>'Raw Data'!M36</f>
        <v>26</v>
      </c>
      <c r="N36">
        <f>'Raw Data'!N36</f>
        <v>9</v>
      </c>
    </row>
    <row r="37" spans="1:14" x14ac:dyDescent="0.25">
      <c r="A37" s="11">
        <f>'Raw Data'!A37</f>
        <v>35</v>
      </c>
      <c r="B37" s="8" t="str">
        <f>TRIM(CLEAN('Raw Data'!B37))</f>
        <v>Winter sports day at the local park.</v>
      </c>
      <c r="C37" s="4" t="str">
        <f>TRIM(PROPER('Raw Data'!C37))</f>
        <v>Positive</v>
      </c>
      <c r="D37" s="5">
        <f>'Raw Data'!D37</f>
        <v>44952.597222222219</v>
      </c>
      <c r="E37" s="4" t="str">
        <f>TRIM(SUBSTITUTE('Raw Data'!E37," "," "))</f>
        <v>WinterSports</v>
      </c>
      <c r="F37" s="4" t="str">
        <f>TRIM(PROPER('Raw Data'!F37))</f>
        <v>Twitter</v>
      </c>
      <c r="G37" s="8" t="str">
        <f>TRIM(CLEAN('Raw Data'!G37))</f>
        <v>#WinterSports #Fun</v>
      </c>
      <c r="H37" s="12">
        <f>'Raw Data'!H37</f>
        <v>15</v>
      </c>
      <c r="I37" s="12">
        <v>50</v>
      </c>
      <c r="J37" s="12" t="str">
        <f>TRIM(UPPER('Raw Data'!J37))</f>
        <v>CANADA</v>
      </c>
      <c r="K37" s="12">
        <f>'Raw Data'!K37</f>
        <v>2023</v>
      </c>
      <c r="L37" s="12">
        <f>'Raw Data'!L37</f>
        <v>1</v>
      </c>
      <c r="M37" s="12">
        <f>'Raw Data'!M37</f>
        <v>26</v>
      </c>
      <c r="N37">
        <f>'Raw Data'!N37</f>
        <v>14</v>
      </c>
    </row>
    <row r="38" spans="1:14" x14ac:dyDescent="0.25">
      <c r="A38" s="11">
        <f>'Raw Data'!A38</f>
        <v>36</v>
      </c>
      <c r="B38" s="8" t="str">
        <f>TRIM(CLEAN('Raw Data'!B38))</f>
        <v>Quality time with family this weekend.</v>
      </c>
      <c r="C38" s="4" t="str">
        <f>TRIM(PROPER('Raw Data'!C38))</f>
        <v>Positive</v>
      </c>
      <c r="D38" s="5">
        <f>'Raw Data'!D38</f>
        <v>44952.736111111109</v>
      </c>
      <c r="E38" s="4" t="str">
        <f>TRIM(SUBSTITUTE('Raw Data'!E38," "," "))</f>
        <v>FamilyTime</v>
      </c>
      <c r="F38" s="4" t="str">
        <f>TRIM(PROPER('Raw Data'!F38))</f>
        <v>Facebook</v>
      </c>
      <c r="G38" s="8" t="str">
        <f>TRIM(CLEAN('Raw Data'!G38))</f>
        <v>#FamilyTime #Weekend</v>
      </c>
      <c r="H38" s="12">
        <f>'Raw Data'!H38</f>
        <v>22</v>
      </c>
      <c r="I38" s="12">
        <v>30</v>
      </c>
      <c r="J38" s="12" t="str">
        <f>TRIM(UPPER('Raw Data'!J38))</f>
        <v>UK</v>
      </c>
      <c r="K38" s="12">
        <f>'Raw Data'!K38</f>
        <v>2023</v>
      </c>
      <c r="L38" s="12">
        <f>'Raw Data'!L38</f>
        <v>1</v>
      </c>
      <c r="M38" s="12">
        <f>'Raw Data'!M38</f>
        <v>26</v>
      </c>
      <c r="N38">
        <f>'Raw Data'!N38</f>
        <v>17</v>
      </c>
    </row>
    <row r="39" spans="1:14" x14ac:dyDescent="0.25">
      <c r="A39" s="11">
        <f>'Raw Data'!A39</f>
        <v>37</v>
      </c>
      <c r="B39" s="8" t="str">
        <f>TRIM(CLEAN('Raw Data'!B39))</f>
        <v>Attending a live music concert tonight.</v>
      </c>
      <c r="C39" s="4" t="str">
        <f>TRIM(PROPER('Raw Data'!C39))</f>
        <v>Positive</v>
      </c>
      <c r="D39" s="5">
        <f>'Raw Data'!D39</f>
        <v>44953.833333333336</v>
      </c>
      <c r="E39" s="4" t="str">
        <f>TRIM(SUBSTITUTE('Raw Data'!E39," "," "))</f>
        <v>MusicLover</v>
      </c>
      <c r="F39" s="4" t="str">
        <f>TRIM(PROPER('Raw Data'!F39))</f>
        <v>Instagram</v>
      </c>
      <c r="G39" s="8" t="str">
        <f>TRIM(CLEAN('Raw Data'!G39))</f>
        <v>#Music #ConcertNight</v>
      </c>
      <c r="H39" s="12">
        <f>'Raw Data'!H39</f>
        <v>18</v>
      </c>
      <c r="I39" s="12">
        <v>45</v>
      </c>
      <c r="J39" s="12" t="str">
        <f>TRIM(UPPER('Raw Data'!J39))</f>
        <v>USA</v>
      </c>
      <c r="K39" s="12">
        <f>'Raw Data'!K39</f>
        <v>2023</v>
      </c>
      <c r="L39" s="12">
        <f>'Raw Data'!L39</f>
        <v>1</v>
      </c>
      <c r="M39" s="12">
        <f>'Raw Data'!M39</f>
        <v>27</v>
      </c>
      <c r="N39">
        <f>'Raw Data'!N39</f>
        <v>20</v>
      </c>
    </row>
    <row r="40" spans="1:14" x14ac:dyDescent="0.25">
      <c r="A40" s="11">
        <f>'Raw Data'!A40</f>
        <v>38</v>
      </c>
      <c r="B40" s="8" t="str">
        <f>TRIM(CLEAN('Raw Data'!B40))</f>
        <v>Practicing mindfulness with meditation.</v>
      </c>
      <c r="C40" s="4" t="str">
        <f>TRIM(PROPER('Raw Data'!C40))</f>
        <v>Positive</v>
      </c>
      <c r="D40" s="5">
        <f>'Raw Data'!D40</f>
        <v>44953.520833333336</v>
      </c>
      <c r="E40" s="4" t="str">
        <f>TRIM(SUBSTITUTE('Raw Data'!E40," "," "))</f>
        <v>MindfulMoments</v>
      </c>
      <c r="F40" s="4" t="str">
        <f>TRIM(PROPER('Raw Data'!F40))</f>
        <v>Twitter</v>
      </c>
      <c r="G40" s="8" t="str">
        <f>TRIM(CLEAN('Raw Data'!G40))</f>
        <v>#Mindfulness #Meditation</v>
      </c>
      <c r="H40" s="12">
        <f>'Raw Data'!H40</f>
        <v>15</v>
      </c>
      <c r="I40" s="12">
        <v>35</v>
      </c>
      <c r="J40" s="12" t="str">
        <f>TRIM(UPPER('Raw Data'!J40))</f>
        <v>INDIA</v>
      </c>
      <c r="K40" s="12">
        <f>'Raw Data'!K40</f>
        <v>2023</v>
      </c>
      <c r="L40" s="12">
        <f>'Raw Data'!L40</f>
        <v>1</v>
      </c>
      <c r="M40" s="12">
        <f>'Raw Data'!M40</f>
        <v>27</v>
      </c>
      <c r="N40">
        <f>'Raw Data'!N40</f>
        <v>12</v>
      </c>
    </row>
    <row r="41" spans="1:14" x14ac:dyDescent="0.25">
      <c r="A41" s="11">
        <f>'Raw Data'!A41</f>
        <v>39</v>
      </c>
      <c r="B41" s="8" t="str">
        <f>TRIM(CLEAN('Raw Data'!B41))</f>
        <v>Trying out a new dessert recipe.</v>
      </c>
      <c r="C41" s="4" t="str">
        <f>TRIM(PROPER('Raw Data'!C41))</f>
        <v>Positive</v>
      </c>
      <c r="D41" s="5">
        <f>'Raw Data'!D41</f>
        <v>44953.673611111109</v>
      </c>
      <c r="E41" s="4" t="str">
        <f>TRIM(SUBSTITUTE('Raw Data'!E41," "," "))</f>
        <v>DessertExplorer</v>
      </c>
      <c r="F41" s="4" t="str">
        <f>TRIM(PROPER('Raw Data'!F41))</f>
        <v>Facebook</v>
      </c>
      <c r="G41" s="8" t="str">
        <f>TRIM(CLEAN('Raw Data'!G41))</f>
        <v>#Dessert #Cooking</v>
      </c>
      <c r="H41" s="12">
        <f>'Raw Data'!H41</f>
        <v>12</v>
      </c>
      <c r="I41" s="12">
        <v>30</v>
      </c>
      <c r="J41" s="12" t="str">
        <f>TRIM(UPPER('Raw Data'!J41))</f>
        <v>CANADA</v>
      </c>
      <c r="K41" s="12">
        <f>'Raw Data'!K41</f>
        <v>2023</v>
      </c>
      <c r="L41" s="12">
        <f>'Raw Data'!L41</f>
        <v>1</v>
      </c>
      <c r="M41" s="12">
        <f>'Raw Data'!M41</f>
        <v>27</v>
      </c>
      <c r="N41">
        <f>'Raw Data'!N41</f>
        <v>16</v>
      </c>
    </row>
    <row r="42" spans="1:14" x14ac:dyDescent="0.25">
      <c r="A42" s="11">
        <f>'Raw Data'!A42</f>
        <v>40</v>
      </c>
      <c r="B42" s="8" t="str">
        <f>TRIM(CLEAN('Raw Data'!B42))</f>
        <v>Excited about the upcoming gaming tournament.</v>
      </c>
      <c r="C42" s="4" t="str">
        <f>TRIM(PROPER('Raw Data'!C42))</f>
        <v>Positive</v>
      </c>
      <c r="D42" s="5">
        <f>'Raw Data'!D42</f>
        <v>44954.375</v>
      </c>
      <c r="E42" s="4" t="str">
        <f>TRIM(SUBSTITUTE('Raw Data'!E42," "," "))</f>
        <v>GamingEnthusiast</v>
      </c>
      <c r="F42" s="4" t="str">
        <f>TRIM(PROPER('Raw Data'!F42))</f>
        <v>Instagram</v>
      </c>
      <c r="G42" s="8" t="str">
        <f>TRIM(CLEAN('Raw Data'!G42))</f>
        <v>#Gaming #Tournament</v>
      </c>
      <c r="H42" s="12">
        <f>'Raw Data'!H42</f>
        <v>30</v>
      </c>
      <c r="I42" s="12">
        <v>25</v>
      </c>
      <c r="J42" s="12" t="str">
        <f>TRIM(UPPER('Raw Data'!J42))</f>
        <v>USA</v>
      </c>
      <c r="K42" s="12">
        <f>'Raw Data'!K42</f>
        <v>2023</v>
      </c>
      <c r="L42" s="12">
        <f>'Raw Data'!L42</f>
        <v>1</v>
      </c>
      <c r="M42" s="12">
        <f>'Raw Data'!M42</f>
        <v>28</v>
      </c>
      <c r="N42">
        <f>'Raw Data'!N42</f>
        <v>9</v>
      </c>
    </row>
    <row r="43" spans="1:14" x14ac:dyDescent="0.25">
      <c r="A43" s="11">
        <f>'Raw Data'!A43</f>
        <v>41</v>
      </c>
      <c r="B43" s="8" t="str">
        <f>TRIM(CLEAN('Raw Data'!B43))</f>
        <v>Planning a garden makeover for spring.</v>
      </c>
      <c r="C43" s="4" t="str">
        <f>TRIM(PROPER('Raw Data'!C43))</f>
        <v>Positive</v>
      </c>
      <c r="D43" s="5">
        <f>'Raw Data'!D43</f>
        <v>44954.614583333336</v>
      </c>
      <c r="E43" s="4" t="str">
        <f>TRIM(SUBSTITUTE('Raw Data'!E43," "," "))</f>
        <v>GardenPlanner</v>
      </c>
      <c r="F43" s="4" t="str">
        <f>TRIM(PROPER('Raw Data'!F43))</f>
        <v>Twitter</v>
      </c>
      <c r="G43" s="8" t="str">
        <f>TRIM(CLEAN('Raw Data'!G43))</f>
        <v>#Gardening #Spring</v>
      </c>
      <c r="H43" s="12">
        <f>'Raw Data'!H43</f>
        <v>25</v>
      </c>
      <c r="I43" s="12">
        <v>60</v>
      </c>
      <c r="J43" s="12" t="str">
        <f>TRIM(UPPER('Raw Data'!J43))</f>
        <v>USA</v>
      </c>
      <c r="K43" s="12">
        <f>'Raw Data'!K43</f>
        <v>2023</v>
      </c>
      <c r="L43" s="12">
        <f>'Raw Data'!L43</f>
        <v>1</v>
      </c>
      <c r="M43" s="12">
        <f>'Raw Data'!M43</f>
        <v>28</v>
      </c>
      <c r="N43">
        <f>'Raw Data'!N43</f>
        <v>14</v>
      </c>
    </row>
    <row r="44" spans="1:14" x14ac:dyDescent="0.25">
      <c r="A44" s="11">
        <f>'Raw Data'!A44</f>
        <v>42</v>
      </c>
      <c r="B44" s="8" t="str">
        <f>TRIM(CLEAN('Raw Data'!B44))</f>
        <v>Celebrating a friend's birthday tonight! 🎂</v>
      </c>
      <c r="C44" s="4" t="str">
        <f>TRIM(PROPER('Raw Data'!C44))</f>
        <v>Positive</v>
      </c>
      <c r="D44" s="5">
        <f>'Raw Data'!D44</f>
        <v>44954.8125</v>
      </c>
      <c r="E44" s="4" t="str">
        <f>TRIM(SUBSTITUTE('Raw Data'!E44," "," "))</f>
        <v>BirthdayBash</v>
      </c>
      <c r="F44" s="4" t="str">
        <f>TRIM(PROPER('Raw Data'!F44))</f>
        <v>Facebook</v>
      </c>
      <c r="G44" s="8" t="str">
        <f>TRIM(CLEAN('Raw Data'!G44))</f>
        <v>#Birthday #Celebration</v>
      </c>
      <c r="H44" s="12">
        <f>'Raw Data'!H44</f>
        <v>15</v>
      </c>
      <c r="I44" s="12">
        <v>50</v>
      </c>
      <c r="J44" s="12" t="str">
        <f>TRIM(UPPER('Raw Data'!J44))</f>
        <v>UK</v>
      </c>
      <c r="K44" s="12">
        <f>'Raw Data'!K44</f>
        <v>2023</v>
      </c>
      <c r="L44" s="12">
        <f>'Raw Data'!L44</f>
        <v>1</v>
      </c>
      <c r="M44" s="12">
        <f>'Raw Data'!M44</f>
        <v>28</v>
      </c>
      <c r="N44">
        <f>'Raw Data'!N44</f>
        <v>19</v>
      </c>
    </row>
    <row r="45" spans="1:14" x14ac:dyDescent="0.25">
      <c r="A45" s="11">
        <f>'Raw Data'!A45</f>
        <v>43</v>
      </c>
      <c r="B45" s="8" t="str">
        <f>TRIM(CLEAN('Raw Data'!B45))</f>
        <v>Feeling accomplished after a productive day.</v>
      </c>
      <c r="C45" s="4" t="str">
        <f>TRIM(PROPER('Raw Data'!C45))</f>
        <v>Positive</v>
      </c>
      <c r="D45" s="5">
        <f>'Raw Data'!D45</f>
        <v>44955.708333333336</v>
      </c>
      <c r="E45" s="4" t="str">
        <f>TRIM(SUBSTITUTE('Raw Data'!E45," "," "))</f>
        <v>ProductivityWin</v>
      </c>
      <c r="F45" s="4" t="str">
        <f>TRIM(PROPER('Raw Data'!F45))</f>
        <v>Instagram</v>
      </c>
      <c r="G45" s="8" t="str">
        <f>TRIM(CLEAN('Raw Data'!G45))</f>
        <v>#Accomplished #Success</v>
      </c>
      <c r="H45" s="12">
        <f>'Raw Data'!H45</f>
        <v>22</v>
      </c>
      <c r="I45" s="12">
        <v>30</v>
      </c>
      <c r="J45" s="12" t="str">
        <f>TRIM(UPPER('Raw Data'!J45))</f>
        <v>INDIA</v>
      </c>
      <c r="K45" s="12">
        <f>'Raw Data'!K45</f>
        <v>2023</v>
      </c>
      <c r="L45" s="12">
        <f>'Raw Data'!L45</f>
        <v>1</v>
      </c>
      <c r="M45" s="12">
        <f>'Raw Data'!M45</f>
        <v>29</v>
      </c>
      <c r="N45">
        <f>'Raw Data'!N45</f>
        <v>17</v>
      </c>
    </row>
    <row r="46" spans="1:14" x14ac:dyDescent="0.25">
      <c r="A46" s="11">
        <f>'Raw Data'!A46</f>
        <v>44</v>
      </c>
      <c r="B46" s="8" t="str">
        <f>TRIM(CLEAN('Raw Data'!B46))</f>
        <v>A cozy evening with a good movie.</v>
      </c>
      <c r="C46" s="4" t="str">
        <f>TRIM(PROPER('Raw Data'!C46))</f>
        <v>Positive</v>
      </c>
      <c r="D46" s="5">
        <f>'Raw Data'!D46</f>
        <v>44955.847222222219</v>
      </c>
      <c r="E46" s="4" t="str">
        <f>TRIM(SUBSTITUTE('Raw Data'!E46," "," "))</f>
        <v>MovieNight</v>
      </c>
      <c r="F46" s="4" t="str">
        <f>TRIM(PROPER('Raw Data'!F46))</f>
        <v>Twitter</v>
      </c>
      <c r="G46" s="8" t="str">
        <f>TRIM(CLEAN('Raw Data'!G46))</f>
        <v>#CozyNight #MovieTime</v>
      </c>
      <c r="H46" s="12">
        <f>'Raw Data'!H46</f>
        <v>18</v>
      </c>
      <c r="I46" s="12">
        <v>45</v>
      </c>
      <c r="J46" s="12" t="str">
        <f>TRIM(UPPER('Raw Data'!J46))</f>
        <v>CANADA</v>
      </c>
      <c r="K46" s="12">
        <f>'Raw Data'!K46</f>
        <v>2023</v>
      </c>
      <c r="L46" s="12">
        <f>'Raw Data'!L46</f>
        <v>1</v>
      </c>
      <c r="M46" s="12">
        <f>'Raw Data'!M46</f>
        <v>29</v>
      </c>
      <c r="N46">
        <f>'Raw Data'!N46</f>
        <v>20</v>
      </c>
    </row>
    <row r="47" spans="1:14" x14ac:dyDescent="0.25">
      <c r="A47" s="11">
        <f>'Raw Data'!A47</f>
        <v>45</v>
      </c>
      <c r="B47" s="8" t="str">
        <f>TRIM(CLEAN('Raw Data'!B47))</f>
        <v>Exploring local art galleries this weekend.</v>
      </c>
      <c r="C47" s="4" t="str">
        <f>TRIM(PROPER('Raw Data'!C47))</f>
        <v>Positive</v>
      </c>
      <c r="D47" s="5">
        <f>'Raw Data'!D47</f>
        <v>44956.479166666664</v>
      </c>
      <c r="E47" s="4" t="str">
        <f>TRIM(SUBSTITUTE('Raw Data'!E47," "," "))</f>
        <v>ArtExplorer</v>
      </c>
      <c r="F47" s="4" t="str">
        <f>TRIM(PROPER('Raw Data'!F47))</f>
        <v>Facebook</v>
      </c>
      <c r="G47" s="8" t="str">
        <f>TRIM(CLEAN('Raw Data'!G47))</f>
        <v>#Art #GalleryExplore</v>
      </c>
      <c r="H47" s="12">
        <f>'Raw Data'!H47</f>
        <v>15</v>
      </c>
      <c r="I47" s="12">
        <v>35</v>
      </c>
      <c r="J47" s="12" t="str">
        <f>TRIM(UPPER('Raw Data'!J47))</f>
        <v>USA</v>
      </c>
      <c r="K47" s="12">
        <f>'Raw Data'!K47</f>
        <v>2023</v>
      </c>
      <c r="L47" s="12">
        <f>'Raw Data'!L47</f>
        <v>1</v>
      </c>
      <c r="M47" s="12">
        <f>'Raw Data'!M47</f>
        <v>30</v>
      </c>
      <c r="N47">
        <f>'Raw Data'!N47</f>
        <v>11</v>
      </c>
    </row>
    <row r="48" spans="1:14" x14ac:dyDescent="0.25">
      <c r="A48" s="11">
        <f>'Raw Data'!A48</f>
        <v>46</v>
      </c>
      <c r="B48" s="8" t="str">
        <f>TRIM(CLEAN('Raw Data'!B48))</f>
        <v>New book release from my favorite author!</v>
      </c>
      <c r="C48" s="4" t="str">
        <f>TRIM(PROPER('Raw Data'!C48))</f>
        <v>Positive</v>
      </c>
      <c r="D48" s="5">
        <f>'Raw Data'!D48</f>
        <v>44956.65625</v>
      </c>
      <c r="E48" s="4" t="str">
        <f>TRIM(SUBSTITUTE('Raw Data'!E48," "," "))</f>
        <v>BookwormX</v>
      </c>
      <c r="F48" s="4" t="str">
        <f>TRIM(PROPER('Raw Data'!F48))</f>
        <v>Instagram</v>
      </c>
      <c r="G48" s="8" t="str">
        <f>TRIM(CLEAN('Raw Data'!G48))</f>
        <v>#BookRelease #FavoriteAuthor</v>
      </c>
      <c r="H48" s="12">
        <f>'Raw Data'!H48</f>
        <v>12</v>
      </c>
      <c r="I48" s="12">
        <v>30</v>
      </c>
      <c r="J48" s="12" t="str">
        <f>TRIM(UPPER('Raw Data'!J48))</f>
        <v>UK</v>
      </c>
      <c r="K48" s="12">
        <f>'Raw Data'!K48</f>
        <v>2023</v>
      </c>
      <c r="L48" s="12">
        <f>'Raw Data'!L48</f>
        <v>1</v>
      </c>
      <c r="M48" s="12">
        <f>'Raw Data'!M48</f>
        <v>30</v>
      </c>
      <c r="N48">
        <f>'Raw Data'!N48</f>
        <v>15</v>
      </c>
    </row>
    <row r="49" spans="1:14" x14ac:dyDescent="0.25">
      <c r="A49" s="11">
        <f>'Raw Data'!A49</f>
        <v>47</v>
      </c>
      <c r="B49" s="8" t="str">
        <f>TRIM(CLEAN('Raw Data'!B49))</f>
        <v>Attending a virtual reality meetup.</v>
      </c>
      <c r="C49" s="4" t="str">
        <f>TRIM(PROPER('Raw Data'!C49))</f>
        <v>Positive</v>
      </c>
      <c r="D49" s="5">
        <f>'Raw Data'!D49</f>
        <v>44956.770833333336</v>
      </c>
      <c r="E49" s="4" t="str">
        <f>TRIM(SUBSTITUTE('Raw Data'!E49," "," "))</f>
        <v>VRMeetup</v>
      </c>
      <c r="F49" s="4" t="str">
        <f>TRIM(PROPER('Raw Data'!F49))</f>
        <v>Twitter</v>
      </c>
      <c r="G49" s="8" t="str">
        <f>TRIM(CLEAN('Raw Data'!G49))</f>
        <v>#VRMeetup #VirtualReality</v>
      </c>
      <c r="H49" s="12">
        <f>'Raw Data'!H49</f>
        <v>28</v>
      </c>
      <c r="I49" s="12">
        <v>25</v>
      </c>
      <c r="J49" s="12" t="str">
        <f>TRIM(UPPER('Raw Data'!J49))</f>
        <v>INDIA</v>
      </c>
      <c r="K49" s="12">
        <f>'Raw Data'!K49</f>
        <v>2023</v>
      </c>
      <c r="L49" s="12">
        <f>'Raw Data'!L49</f>
        <v>1</v>
      </c>
      <c r="M49" s="12">
        <f>'Raw Data'!M49</f>
        <v>30</v>
      </c>
      <c r="N49">
        <f>'Raw Data'!N49</f>
        <v>18</v>
      </c>
    </row>
    <row r="50" spans="1:14" x14ac:dyDescent="0.25">
      <c r="A50" s="11">
        <f>'Raw Data'!A50</f>
        <v>48</v>
      </c>
      <c r="B50" s="8" t="str">
        <f>TRIM(CLEAN('Raw Data'!B50))</f>
        <v>Reflecting on the beauty of nature.</v>
      </c>
      <c r="C50" s="4" t="str">
        <f>TRIM(PROPER('Raw Data'!C50))</f>
        <v>Positive</v>
      </c>
      <c r="D50" s="5">
        <f>'Raw Data'!D50</f>
        <v>44957.447916666664</v>
      </c>
      <c r="E50" s="4" t="str">
        <f>TRIM(SUBSTITUTE('Raw Data'!E50," "," "))</f>
        <v>NatureLover</v>
      </c>
      <c r="F50" s="4" t="str">
        <f>TRIM(PROPER('Raw Data'!F50))</f>
        <v>Facebook</v>
      </c>
      <c r="G50" s="8" t="str">
        <f>TRIM(CLEAN('Raw Data'!G50))</f>
        <v>#Nature #Reflection</v>
      </c>
      <c r="H50" s="12">
        <f>'Raw Data'!H50</f>
        <v>15</v>
      </c>
      <c r="I50" s="12">
        <v>55</v>
      </c>
      <c r="J50" s="12" t="str">
        <f>TRIM(UPPER('Raw Data'!J50))</f>
        <v>AUSTRALIA</v>
      </c>
      <c r="K50" s="12">
        <f>'Raw Data'!K50</f>
        <v>2023</v>
      </c>
      <c r="L50" s="12">
        <f>'Raw Data'!L50</f>
        <v>1</v>
      </c>
      <c r="M50" s="12">
        <f>'Raw Data'!M50</f>
        <v>31</v>
      </c>
      <c r="N50">
        <f>'Raw Data'!N50</f>
        <v>10</v>
      </c>
    </row>
    <row r="51" spans="1:14" x14ac:dyDescent="0.25">
      <c r="A51" s="11">
        <f>'Raw Data'!A51</f>
        <v>49</v>
      </c>
      <c r="B51" s="8" t="str">
        <f>TRIM(CLEAN('Raw Data'!B51))</f>
        <v>Cooking a special dinner for loved ones.</v>
      </c>
      <c r="C51" s="4" t="str">
        <f>TRIM(PROPER('Raw Data'!C51))</f>
        <v>Positive</v>
      </c>
      <c r="D51" s="5">
        <f>'Raw Data'!D51</f>
        <v>44957.791666666664</v>
      </c>
      <c r="E51" s="4" t="str">
        <f>TRIM(SUBSTITUTE('Raw Data'!E51," "," "))</f>
        <v>ChefAtHome</v>
      </c>
      <c r="F51" s="4" t="str">
        <f>TRIM(PROPER('Raw Data'!F51))</f>
        <v>Instagram</v>
      </c>
      <c r="G51" s="8" t="str">
        <f>TRIM(CLEAN('Raw Data'!G51))</f>
        <v>#Cooking #SpecialDinner</v>
      </c>
      <c r="H51" s="12">
        <f>'Raw Data'!H51</f>
        <v>20</v>
      </c>
      <c r="I51" s="12">
        <v>30</v>
      </c>
      <c r="J51" s="12" t="str">
        <f>TRIM(UPPER('Raw Data'!J51))</f>
        <v>USA</v>
      </c>
      <c r="K51" s="12">
        <f>'Raw Data'!K51</f>
        <v>2023</v>
      </c>
      <c r="L51" s="12">
        <f>'Raw Data'!L51</f>
        <v>1</v>
      </c>
      <c r="M51" s="12">
        <f>'Raw Data'!M51</f>
        <v>31</v>
      </c>
      <c r="N51">
        <f>'Raw Data'!N51</f>
        <v>19</v>
      </c>
    </row>
    <row r="52" spans="1:14" x14ac:dyDescent="0.25">
      <c r="A52" s="11">
        <f>'Raw Data'!A52</f>
        <v>50</v>
      </c>
      <c r="B52" s="8" t="str">
        <f>TRIM(CLEAN('Raw Data'!B52))</f>
        <v>Feeling optimistic about the week ahead.</v>
      </c>
      <c r="C52" s="4" t="str">
        <f>TRIM(PROPER('Raw Data'!C52))</f>
        <v>Positive</v>
      </c>
      <c r="D52" s="5">
        <f>'Raw Data'!D52</f>
        <v>44957.680555555555</v>
      </c>
      <c r="E52" s="4" t="str">
        <f>TRIM(SUBSTITUTE('Raw Data'!E52," "," "))</f>
        <v>OptimisticMindset</v>
      </c>
      <c r="F52" s="4" t="str">
        <f>TRIM(PROPER('Raw Data'!F52))</f>
        <v>Twitter</v>
      </c>
      <c r="G52" s="8" t="str">
        <f>TRIM(CLEAN('Raw Data'!G52))</f>
        <v>#Optimism #NewWeek</v>
      </c>
      <c r="H52" s="12">
        <f>'Raw Data'!H52</f>
        <v>15</v>
      </c>
      <c r="I52" s="12">
        <v>40</v>
      </c>
      <c r="J52" s="12" t="str">
        <f>TRIM(UPPER('Raw Data'!J52))</f>
        <v>CANADA</v>
      </c>
      <c r="K52" s="12">
        <f>'Raw Data'!K52</f>
        <v>2023</v>
      </c>
      <c r="L52" s="12">
        <f>'Raw Data'!L52</f>
        <v>1</v>
      </c>
      <c r="M52" s="12">
        <f>'Raw Data'!M52</f>
        <v>31</v>
      </c>
      <c r="N52">
        <f>'Raw Data'!N52</f>
        <v>16</v>
      </c>
    </row>
    <row r="53" spans="1:14" x14ac:dyDescent="0.25">
      <c r="A53" s="11">
        <f>'Raw Data'!A53</f>
        <v>51</v>
      </c>
      <c r="B53" s="8" t="str">
        <f>TRIM(CLEAN('Raw Data'!B53))</f>
        <v>Starting a new fitness challenge tomorrow! 💪</v>
      </c>
      <c r="C53" s="4" t="str">
        <f>TRIM(PROPER('Raw Data'!C53))</f>
        <v>Positive</v>
      </c>
      <c r="D53" s="5">
        <f>'Raw Data'!D53</f>
        <v>44958.333333333336</v>
      </c>
      <c r="E53" s="4" t="str">
        <f>TRIM(SUBSTITUTE('Raw Data'!E53," "," "))</f>
        <v>FitnessChallenge</v>
      </c>
      <c r="F53" s="4" t="str">
        <f>TRIM(PROPER('Raw Data'!F53))</f>
        <v>Facebook</v>
      </c>
      <c r="G53" s="8" t="str">
        <f>TRIM(CLEAN('Raw Data'!G53))</f>
        <v>#FitnessChallenge #NewBeginnings</v>
      </c>
      <c r="H53" s="12">
        <f>'Raw Data'!H53</f>
        <v>22</v>
      </c>
      <c r="I53" s="12">
        <v>30</v>
      </c>
      <c r="J53" s="12" t="str">
        <f>TRIM(UPPER('Raw Data'!J53))</f>
        <v>UK</v>
      </c>
      <c r="K53" s="12">
        <f>'Raw Data'!K53</f>
        <v>2023</v>
      </c>
      <c r="L53" s="12">
        <f>'Raw Data'!L53</f>
        <v>2</v>
      </c>
      <c r="M53" s="12">
        <f>'Raw Data'!M53</f>
        <v>1</v>
      </c>
      <c r="N53">
        <f>'Raw Data'!N53</f>
        <v>8</v>
      </c>
    </row>
    <row r="54" spans="1:14" x14ac:dyDescent="0.25">
      <c r="A54" s="11">
        <f>'Raw Data'!A54</f>
        <v>52</v>
      </c>
      <c r="B54" s="8" t="str">
        <f>TRIM(CLEAN('Raw Data'!B54))</f>
        <v>Sunday bike ride through scenic trails.</v>
      </c>
      <c r="C54" s="4" t="str">
        <f>TRIM(PROPER('Raw Data'!C54))</f>
        <v>Positive</v>
      </c>
      <c r="D54" s="5">
        <f>'Raw Data'!D54</f>
        <v>44958.5625</v>
      </c>
      <c r="E54" s="4" t="str">
        <f>TRIM(SUBSTITUTE('Raw Data'!E54," "," "))</f>
        <v>BikeExplorer</v>
      </c>
      <c r="F54" s="4" t="str">
        <f>TRIM(PROPER('Raw Data'!F54))</f>
        <v>Instagram</v>
      </c>
      <c r="G54" s="8" t="str">
        <f>TRIM(CLEAN('Raw Data'!G54))</f>
        <v>#BikeRide #ScenicTrails</v>
      </c>
      <c r="H54" s="12">
        <f>'Raw Data'!H54</f>
        <v>18</v>
      </c>
      <c r="I54" s="12">
        <v>45</v>
      </c>
      <c r="J54" s="12" t="str">
        <f>TRIM(UPPER('Raw Data'!J54))</f>
        <v>USA</v>
      </c>
      <c r="K54" s="12">
        <f>'Raw Data'!K54</f>
        <v>2023</v>
      </c>
      <c r="L54" s="12">
        <f>'Raw Data'!L54</f>
        <v>2</v>
      </c>
      <c r="M54" s="12">
        <f>'Raw Data'!M54</f>
        <v>1</v>
      </c>
      <c r="N54">
        <f>'Raw Data'!N54</f>
        <v>13</v>
      </c>
    </row>
    <row r="55" spans="1:14" x14ac:dyDescent="0.25">
      <c r="A55" s="11">
        <f>'Raw Data'!A55</f>
        <v>53</v>
      </c>
      <c r="B55" s="8" t="str">
        <f>TRIM(CLEAN('Raw Data'!B55))</f>
        <v>Can't believe the injustice happening in our society.</v>
      </c>
      <c r="C55" s="4" t="str">
        <f>TRIM(PROPER('Raw Data'!C55))</f>
        <v>Anger</v>
      </c>
      <c r="D55" s="5">
        <f>'Raw Data'!D55</f>
        <v>44968.395833333336</v>
      </c>
      <c r="E55" s="4" t="str">
        <f>TRIM(SUBSTITUTE('Raw Data'!E55," "," "))</f>
        <v>SocialJustice</v>
      </c>
      <c r="F55" s="4" t="str">
        <f>TRIM(PROPER('Raw Data'!F55))</f>
        <v>Twitter</v>
      </c>
      <c r="G55" s="8" t="str">
        <f>TRIM(CLEAN('Raw Data'!G55))</f>
        <v>#Injustice #Angry</v>
      </c>
      <c r="H55" s="12">
        <f>'Raw Data'!H55</f>
        <v>20</v>
      </c>
      <c r="I55" s="12">
        <v>35</v>
      </c>
      <c r="J55" s="12" t="str">
        <f>TRIM(UPPER('Raw Data'!J55))</f>
        <v>CANADA</v>
      </c>
      <c r="K55" s="12">
        <f>'Raw Data'!K55</f>
        <v>2023</v>
      </c>
      <c r="L55" s="12">
        <f>'Raw Data'!L55</f>
        <v>2</v>
      </c>
      <c r="M55" s="12">
        <f>'Raw Data'!M55</f>
        <v>11</v>
      </c>
      <c r="N55">
        <f>'Raw Data'!N55</f>
        <v>9</v>
      </c>
    </row>
    <row r="56" spans="1:14" x14ac:dyDescent="0.25">
      <c r="A56" s="11">
        <f>'Raw Data'!A56</f>
        <v>54</v>
      </c>
      <c r="B56" s="8" t="str">
        <f>TRIM(CLEAN('Raw Data'!B56))</f>
        <v>Feeling a sense of fear after watching a thriller movie.</v>
      </c>
      <c r="C56" s="4" t="str">
        <f>TRIM(PROPER('Raw Data'!C56))</f>
        <v>Fear</v>
      </c>
      <c r="D56" s="5">
        <f>'Raw Data'!D56</f>
        <v>44968.885416666664</v>
      </c>
      <c r="E56" s="4" t="str">
        <f>TRIM(SUBSTITUTE('Raw Data'!E56," "," "))</f>
        <v>ThrillerFan</v>
      </c>
      <c r="F56" s="4" t="str">
        <f>TRIM(PROPER('Raw Data'!F56))</f>
        <v>Instagram</v>
      </c>
      <c r="G56" s="8" t="str">
        <f>TRIM(CLEAN('Raw Data'!G56))</f>
        <v>#Fear #ThrillerMovie</v>
      </c>
      <c r="H56" s="12">
        <f>'Raw Data'!H56</f>
        <v>15</v>
      </c>
      <c r="I56" s="12">
        <v>40</v>
      </c>
      <c r="J56" s="12" t="str">
        <f>TRIM(UPPER('Raw Data'!J56))</f>
        <v>USA</v>
      </c>
      <c r="K56" s="12">
        <f>'Raw Data'!K56</f>
        <v>2023</v>
      </c>
      <c r="L56" s="12">
        <f>'Raw Data'!L56</f>
        <v>2</v>
      </c>
      <c r="M56" s="12">
        <f>'Raw Data'!M56</f>
        <v>11</v>
      </c>
      <c r="N56">
        <f>'Raw Data'!N56</f>
        <v>21</v>
      </c>
    </row>
    <row r="57" spans="1:14" ht="30" x14ac:dyDescent="0.25">
      <c r="A57" s="11">
        <f>'Raw Data'!A57</f>
        <v>55</v>
      </c>
      <c r="B57" s="8" t="str">
        <f>TRIM(CLEAN('Raw Data'!B57))</f>
        <v>Heartbroken after hearing the news about a natural disaster.</v>
      </c>
      <c r="C57" s="4" t="str">
        <f>TRIM(PROPER('Raw Data'!C57))</f>
        <v>Sadness</v>
      </c>
      <c r="D57" s="5">
        <f>'Raw Data'!D57</f>
        <v>44969.614583333336</v>
      </c>
      <c r="E57" s="4" t="str">
        <f>TRIM(SUBSTITUTE('Raw Data'!E57," "," "))</f>
        <v>EmpathyFirst</v>
      </c>
      <c r="F57" s="4" t="str">
        <f>TRIM(PROPER('Raw Data'!F57))</f>
        <v>Facebook</v>
      </c>
      <c r="G57" s="8" t="str">
        <f>TRIM(CLEAN('Raw Data'!G57))</f>
        <v>#Sadness #NaturalDisaster</v>
      </c>
      <c r="H57" s="12">
        <f>'Raw Data'!H57</f>
        <v>25</v>
      </c>
      <c r="I57" s="12">
        <v>30</v>
      </c>
      <c r="J57" s="12" t="str">
        <f>TRIM(UPPER('Raw Data'!J57))</f>
        <v>INDIA</v>
      </c>
      <c r="K57" s="12">
        <f>'Raw Data'!K57</f>
        <v>2023</v>
      </c>
      <c r="L57" s="12">
        <f>'Raw Data'!L57</f>
        <v>2</v>
      </c>
      <c r="M57" s="12">
        <f>'Raw Data'!M57</f>
        <v>12</v>
      </c>
      <c r="N57">
        <f>'Raw Data'!N57</f>
        <v>14</v>
      </c>
    </row>
    <row r="58" spans="1:14" x14ac:dyDescent="0.25">
      <c r="A58" s="11">
        <f>'Raw Data'!A58</f>
        <v>56</v>
      </c>
      <c r="B58" s="8" t="str">
        <f>TRIM(CLEAN('Raw Data'!B58))</f>
        <v>The state of the world's environment is just disgusting.</v>
      </c>
      <c r="C58" s="4" t="str">
        <f>TRIM(PROPER('Raw Data'!C58))</f>
        <v>Disgust</v>
      </c>
      <c r="D58" s="5">
        <f>'Raw Data'!D58</f>
        <v>44969.763888888891</v>
      </c>
      <c r="E58" s="4" t="str">
        <f>TRIM(SUBSTITUTE('Raw Data'!E58," "," "))</f>
        <v>EcoAwareness</v>
      </c>
      <c r="F58" s="4" t="str">
        <f>TRIM(PROPER('Raw Data'!F58))</f>
        <v>Twitter</v>
      </c>
      <c r="G58" s="8" t="str">
        <f>TRIM(CLEAN('Raw Data'!G58))</f>
        <v>#Disgust #Environment</v>
      </c>
      <c r="H58" s="12">
        <f>'Raw Data'!H58</f>
        <v>18</v>
      </c>
      <c r="I58" s="12">
        <v>50</v>
      </c>
      <c r="J58" s="12" t="str">
        <f>TRIM(UPPER('Raw Data'!J58))</f>
        <v>UK</v>
      </c>
      <c r="K58" s="12">
        <f>'Raw Data'!K58</f>
        <v>2023</v>
      </c>
      <c r="L58" s="12">
        <f>'Raw Data'!L58</f>
        <v>2</v>
      </c>
      <c r="M58" s="12">
        <f>'Raw Data'!M58</f>
        <v>12</v>
      </c>
      <c r="N58">
        <f>'Raw Data'!N58</f>
        <v>18</v>
      </c>
    </row>
    <row r="59" spans="1:14" ht="30" x14ac:dyDescent="0.25">
      <c r="A59" s="11">
        <f>'Raw Data'!A59</f>
        <v>57</v>
      </c>
      <c r="B59" s="8" t="str">
        <f>TRIM(CLEAN('Raw Data'!B59))</f>
        <v>Pure happiness: celebrating a loved one's achievement!</v>
      </c>
      <c r="C59" s="4" t="str">
        <f>TRIM(PROPER('Raw Data'!C59))</f>
        <v>Happiness</v>
      </c>
      <c r="D59" s="5">
        <f>'Raw Data'!D59</f>
        <v>44970.416666666664</v>
      </c>
      <c r="E59" s="4" t="str">
        <f>TRIM(SUBSTITUTE('Raw Data'!E59," "," "))</f>
        <v>ProudFriend</v>
      </c>
      <c r="F59" s="4" t="str">
        <f>TRIM(PROPER('Raw Data'!F59))</f>
        <v>Instagram</v>
      </c>
      <c r="G59" s="8" t="str">
        <f>TRIM(CLEAN('Raw Data'!G59))</f>
        <v>#Happiness #Celebration</v>
      </c>
      <c r="H59" s="12">
        <f>'Raw Data'!H59</f>
        <v>30</v>
      </c>
      <c r="I59" s="12">
        <v>35</v>
      </c>
      <c r="J59" s="12" t="str">
        <f>TRIM(UPPER('Raw Data'!J59))</f>
        <v>USA</v>
      </c>
      <c r="K59" s="12">
        <f>'Raw Data'!K59</f>
        <v>2023</v>
      </c>
      <c r="L59" s="12">
        <f>'Raw Data'!L59</f>
        <v>2</v>
      </c>
      <c r="M59" s="12">
        <f>'Raw Data'!M59</f>
        <v>13</v>
      </c>
      <c r="N59">
        <f>'Raw Data'!N59</f>
        <v>10</v>
      </c>
    </row>
    <row r="60" spans="1:14" ht="30" x14ac:dyDescent="0.25">
      <c r="A60" s="11">
        <f>'Raw Data'!A60</f>
        <v>58</v>
      </c>
      <c r="B60" s="8" t="str">
        <f>TRIM(CLEAN('Raw Data'!B60))</f>
        <v>Laughter is the best medicine—enjoying a comedy show.</v>
      </c>
      <c r="C60" s="4" t="str">
        <f>TRIM(PROPER('Raw Data'!C60))</f>
        <v>Joy</v>
      </c>
      <c r="D60" s="5">
        <f>'Raw Data'!D60</f>
        <v>44970.8125</v>
      </c>
      <c r="E60" s="4" t="str">
        <f>TRIM(SUBSTITUTE('Raw Data'!E60," "," "))</f>
        <v>ComedyFan</v>
      </c>
      <c r="F60" s="4" t="str">
        <f>TRIM(PROPER('Raw Data'!F60))</f>
        <v>Facebook</v>
      </c>
      <c r="G60" s="8" t="str">
        <f>TRIM(CLEAN('Raw Data'!G60))</f>
        <v>#Joy #ComedyShow</v>
      </c>
      <c r="H60" s="12">
        <f>'Raw Data'!H60</f>
        <v>22</v>
      </c>
      <c r="I60" s="12">
        <v>60</v>
      </c>
      <c r="J60" s="12" t="str">
        <f>TRIM(UPPER('Raw Data'!J60))</f>
        <v>CANADA</v>
      </c>
      <c r="K60" s="12">
        <f>'Raw Data'!K60</f>
        <v>2023</v>
      </c>
      <c r="L60" s="12">
        <f>'Raw Data'!L60</f>
        <v>2</v>
      </c>
      <c r="M60" s="12">
        <f>'Raw Data'!M60</f>
        <v>13</v>
      </c>
      <c r="N60">
        <f>'Raw Data'!N60</f>
        <v>19</v>
      </c>
    </row>
    <row r="61" spans="1:14" x14ac:dyDescent="0.25">
      <c r="A61" s="11">
        <f>'Raw Data'!A61</f>
        <v>59</v>
      </c>
      <c r="B61" s="8" t="str">
        <f>TRIM(CLEAN('Raw Data'!B61))</f>
        <v>Sharing love and positive vibes with everyone! ❤️</v>
      </c>
      <c r="C61" s="4" t="str">
        <f>TRIM(PROPER('Raw Data'!C61))</f>
        <v>Love</v>
      </c>
      <c r="D61" s="5">
        <f>'Raw Data'!D61</f>
        <v>44971.354166666664</v>
      </c>
      <c r="E61" s="4" t="str">
        <f>TRIM(SUBSTITUTE('Raw Data'!E61," "," "))</f>
        <v>LoveSpreader</v>
      </c>
      <c r="F61" s="4" t="str">
        <f>TRIM(PROPER('Raw Data'!F61))</f>
        <v>Twitter</v>
      </c>
      <c r="G61" s="8" t="str">
        <f>TRIM(CLEAN('Raw Data'!G61))</f>
        <v>#Love #SpreadLove</v>
      </c>
      <c r="H61" s="12">
        <f>'Raw Data'!H61</f>
        <v>15</v>
      </c>
      <c r="I61" s="12">
        <v>45</v>
      </c>
      <c r="J61" s="12" t="str">
        <f>TRIM(UPPER('Raw Data'!J61))</f>
        <v>AUSTRALIA</v>
      </c>
      <c r="K61" s="12">
        <f>'Raw Data'!K61</f>
        <v>2023</v>
      </c>
      <c r="L61" s="12">
        <f>'Raw Data'!L61</f>
        <v>2</v>
      </c>
      <c r="M61" s="12">
        <f>'Raw Data'!M61</f>
        <v>14</v>
      </c>
      <c r="N61">
        <f>'Raw Data'!N61</f>
        <v>8</v>
      </c>
    </row>
    <row r="62" spans="1:14" x14ac:dyDescent="0.25">
      <c r="A62" s="11">
        <f>'Raw Data'!A62</f>
        <v>60</v>
      </c>
      <c r="B62" s="8" t="str">
        <f>TRIM(CLEAN('Raw Data'!B62))</f>
        <v>An amusing incident brightened up my day!</v>
      </c>
      <c r="C62" s="4" t="str">
        <f>TRIM(PROPER('Raw Data'!C62))</f>
        <v>Amusement</v>
      </c>
      <c r="D62" s="5">
        <f>'Raw Data'!D62</f>
        <v>44971.597222222219</v>
      </c>
      <c r="E62" s="4" t="str">
        <f>TRIM(SUBSTITUTE('Raw Data'!E62," "," "))</f>
        <v>AmusedSoul</v>
      </c>
      <c r="F62" s="4" t="str">
        <f>TRIM(PROPER('Raw Data'!F62))</f>
        <v>Instagram</v>
      </c>
      <c r="G62" s="8" t="str">
        <f>TRIM(CLEAN('Raw Data'!G62))</f>
        <v>#Amusement #FunTimes</v>
      </c>
      <c r="H62" s="12">
        <f>'Raw Data'!H62</f>
        <v>18</v>
      </c>
      <c r="I62" s="12">
        <v>30</v>
      </c>
      <c r="J62" s="12" t="str">
        <f>TRIM(UPPER('Raw Data'!J62))</f>
        <v>UK</v>
      </c>
      <c r="K62" s="12">
        <f>'Raw Data'!K62</f>
        <v>2023</v>
      </c>
      <c r="L62" s="12">
        <f>'Raw Data'!L62</f>
        <v>2</v>
      </c>
      <c r="M62" s="12">
        <f>'Raw Data'!M62</f>
        <v>14</v>
      </c>
      <c r="N62">
        <f>'Raw Data'!N62</f>
        <v>14</v>
      </c>
    </row>
    <row r="63" spans="1:14" x14ac:dyDescent="0.25">
      <c r="A63" s="11">
        <f>'Raw Data'!A63</f>
        <v>61</v>
      </c>
      <c r="B63" s="8" t="str">
        <f>TRIM(CLEAN('Raw Data'!B63))</f>
        <v>Enjoying a quiet evening with a book and some tea.</v>
      </c>
      <c r="C63" s="4" t="str">
        <f>TRIM(PROPER('Raw Data'!C63))</f>
        <v>Enjoyment</v>
      </c>
      <c r="D63" s="5">
        <f>'Raw Data'!D63</f>
        <v>44971.822916666664</v>
      </c>
      <c r="E63" s="4" t="str">
        <f>TRIM(SUBSTITUTE('Raw Data'!E63," "," "))</f>
        <v>BookLoverAgain</v>
      </c>
      <c r="F63" s="4" t="str">
        <f>TRIM(PROPER('Raw Data'!F63))</f>
        <v>Facebook</v>
      </c>
      <c r="G63" s="8" t="str">
        <f>TRIM(CLEAN('Raw Data'!G63))</f>
        <v>#Enjoyment #BookTime</v>
      </c>
      <c r="H63" s="12">
        <f>'Raw Data'!H63</f>
        <v>25</v>
      </c>
      <c r="I63" s="12">
        <v>35</v>
      </c>
      <c r="J63" s="12" t="str">
        <f>TRIM(UPPER('Raw Data'!J63))</f>
        <v>CANADA</v>
      </c>
      <c r="K63" s="12">
        <f>'Raw Data'!K63</f>
        <v>2023</v>
      </c>
      <c r="L63" s="12">
        <f>'Raw Data'!L63</f>
        <v>2</v>
      </c>
      <c r="M63" s="12">
        <f>'Raw Data'!M63</f>
        <v>14</v>
      </c>
      <c r="N63">
        <f>'Raw Data'!N63</f>
        <v>19</v>
      </c>
    </row>
    <row r="64" spans="1:14" x14ac:dyDescent="0.25">
      <c r="A64" s="11">
        <f>'Raw Data'!A64</f>
        <v>62</v>
      </c>
      <c r="B64" s="8" t="str">
        <f>TRIM(CLEAN('Raw Data'!B64))</f>
        <v>Admiring the beauty of nature during a peaceful hike.</v>
      </c>
      <c r="C64" s="4" t="str">
        <f>TRIM(PROPER('Raw Data'!C64))</f>
        <v>Admiration</v>
      </c>
      <c r="D64" s="5">
        <f>'Raw Data'!D64</f>
        <v>44972.479166666664</v>
      </c>
      <c r="E64" s="4" t="str">
        <f>TRIM(SUBSTITUTE('Raw Data'!E64," "," "))</f>
        <v>NatureAdmirer</v>
      </c>
      <c r="F64" s="4" t="str">
        <f>TRIM(PROPER('Raw Data'!F64))</f>
        <v>Twitter</v>
      </c>
      <c r="G64" s="8" t="str">
        <f>TRIM(CLEAN('Raw Data'!G64))</f>
        <v>#Admiration #Nature</v>
      </c>
      <c r="H64" s="12">
        <f>'Raw Data'!H64</f>
        <v>20</v>
      </c>
      <c r="I64" s="12">
        <v>50</v>
      </c>
      <c r="J64" s="12" t="str">
        <f>TRIM(UPPER('Raw Data'!J64))</f>
        <v>USA</v>
      </c>
      <c r="K64" s="12">
        <f>'Raw Data'!K64</f>
        <v>2023</v>
      </c>
      <c r="L64" s="12">
        <f>'Raw Data'!L64</f>
        <v>2</v>
      </c>
      <c r="M64" s="12">
        <f>'Raw Data'!M64</f>
        <v>15</v>
      </c>
      <c r="N64">
        <f>'Raw Data'!N64</f>
        <v>11</v>
      </c>
    </row>
    <row r="65" spans="1:14" x14ac:dyDescent="0.25">
      <c r="A65" s="11">
        <f>'Raw Data'!A65</f>
        <v>63</v>
      </c>
      <c r="B65" s="8" t="str">
        <f>TRIM(CLEAN('Raw Data'!B65))</f>
        <v>Sending affectionate vibes to all my followers!</v>
      </c>
      <c r="C65" s="4" t="str">
        <f>TRIM(PROPER('Raw Data'!C65))</f>
        <v>Affection</v>
      </c>
      <c r="D65" s="5">
        <f>'Raw Data'!D65</f>
        <v>44972.666666666664</v>
      </c>
      <c r="E65" s="4" t="str">
        <f>TRIM(SUBSTITUTE('Raw Data'!E65," "," "))</f>
        <v>AffectionSender</v>
      </c>
      <c r="F65" s="4" t="str">
        <f>TRIM(PROPER('Raw Data'!F65))</f>
        <v>Instagram</v>
      </c>
      <c r="G65" s="8" t="str">
        <f>TRIM(CLEAN('Raw Data'!G65))</f>
        <v>#Affection #PositiveVibes</v>
      </c>
      <c r="H65" s="12">
        <f>'Raw Data'!H65</f>
        <v>15</v>
      </c>
      <c r="I65" s="12">
        <v>40</v>
      </c>
      <c r="J65" s="12" t="str">
        <f>TRIM(UPPER('Raw Data'!J65))</f>
        <v>USA</v>
      </c>
      <c r="K65" s="12">
        <f>'Raw Data'!K65</f>
        <v>2023</v>
      </c>
      <c r="L65" s="12">
        <f>'Raw Data'!L65</f>
        <v>2</v>
      </c>
      <c r="M65" s="12">
        <f>'Raw Data'!M65</f>
        <v>15</v>
      </c>
      <c r="N65">
        <f>'Raw Data'!N65</f>
        <v>16</v>
      </c>
    </row>
    <row r="66" spans="1:14" x14ac:dyDescent="0.25">
      <c r="A66" s="11">
        <f>'Raw Data'!A66</f>
        <v>64</v>
      </c>
      <c r="B66" s="8" t="str">
        <f>TRIM(CLEAN('Raw Data'!B66))</f>
        <v>Experiencing awe at the breathtaking sunset.</v>
      </c>
      <c r="C66" s="4" t="str">
        <f>TRIM(PROPER('Raw Data'!C66))</f>
        <v>Awe</v>
      </c>
      <c r="D66" s="5">
        <f>'Raw Data'!D66</f>
        <v>44972.854166666664</v>
      </c>
      <c r="E66" s="4" t="str">
        <f>TRIM(SUBSTITUTE('Raw Data'!E66," "," "))</f>
        <v>AweStruck</v>
      </c>
      <c r="F66" s="4" t="str">
        <f>TRIM(PROPER('Raw Data'!F66))</f>
        <v>Facebook</v>
      </c>
      <c r="G66" s="8" t="str">
        <f>TRIM(CLEAN('Raw Data'!G66))</f>
        <v>#Awe #Breathtaking</v>
      </c>
      <c r="H66" s="12">
        <f>'Raw Data'!H66</f>
        <v>22</v>
      </c>
      <c r="I66" s="12">
        <v>30</v>
      </c>
      <c r="J66" s="12" t="str">
        <f>TRIM(UPPER('Raw Data'!J66))</f>
        <v>AUSTRALIA</v>
      </c>
      <c r="K66" s="12">
        <f>'Raw Data'!K66</f>
        <v>2023</v>
      </c>
      <c r="L66" s="12">
        <f>'Raw Data'!L66</f>
        <v>2</v>
      </c>
      <c r="M66" s="12">
        <f>'Raw Data'!M66</f>
        <v>15</v>
      </c>
      <c r="N66">
        <f>'Raw Data'!N66</f>
        <v>20</v>
      </c>
    </row>
    <row r="67" spans="1:14" x14ac:dyDescent="0.25">
      <c r="A67" s="11">
        <f>'Raw Data'!A67</f>
        <v>65</v>
      </c>
      <c r="B67" s="8" t="str">
        <f>TRIM(CLEAN('Raw Data'!B67))</f>
        <v>Disappointed with the service at a local restaurant.</v>
      </c>
      <c r="C67" s="4" t="str">
        <f>TRIM(PROPER('Raw Data'!C67))</f>
        <v>Disappointed</v>
      </c>
      <c r="D67" s="5">
        <f>'Raw Data'!D67</f>
        <v>44973.375</v>
      </c>
      <c r="E67" s="4" t="str">
        <f>TRIM(SUBSTITUTE('Raw Data'!E67," "," "))</f>
        <v>FoodieGoneWrong</v>
      </c>
      <c r="F67" s="4" t="str">
        <f>TRIM(PROPER('Raw Data'!F67))</f>
        <v>Twitter</v>
      </c>
      <c r="G67" s="8" t="str">
        <f>TRIM(CLEAN('Raw Data'!G67))</f>
        <v>#Disappointed #BadService</v>
      </c>
      <c r="H67" s="12">
        <f>'Raw Data'!H67</f>
        <v>18</v>
      </c>
      <c r="I67" s="12">
        <v>45</v>
      </c>
      <c r="J67" s="12" t="str">
        <f>TRIM(UPPER('Raw Data'!J67))</f>
        <v>INDIA</v>
      </c>
      <c r="K67" s="12">
        <f>'Raw Data'!K67</f>
        <v>2023</v>
      </c>
      <c r="L67" s="12">
        <f>'Raw Data'!L67</f>
        <v>2</v>
      </c>
      <c r="M67" s="12">
        <f>'Raw Data'!M67</f>
        <v>16</v>
      </c>
      <c r="N67">
        <f>'Raw Data'!N67</f>
        <v>9</v>
      </c>
    </row>
    <row r="68" spans="1:14" x14ac:dyDescent="0.25">
      <c r="A68" s="11">
        <f>'Raw Data'!A68</f>
        <v>66</v>
      </c>
      <c r="B68" s="8" t="str">
        <f>TRIM(CLEAN('Raw Data'!B68))</f>
        <v>A surprise gift from a friend made my day!</v>
      </c>
      <c r="C68" s="4" t="str">
        <f>TRIM(PROPER('Raw Data'!C68))</f>
        <v>Surprise</v>
      </c>
      <c r="D68" s="5">
        <f>'Raw Data'!D68</f>
        <v>44973.614583333336</v>
      </c>
      <c r="E68" s="4" t="str">
        <f>TRIM(SUBSTITUTE('Raw Data'!E68," "," "))</f>
        <v>HappySurprise</v>
      </c>
      <c r="F68" s="4" t="str">
        <f>TRIM(PROPER('Raw Data'!F68))</f>
        <v>Instagram</v>
      </c>
      <c r="G68" s="8" t="str">
        <f>TRIM(CLEAN('Raw Data'!G68))</f>
        <v>#Surprise #Gift</v>
      </c>
      <c r="H68" s="12">
        <f>'Raw Data'!H68</f>
        <v>25</v>
      </c>
      <c r="I68" s="12">
        <v>35</v>
      </c>
      <c r="J68" s="12" t="str">
        <f>TRIM(UPPER('Raw Data'!J68))</f>
        <v>USA</v>
      </c>
      <c r="K68" s="12">
        <f>'Raw Data'!K68</f>
        <v>2023</v>
      </c>
      <c r="L68" s="12">
        <f>'Raw Data'!L68</f>
        <v>2</v>
      </c>
      <c r="M68" s="12">
        <f>'Raw Data'!M68</f>
        <v>16</v>
      </c>
      <c r="N68">
        <f>'Raw Data'!N68</f>
        <v>14</v>
      </c>
    </row>
    <row r="69" spans="1:14" x14ac:dyDescent="0.25">
      <c r="A69" s="11">
        <f>'Raw Data'!A69</f>
        <v>67</v>
      </c>
      <c r="B69" s="8" t="str">
        <f>TRIM(CLEAN('Raw Data'!B69))</f>
        <v>Finding acceptance in the midst of life's challenges.</v>
      </c>
      <c r="C69" s="4" t="str">
        <f>TRIM(PROPER('Raw Data'!C69))</f>
        <v>Acceptance</v>
      </c>
      <c r="D69" s="5">
        <f>'Raw Data'!D69</f>
        <v>44973.763888888891</v>
      </c>
      <c r="E69" s="4" t="str">
        <f>TRIM(SUBSTITUTE('Raw Data'!E69," "," "))</f>
        <v>AcceptanceSeeker</v>
      </c>
      <c r="F69" s="4" t="str">
        <f>TRIM(PROPER('Raw Data'!F69))</f>
        <v>Facebook</v>
      </c>
      <c r="G69" s="8" t="str">
        <f>TRIM(CLEAN('Raw Data'!G69))</f>
        <v>#Acceptance #Challenges</v>
      </c>
      <c r="H69" s="12">
        <f>'Raw Data'!H69</f>
        <v>15</v>
      </c>
      <c r="I69" s="12">
        <v>50</v>
      </c>
      <c r="J69" s="12" t="str">
        <f>TRIM(UPPER('Raw Data'!J69))</f>
        <v>CANADA</v>
      </c>
      <c r="K69" s="12">
        <f>'Raw Data'!K69</f>
        <v>2023</v>
      </c>
      <c r="L69" s="12">
        <f>'Raw Data'!L69</f>
        <v>2</v>
      </c>
      <c r="M69" s="12">
        <f>'Raw Data'!M69</f>
        <v>16</v>
      </c>
      <c r="N69">
        <f>'Raw Data'!N69</f>
        <v>18</v>
      </c>
    </row>
    <row r="70" spans="1:14" x14ac:dyDescent="0.25">
      <c r="A70" s="11">
        <f>'Raw Data'!A70</f>
        <v>68</v>
      </c>
      <c r="B70" s="8" t="str">
        <f>TRIM(CLEAN('Raw Data'!B70))</f>
        <v>Overflowing with adoration for my adorable pet! 🐾</v>
      </c>
      <c r="C70" s="4" t="str">
        <f>TRIM(PROPER('Raw Data'!C70))</f>
        <v>Adoration</v>
      </c>
      <c r="D70" s="5">
        <f>'Raw Data'!D70</f>
        <v>44974.447916666664</v>
      </c>
      <c r="E70" s="4" t="str">
        <f>TRIM(SUBSTITUTE('Raw Data'!E70," "," "))</f>
        <v>PetAdorer</v>
      </c>
      <c r="F70" s="4" t="str">
        <f>TRIM(PROPER('Raw Data'!F70))</f>
        <v>Twitter</v>
      </c>
      <c r="G70" s="8" t="str">
        <f>TRIM(CLEAN('Raw Data'!G70))</f>
        <v>#Adoration #PetLove</v>
      </c>
      <c r="H70" s="12">
        <f>'Raw Data'!H70</f>
        <v>22</v>
      </c>
      <c r="I70" s="12">
        <v>30</v>
      </c>
      <c r="J70" s="12" t="str">
        <f>TRIM(UPPER('Raw Data'!J70))</f>
        <v>UK</v>
      </c>
      <c r="K70" s="12">
        <f>'Raw Data'!K70</f>
        <v>2023</v>
      </c>
      <c r="L70" s="12">
        <f>'Raw Data'!L70</f>
        <v>2</v>
      </c>
      <c r="M70" s="12">
        <f>'Raw Data'!M70</f>
        <v>17</v>
      </c>
      <c r="N70">
        <f>'Raw Data'!N70</f>
        <v>10</v>
      </c>
    </row>
    <row r="71" spans="1:14" x14ac:dyDescent="0.25">
      <c r="A71" s="11">
        <f>'Raw Data'!A71</f>
        <v>69</v>
      </c>
      <c r="B71" s="8" t="str">
        <f>TRIM(CLEAN('Raw Data'!B71))</f>
        <v>Anticipating a thrilling adventure in the coming weeks.</v>
      </c>
      <c r="C71" s="4" t="str">
        <f>TRIM(PROPER('Raw Data'!C71))</f>
        <v>Anticipation</v>
      </c>
      <c r="D71" s="5">
        <f>'Raw Data'!D71</f>
        <v>44974.3125</v>
      </c>
      <c r="E71" s="4" t="str">
        <f>TRIM(SUBSTITUTE('Raw Data'!E71," "," "))</f>
        <v>AdventureAwaits</v>
      </c>
      <c r="F71" s="4" t="str">
        <f>TRIM(PROPER('Raw Data'!F71))</f>
        <v>Instagram</v>
      </c>
      <c r="G71" s="8" t="str">
        <f>TRIM(CLEAN('Raw Data'!G71))</f>
        <v>#Anticipation #Adventure</v>
      </c>
      <c r="H71" s="12">
        <f>'Raw Data'!H71</f>
        <v>20</v>
      </c>
      <c r="I71" s="12">
        <v>45</v>
      </c>
      <c r="J71" s="12" t="str">
        <f>TRIM(UPPER('Raw Data'!J71))</f>
        <v>USA</v>
      </c>
      <c r="K71" s="12">
        <f>'Raw Data'!K71</f>
        <v>2023</v>
      </c>
      <c r="L71" s="12">
        <f>'Raw Data'!L71</f>
        <v>2</v>
      </c>
      <c r="M71" s="12">
        <f>'Raw Data'!M71</f>
        <v>17</v>
      </c>
      <c r="N71">
        <f>'Raw Data'!N71</f>
        <v>7</v>
      </c>
    </row>
    <row r="72" spans="1:14" x14ac:dyDescent="0.25">
      <c r="A72" s="11">
        <f>'Raw Data'!A72</f>
        <v>70</v>
      </c>
      <c r="B72" s="8" t="str">
        <f>TRIM(CLEAN('Raw Data'!B72))</f>
        <v>A bitter experience turned into a valuable lesson.</v>
      </c>
      <c r="C72" s="4" t="str">
        <f>TRIM(PROPER('Raw Data'!C72))</f>
        <v>Bitter</v>
      </c>
      <c r="D72" s="5">
        <f>'Raw Data'!D72</f>
        <v>44974.625</v>
      </c>
      <c r="E72" s="4" t="str">
        <f>TRIM(SUBSTITUTE('Raw Data'!E72," "," "))</f>
        <v>LearnFromBitter</v>
      </c>
      <c r="F72" s="4" t="str">
        <f>TRIM(PROPER('Raw Data'!F72))</f>
        <v>Facebook</v>
      </c>
      <c r="G72" s="8" t="str">
        <f>TRIM(CLEAN('Raw Data'!G72))</f>
        <v>#BitterLesson #Growth</v>
      </c>
      <c r="H72" s="12">
        <f>'Raw Data'!H72</f>
        <v>18</v>
      </c>
      <c r="I72" s="12">
        <v>40</v>
      </c>
      <c r="J72" s="12" t="str">
        <f>TRIM(UPPER('Raw Data'!J72))</f>
        <v>USA</v>
      </c>
      <c r="K72" s="12">
        <f>'Raw Data'!K72</f>
        <v>2023</v>
      </c>
      <c r="L72" s="12">
        <f>'Raw Data'!L72</f>
        <v>2</v>
      </c>
      <c r="M72" s="12">
        <f>'Raw Data'!M72</f>
        <v>17</v>
      </c>
      <c r="N72">
        <f>'Raw Data'!N72</f>
        <v>15</v>
      </c>
    </row>
    <row r="73" spans="1:14" x14ac:dyDescent="0.25">
      <c r="A73" s="11">
        <f>'Raw Data'!A73</f>
        <v>71</v>
      </c>
      <c r="B73" s="8" t="str">
        <f>TRIM(CLEAN('Raw Data'!B73))</f>
        <v>Finding calmness in the midst of a busy day.</v>
      </c>
      <c r="C73" s="4" t="str">
        <f>TRIM(PROPER('Raw Data'!C73))</f>
        <v>Calmness</v>
      </c>
      <c r="D73" s="5">
        <f>'Raw Data'!D73</f>
        <v>44975.395833333336</v>
      </c>
      <c r="E73" s="4" t="str">
        <f>TRIM(SUBSTITUTE('Raw Data'!E73," "," "))</f>
        <v>ZenMaster</v>
      </c>
      <c r="F73" s="4" t="str">
        <f>TRIM(PROPER('Raw Data'!F73))</f>
        <v>Twitter</v>
      </c>
      <c r="G73" s="8" t="str">
        <f>TRIM(CLEAN('Raw Data'!G73))</f>
        <v>#Calmness #PeacefulMind</v>
      </c>
      <c r="H73" s="12">
        <f>'Raw Data'!H73</f>
        <v>15</v>
      </c>
      <c r="I73" s="12">
        <v>35</v>
      </c>
      <c r="J73" s="12" t="str">
        <f>TRIM(UPPER('Raw Data'!J73))</f>
        <v>INDIA</v>
      </c>
      <c r="K73" s="12">
        <f>'Raw Data'!K73</f>
        <v>2023</v>
      </c>
      <c r="L73" s="12">
        <f>'Raw Data'!L73</f>
        <v>2</v>
      </c>
      <c r="M73" s="12">
        <f>'Raw Data'!M73</f>
        <v>18</v>
      </c>
      <c r="N73">
        <f>'Raw Data'!N73</f>
        <v>9</v>
      </c>
    </row>
    <row r="74" spans="1:14" ht="30" x14ac:dyDescent="0.25">
      <c r="A74" s="11">
        <f>'Raw Data'!A74</f>
        <v>72</v>
      </c>
      <c r="B74" s="8" t="str">
        <f>TRIM(CLEAN('Raw Data'!B74))</f>
        <v>Confusion clouds my mind as I navigate through decisions.</v>
      </c>
      <c r="C74" s="4" t="str">
        <f>TRIM(PROPER('Raw Data'!C74))</f>
        <v>Confusion</v>
      </c>
      <c r="D74" s="5">
        <f>'Raw Data'!D74</f>
        <v>44975.597222222219</v>
      </c>
      <c r="E74" s="4" t="str">
        <f>TRIM(SUBSTITUTE('Raw Data'!E74," "," "))</f>
        <v>ConfusedMind</v>
      </c>
      <c r="F74" s="4" t="str">
        <f>TRIM(PROPER('Raw Data'!F74))</f>
        <v>Instagram</v>
      </c>
      <c r="G74" s="8" t="str">
        <f>TRIM(CLEAN('Raw Data'!G74))</f>
        <v>#Confusion #DecisionMaking</v>
      </c>
      <c r="H74" s="12">
        <f>'Raw Data'!H74</f>
        <v>25</v>
      </c>
      <c r="I74" s="12">
        <v>30</v>
      </c>
      <c r="J74" s="12" t="str">
        <f>TRIM(UPPER('Raw Data'!J74))</f>
        <v>UK</v>
      </c>
      <c r="K74" s="12">
        <f>'Raw Data'!K74</f>
        <v>2023</v>
      </c>
      <c r="L74" s="12">
        <f>'Raw Data'!L74</f>
        <v>2</v>
      </c>
      <c r="M74" s="12">
        <f>'Raw Data'!M74</f>
        <v>18</v>
      </c>
      <c r="N74">
        <f>'Raw Data'!N74</f>
        <v>14</v>
      </c>
    </row>
    <row r="75" spans="1:14" x14ac:dyDescent="0.25">
      <c r="A75" s="11">
        <f>'Raw Data'!A75</f>
        <v>73</v>
      </c>
      <c r="B75" s="8" t="str">
        <f>TRIM(CLEAN('Raw Data'!B75))</f>
        <v>Excitement building up for the upcoming vacation!</v>
      </c>
      <c r="C75" s="4" t="str">
        <f>TRIM(PROPER('Raw Data'!C75))</f>
        <v>Excitement</v>
      </c>
      <c r="D75" s="5">
        <f>'Raw Data'!D75</f>
        <v>44975.78125</v>
      </c>
      <c r="E75" s="4" t="str">
        <f>TRIM(SUBSTITUTE('Raw Data'!E75," "," "))</f>
        <v>VacationDreamer</v>
      </c>
      <c r="F75" s="4" t="str">
        <f>TRIM(PROPER('Raw Data'!F75))</f>
        <v>Facebook</v>
      </c>
      <c r="G75" s="8" t="str">
        <f>TRIM(CLEAN('Raw Data'!G75))</f>
        <v>#Excitement #TravelPlans</v>
      </c>
      <c r="H75" s="12">
        <f>'Raw Data'!H75</f>
        <v>22</v>
      </c>
      <c r="I75" s="12">
        <v>50</v>
      </c>
      <c r="J75" s="12" t="str">
        <f>TRIM(UPPER('Raw Data'!J75))</f>
        <v>CANADA</v>
      </c>
      <c r="K75" s="12">
        <f>'Raw Data'!K75</f>
        <v>2023</v>
      </c>
      <c r="L75" s="12">
        <f>'Raw Data'!L75</f>
        <v>2</v>
      </c>
      <c r="M75" s="12">
        <f>'Raw Data'!M75</f>
        <v>18</v>
      </c>
      <c r="N75">
        <f>'Raw Data'!N75</f>
        <v>18</v>
      </c>
    </row>
    <row r="76" spans="1:14" ht="30" x14ac:dyDescent="0.25">
      <c r="A76" s="11">
        <f>'Raw Data'!A76</f>
        <v>74</v>
      </c>
      <c r="B76" s="8" t="str">
        <f>TRIM(CLEAN('Raw Data'!B76))</f>
        <v>Kindness witnessed today restored my faith in humanity.</v>
      </c>
      <c r="C76" s="4" t="str">
        <f>TRIM(PROPER('Raw Data'!C76))</f>
        <v>Kind</v>
      </c>
      <c r="D76" s="5">
        <f>'Raw Data'!D76</f>
        <v>44976.479166666664</v>
      </c>
      <c r="E76" s="4" t="str">
        <f>TRIM(SUBSTITUTE('Raw Data'!E76," "," "))</f>
        <v>KindnessPrevails</v>
      </c>
      <c r="F76" s="4" t="str">
        <f>TRIM(PROPER('Raw Data'!F76))</f>
        <v>Twitter</v>
      </c>
      <c r="G76" s="8" t="str">
        <f>TRIM(CLEAN('Raw Data'!G76))</f>
        <v>#Kindness #Humanity</v>
      </c>
      <c r="H76" s="12">
        <f>'Raw Data'!H76</f>
        <v>20</v>
      </c>
      <c r="I76" s="12">
        <v>45</v>
      </c>
      <c r="J76" s="12" t="str">
        <f>TRIM(UPPER('Raw Data'!J76))</f>
        <v>USA</v>
      </c>
      <c r="K76" s="12">
        <f>'Raw Data'!K76</f>
        <v>2023</v>
      </c>
      <c r="L76" s="12">
        <f>'Raw Data'!L76</f>
        <v>2</v>
      </c>
      <c r="M76" s="12">
        <f>'Raw Data'!M76</f>
        <v>19</v>
      </c>
      <c r="N76">
        <f>'Raw Data'!N76</f>
        <v>11</v>
      </c>
    </row>
    <row r="77" spans="1:14" x14ac:dyDescent="0.25">
      <c r="A77" s="11">
        <f>'Raw Data'!A77</f>
        <v>75</v>
      </c>
      <c r="B77" s="8" t="str">
        <f>TRIM(CLEAN('Raw Data'!B77))</f>
        <v>Pride in achieving a personal milestone.</v>
      </c>
      <c r="C77" s="4" t="str">
        <f>TRIM(PROPER('Raw Data'!C77))</f>
        <v>Pride</v>
      </c>
      <c r="D77" s="5">
        <f>'Raw Data'!D77</f>
        <v>44976.666666666664</v>
      </c>
      <c r="E77" s="4" t="str">
        <f>TRIM(SUBSTITUTE('Raw Data'!E77," "," "))</f>
        <v>PersonalAchiever</v>
      </c>
      <c r="F77" s="4" t="str">
        <f>TRIM(PROPER('Raw Data'!F77))</f>
        <v>Instagram</v>
      </c>
      <c r="G77" s="8" t="str">
        <f>TRIM(CLEAN('Raw Data'!G77))</f>
        <v>#Pride #Milestone</v>
      </c>
      <c r="H77" s="12">
        <f>'Raw Data'!H77</f>
        <v>30</v>
      </c>
      <c r="I77" s="12">
        <v>40</v>
      </c>
      <c r="J77" s="12" t="str">
        <f>TRIM(UPPER('Raw Data'!J77))</f>
        <v>AUSTRALIA</v>
      </c>
      <c r="K77" s="12">
        <f>'Raw Data'!K77</f>
        <v>2023</v>
      </c>
      <c r="L77" s="12">
        <f>'Raw Data'!L77</f>
        <v>2</v>
      </c>
      <c r="M77" s="12">
        <f>'Raw Data'!M77</f>
        <v>19</v>
      </c>
      <c r="N77">
        <f>'Raw Data'!N77</f>
        <v>16</v>
      </c>
    </row>
    <row r="78" spans="1:14" ht="30" x14ac:dyDescent="0.25">
      <c r="A78" s="11">
        <f>'Raw Data'!A78</f>
        <v>76</v>
      </c>
      <c r="B78" s="8" t="str">
        <f>TRIM(CLEAN('Raw Data'!B78))</f>
        <v>A moment of shame for not standing up against injustice.</v>
      </c>
      <c r="C78" s="4" t="str">
        <f>TRIM(PROPER('Raw Data'!C78))</f>
        <v>Shame</v>
      </c>
      <c r="D78" s="5">
        <f>'Raw Data'!D78</f>
        <v>44976.822916666664</v>
      </c>
      <c r="E78" s="4" t="str">
        <f>TRIM(SUBSTITUTE('Raw Data'!E78," "," "))</f>
        <v>ReflectiveSelf</v>
      </c>
      <c r="F78" s="4" t="str">
        <f>TRIM(PROPER('Raw Data'!F78))</f>
        <v>Facebook</v>
      </c>
      <c r="G78" s="8" t="str">
        <f>TRIM(CLEAN('Raw Data'!G78))</f>
        <v>#Shame #Injustice</v>
      </c>
      <c r="H78" s="12">
        <f>'Raw Data'!H78</f>
        <v>15</v>
      </c>
      <c r="I78" s="12">
        <v>60</v>
      </c>
      <c r="J78" s="12" t="str">
        <f>TRIM(UPPER('Raw Data'!J78))</f>
        <v>INDIA</v>
      </c>
      <c r="K78" s="12">
        <f>'Raw Data'!K78</f>
        <v>2023</v>
      </c>
      <c r="L78" s="12">
        <f>'Raw Data'!L78</f>
        <v>2</v>
      </c>
      <c r="M78" s="12">
        <f>'Raw Data'!M78</f>
        <v>19</v>
      </c>
      <c r="N78">
        <f>'Raw Data'!N78</f>
        <v>19</v>
      </c>
    </row>
    <row r="79" spans="1:14" x14ac:dyDescent="0.25">
      <c r="A79" s="11">
        <f>'Raw Data'!A79</f>
        <v>77</v>
      </c>
      <c r="B79" s="8" t="str">
        <f>TRIM(CLEAN('Raw Data'!B79))</f>
        <v>Fuming with anger after a heated argument.</v>
      </c>
      <c r="C79" s="4" t="str">
        <f>TRIM(PROPER('Raw Data'!C79))</f>
        <v>Anger</v>
      </c>
      <c r="D79" s="5">
        <f>'Raw Data'!D79</f>
        <v>44977.395833333336</v>
      </c>
      <c r="E79" s="4" t="str">
        <f>TRIM(SUBSTITUTE('Raw Data'!E79," "," "))</f>
        <v>AngryDebater</v>
      </c>
      <c r="F79" s="4" t="str">
        <f>TRIM(PROPER('Raw Data'!F79))</f>
        <v>Twitter</v>
      </c>
      <c r="G79" s="8" t="str">
        <f>TRIM(CLEAN('Raw Data'!G79))</f>
        <v>#Anger #Argument</v>
      </c>
      <c r="H79" s="12">
        <f>'Raw Data'!H79</f>
        <v>20</v>
      </c>
      <c r="I79" s="12">
        <v>30</v>
      </c>
      <c r="J79" s="12" t="str">
        <f>TRIM(UPPER('Raw Data'!J79))</f>
        <v>CANADA</v>
      </c>
      <c r="K79" s="12">
        <f>'Raw Data'!K79</f>
        <v>2023</v>
      </c>
      <c r="L79" s="12">
        <f>'Raw Data'!L79</f>
        <v>2</v>
      </c>
      <c r="M79" s="12">
        <f>'Raw Data'!M79</f>
        <v>20</v>
      </c>
      <c r="N79">
        <f>'Raw Data'!N79</f>
        <v>9</v>
      </c>
    </row>
    <row r="80" spans="1:14" x14ac:dyDescent="0.25">
      <c r="A80" s="11">
        <f>'Raw Data'!A80</f>
        <v>78</v>
      </c>
      <c r="B80" s="8" t="str">
        <f>TRIM(CLEAN('Raw Data'!B80))</f>
        <v>The fear of the unknown is keeping me up at night.</v>
      </c>
      <c r="C80" s="4" t="str">
        <f>TRIM(PROPER('Raw Data'!C80))</f>
        <v>Fear</v>
      </c>
      <c r="D80" s="5">
        <f>'Raw Data'!D80</f>
        <v>44977.885416666664</v>
      </c>
      <c r="E80" s="4" t="str">
        <f>TRIM(SUBSTITUTE('Raw Data'!E80," "," "))</f>
        <v>FearfulDreamer</v>
      </c>
      <c r="F80" s="4" t="str">
        <f>TRIM(PROPER('Raw Data'!F80))</f>
        <v>Instagram</v>
      </c>
      <c r="G80" s="8" t="str">
        <f>TRIM(CLEAN('Raw Data'!G80))</f>
        <v>#Fear #Unknown</v>
      </c>
      <c r="H80" s="12">
        <f>'Raw Data'!H80</f>
        <v>15</v>
      </c>
      <c r="I80" s="12">
        <v>40</v>
      </c>
      <c r="J80" s="12" t="str">
        <f>TRIM(UPPER('Raw Data'!J80))</f>
        <v>USA</v>
      </c>
      <c r="K80" s="12">
        <f>'Raw Data'!K80</f>
        <v>2023</v>
      </c>
      <c r="L80" s="12">
        <f>'Raw Data'!L80</f>
        <v>2</v>
      </c>
      <c r="M80" s="12">
        <f>'Raw Data'!M80</f>
        <v>20</v>
      </c>
      <c r="N80">
        <f>'Raw Data'!N80</f>
        <v>21</v>
      </c>
    </row>
    <row r="81" spans="1:14" ht="30" x14ac:dyDescent="0.25">
      <c r="A81" s="11">
        <f>'Raw Data'!A81</f>
        <v>79</v>
      </c>
      <c r="B81" s="8" t="str">
        <f>TRIM(CLEAN('Raw Data'!B81))</f>
        <v>Heartfelt sadness after bidding farewell to a dear friend.</v>
      </c>
      <c r="C81" s="4" t="str">
        <f>TRIM(PROPER('Raw Data'!C81))</f>
        <v>Sadness</v>
      </c>
      <c r="D81" s="5">
        <f>'Raw Data'!D81</f>
        <v>44978.614583333336</v>
      </c>
      <c r="E81" s="4" t="str">
        <f>TRIM(SUBSTITUTE('Raw Data'!E81," "," "))</f>
        <v>FarewellHeart</v>
      </c>
      <c r="F81" s="4" t="str">
        <f>TRIM(PROPER('Raw Data'!F81))</f>
        <v>Facebook</v>
      </c>
      <c r="G81" s="8" t="str">
        <f>TRIM(CLEAN('Raw Data'!G81))</f>
        <v>#Sadness #Farewell</v>
      </c>
      <c r="H81" s="12">
        <f>'Raw Data'!H81</f>
        <v>25</v>
      </c>
      <c r="I81" s="12">
        <v>30</v>
      </c>
      <c r="J81" s="12" t="str">
        <f>TRIM(UPPER('Raw Data'!J81))</f>
        <v>INDIA</v>
      </c>
      <c r="K81" s="12">
        <f>'Raw Data'!K81</f>
        <v>2023</v>
      </c>
      <c r="L81" s="12">
        <f>'Raw Data'!L81</f>
        <v>2</v>
      </c>
      <c r="M81" s="12">
        <f>'Raw Data'!M81</f>
        <v>21</v>
      </c>
      <c r="N81">
        <f>'Raw Data'!N81</f>
        <v>14</v>
      </c>
    </row>
    <row r="82" spans="1:14" ht="30" x14ac:dyDescent="0.25">
      <c r="A82" s="11">
        <f>'Raw Data'!A82</f>
        <v>80</v>
      </c>
      <c r="B82" s="8" t="str">
        <f>TRIM(CLEAN('Raw Data'!B82))</f>
        <v>The state of corruption in our society is utterly disgusting.</v>
      </c>
      <c r="C82" s="4" t="str">
        <f>TRIM(PROPER('Raw Data'!C82))</f>
        <v>Disgust</v>
      </c>
      <c r="D82" s="5">
        <f>'Raw Data'!D82</f>
        <v>44978.763888888891</v>
      </c>
      <c r="E82" s="4" t="str">
        <f>TRIM(SUBSTITUTE('Raw Data'!E82," "," "))</f>
        <v>AntiCorruption</v>
      </c>
      <c r="F82" s="4" t="str">
        <f>TRIM(PROPER('Raw Data'!F82))</f>
        <v>Twitter</v>
      </c>
      <c r="G82" s="8" t="str">
        <f>TRIM(CLEAN('Raw Data'!G82))</f>
        <v>#Disgust #Corruption</v>
      </c>
      <c r="H82" s="12">
        <f>'Raw Data'!H82</f>
        <v>18</v>
      </c>
      <c r="I82" s="12">
        <v>50</v>
      </c>
      <c r="J82" s="12" t="str">
        <f>TRIM(UPPER('Raw Data'!J82))</f>
        <v>UK</v>
      </c>
      <c r="K82" s="12">
        <f>'Raw Data'!K82</f>
        <v>2023</v>
      </c>
      <c r="L82" s="12">
        <f>'Raw Data'!L82</f>
        <v>2</v>
      </c>
      <c r="M82" s="12">
        <f>'Raw Data'!M82</f>
        <v>21</v>
      </c>
      <c r="N82">
        <f>'Raw Data'!N82</f>
        <v>18</v>
      </c>
    </row>
    <row r="83" spans="1:14" ht="30" x14ac:dyDescent="0.25">
      <c r="A83" s="11">
        <f>'Raw Data'!A83</f>
        <v>81</v>
      </c>
      <c r="B83" s="8" t="str">
        <f>TRIM(CLEAN('Raw Data'!B83))</f>
        <v>Overflowing happiness: welcoming a new family member!</v>
      </c>
      <c r="C83" s="4" t="str">
        <f>TRIM(PROPER('Raw Data'!C83))</f>
        <v>Happiness</v>
      </c>
      <c r="D83" s="5">
        <f>'Raw Data'!D83</f>
        <v>44979.416666666664</v>
      </c>
      <c r="E83" s="4" t="str">
        <f>TRIM(SUBSTITUTE('Raw Data'!E83," "," "))</f>
        <v>NewParentJoy</v>
      </c>
      <c r="F83" s="4" t="str">
        <f>TRIM(PROPER('Raw Data'!F83))</f>
        <v>Instagram</v>
      </c>
      <c r="G83" s="8" t="str">
        <f>TRIM(CLEAN('Raw Data'!G83))</f>
        <v>#Happiness #NewFamilyMember</v>
      </c>
      <c r="H83" s="12">
        <f>'Raw Data'!H83</f>
        <v>30</v>
      </c>
      <c r="I83" s="12">
        <v>35</v>
      </c>
      <c r="J83" s="12" t="str">
        <f>TRIM(UPPER('Raw Data'!J83))</f>
        <v>UK</v>
      </c>
      <c r="K83" s="12">
        <f>'Raw Data'!K83</f>
        <v>2023</v>
      </c>
      <c r="L83" s="12">
        <f>'Raw Data'!L83</f>
        <v>2</v>
      </c>
      <c r="M83" s="12">
        <f>'Raw Data'!M83</f>
        <v>22</v>
      </c>
      <c r="N83">
        <f>'Raw Data'!N83</f>
        <v>10</v>
      </c>
    </row>
    <row r="84" spans="1:14" ht="30" x14ac:dyDescent="0.25">
      <c r="A84" s="11">
        <f>'Raw Data'!A84</f>
        <v>82</v>
      </c>
      <c r="B84" s="8" t="str">
        <f>TRIM(CLEAN('Raw Data'!B84))</f>
        <v>Laughter is the key to joy—attending a stand-up comedy show.</v>
      </c>
      <c r="C84" s="4" t="str">
        <f>TRIM(PROPER('Raw Data'!C84))</f>
        <v>Joy</v>
      </c>
      <c r="D84" s="5">
        <f>'Raw Data'!D84</f>
        <v>44979.8125</v>
      </c>
      <c r="E84" s="4" t="str">
        <f>TRIM(SUBSTITUTE('Raw Data'!E84," "," "))</f>
        <v>StandUpFan</v>
      </c>
      <c r="F84" s="4" t="str">
        <f>TRIM(PROPER('Raw Data'!F84))</f>
        <v>Facebook</v>
      </c>
      <c r="G84" s="8" t="str">
        <f>TRIM(CLEAN('Raw Data'!G84))</f>
        <v>#Joy #StandUpComedy</v>
      </c>
      <c r="H84" s="12">
        <f>'Raw Data'!H84</f>
        <v>22</v>
      </c>
      <c r="I84" s="12">
        <v>60</v>
      </c>
      <c r="J84" s="12" t="str">
        <f>TRIM(UPPER('Raw Data'!J84))</f>
        <v>CANADA</v>
      </c>
      <c r="K84" s="12">
        <f>'Raw Data'!K84</f>
        <v>2023</v>
      </c>
      <c r="L84" s="12">
        <f>'Raw Data'!L84</f>
        <v>2</v>
      </c>
      <c r="M84" s="12">
        <f>'Raw Data'!M84</f>
        <v>22</v>
      </c>
      <c r="N84">
        <f>'Raw Data'!N84</f>
        <v>19</v>
      </c>
    </row>
    <row r="85" spans="1:14" ht="30" x14ac:dyDescent="0.25">
      <c r="A85" s="11">
        <f>'Raw Data'!A85</f>
        <v>83</v>
      </c>
      <c r="B85" s="8" t="str">
        <f>TRIM(CLEAN('Raw Data'!B85))</f>
        <v>Sending love to all my followers on this beautiful day! ❤️</v>
      </c>
      <c r="C85" s="4" t="str">
        <f>TRIM(PROPER('Raw Data'!C85))</f>
        <v>Love</v>
      </c>
      <c r="D85" s="5">
        <f>'Raw Data'!D85</f>
        <v>44980.354166666664</v>
      </c>
      <c r="E85" s="4" t="str">
        <f>TRIM(SUBSTITUTE('Raw Data'!E85," "," "))</f>
        <v>LoveSender</v>
      </c>
      <c r="F85" s="4" t="str">
        <f>TRIM(PROPER('Raw Data'!F85))</f>
        <v>Twitter</v>
      </c>
      <c r="G85" s="8" t="str">
        <f>TRIM(CLEAN('Raw Data'!G85))</f>
        <v>#Love #SpreadLove</v>
      </c>
      <c r="H85" s="12">
        <f>'Raw Data'!H85</f>
        <v>15</v>
      </c>
      <c r="I85" s="12">
        <v>45</v>
      </c>
      <c r="J85" s="12" t="str">
        <f>TRIM(UPPER('Raw Data'!J85))</f>
        <v>AUSTRALIA</v>
      </c>
      <c r="K85" s="12">
        <f>'Raw Data'!K85</f>
        <v>2023</v>
      </c>
      <c r="L85" s="12">
        <f>'Raw Data'!L85</f>
        <v>2</v>
      </c>
      <c r="M85" s="12">
        <f>'Raw Data'!M85</f>
        <v>23</v>
      </c>
      <c r="N85">
        <f>'Raw Data'!N85</f>
        <v>8</v>
      </c>
    </row>
    <row r="86" spans="1:14" x14ac:dyDescent="0.25">
      <c r="A86" s="11">
        <f>'Raw Data'!A86</f>
        <v>84</v>
      </c>
      <c r="B86" s="8" t="str">
        <f>TRIM(CLEAN('Raw Data'!B86))</f>
        <v>Amused by the antics of my pet—it's pure amusement!</v>
      </c>
      <c r="C86" s="4" t="str">
        <f>TRIM(PROPER('Raw Data'!C86))</f>
        <v>Amusement</v>
      </c>
      <c r="D86" s="5">
        <f>'Raw Data'!D86</f>
        <v>44980.597222222219</v>
      </c>
      <c r="E86" s="4" t="str">
        <f>TRIM(SUBSTITUTE('Raw Data'!E86," "," "))</f>
        <v>PetAmuser</v>
      </c>
      <c r="F86" s="4" t="str">
        <f>TRIM(PROPER('Raw Data'!F86))</f>
        <v>Instagram</v>
      </c>
      <c r="G86" s="8" t="str">
        <f>TRIM(CLEAN('Raw Data'!G86))</f>
        <v>#Amusement #PetAntics</v>
      </c>
      <c r="H86" s="12">
        <f>'Raw Data'!H86</f>
        <v>18</v>
      </c>
      <c r="I86" s="12">
        <v>30</v>
      </c>
      <c r="J86" s="12" t="str">
        <f>TRIM(UPPER('Raw Data'!J86))</f>
        <v>UK</v>
      </c>
      <c r="K86" s="12">
        <f>'Raw Data'!K86</f>
        <v>2023</v>
      </c>
      <c r="L86" s="12">
        <f>'Raw Data'!L86</f>
        <v>2</v>
      </c>
      <c r="M86" s="12">
        <f>'Raw Data'!M86</f>
        <v>23</v>
      </c>
      <c r="N86">
        <f>'Raw Data'!N86</f>
        <v>14</v>
      </c>
    </row>
    <row r="87" spans="1:14" x14ac:dyDescent="0.25">
      <c r="A87" s="11">
        <f>'Raw Data'!A87</f>
        <v>85</v>
      </c>
      <c r="B87" s="8" t="str">
        <f>TRIM(CLEAN('Raw Data'!B87))</f>
        <v>Enjoying every moment of this trip—pure enjoyment!</v>
      </c>
      <c r="C87" s="4" t="str">
        <f>TRIM(PROPER('Raw Data'!C87))</f>
        <v>Enjoyment</v>
      </c>
      <c r="D87" s="5">
        <f>'Raw Data'!D87</f>
        <v>44980.822916666664</v>
      </c>
      <c r="E87" s="4" t="str">
        <f>TRIM(SUBSTITUTE('Raw Data'!E87," "," "))</f>
        <v>TravelExplorer</v>
      </c>
      <c r="F87" s="4" t="str">
        <f>TRIM(PROPER('Raw Data'!F87))</f>
        <v>Facebook</v>
      </c>
      <c r="G87" s="8" t="str">
        <f>TRIM(CLEAN('Raw Data'!G87))</f>
        <v>#Enjoyment #Travel</v>
      </c>
      <c r="H87" s="12">
        <f>'Raw Data'!H87</f>
        <v>25</v>
      </c>
      <c r="I87" s="12">
        <v>35</v>
      </c>
      <c r="J87" s="12" t="str">
        <f>TRIM(UPPER('Raw Data'!J87))</f>
        <v>USA</v>
      </c>
      <c r="K87" s="12">
        <f>'Raw Data'!K87</f>
        <v>2023</v>
      </c>
      <c r="L87" s="12">
        <f>'Raw Data'!L87</f>
        <v>2</v>
      </c>
      <c r="M87" s="12">
        <f>'Raw Data'!M87</f>
        <v>23</v>
      </c>
      <c r="N87">
        <f>'Raw Data'!N87</f>
        <v>19</v>
      </c>
    </row>
    <row r="88" spans="1:14" x14ac:dyDescent="0.25">
      <c r="A88" s="11">
        <f>'Raw Data'!A88</f>
        <v>86</v>
      </c>
      <c r="B88" s="8" t="str">
        <f>TRIM(CLEAN('Raw Data'!B88))</f>
        <v>Admiring the dedication of volunteers at a local charity.</v>
      </c>
      <c r="C88" s="4" t="str">
        <f>TRIM(PROPER('Raw Data'!C88))</f>
        <v>Admiration</v>
      </c>
      <c r="D88" s="5">
        <f>'Raw Data'!D88</f>
        <v>44981.479166666664</v>
      </c>
      <c r="E88" s="4" t="str">
        <f>TRIM(SUBSTITUTE('Raw Data'!E88," "," "))</f>
        <v>CharityAdmirer</v>
      </c>
      <c r="F88" s="4" t="str">
        <f>TRIM(PROPER('Raw Data'!F88))</f>
        <v>Twitter</v>
      </c>
      <c r="G88" s="8" t="str">
        <f>TRIM(CLEAN('Raw Data'!G88))</f>
        <v>#Admiration #Volunteers</v>
      </c>
      <c r="H88" s="12">
        <f>'Raw Data'!H88</f>
        <v>20</v>
      </c>
      <c r="I88" s="12">
        <v>50</v>
      </c>
      <c r="J88" s="12" t="str">
        <f>TRIM(UPPER('Raw Data'!J88))</f>
        <v>USA</v>
      </c>
      <c r="K88" s="12">
        <f>'Raw Data'!K88</f>
        <v>2023</v>
      </c>
      <c r="L88" s="12">
        <f>'Raw Data'!L88</f>
        <v>2</v>
      </c>
      <c r="M88" s="12">
        <f>'Raw Data'!M88</f>
        <v>24</v>
      </c>
      <c r="N88">
        <f>'Raw Data'!N88</f>
        <v>11</v>
      </c>
    </row>
    <row r="89" spans="1:14" x14ac:dyDescent="0.25">
      <c r="A89" s="11">
        <f>'Raw Data'!A89</f>
        <v>87</v>
      </c>
      <c r="B89" s="8" t="str">
        <f>TRIM(CLEAN('Raw Data'!B89))</f>
        <v>Sending affectionate vibes to friends and family.</v>
      </c>
      <c r="C89" s="4" t="str">
        <f>TRIM(PROPER('Raw Data'!C89))</f>
        <v>Affection</v>
      </c>
      <c r="D89" s="5">
        <f>'Raw Data'!D89</f>
        <v>44981.666666666664</v>
      </c>
      <c r="E89" s="4" t="str">
        <f>TRIM(SUBSTITUTE('Raw Data'!E89," "," "))</f>
        <v>FamilyLover</v>
      </c>
      <c r="F89" s="4" t="str">
        <f>TRIM(PROPER('Raw Data'!F89))</f>
        <v>Instagram</v>
      </c>
      <c r="G89" s="8" t="str">
        <f>TRIM(CLEAN('Raw Data'!G89))</f>
        <v>#Affection #FamilyLove</v>
      </c>
      <c r="H89" s="12">
        <f>'Raw Data'!H89</f>
        <v>15</v>
      </c>
      <c r="I89" s="12">
        <v>40</v>
      </c>
      <c r="J89" s="12" t="str">
        <f>TRIM(UPPER('Raw Data'!J89))</f>
        <v>USA</v>
      </c>
      <c r="K89" s="12">
        <f>'Raw Data'!K89</f>
        <v>2023</v>
      </c>
      <c r="L89" s="12">
        <f>'Raw Data'!L89</f>
        <v>2</v>
      </c>
      <c r="M89" s="12">
        <f>'Raw Data'!M89</f>
        <v>24</v>
      </c>
      <c r="N89">
        <f>'Raw Data'!N89</f>
        <v>16</v>
      </c>
    </row>
    <row r="90" spans="1:14" x14ac:dyDescent="0.25">
      <c r="A90" s="11">
        <f>'Raw Data'!A90</f>
        <v>88</v>
      </c>
      <c r="B90" s="8" t="str">
        <f>TRIM(CLEAN('Raw Data'!B90))</f>
        <v>Awe-struck by the beauty of the night sky.</v>
      </c>
      <c r="C90" s="4" t="str">
        <f>TRIM(PROPER('Raw Data'!C90))</f>
        <v>Awe</v>
      </c>
      <c r="D90" s="5">
        <f>'Raw Data'!D90</f>
        <v>44981.854166666664</v>
      </c>
      <c r="E90" s="4" t="str">
        <f>TRIM(SUBSTITUTE('Raw Data'!E90," "," "))</f>
        <v>Stargazer</v>
      </c>
      <c r="F90" s="4" t="str">
        <f>TRIM(PROPER('Raw Data'!F90))</f>
        <v>Facebook</v>
      </c>
      <c r="G90" s="8" t="str">
        <f>TRIM(CLEAN('Raw Data'!G90))</f>
        <v>#Awe #StarryNight</v>
      </c>
      <c r="H90" s="12">
        <f>'Raw Data'!H90</f>
        <v>22</v>
      </c>
      <c r="I90" s="12">
        <v>30</v>
      </c>
      <c r="J90" s="12" t="str">
        <f>TRIM(UPPER('Raw Data'!J90))</f>
        <v>AUSTRALIA</v>
      </c>
      <c r="K90" s="12">
        <f>'Raw Data'!K90</f>
        <v>2023</v>
      </c>
      <c r="L90" s="12">
        <f>'Raw Data'!L90</f>
        <v>2</v>
      </c>
      <c r="M90" s="12">
        <f>'Raw Data'!M90</f>
        <v>24</v>
      </c>
      <c r="N90">
        <f>'Raw Data'!N90</f>
        <v>20</v>
      </c>
    </row>
    <row r="91" spans="1:14" ht="30" x14ac:dyDescent="0.25">
      <c r="A91" s="11">
        <f>'Raw Data'!A91</f>
        <v>89</v>
      </c>
      <c r="B91" s="8" t="str">
        <f>TRIM(CLEAN('Raw Data'!B91))</f>
        <v>Disappointed with the lack of progress in a personal project.</v>
      </c>
      <c r="C91" s="4" t="str">
        <f>TRIM(PROPER('Raw Data'!C91))</f>
        <v>Disappointed</v>
      </c>
      <c r="D91" s="5">
        <f>'Raw Data'!D91</f>
        <v>44982.375</v>
      </c>
      <c r="E91" s="4" t="str">
        <f>TRIM(SUBSTITUTE('Raw Data'!E91," "," "))</f>
        <v>ProjectStruggle</v>
      </c>
      <c r="F91" s="4" t="str">
        <f>TRIM(PROPER('Raw Data'!F91))</f>
        <v>Twitter</v>
      </c>
      <c r="G91" s="8" t="str">
        <f>TRIM(CLEAN('Raw Data'!G91))</f>
        <v>#Disappointed #Project</v>
      </c>
      <c r="H91" s="12">
        <f>'Raw Data'!H91</f>
        <v>18</v>
      </c>
      <c r="I91" s="12">
        <v>45</v>
      </c>
      <c r="J91" s="12" t="str">
        <f>TRIM(UPPER('Raw Data'!J91))</f>
        <v>INDIA</v>
      </c>
      <c r="K91" s="12">
        <f>'Raw Data'!K91</f>
        <v>2023</v>
      </c>
      <c r="L91" s="12">
        <f>'Raw Data'!L91</f>
        <v>2</v>
      </c>
      <c r="M91" s="12">
        <f>'Raw Data'!M91</f>
        <v>25</v>
      </c>
      <c r="N91">
        <f>'Raw Data'!N91</f>
        <v>9</v>
      </c>
    </row>
    <row r="92" spans="1:14" x14ac:dyDescent="0.25">
      <c r="A92" s="11">
        <f>'Raw Data'!A92</f>
        <v>90</v>
      </c>
      <c r="B92" s="8" t="str">
        <f>TRIM(CLEAN('Raw Data'!B92))</f>
        <v>A surprise visit from an old friend brought tears of joy.</v>
      </c>
      <c r="C92" s="4" t="str">
        <f>TRIM(PROPER('Raw Data'!C92))</f>
        <v>Surprise</v>
      </c>
      <c r="D92" s="5">
        <f>'Raw Data'!D92</f>
        <v>44982.614583333336</v>
      </c>
      <c r="E92" s="4" t="str">
        <f>TRIM(SUBSTITUTE('Raw Data'!E92," "," "))</f>
        <v>JoyfulReunion</v>
      </c>
      <c r="F92" s="4" t="str">
        <f>TRIM(PROPER('Raw Data'!F92))</f>
        <v>Instagram</v>
      </c>
      <c r="G92" s="8" t="str">
        <f>TRIM(CLEAN('Raw Data'!G92))</f>
        <v>#Surprise #OldFriends</v>
      </c>
      <c r="H92" s="12">
        <f>'Raw Data'!H92</f>
        <v>25</v>
      </c>
      <c r="I92" s="12">
        <v>35</v>
      </c>
      <c r="J92" s="12" t="str">
        <f>TRIM(UPPER('Raw Data'!J92))</f>
        <v>USA</v>
      </c>
      <c r="K92" s="12">
        <f>'Raw Data'!K92</f>
        <v>2023</v>
      </c>
      <c r="L92" s="12">
        <f>'Raw Data'!L92</f>
        <v>2</v>
      </c>
      <c r="M92" s="12">
        <f>'Raw Data'!M92</f>
        <v>25</v>
      </c>
      <c r="N92">
        <f>'Raw Data'!N92</f>
        <v>14</v>
      </c>
    </row>
    <row r="93" spans="1:14" x14ac:dyDescent="0.25">
      <c r="A93" s="11">
        <f>'Raw Data'!A93</f>
        <v>91</v>
      </c>
      <c r="B93" s="8" t="str">
        <f>TRIM(CLEAN('Raw Data'!B93))</f>
        <v>Embracing acceptance of life's ups and downs.</v>
      </c>
      <c r="C93" s="4" t="str">
        <f>TRIM(PROPER('Raw Data'!C93))</f>
        <v>Acceptance</v>
      </c>
      <c r="D93" s="5">
        <f>'Raw Data'!D93</f>
        <v>44982.763888888891</v>
      </c>
      <c r="E93" s="4" t="str">
        <f>TRIM(SUBSTITUTE('Raw Data'!E93," "," "))</f>
        <v>LifeAcceptance</v>
      </c>
      <c r="F93" s="4" t="str">
        <f>TRIM(PROPER('Raw Data'!F93))</f>
        <v>Facebook</v>
      </c>
      <c r="G93" s="8" t="str">
        <f>TRIM(CLEAN('Raw Data'!G93))</f>
        <v>#Acceptance #LifeJourney</v>
      </c>
      <c r="H93" s="12">
        <f>'Raw Data'!H93</f>
        <v>15</v>
      </c>
      <c r="I93" s="12">
        <v>50</v>
      </c>
      <c r="J93" s="12" t="str">
        <f>TRIM(UPPER('Raw Data'!J93))</f>
        <v>CANADA</v>
      </c>
      <c r="K93" s="12">
        <f>'Raw Data'!K93</f>
        <v>2023</v>
      </c>
      <c r="L93" s="12">
        <f>'Raw Data'!L93</f>
        <v>2</v>
      </c>
      <c r="M93" s="12">
        <f>'Raw Data'!M93</f>
        <v>25</v>
      </c>
      <c r="N93">
        <f>'Raw Data'!N93</f>
        <v>18</v>
      </c>
    </row>
    <row r="94" spans="1:14" x14ac:dyDescent="0.25">
      <c r="A94" s="11">
        <f>'Raw Data'!A94</f>
        <v>92</v>
      </c>
      <c r="B94" s="8" t="str">
        <f>TRIM(CLEAN('Raw Data'!B94))</f>
        <v>Overflowing adoration for a cute rescue puppy! 🐶</v>
      </c>
      <c r="C94" s="4" t="str">
        <f>TRIM(PROPER('Raw Data'!C94))</f>
        <v>Adoration</v>
      </c>
      <c r="D94" s="5">
        <f>'Raw Data'!D94</f>
        <v>44983.447916666664</v>
      </c>
      <c r="E94" s="4" t="str">
        <f>TRIM(SUBSTITUTE('Raw Data'!E94," "," "))</f>
        <v>PuppyAdmirer</v>
      </c>
      <c r="F94" s="4" t="str">
        <f>TRIM(PROPER('Raw Data'!F94))</f>
        <v>Twitter</v>
      </c>
      <c r="G94" s="8" t="str">
        <f>TRIM(CLEAN('Raw Data'!G94))</f>
        <v>#Adoration #PuppyLove</v>
      </c>
      <c r="H94" s="12">
        <f>'Raw Data'!H94</f>
        <v>22</v>
      </c>
      <c r="I94" s="12">
        <v>30</v>
      </c>
      <c r="J94" s="12" t="str">
        <f>TRIM(UPPER('Raw Data'!J94))</f>
        <v>UK</v>
      </c>
      <c r="K94" s="12">
        <f>'Raw Data'!K94</f>
        <v>2023</v>
      </c>
      <c r="L94" s="12">
        <f>'Raw Data'!L94</f>
        <v>2</v>
      </c>
      <c r="M94" s="12">
        <f>'Raw Data'!M94</f>
        <v>26</v>
      </c>
      <c r="N94">
        <f>'Raw Data'!N94</f>
        <v>10</v>
      </c>
    </row>
    <row r="95" spans="1:14" x14ac:dyDescent="0.25">
      <c r="A95" s="11">
        <f>'Raw Data'!A95</f>
        <v>93</v>
      </c>
      <c r="B95" s="8" t="str">
        <f>TRIM(CLEAN('Raw Data'!B95))</f>
        <v>Anticipating the release of a much-awaited movie.</v>
      </c>
      <c r="C95" s="4" t="str">
        <f>TRIM(PROPER('Raw Data'!C95))</f>
        <v>Anticipation</v>
      </c>
      <c r="D95" s="5">
        <f>'Raw Data'!D95</f>
        <v>44983.3125</v>
      </c>
      <c r="E95" s="4" t="str">
        <f>TRIM(SUBSTITUTE('Raw Data'!E95," "," "))</f>
        <v>MovieBuff2</v>
      </c>
      <c r="F95" s="4" t="str">
        <f>TRIM(PROPER('Raw Data'!F95))</f>
        <v>Instagram</v>
      </c>
      <c r="G95" s="8" t="str">
        <f>TRIM(CLEAN('Raw Data'!G95))</f>
        <v>#Anticipation #MovieRelease</v>
      </c>
      <c r="H95" s="12">
        <f>'Raw Data'!H95</f>
        <v>20</v>
      </c>
      <c r="I95" s="12">
        <v>45</v>
      </c>
      <c r="J95" s="12" t="str">
        <f>TRIM(UPPER('Raw Data'!J95))</f>
        <v>AUSTRALIA</v>
      </c>
      <c r="K95" s="12">
        <f>'Raw Data'!K95</f>
        <v>2023</v>
      </c>
      <c r="L95" s="12">
        <f>'Raw Data'!L95</f>
        <v>2</v>
      </c>
      <c r="M95" s="12">
        <f>'Raw Data'!M95</f>
        <v>26</v>
      </c>
      <c r="N95">
        <f>'Raw Data'!N95</f>
        <v>7</v>
      </c>
    </row>
    <row r="96" spans="1:14" x14ac:dyDescent="0.25">
      <c r="A96" s="11">
        <f>'Raw Data'!A96</f>
        <v>94</v>
      </c>
      <c r="B96" s="8" t="str">
        <f>TRIM(CLEAN('Raw Data'!B96))</f>
        <v>Bitter experience at the customer service department.</v>
      </c>
      <c r="C96" s="4" t="str">
        <f>TRIM(PROPER('Raw Data'!C96))</f>
        <v>Bitter</v>
      </c>
      <c r="D96" s="5">
        <f>'Raw Data'!D96</f>
        <v>44983.625</v>
      </c>
      <c r="E96" s="4" t="str">
        <f>TRIM(SUBSTITUTE('Raw Data'!E96," "," "))</f>
        <v>CustomerWoes</v>
      </c>
      <c r="F96" s="4" t="str">
        <f>TRIM(PROPER('Raw Data'!F96))</f>
        <v>Facebook</v>
      </c>
      <c r="G96" s="8" t="str">
        <f>TRIM(CLEAN('Raw Data'!G96))</f>
        <v>#BitterExperience #CustomerService</v>
      </c>
      <c r="H96" s="12">
        <f>'Raw Data'!H96</f>
        <v>18</v>
      </c>
      <c r="I96" s="12">
        <v>40</v>
      </c>
      <c r="J96" s="12" t="str">
        <f>TRIM(UPPER('Raw Data'!J96))</f>
        <v>USA</v>
      </c>
      <c r="K96" s="12">
        <f>'Raw Data'!K96</f>
        <v>2023</v>
      </c>
      <c r="L96" s="12">
        <f>'Raw Data'!L96</f>
        <v>2</v>
      </c>
      <c r="M96" s="12">
        <f>'Raw Data'!M96</f>
        <v>26</v>
      </c>
      <c r="N96">
        <f>'Raw Data'!N96</f>
        <v>15</v>
      </c>
    </row>
    <row r="97" spans="1:14" x14ac:dyDescent="0.25">
      <c r="A97" s="11">
        <f>'Raw Data'!A97</f>
        <v>95</v>
      </c>
      <c r="B97" s="8" t="str">
        <f>TRIM(CLEAN('Raw Data'!B97))</f>
        <v>Finding calmness amidst the chaos of daily life.</v>
      </c>
      <c r="C97" s="4" t="str">
        <f>TRIM(PROPER('Raw Data'!C97))</f>
        <v>Calmness</v>
      </c>
      <c r="D97" s="5">
        <f>'Raw Data'!D97</f>
        <v>44984.395833333336</v>
      </c>
      <c r="E97" s="4" t="str">
        <f>TRIM(SUBSTITUTE('Raw Data'!E97," "," "))</f>
        <v>CalmSoul</v>
      </c>
      <c r="F97" s="4" t="str">
        <f>TRIM(PROPER('Raw Data'!F97))</f>
        <v>Twitter</v>
      </c>
      <c r="G97" s="8" t="str">
        <f>TRIM(CLEAN('Raw Data'!G97))</f>
        <v>#Calmness #InnerPeace</v>
      </c>
      <c r="H97" s="12">
        <f>'Raw Data'!H97</f>
        <v>15</v>
      </c>
      <c r="I97" s="12">
        <v>35</v>
      </c>
      <c r="J97" s="12" t="str">
        <f>TRIM(UPPER('Raw Data'!J97))</f>
        <v>INDIA</v>
      </c>
      <c r="K97" s="12">
        <f>'Raw Data'!K97</f>
        <v>2023</v>
      </c>
      <c r="L97" s="12">
        <f>'Raw Data'!L97</f>
        <v>2</v>
      </c>
      <c r="M97" s="12">
        <f>'Raw Data'!M97</f>
        <v>27</v>
      </c>
      <c r="N97">
        <f>'Raw Data'!N97</f>
        <v>9</v>
      </c>
    </row>
    <row r="98" spans="1:14" ht="30" x14ac:dyDescent="0.25">
      <c r="A98" s="11">
        <f>'Raw Data'!A98</f>
        <v>96</v>
      </c>
      <c r="B98" s="8" t="str">
        <f>TRIM(CLEAN('Raw Data'!B98))</f>
        <v>Confusion reigns as I try to make sense of recent events.</v>
      </c>
      <c r="C98" s="4" t="str">
        <f>TRIM(PROPER('Raw Data'!C98))</f>
        <v>Confusion</v>
      </c>
      <c r="D98" s="5">
        <f>'Raw Data'!D98</f>
        <v>44984.597222222219</v>
      </c>
      <c r="E98" s="4" t="str">
        <f>TRIM(SUBSTITUTE('Raw Data'!E98," "," "))</f>
        <v>ConfusedMind2</v>
      </c>
      <c r="F98" s="4" t="str">
        <f>TRIM(PROPER('Raw Data'!F98))</f>
        <v>Instagram</v>
      </c>
      <c r="G98" s="8" t="str">
        <f>TRIM(CLEAN('Raw Data'!G98))</f>
        <v>#Confusion #MakingSense</v>
      </c>
      <c r="H98" s="12">
        <f>'Raw Data'!H98</f>
        <v>25</v>
      </c>
      <c r="I98" s="12">
        <v>30</v>
      </c>
      <c r="J98" s="12" t="str">
        <f>TRIM(UPPER('Raw Data'!J98))</f>
        <v>UK</v>
      </c>
      <c r="K98" s="12">
        <f>'Raw Data'!K98</f>
        <v>2023</v>
      </c>
      <c r="L98" s="12">
        <f>'Raw Data'!L98</f>
        <v>2</v>
      </c>
      <c r="M98" s="12">
        <f>'Raw Data'!M98</f>
        <v>27</v>
      </c>
      <c r="N98">
        <f>'Raw Data'!N98</f>
        <v>14</v>
      </c>
    </row>
    <row r="99" spans="1:14" x14ac:dyDescent="0.25">
      <c r="A99" s="11">
        <f>'Raw Data'!A99</f>
        <v>97</v>
      </c>
      <c r="B99" s="8" t="str">
        <f>TRIM(CLEAN('Raw Data'!B99))</f>
        <v>Excitement building up for a surprise birthday party.</v>
      </c>
      <c r="C99" s="4" t="str">
        <f>TRIM(PROPER('Raw Data'!C99))</f>
        <v>Excitement</v>
      </c>
      <c r="D99" s="5">
        <f>'Raw Data'!D99</f>
        <v>44984.78125</v>
      </c>
      <c r="E99" s="4" t="str">
        <f>TRIM(SUBSTITUTE('Raw Data'!E99," "," "))</f>
        <v>BirthdayExcite</v>
      </c>
      <c r="F99" s="4" t="str">
        <f>TRIM(PROPER('Raw Data'!F99))</f>
        <v>Facebook</v>
      </c>
      <c r="G99" s="8" t="str">
        <f>TRIM(CLEAN('Raw Data'!G99))</f>
        <v>#Excitement #SurpriseParty</v>
      </c>
      <c r="H99" s="12">
        <f>'Raw Data'!H99</f>
        <v>22</v>
      </c>
      <c r="I99" s="12">
        <v>50</v>
      </c>
      <c r="J99" s="12" t="str">
        <f>TRIM(UPPER('Raw Data'!J99))</f>
        <v>CANADA</v>
      </c>
      <c r="K99" s="12">
        <f>'Raw Data'!K99</f>
        <v>2023</v>
      </c>
      <c r="L99" s="12">
        <f>'Raw Data'!L99</f>
        <v>2</v>
      </c>
      <c r="M99" s="12">
        <f>'Raw Data'!M99</f>
        <v>27</v>
      </c>
      <c r="N99">
        <f>'Raw Data'!N99</f>
        <v>18</v>
      </c>
    </row>
    <row r="100" spans="1:14" x14ac:dyDescent="0.25">
      <c r="A100" s="11">
        <f>'Raw Data'!A100</f>
        <v>98</v>
      </c>
      <c r="B100" s="8" t="str">
        <f>TRIM(CLEAN('Raw Data'!B100))</f>
        <v>Witnessed an act of kindness that made my day.</v>
      </c>
      <c r="C100" s="4" t="str">
        <f>TRIM(PROPER('Raw Data'!C100))</f>
        <v>Kind</v>
      </c>
      <c r="D100" s="5">
        <f>'Raw Data'!D100</f>
        <v>44985.479166666664</v>
      </c>
      <c r="E100" s="4" t="str">
        <f>TRIM(SUBSTITUTE('Raw Data'!E100," "," "))</f>
        <v>KindnessObserver</v>
      </c>
      <c r="F100" s="4" t="str">
        <f>TRIM(PROPER('Raw Data'!F100))</f>
        <v>Twitter</v>
      </c>
      <c r="G100" s="8" t="str">
        <f>TRIM(CLEAN('Raw Data'!G100))</f>
        <v>#Kindness #ActsOfKindness</v>
      </c>
      <c r="H100" s="12">
        <f>'Raw Data'!H100</f>
        <v>20</v>
      </c>
      <c r="I100" s="12">
        <v>45</v>
      </c>
      <c r="J100" s="12" t="str">
        <f>TRIM(UPPER('Raw Data'!J100))</f>
        <v>USA</v>
      </c>
      <c r="K100" s="12">
        <f>'Raw Data'!K100</f>
        <v>2023</v>
      </c>
      <c r="L100" s="12">
        <f>'Raw Data'!L100</f>
        <v>2</v>
      </c>
      <c r="M100" s="12">
        <f>'Raw Data'!M100</f>
        <v>28</v>
      </c>
      <c r="N100">
        <f>'Raw Data'!N100</f>
        <v>11</v>
      </c>
    </row>
    <row r="101" spans="1:14" x14ac:dyDescent="0.25">
      <c r="A101" s="11">
        <f>'Raw Data'!A101</f>
        <v>99</v>
      </c>
      <c r="B101" s="8" t="str">
        <f>TRIM(CLEAN('Raw Data'!B101))</f>
        <v>Pride in completing a challenging fitness challenge.</v>
      </c>
      <c r="C101" s="4" t="str">
        <f>TRIM(PROPER('Raw Data'!C101))</f>
        <v>Pride</v>
      </c>
      <c r="D101" s="5">
        <f>'Raw Data'!D101</f>
        <v>44985.666666666664</v>
      </c>
      <c r="E101" s="4" t="str">
        <f>TRIM(SUBSTITUTE('Raw Data'!E101," "," "))</f>
        <v>FitAchiever</v>
      </c>
      <c r="F101" s="4" t="str">
        <f>TRIM(PROPER('Raw Data'!F101))</f>
        <v>Instagram</v>
      </c>
      <c r="G101" s="8" t="str">
        <f>TRIM(CLEAN('Raw Data'!G101))</f>
        <v>#Pride #FitnessChallengeCompleted</v>
      </c>
      <c r="H101" s="12">
        <f>'Raw Data'!H101</f>
        <v>30</v>
      </c>
      <c r="I101" s="12">
        <v>40</v>
      </c>
      <c r="J101" s="12" t="str">
        <f>TRIM(UPPER('Raw Data'!J101))</f>
        <v>UK</v>
      </c>
      <c r="K101" s="12">
        <f>'Raw Data'!K101</f>
        <v>2023</v>
      </c>
      <c r="L101" s="12">
        <f>'Raw Data'!L101</f>
        <v>2</v>
      </c>
      <c r="M101" s="12">
        <f>'Raw Data'!M101</f>
        <v>28</v>
      </c>
      <c r="N101">
        <f>'Raw Data'!N101</f>
        <v>16</v>
      </c>
    </row>
    <row r="102" spans="1:14" ht="30" x14ac:dyDescent="0.25">
      <c r="A102" s="11">
        <f>'Raw Data'!A102</f>
        <v>100</v>
      </c>
      <c r="B102" s="8" t="str">
        <f>TRIM(CLEAN('Raw Data'!B102))</f>
        <v>A moment of shame for not speaking up against injustice.</v>
      </c>
      <c r="C102" s="4" t="str">
        <f>TRIM(PROPER('Raw Data'!C102))</f>
        <v>Shame</v>
      </c>
      <c r="D102" s="5">
        <f>'Raw Data'!D102</f>
        <v>44985.822916666664</v>
      </c>
      <c r="E102" s="4" t="str">
        <f>TRIM(SUBSTITUTE('Raw Data'!E102," "," "))</f>
        <v>ReflectiveSelf2</v>
      </c>
      <c r="F102" s="4" t="str">
        <f>TRIM(PROPER('Raw Data'!F102))</f>
        <v>Facebook</v>
      </c>
      <c r="G102" s="8" t="str">
        <f>TRIM(CLEAN('Raw Data'!G102))</f>
        <v>#Shame #Injustice</v>
      </c>
      <c r="H102" s="12">
        <f>'Raw Data'!H102</f>
        <v>15</v>
      </c>
      <c r="I102" s="12">
        <v>60</v>
      </c>
      <c r="J102" s="12" t="str">
        <f>TRIM(UPPER('Raw Data'!J102))</f>
        <v>INDIA</v>
      </c>
      <c r="K102" s="12">
        <f>'Raw Data'!K102</f>
        <v>2023</v>
      </c>
      <c r="L102" s="12">
        <f>'Raw Data'!L102</f>
        <v>2</v>
      </c>
      <c r="M102" s="12">
        <f>'Raw Data'!M102</f>
        <v>28</v>
      </c>
      <c r="N102">
        <f>'Raw Data'!N102</f>
        <v>19</v>
      </c>
    </row>
    <row r="103" spans="1:14" x14ac:dyDescent="0.25">
      <c r="A103" s="11">
        <f>'Raw Data'!A103</f>
        <v>101</v>
      </c>
      <c r="B103" s="8" t="str">
        <f>TRIM(CLEAN('Raw Data'!B103))</f>
        <v>Reflecting on the beauty of diversity in our world.</v>
      </c>
      <c r="C103" s="4" t="str">
        <f>TRIM(PROPER('Raw Data'!C103))</f>
        <v>Acceptance</v>
      </c>
      <c r="D103" s="5">
        <f>'Raw Data'!D103</f>
        <v>44986.447916666664</v>
      </c>
      <c r="E103" s="4" t="str">
        <f>TRIM(SUBSTITUTE('Raw Data'!E103," "," "))</f>
        <v>DiversityLover</v>
      </c>
      <c r="F103" s="4" t="str">
        <f>TRIM(PROPER('Raw Data'!F103))</f>
        <v>Twitter</v>
      </c>
      <c r="G103" s="8" t="str">
        <f>TRIM(CLEAN('Raw Data'!G103))</f>
        <v>#Acceptance #Diversity</v>
      </c>
      <c r="H103" s="12">
        <f>'Raw Data'!H103</f>
        <v>22</v>
      </c>
      <c r="I103" s="12">
        <v>30</v>
      </c>
      <c r="J103" s="12" t="str">
        <f>TRIM(UPPER('Raw Data'!J103))</f>
        <v>AUSTRALIA</v>
      </c>
      <c r="K103" s="12">
        <f>'Raw Data'!K103</f>
        <v>2023</v>
      </c>
      <c r="L103" s="12">
        <f>'Raw Data'!L103</f>
        <v>3</v>
      </c>
      <c r="M103" s="12">
        <f>'Raw Data'!M103</f>
        <v>1</v>
      </c>
      <c r="N103">
        <f>'Raw Data'!N103</f>
        <v>10</v>
      </c>
    </row>
    <row r="104" spans="1:14" x14ac:dyDescent="0.25">
      <c r="A104" s="11">
        <f>'Raw Data'!A104</f>
        <v>102</v>
      </c>
      <c r="B104" s="8" t="str">
        <f>TRIM(CLEAN('Raw Data'!B104))</f>
        <v>Excitement for a quiet evening with a good book.</v>
      </c>
      <c r="C104" s="4" t="str">
        <f>TRIM(PROPER('Raw Data'!C104))</f>
        <v>Excitement</v>
      </c>
      <c r="D104" s="5">
        <f>'Raw Data'!D104</f>
        <v>44986.5625</v>
      </c>
      <c r="E104" s="4" t="str">
        <f>TRIM(SUBSTITUTE('Raw Data'!E104," "," "))</f>
        <v>BookwormJoy</v>
      </c>
      <c r="F104" s="4" t="str">
        <f>TRIM(PROPER('Raw Data'!F104))</f>
        <v>Instagram</v>
      </c>
      <c r="G104" s="8" t="str">
        <f>TRIM(CLEAN('Raw Data'!G104))</f>
        <v>#Excitement #BookTime</v>
      </c>
      <c r="H104" s="12">
        <f>'Raw Data'!H104</f>
        <v>18</v>
      </c>
      <c r="I104" s="12">
        <v>45</v>
      </c>
      <c r="J104" s="12" t="str">
        <f>TRIM(UPPER('Raw Data'!J104))</f>
        <v>USA</v>
      </c>
      <c r="K104" s="12">
        <f>'Raw Data'!K104</f>
        <v>2023</v>
      </c>
      <c r="L104" s="12">
        <f>'Raw Data'!L104</f>
        <v>3</v>
      </c>
      <c r="M104" s="12">
        <f>'Raw Data'!M104</f>
        <v>1</v>
      </c>
      <c r="N104">
        <f>'Raw Data'!N104</f>
        <v>13</v>
      </c>
    </row>
    <row r="105" spans="1:14" x14ac:dyDescent="0.25">
      <c r="A105" s="11">
        <f>'Raw Data'!A105</f>
        <v>103</v>
      </c>
      <c r="B105" s="8" t="str">
        <f>TRIM(CLEAN('Raw Data'!B105))</f>
        <v>Feeling bitter about the unfairness in the workplace.</v>
      </c>
      <c r="C105" s="4" t="str">
        <f>TRIM(PROPER('Raw Data'!C105))</f>
        <v>Bitter</v>
      </c>
      <c r="D105" s="5">
        <f>'Raw Data'!D105</f>
        <v>44986.739583333336</v>
      </c>
      <c r="E105" s="4" t="str">
        <f>TRIM(SUBSTITUTE('Raw Data'!E105," "," "))</f>
        <v>WorkplaceWoes</v>
      </c>
      <c r="F105" s="4" t="str">
        <f>TRIM(PROPER('Raw Data'!F105))</f>
        <v>Twitter</v>
      </c>
      <c r="G105" s="8" t="str">
        <f>TRIM(CLEAN('Raw Data'!G105))</f>
        <v>#Bitter #Unfairness</v>
      </c>
      <c r="H105" s="12">
        <f>'Raw Data'!H105</f>
        <v>15</v>
      </c>
      <c r="I105" s="12">
        <v>35</v>
      </c>
      <c r="J105" s="12" t="str">
        <f>TRIM(UPPER('Raw Data'!J105))</f>
        <v>CANADA</v>
      </c>
      <c r="K105" s="12">
        <f>'Raw Data'!K105</f>
        <v>2023</v>
      </c>
      <c r="L105" s="12">
        <f>'Raw Data'!L105</f>
        <v>3</v>
      </c>
      <c r="M105" s="12">
        <f>'Raw Data'!M105</f>
        <v>1</v>
      </c>
      <c r="N105">
        <f>'Raw Data'!N105</f>
        <v>17</v>
      </c>
    </row>
    <row r="106" spans="1:14" x14ac:dyDescent="0.25">
      <c r="A106" s="11">
        <f>'Raw Data'!A106</f>
        <v>104</v>
      </c>
      <c r="B106" s="8" t="str">
        <f>TRIM(CLEAN('Raw Data'!B106))</f>
        <v>Calmness prevails as I practice mindfulness.</v>
      </c>
      <c r="C106" s="4" t="str">
        <f>TRIM(PROPER('Raw Data'!C106))</f>
        <v>Calmness</v>
      </c>
      <c r="D106" s="5">
        <f>'Raw Data'!D106</f>
        <v>44987.75</v>
      </c>
      <c r="E106" s="4" t="str">
        <f>TRIM(SUBSTITUTE('Raw Data'!E106," "," "))</f>
        <v>MindfulMe</v>
      </c>
      <c r="F106" s="4" t="str">
        <f>TRIM(PROPER('Raw Data'!F106))</f>
        <v>Facebook</v>
      </c>
      <c r="G106" s="8" t="str">
        <f>TRIM(CLEAN('Raw Data'!G106))</f>
        <v>#Calmness #Mindfulness</v>
      </c>
      <c r="H106" s="12">
        <f>'Raw Data'!H106</f>
        <v>15</v>
      </c>
      <c r="I106" s="12">
        <v>30</v>
      </c>
      <c r="J106" s="12" t="str">
        <f>TRIM(UPPER('Raw Data'!J106))</f>
        <v>UK</v>
      </c>
      <c r="K106" s="12">
        <f>'Raw Data'!K106</f>
        <v>2023</v>
      </c>
      <c r="L106" s="12">
        <f>'Raw Data'!L106</f>
        <v>3</v>
      </c>
      <c r="M106" s="12">
        <f>'Raw Data'!M106</f>
        <v>2</v>
      </c>
      <c r="N106">
        <f>'Raw Data'!N106</f>
        <v>18</v>
      </c>
    </row>
    <row r="107" spans="1:14" ht="30" x14ac:dyDescent="0.25">
      <c r="A107" s="11">
        <f>'Raw Data'!A107</f>
        <v>105</v>
      </c>
      <c r="B107" s="8" t="str">
        <f>TRIM(CLEAN('Raw Data'!B107))</f>
        <v>Confusion surrounds me as I navigate through life's choices.</v>
      </c>
      <c r="C107" s="4" t="str">
        <f>TRIM(PROPER('Raw Data'!C107))</f>
        <v>Confusion</v>
      </c>
      <c r="D107" s="5">
        <f>'Raw Data'!D107</f>
        <v>44987.552083333336</v>
      </c>
      <c r="E107" s="4" t="str">
        <f>TRIM(SUBSTITUTE('Raw Data'!E107," "," "))</f>
        <v>ConfusedMind3</v>
      </c>
      <c r="F107" s="4" t="str">
        <f>TRIM(PROPER('Raw Data'!F107))</f>
        <v>Instagram</v>
      </c>
      <c r="G107" s="8" t="str">
        <f>TRIM(CLEAN('Raw Data'!G107))</f>
        <v>#Confusion #LifeChoices</v>
      </c>
      <c r="H107" s="12">
        <f>'Raw Data'!H107</f>
        <v>30</v>
      </c>
      <c r="I107" s="12">
        <v>30</v>
      </c>
      <c r="J107" s="12" t="str">
        <f>TRIM(UPPER('Raw Data'!J107))</f>
        <v>USA</v>
      </c>
      <c r="K107" s="12">
        <f>'Raw Data'!K107</f>
        <v>2023</v>
      </c>
      <c r="L107" s="12">
        <f>'Raw Data'!L107</f>
        <v>3</v>
      </c>
      <c r="M107" s="12">
        <f>'Raw Data'!M107</f>
        <v>2</v>
      </c>
      <c r="N107">
        <f>'Raw Data'!N107</f>
        <v>13</v>
      </c>
    </row>
    <row r="108" spans="1:14" ht="30" x14ac:dyDescent="0.25">
      <c r="A108" s="11">
        <f>'Raw Data'!A108</f>
        <v>106</v>
      </c>
      <c r="B108" s="8" t="str">
        <f>TRIM(CLEAN('Raw Data'!B108))</f>
        <v>Excitement for a weekend road trip to explore new places.</v>
      </c>
      <c r="C108" s="4" t="str">
        <f>TRIM(PROPER('Raw Data'!C108))</f>
        <v>Excitement</v>
      </c>
      <c r="D108" s="5">
        <f>'Raw Data'!D108</f>
        <v>44987.697916666664</v>
      </c>
      <c r="E108" s="4" t="str">
        <f>TRIM(SUBSTITUTE('Raw Data'!E108," "," "))</f>
        <v>RoadTripper2</v>
      </c>
      <c r="F108" s="4" t="str">
        <f>TRIM(PROPER('Raw Data'!F108))</f>
        <v>Twitter</v>
      </c>
      <c r="G108" s="8" t="str">
        <f>TRIM(CLEAN('Raw Data'!G108))</f>
        <v>#Excitement #WeekendAdventure</v>
      </c>
      <c r="H108" s="12">
        <f>'Raw Data'!H108</f>
        <v>25</v>
      </c>
      <c r="I108" s="12">
        <v>60</v>
      </c>
      <c r="J108" s="12" t="str">
        <f>TRIM(UPPER('Raw Data'!J108))</f>
        <v>INDIA</v>
      </c>
      <c r="K108" s="12">
        <f>'Raw Data'!K108</f>
        <v>2023</v>
      </c>
      <c r="L108" s="12">
        <f>'Raw Data'!L108</f>
        <v>3</v>
      </c>
      <c r="M108" s="12">
        <f>'Raw Data'!M108</f>
        <v>2</v>
      </c>
      <c r="N108">
        <f>'Raw Data'!N108</f>
        <v>16</v>
      </c>
    </row>
    <row r="109" spans="1:14" ht="30" x14ac:dyDescent="0.25">
      <c r="A109" s="11">
        <f>'Raw Data'!A109</f>
        <v>107</v>
      </c>
      <c r="B109" s="8" t="str">
        <f>TRIM(CLEAN('Raw Data'!B109))</f>
        <v>Kindness witnessed today restores my faith in humanity.</v>
      </c>
      <c r="C109" s="4" t="str">
        <f>TRIM(PROPER('Raw Data'!C109))</f>
        <v>Kind</v>
      </c>
      <c r="D109" s="5">
        <f>'Raw Data'!D109</f>
        <v>44988.479166666664</v>
      </c>
      <c r="E109" s="4" t="str">
        <f>TRIM(SUBSTITUTE('Raw Data'!E109," "," "))</f>
        <v>KindnessPrevails2</v>
      </c>
      <c r="F109" s="4" t="str">
        <f>TRIM(PROPER('Raw Data'!F109))</f>
        <v>Facebook</v>
      </c>
      <c r="G109" s="8" t="str">
        <f>TRIM(CLEAN('Raw Data'!G109))</f>
        <v>#Kindness #HumanityRestored</v>
      </c>
      <c r="H109" s="12">
        <f>'Raw Data'!H109</f>
        <v>22</v>
      </c>
      <c r="I109" s="12">
        <v>50</v>
      </c>
      <c r="J109" s="12" t="str">
        <f>TRIM(UPPER('Raw Data'!J109))</f>
        <v>USA</v>
      </c>
      <c r="K109" s="12">
        <f>'Raw Data'!K109</f>
        <v>2023</v>
      </c>
      <c r="L109" s="12">
        <f>'Raw Data'!L109</f>
        <v>3</v>
      </c>
      <c r="M109" s="12">
        <f>'Raw Data'!M109</f>
        <v>3</v>
      </c>
      <c r="N109">
        <f>'Raw Data'!N109</f>
        <v>11</v>
      </c>
    </row>
    <row r="110" spans="1:14" ht="30" x14ac:dyDescent="0.25">
      <c r="A110" s="11">
        <f>'Raw Data'!A110</f>
        <v>108</v>
      </c>
      <c r="B110" s="8" t="str">
        <f>TRIM(CLEAN('Raw Data'!B110))</f>
        <v>Pride in accomplishing personal and professional goals.</v>
      </c>
      <c r="C110" s="4" t="str">
        <f>TRIM(PROPER('Raw Data'!C110))</f>
        <v>Pride</v>
      </c>
      <c r="D110" s="5">
        <f>'Raw Data'!D110</f>
        <v>44988.604166666664</v>
      </c>
      <c r="E110" s="4" t="str">
        <f>TRIM(SUBSTITUTE('Raw Data'!E110," "," "))</f>
        <v>GoalAchiever</v>
      </c>
      <c r="F110" s="4" t="str">
        <f>TRIM(PROPER('Raw Data'!F110))</f>
        <v>Instagram</v>
      </c>
      <c r="G110" s="8" t="str">
        <f>TRIM(CLEAN('Raw Data'!G110))</f>
        <v>#Pride #Accomplishments</v>
      </c>
      <c r="H110" s="12">
        <f>'Raw Data'!H110</f>
        <v>12</v>
      </c>
      <c r="I110" s="12">
        <v>45</v>
      </c>
      <c r="J110" s="12" t="str">
        <f>TRIM(UPPER('Raw Data'!J110))</f>
        <v>CANADA</v>
      </c>
      <c r="K110" s="12">
        <f>'Raw Data'!K110</f>
        <v>2023</v>
      </c>
      <c r="L110" s="12">
        <f>'Raw Data'!L110</f>
        <v>3</v>
      </c>
      <c r="M110" s="12">
        <f>'Raw Data'!M110</f>
        <v>3</v>
      </c>
      <c r="N110">
        <f>'Raw Data'!N110</f>
        <v>14</v>
      </c>
    </row>
    <row r="111" spans="1:14" ht="30" x14ac:dyDescent="0.25">
      <c r="A111" s="11">
        <f>'Raw Data'!A111</f>
        <v>109</v>
      </c>
      <c r="B111" s="8" t="str">
        <f>TRIM(CLEAN('Raw Data'!B111))</f>
        <v>Shame for not being true to my values in a difficult situation.</v>
      </c>
      <c r="C111" s="4" t="str">
        <f>TRIM(PROPER('Raw Data'!C111))</f>
        <v>Shame</v>
      </c>
      <c r="D111" s="5">
        <f>'Raw Data'!D111</f>
        <v>44988.5</v>
      </c>
      <c r="E111" s="4" t="str">
        <f>TRIM(SUBSTITUTE('Raw Data'!E111," "," "))</f>
        <v>ReflectiveSelf3</v>
      </c>
      <c r="F111" s="4" t="str">
        <f>TRIM(PROPER('Raw Data'!F111))</f>
        <v>Twitter</v>
      </c>
      <c r="G111" s="8" t="str">
        <f>TRIM(CLEAN('Raw Data'!G111))</f>
        <v>#Shame #Integrity</v>
      </c>
      <c r="H111" s="12">
        <f>'Raw Data'!H111</f>
        <v>15</v>
      </c>
      <c r="I111" s="12">
        <v>25</v>
      </c>
      <c r="J111" s="12" t="str">
        <f>TRIM(UPPER('Raw Data'!J111))</f>
        <v>UK</v>
      </c>
      <c r="K111" s="12">
        <f>'Raw Data'!K111</f>
        <v>2023</v>
      </c>
      <c r="L111" s="12">
        <f>'Raw Data'!L111</f>
        <v>3</v>
      </c>
      <c r="M111" s="12">
        <f>'Raw Data'!M111</f>
        <v>3</v>
      </c>
      <c r="N111">
        <f>'Raw Data'!N111</f>
        <v>12</v>
      </c>
    </row>
    <row r="112" spans="1:14" x14ac:dyDescent="0.25">
      <c r="A112" s="11">
        <f>'Raw Data'!A112</f>
        <v>110</v>
      </c>
      <c r="B112" s="8" t="str">
        <f>TRIM(CLEAN('Raw Data'!B112))</f>
        <v>Revisiting old memories, feeling a sense of elation.</v>
      </c>
      <c r="C112" s="4" t="str">
        <f>TRIM(PROPER('Raw Data'!C112))</f>
        <v>Elation</v>
      </c>
      <c r="D112" s="5">
        <f>'Raw Data'!D112</f>
        <v>40313.645833333336</v>
      </c>
      <c r="E112" s="4" t="str">
        <f>TRIM(SUBSTITUTE('Raw Data'!E112," "," "))</f>
        <v>NostalgiaFan</v>
      </c>
      <c r="F112" s="4" t="str">
        <f>TRIM(PROPER('Raw Data'!F112))</f>
        <v>Twitter</v>
      </c>
      <c r="G112" s="8" t="str">
        <f>TRIM(CLEAN('Raw Data'!G112))</f>
        <v>#Elation #Memories</v>
      </c>
      <c r="H112" s="12">
        <f>'Raw Data'!H112</f>
        <v>20</v>
      </c>
      <c r="I112" s="12">
        <v>30</v>
      </c>
      <c r="J112" s="12" t="str">
        <f>TRIM(UPPER('Raw Data'!J112))</f>
        <v>CANADA</v>
      </c>
      <c r="K112" s="12">
        <f>'Raw Data'!K112</f>
        <v>2010</v>
      </c>
      <c r="L112" s="12">
        <f>'Raw Data'!L112</f>
        <v>5</v>
      </c>
      <c r="M112" s="12">
        <f>'Raw Data'!M112</f>
        <v>15</v>
      </c>
      <c r="N112">
        <f>'Raw Data'!N112</f>
        <v>15</v>
      </c>
    </row>
    <row r="113" spans="1:14" x14ac:dyDescent="0.25">
      <c r="A113" s="11">
        <f>'Raw Data'!A113</f>
        <v>111</v>
      </c>
      <c r="B113" s="8" t="str">
        <f>TRIM(CLEAN('Raw Data'!B113))</f>
        <v>The victory of our team brought euphoria to the city.</v>
      </c>
      <c r="C113" s="4" t="str">
        <f>TRIM(PROPER('Raw Data'!C113))</f>
        <v>Euphoria</v>
      </c>
      <c r="D113" s="5">
        <f>'Raw Data'!D113</f>
        <v>44418.885416666664</v>
      </c>
      <c r="E113" s="4" t="str">
        <f>TRIM(SUBSTITUTE('Raw Data'!E113," "," "))</f>
        <v>SportsFanatic</v>
      </c>
      <c r="F113" s="4" t="str">
        <f>TRIM(PROPER('Raw Data'!F113))</f>
        <v>Instagram</v>
      </c>
      <c r="G113" s="8" t="str">
        <f>TRIM(CLEAN('Raw Data'!G113))</f>
        <v>#Euphoria #Victory</v>
      </c>
      <c r="H113" s="12">
        <f>'Raw Data'!H113</f>
        <v>15</v>
      </c>
      <c r="I113" s="12">
        <v>40</v>
      </c>
      <c r="J113" s="12" t="str">
        <f>TRIM(UPPER('Raw Data'!J113))</f>
        <v>USA</v>
      </c>
      <c r="K113" s="12">
        <f>'Raw Data'!K113</f>
        <v>2021</v>
      </c>
      <c r="L113" s="12">
        <f>'Raw Data'!L113</f>
        <v>8</v>
      </c>
      <c r="M113" s="12">
        <f>'Raw Data'!M113</f>
        <v>10</v>
      </c>
      <c r="N113">
        <f>'Raw Data'!N113</f>
        <v>21</v>
      </c>
    </row>
    <row r="114" spans="1:14" ht="30" x14ac:dyDescent="0.25">
      <c r="A114" s="11">
        <f>'Raw Data'!A114</f>
        <v>112</v>
      </c>
      <c r="B114" s="8" t="str">
        <f>TRIM(CLEAN('Raw Data'!B114))</f>
        <v>Embracing the beauty of nature, a moment of contentment.</v>
      </c>
      <c r="C114" s="4" t="str">
        <f>TRIM(PROPER('Raw Data'!C114))</f>
        <v>Contentment</v>
      </c>
      <c r="D114" s="5">
        <f>'Raw Data'!D114</f>
        <v>40714.614583333336</v>
      </c>
      <c r="E114" s="4" t="str">
        <f>TRIM(SUBSTITUTE('Raw Data'!E114," "," "))</f>
        <v>NatureLover2</v>
      </c>
      <c r="F114" s="4" t="str">
        <f>TRIM(PROPER('Raw Data'!F114))</f>
        <v>Facebook</v>
      </c>
      <c r="G114" s="8" t="str">
        <f>TRIM(CLEAN('Raw Data'!G114))</f>
        <v>#Contentment #Nature</v>
      </c>
      <c r="H114" s="12">
        <f>'Raw Data'!H114</f>
        <v>25</v>
      </c>
      <c r="I114" s="12">
        <v>30</v>
      </c>
      <c r="J114" s="12" t="str">
        <f>TRIM(UPPER('Raw Data'!J114))</f>
        <v>INDIA</v>
      </c>
      <c r="K114" s="12">
        <f>'Raw Data'!K114</f>
        <v>2011</v>
      </c>
      <c r="L114" s="12">
        <f>'Raw Data'!L114</f>
        <v>6</v>
      </c>
      <c r="M114" s="12">
        <f>'Raw Data'!M114</f>
        <v>20</v>
      </c>
      <c r="N114">
        <f>'Raw Data'!N114</f>
        <v>14</v>
      </c>
    </row>
    <row r="115" spans="1:14" x14ac:dyDescent="0.25">
      <c r="A115" s="11">
        <f>'Raw Data'!A115</f>
        <v>113</v>
      </c>
      <c r="B115" s="8" t="str">
        <f>TRIM(CLEAN('Raw Data'!B115))</f>
        <v>Meditating by the serene lake, finding inner peace.</v>
      </c>
      <c r="C115" s="4" t="str">
        <f>TRIM(PROPER('Raw Data'!C115))</f>
        <v>Serenity</v>
      </c>
      <c r="D115" s="5">
        <f>'Raw Data'!D115</f>
        <v>44604.763888888891</v>
      </c>
      <c r="E115" s="4" t="str">
        <f>TRIM(SUBSTITUTE('Raw Data'!E115," "," "))</f>
        <v>ZenMaster2</v>
      </c>
      <c r="F115" s="4" t="str">
        <f>TRIM(PROPER('Raw Data'!F115))</f>
        <v>Twitter</v>
      </c>
      <c r="G115" s="8" t="str">
        <f>TRIM(CLEAN('Raw Data'!G115))</f>
        <v>#Serenity #Meditation</v>
      </c>
      <c r="H115" s="12">
        <f>'Raw Data'!H115</f>
        <v>18</v>
      </c>
      <c r="I115" s="12">
        <v>50</v>
      </c>
      <c r="J115" s="12" t="str">
        <f>TRIM(UPPER('Raw Data'!J115))</f>
        <v>UK</v>
      </c>
      <c r="K115" s="12">
        <f>'Raw Data'!K115</f>
        <v>2022</v>
      </c>
      <c r="L115" s="12">
        <f>'Raw Data'!L115</f>
        <v>2</v>
      </c>
      <c r="M115" s="12">
        <f>'Raw Data'!M115</f>
        <v>12</v>
      </c>
      <c r="N115">
        <f>'Raw Data'!N115</f>
        <v>18</v>
      </c>
    </row>
    <row r="116" spans="1:14" x14ac:dyDescent="0.25">
      <c r="A116" s="11">
        <f>'Raw Data'!A116</f>
        <v>114</v>
      </c>
      <c r="B116" s="8" t="str">
        <f>TRIM(CLEAN('Raw Data'!B116))</f>
        <v>Overflowing with gratitude for life's blessings.</v>
      </c>
      <c r="C116" s="4" t="str">
        <f>TRIM(PROPER('Raw Data'!C116))</f>
        <v>Gratitude</v>
      </c>
      <c r="D116" s="5">
        <f>'Raw Data'!D116</f>
        <v>41238.416666666664</v>
      </c>
      <c r="E116" s="4" t="str">
        <f>TRIM(SUBSTITUTE('Raw Data'!E116," "," "))</f>
        <v>ThankfulHeart</v>
      </c>
      <c r="F116" s="4" t="str">
        <f>TRIM(PROPER('Raw Data'!F116))</f>
        <v>Instagram</v>
      </c>
      <c r="G116" s="8" t="str">
        <f>TRIM(CLEAN('Raw Data'!G116))</f>
        <v>#Gratitude #Blessed</v>
      </c>
      <c r="H116" s="12">
        <f>'Raw Data'!H116</f>
        <v>30</v>
      </c>
      <c r="I116" s="12">
        <v>35</v>
      </c>
      <c r="J116" s="12" t="str">
        <f>TRIM(UPPER('Raw Data'!J116))</f>
        <v>AUSTRALIA</v>
      </c>
      <c r="K116" s="12">
        <f>'Raw Data'!K116</f>
        <v>2012</v>
      </c>
      <c r="L116" s="12">
        <f>'Raw Data'!L116</f>
        <v>11</v>
      </c>
      <c r="M116" s="12">
        <f>'Raw Data'!M116</f>
        <v>25</v>
      </c>
      <c r="N116">
        <f>'Raw Data'!N116</f>
        <v>10</v>
      </c>
    </row>
    <row r="117" spans="1:14" x14ac:dyDescent="0.25">
      <c r="A117" s="11">
        <f>'Raw Data'!A117</f>
        <v>115</v>
      </c>
      <c r="B117" s="8" t="str">
        <f>TRIM(CLEAN('Raw Data'!B117))</f>
        <v>Hopeful for a brighter tomorrow, despite challenges.</v>
      </c>
      <c r="C117" s="4" t="str">
        <f>TRIM(PROPER('Raw Data'!C117))</f>
        <v>Hope</v>
      </c>
      <c r="D117" s="5">
        <f>'Raw Data'!D117</f>
        <v>41369.8125</v>
      </c>
      <c r="E117" s="4" t="str">
        <f>TRIM(SUBSTITUTE('Raw Data'!E117," "," "))</f>
        <v>OptimisticSoul</v>
      </c>
      <c r="F117" s="4" t="str">
        <f>TRIM(PROPER('Raw Data'!F117))</f>
        <v>Facebook</v>
      </c>
      <c r="G117" s="8" t="str">
        <f>TRIM(CLEAN('Raw Data'!G117))</f>
        <v>#Hope #Optimism</v>
      </c>
      <c r="H117" s="12">
        <f>'Raw Data'!H117</f>
        <v>22</v>
      </c>
      <c r="I117" s="12">
        <v>60</v>
      </c>
      <c r="J117" s="12" t="str">
        <f>TRIM(UPPER('Raw Data'!J117))</f>
        <v>USA</v>
      </c>
      <c r="K117" s="12">
        <f>'Raw Data'!K117</f>
        <v>2013</v>
      </c>
      <c r="L117" s="12">
        <f>'Raw Data'!L117</f>
        <v>4</v>
      </c>
      <c r="M117" s="12">
        <f>'Raw Data'!M117</f>
        <v>5</v>
      </c>
      <c r="N117">
        <f>'Raw Data'!N117</f>
        <v>19</v>
      </c>
    </row>
    <row r="118" spans="1:14" x14ac:dyDescent="0.25">
      <c r="A118" s="11">
        <f>'Raw Data'!A118</f>
        <v>116</v>
      </c>
      <c r="B118" s="8" t="str">
        <f>TRIM(CLEAN('Raw Data'!B118))</f>
        <v>Empowered to make a difference in my community.</v>
      </c>
      <c r="C118" s="4" t="str">
        <f>TRIM(PROPER('Raw Data'!C118))</f>
        <v>Empowerment</v>
      </c>
      <c r="D118" s="5">
        <f>'Raw Data'!D118</f>
        <v>41896.354166666664</v>
      </c>
      <c r="E118" s="4" t="str">
        <f>TRIM(SUBSTITUTE('Raw Data'!E118," "," "))</f>
        <v>CommunityLeader</v>
      </c>
      <c r="F118" s="4" t="str">
        <f>TRIM(PROPER('Raw Data'!F118))</f>
        <v>Twitter</v>
      </c>
      <c r="G118" s="8" t="str">
        <f>TRIM(CLEAN('Raw Data'!G118))</f>
        <v>#Empowerment #Community</v>
      </c>
      <c r="H118" s="12">
        <f>'Raw Data'!H118</f>
        <v>15</v>
      </c>
      <c r="I118" s="12">
        <v>45</v>
      </c>
      <c r="J118" s="12" t="str">
        <f>TRIM(UPPER('Raw Data'!J118))</f>
        <v>UK</v>
      </c>
      <c r="K118" s="12">
        <f>'Raw Data'!K118</f>
        <v>2014</v>
      </c>
      <c r="L118" s="12">
        <f>'Raw Data'!L118</f>
        <v>9</v>
      </c>
      <c r="M118" s="12">
        <f>'Raw Data'!M118</f>
        <v>14</v>
      </c>
      <c r="N118">
        <f>'Raw Data'!N118</f>
        <v>8</v>
      </c>
    </row>
    <row r="119" spans="1:14" x14ac:dyDescent="0.25">
      <c r="A119" s="11">
        <f>'Raw Data'!A119</f>
        <v>117</v>
      </c>
      <c r="B119" s="8" t="str">
        <f>TRIM(CLEAN('Raw Data'!B119))</f>
        <v>Compassion in action: supporting a local charity event.</v>
      </c>
      <c r="C119" s="4" t="str">
        <f>TRIM(PROPER('Raw Data'!C119))</f>
        <v>Compassion</v>
      </c>
      <c r="D119" s="5">
        <f>'Raw Data'!D119</f>
        <v>42203.597222222219</v>
      </c>
      <c r="E119" s="4" t="str">
        <f>TRIM(SUBSTITUTE('Raw Data'!E119," "," "))</f>
        <v>CharitySupporter</v>
      </c>
      <c r="F119" s="4" t="str">
        <f>TRIM(PROPER('Raw Data'!F119))</f>
        <v>Instagram</v>
      </c>
      <c r="G119" s="8" t="str">
        <f>TRIM(CLEAN('Raw Data'!G119))</f>
        <v>#Compassion #CharityEvent</v>
      </c>
      <c r="H119" s="12">
        <f>'Raw Data'!H119</f>
        <v>18</v>
      </c>
      <c r="I119" s="12">
        <v>30</v>
      </c>
      <c r="J119" s="12" t="str">
        <f>TRIM(UPPER('Raw Data'!J119))</f>
        <v>CANADA</v>
      </c>
      <c r="K119" s="12">
        <f>'Raw Data'!K119</f>
        <v>2015</v>
      </c>
      <c r="L119" s="12">
        <f>'Raw Data'!L119</f>
        <v>7</v>
      </c>
      <c r="M119" s="12">
        <f>'Raw Data'!M119</f>
        <v>18</v>
      </c>
      <c r="N119">
        <f>'Raw Data'!N119</f>
        <v>14</v>
      </c>
    </row>
    <row r="120" spans="1:14" x14ac:dyDescent="0.25">
      <c r="A120" s="11">
        <f>'Raw Data'!A120</f>
        <v>118</v>
      </c>
      <c r="B120" s="8" t="str">
        <f>TRIM(CLEAN('Raw Data'!B120))</f>
        <v>A moment of tenderness, connecting with loved ones.</v>
      </c>
      <c r="C120" s="4" t="str">
        <f>TRIM(PROPER('Raw Data'!C120))</f>
        <v>Tenderness</v>
      </c>
      <c r="D120" s="5">
        <f>'Raw Data'!D120</f>
        <v>42423.822916666664</v>
      </c>
      <c r="E120" s="4" t="str">
        <f>TRIM(SUBSTITUTE('Raw Data'!E120," "," "))</f>
        <v>LovingHeart</v>
      </c>
      <c r="F120" s="4" t="str">
        <f>TRIM(PROPER('Raw Data'!F120))</f>
        <v>Facebook</v>
      </c>
      <c r="G120" s="8" t="str">
        <f>TRIM(CLEAN('Raw Data'!G120))</f>
        <v>#Tenderness #FamilyTime</v>
      </c>
      <c r="H120" s="12">
        <f>'Raw Data'!H120</f>
        <v>25</v>
      </c>
      <c r="I120" s="12">
        <v>35</v>
      </c>
      <c r="J120" s="12" t="str">
        <f>TRIM(UPPER('Raw Data'!J120))</f>
        <v>UK</v>
      </c>
      <c r="K120" s="12">
        <f>'Raw Data'!K120</f>
        <v>2016</v>
      </c>
      <c r="L120" s="12">
        <f>'Raw Data'!L120</f>
        <v>2</v>
      </c>
      <c r="M120" s="12">
        <f>'Raw Data'!M120</f>
        <v>23</v>
      </c>
      <c r="N120">
        <f>'Raw Data'!N120</f>
        <v>19</v>
      </c>
    </row>
    <row r="121" spans="1:14" ht="30" x14ac:dyDescent="0.25">
      <c r="A121" s="11">
        <f>'Raw Data'!A121</f>
        <v>119</v>
      </c>
      <c r="B121" s="8" t="str">
        <f>TRIM(CLEAN('Raw Data'!B121))</f>
        <v>Arousal of excitement as I await a special announcement.</v>
      </c>
      <c r="C121" s="4" t="str">
        <f>TRIM(PROPER('Raw Data'!C121))</f>
        <v>Arousal</v>
      </c>
      <c r="D121" s="5">
        <f>'Raw Data'!D121</f>
        <v>43038.479166666664</v>
      </c>
      <c r="E121" s="4" t="str">
        <f>TRIM(SUBSTITUTE('Raw Data'!E121," "," "))</f>
        <v>ExcitementFan</v>
      </c>
      <c r="F121" s="4" t="str">
        <f>TRIM(PROPER('Raw Data'!F121))</f>
        <v>Twitter</v>
      </c>
      <c r="G121" s="8" t="str">
        <f>TRIM(CLEAN('Raw Data'!G121))</f>
        <v>#Arousal #Excitement</v>
      </c>
      <c r="H121" s="12">
        <f>'Raw Data'!H121</f>
        <v>20</v>
      </c>
      <c r="I121" s="12">
        <v>50</v>
      </c>
      <c r="J121" s="12" t="str">
        <f>TRIM(UPPER('Raw Data'!J121))</f>
        <v>AUSTRALIA</v>
      </c>
      <c r="K121" s="12">
        <f>'Raw Data'!K121</f>
        <v>2017</v>
      </c>
      <c r="L121" s="12">
        <f>'Raw Data'!L121</f>
        <v>10</v>
      </c>
      <c r="M121" s="12">
        <f>'Raw Data'!M121</f>
        <v>30</v>
      </c>
      <c r="N121">
        <f>'Raw Data'!N121</f>
        <v>11</v>
      </c>
    </row>
    <row r="122" spans="1:14" x14ac:dyDescent="0.25">
      <c r="A122" s="11">
        <f>'Raw Data'!A122</f>
        <v>120</v>
      </c>
      <c r="B122" s="8" t="str">
        <f>TRIM(CLEAN('Raw Data'!B122))</f>
        <v>Enthusiastically diving into a new project.</v>
      </c>
      <c r="C122" s="4" t="str">
        <f>TRIM(PROPER('Raw Data'!C122))</f>
        <v>Enthusiasm</v>
      </c>
      <c r="D122" s="5">
        <f>'Raw Data'!D122</f>
        <v>43266.666666666664</v>
      </c>
      <c r="E122" s="4" t="str">
        <f>TRIM(SUBSTITUTE('Raw Data'!E122," "," "))</f>
        <v>ProjectEnthusiast</v>
      </c>
      <c r="F122" s="4" t="str">
        <f>TRIM(PROPER('Raw Data'!F122))</f>
        <v>Instagram</v>
      </c>
      <c r="G122" s="8" t="str">
        <f>TRIM(CLEAN('Raw Data'!G122))</f>
        <v>#Enthusiasm #NewProject</v>
      </c>
      <c r="H122" s="12">
        <f>'Raw Data'!H122</f>
        <v>15</v>
      </c>
      <c r="I122" s="12">
        <v>40</v>
      </c>
      <c r="J122" s="12" t="str">
        <f>TRIM(UPPER('Raw Data'!J122))</f>
        <v>USA</v>
      </c>
      <c r="K122" s="12">
        <f>'Raw Data'!K122</f>
        <v>2018</v>
      </c>
      <c r="L122" s="12">
        <f>'Raw Data'!L122</f>
        <v>6</v>
      </c>
      <c r="M122" s="12">
        <f>'Raw Data'!M122</f>
        <v>15</v>
      </c>
      <c r="N122">
        <f>'Raw Data'!N122</f>
        <v>16</v>
      </c>
    </row>
    <row r="123" spans="1:14" ht="30" x14ac:dyDescent="0.25">
      <c r="A123" s="11">
        <f>'Raw Data'!A123</f>
        <v>121</v>
      </c>
      <c r="B123" s="8" t="str">
        <f>TRIM(CLEAN('Raw Data'!B123))</f>
        <v>Feeling a sense of fulfillment after reaching a milestone.</v>
      </c>
      <c r="C123" s="4" t="str">
        <f>TRIM(PROPER('Raw Data'!C123))</f>
        <v>Fulfillment</v>
      </c>
      <c r="D123" s="5">
        <f>'Raw Data'!D123</f>
        <v>43552.763888888891</v>
      </c>
      <c r="E123" s="4" t="str">
        <f>TRIM(SUBSTITUTE('Raw Data'!E123," "," "))</f>
        <v>MilestoneAchiever</v>
      </c>
      <c r="F123" s="4" t="str">
        <f>TRIM(PROPER('Raw Data'!F123))</f>
        <v>Facebook</v>
      </c>
      <c r="G123" s="8" t="str">
        <f>TRIM(CLEAN('Raw Data'!G123))</f>
        <v>#Fulfillment #Milestone</v>
      </c>
      <c r="H123" s="12">
        <f>'Raw Data'!H123</f>
        <v>22</v>
      </c>
      <c r="I123" s="12">
        <v>30</v>
      </c>
      <c r="J123" s="12" t="str">
        <f>TRIM(UPPER('Raw Data'!J123))</f>
        <v>INDIA</v>
      </c>
      <c r="K123" s="12">
        <f>'Raw Data'!K123</f>
        <v>2019</v>
      </c>
      <c r="L123" s="12">
        <f>'Raw Data'!L123</f>
        <v>3</v>
      </c>
      <c r="M123" s="12">
        <f>'Raw Data'!M123</f>
        <v>28</v>
      </c>
      <c r="N123">
        <f>'Raw Data'!N123</f>
        <v>18</v>
      </c>
    </row>
    <row r="124" spans="1:14" x14ac:dyDescent="0.25">
      <c r="A124" s="11">
        <f>'Raw Data'!A124</f>
        <v>122</v>
      </c>
      <c r="B124" s="8" t="str">
        <f>TRIM(CLEAN('Raw Data'!B124))</f>
        <v>Reverence for the beauty of a historic landmark.</v>
      </c>
      <c r="C124" s="4" t="str">
        <f>TRIM(PROPER('Raw Data'!C124))</f>
        <v>Reverence</v>
      </c>
      <c r="D124" s="5">
        <f>'Raw Data'!D124</f>
        <v>43780.625</v>
      </c>
      <c r="E124" s="4" t="str">
        <f>TRIM(SUBSTITUTE('Raw Data'!E124," "," "))</f>
        <v>HistoryLover</v>
      </c>
      <c r="F124" s="4" t="str">
        <f>TRIM(PROPER('Raw Data'!F124))</f>
        <v>Twitter</v>
      </c>
      <c r="G124" s="8" t="str">
        <f>TRIM(CLEAN('Raw Data'!G124))</f>
        <v>#Reverence #History</v>
      </c>
      <c r="H124" s="12">
        <f>'Raw Data'!H124</f>
        <v>18</v>
      </c>
      <c r="I124" s="12">
        <v>45</v>
      </c>
      <c r="J124" s="12" t="str">
        <f>TRIM(UPPER('Raw Data'!J124))</f>
        <v>UK</v>
      </c>
      <c r="K124" s="12">
        <f>'Raw Data'!K124</f>
        <v>2019</v>
      </c>
      <c r="L124" s="12">
        <f>'Raw Data'!L124</f>
        <v>11</v>
      </c>
      <c r="M124" s="12">
        <f>'Raw Data'!M124</f>
        <v>11</v>
      </c>
      <c r="N124">
        <f>'Raw Data'!N124</f>
        <v>15</v>
      </c>
    </row>
    <row r="125" spans="1:14" x14ac:dyDescent="0.25">
      <c r="A125" s="11">
        <f>'Raw Data'!A125</f>
        <v>123</v>
      </c>
      <c r="B125" s="8" t="str">
        <f>TRIM(CLEAN('Raw Data'!B125))</f>
        <v>Elation after a surprise reunion with old friends.</v>
      </c>
      <c r="C125" s="4" t="str">
        <f>TRIM(PROPER('Raw Data'!C125))</f>
        <v>Elation</v>
      </c>
      <c r="D125" s="5">
        <f>'Raw Data'!D125</f>
        <v>43923.395833333336</v>
      </c>
      <c r="E125" s="4" t="str">
        <f>TRIM(SUBSTITUTE('Raw Data'!E125," "," "))</f>
        <v>JoyfulReunion2</v>
      </c>
      <c r="F125" s="4" t="str">
        <f>TRIM(PROPER('Raw Data'!F125))</f>
        <v>Instagram</v>
      </c>
      <c r="G125" s="8" t="str">
        <f>TRIM(CLEAN('Raw Data'!G125))</f>
        <v>#Elation #OldFriends</v>
      </c>
      <c r="H125" s="12">
        <f>'Raw Data'!H125</f>
        <v>25</v>
      </c>
      <c r="I125" s="12">
        <v>35</v>
      </c>
      <c r="J125" s="12" t="str">
        <f>TRIM(UPPER('Raw Data'!J125))</f>
        <v>CANADA</v>
      </c>
      <c r="K125" s="12">
        <f>'Raw Data'!K125</f>
        <v>2020</v>
      </c>
      <c r="L125" s="12">
        <f>'Raw Data'!L125</f>
        <v>4</v>
      </c>
      <c r="M125" s="12">
        <f>'Raw Data'!M125</f>
        <v>2</v>
      </c>
      <c r="N125">
        <f>'Raw Data'!N125</f>
        <v>9</v>
      </c>
    </row>
    <row r="126" spans="1:14" x14ac:dyDescent="0.25">
      <c r="A126" s="11">
        <f>'Raw Data'!A126</f>
        <v>124</v>
      </c>
      <c r="B126" s="8" t="str">
        <f>TRIM(CLEAN('Raw Data'!B126))</f>
        <v>The euphoria of a live music concert under the stars.</v>
      </c>
      <c r="C126" s="4" t="str">
        <f>TRIM(PROPER('Raw Data'!C126))</f>
        <v>Euphoria</v>
      </c>
      <c r="D126" s="5">
        <f>'Raw Data'!D126</f>
        <v>44366.614583333336</v>
      </c>
      <c r="E126" s="4" t="str">
        <f>TRIM(SUBSTITUTE('Raw Data'!E126," "," "))</f>
        <v>MusicEnthusiast</v>
      </c>
      <c r="F126" s="4" t="str">
        <f>TRIM(PROPER('Raw Data'!F126))</f>
        <v>Facebook</v>
      </c>
      <c r="G126" s="8" t="str">
        <f>TRIM(CLEAN('Raw Data'!G126))</f>
        <v>#Euphoria #LiveMusic</v>
      </c>
      <c r="H126" s="12">
        <f>'Raw Data'!H126</f>
        <v>15</v>
      </c>
      <c r="I126" s="12">
        <v>50</v>
      </c>
      <c r="J126" s="12" t="str">
        <f>TRIM(UPPER('Raw Data'!J126))</f>
        <v>USA</v>
      </c>
      <c r="K126" s="12">
        <f>'Raw Data'!K126</f>
        <v>2021</v>
      </c>
      <c r="L126" s="12">
        <f>'Raw Data'!L126</f>
        <v>6</v>
      </c>
      <c r="M126" s="12">
        <f>'Raw Data'!M126</f>
        <v>19</v>
      </c>
      <c r="N126">
        <f>'Raw Data'!N126</f>
        <v>14</v>
      </c>
    </row>
    <row r="127" spans="1:14" x14ac:dyDescent="0.25">
      <c r="A127" s="11">
        <f>'Raw Data'!A127</f>
        <v>125</v>
      </c>
      <c r="B127" s="8" t="str">
        <f>TRIM(CLEAN('Raw Data'!B127))</f>
        <v>Contentment in the simplicity of a quiet Sunday.</v>
      </c>
      <c r="C127" s="4" t="str">
        <f>TRIM(PROPER('Raw Data'!C127))</f>
        <v>Contentment</v>
      </c>
      <c r="D127" s="5">
        <f>'Raw Data'!D127</f>
        <v>40405.416666666664</v>
      </c>
      <c r="E127" s="4" t="str">
        <f>TRIM(SUBSTITUTE('Raw Data'!E127," "," "))</f>
        <v>SimpleJoys</v>
      </c>
      <c r="F127" s="4" t="str">
        <f>TRIM(PROPER('Raw Data'!F127))</f>
        <v>Twitter</v>
      </c>
      <c r="G127" s="8" t="str">
        <f>TRIM(CLEAN('Raw Data'!G127))</f>
        <v>#Contentment #SundayMood</v>
      </c>
      <c r="H127" s="12">
        <f>'Raw Data'!H127</f>
        <v>30</v>
      </c>
      <c r="I127" s="12">
        <v>30</v>
      </c>
      <c r="J127" s="12" t="str">
        <f>TRIM(UPPER('Raw Data'!J127))</f>
        <v>AUSTRALIA</v>
      </c>
      <c r="K127" s="12">
        <f>'Raw Data'!K127</f>
        <v>2010</v>
      </c>
      <c r="L127" s="12">
        <f>'Raw Data'!L127</f>
        <v>8</v>
      </c>
      <c r="M127" s="12">
        <f>'Raw Data'!M127</f>
        <v>15</v>
      </c>
      <c r="N127">
        <f>'Raw Data'!N127</f>
        <v>10</v>
      </c>
    </row>
    <row r="128" spans="1:14" x14ac:dyDescent="0.25">
      <c r="A128" s="11">
        <f>'Raw Data'!A128</f>
        <v>126</v>
      </c>
      <c r="B128" s="8" t="str">
        <f>TRIM(CLEAN('Raw Data'!B128))</f>
        <v>Serenity found in the pages of a favorite book.</v>
      </c>
      <c r="C128" s="4" t="str">
        <f>TRIM(PROPER('Raw Data'!C128))</f>
        <v>Serenity</v>
      </c>
      <c r="D128" s="5">
        <f>'Raw Data'!D128</f>
        <v>40808.8125</v>
      </c>
      <c r="E128" s="4" t="str">
        <f>TRIM(SUBSTITUTE('Raw Data'!E128," "," "))</f>
        <v>BookLover3</v>
      </c>
      <c r="F128" s="4" t="str">
        <f>TRIM(PROPER('Raw Data'!F128))</f>
        <v>Instagram</v>
      </c>
      <c r="G128" s="8" t="str">
        <f>TRIM(CLEAN('Raw Data'!G128))</f>
        <v>#Serenity #BookTime</v>
      </c>
      <c r="H128" s="12">
        <f>'Raw Data'!H128</f>
        <v>22</v>
      </c>
      <c r="I128" s="12">
        <v>60</v>
      </c>
      <c r="J128" s="12" t="str">
        <f>TRIM(UPPER('Raw Data'!J128))</f>
        <v>UK</v>
      </c>
      <c r="K128" s="12">
        <f>'Raw Data'!K128</f>
        <v>2011</v>
      </c>
      <c r="L128" s="12">
        <f>'Raw Data'!L128</f>
        <v>9</v>
      </c>
      <c r="M128" s="12">
        <f>'Raw Data'!M128</f>
        <v>22</v>
      </c>
      <c r="N128">
        <f>'Raw Data'!N128</f>
        <v>19</v>
      </c>
    </row>
    <row r="129" spans="1:14" x14ac:dyDescent="0.25">
      <c r="A129" s="11">
        <f>'Raw Data'!A129</f>
        <v>127</v>
      </c>
      <c r="B129" s="8" t="str">
        <f>TRIM(CLEAN('Raw Data'!B129))</f>
        <v>Gratitude for the support received during tough times.</v>
      </c>
      <c r="C129" s="4" t="str">
        <f>TRIM(PROPER('Raw Data'!C129))</f>
        <v>Gratitude</v>
      </c>
      <c r="D129" s="5">
        <f>'Raw Data'!D129</f>
        <v>40978.354166666664</v>
      </c>
      <c r="E129" s="4" t="str">
        <f>TRIM(SUBSTITUTE('Raw Data'!E129," "," "))</f>
        <v>SupportiveFriend</v>
      </c>
      <c r="F129" s="4" t="str">
        <f>TRIM(PROPER('Raw Data'!F129))</f>
        <v>Facebook</v>
      </c>
      <c r="G129" s="8" t="str">
        <f>TRIM(CLEAN('Raw Data'!G129))</f>
        <v>#Gratitude #Supportive</v>
      </c>
      <c r="H129" s="12">
        <f>'Raw Data'!H129</f>
        <v>15</v>
      </c>
      <c r="I129" s="12">
        <v>45</v>
      </c>
      <c r="J129" s="12" t="str">
        <f>TRIM(UPPER('Raw Data'!J129))</f>
        <v>INDIA</v>
      </c>
      <c r="K129" s="12">
        <f>'Raw Data'!K129</f>
        <v>2012</v>
      </c>
      <c r="L129" s="12">
        <f>'Raw Data'!L129</f>
        <v>3</v>
      </c>
      <c r="M129" s="12">
        <f>'Raw Data'!M129</f>
        <v>10</v>
      </c>
      <c r="N129">
        <f>'Raw Data'!N129</f>
        <v>8</v>
      </c>
    </row>
    <row r="130" spans="1:14" x14ac:dyDescent="0.25">
      <c r="A130" s="11">
        <f>'Raw Data'!A130</f>
        <v>128</v>
      </c>
      <c r="B130" s="8" t="str">
        <f>TRIM(CLEAN('Raw Data'!B130))</f>
        <v>Hopeful about the possibilities of a new journey.</v>
      </c>
      <c r="C130" s="4" t="str">
        <f>TRIM(PROPER('Raw Data'!C130))</f>
        <v>Hope</v>
      </c>
      <c r="D130" s="5">
        <f>'Raw Data'!D130</f>
        <v>41613.666666666664</v>
      </c>
      <c r="E130" s="4" t="str">
        <f>TRIM(SUBSTITUTE('Raw Data'!E130," "," "))</f>
        <v>JourneyOptimist</v>
      </c>
      <c r="F130" s="4" t="str">
        <f>TRIM(PROPER('Raw Data'!F130))</f>
        <v>Twitter</v>
      </c>
      <c r="G130" s="8" t="str">
        <f>TRIM(CLEAN('Raw Data'!G130))</f>
        <v>#Hope #NewBeginnings</v>
      </c>
      <c r="H130" s="12">
        <f>'Raw Data'!H130</f>
        <v>18</v>
      </c>
      <c r="I130" s="12">
        <v>30</v>
      </c>
      <c r="J130" s="12" t="str">
        <f>TRIM(UPPER('Raw Data'!J130))</f>
        <v>CANADA</v>
      </c>
      <c r="K130" s="12">
        <f>'Raw Data'!K130</f>
        <v>2013</v>
      </c>
      <c r="L130" s="12">
        <f>'Raw Data'!L130</f>
        <v>12</v>
      </c>
      <c r="M130" s="12">
        <f>'Raw Data'!M130</f>
        <v>5</v>
      </c>
      <c r="N130">
        <f>'Raw Data'!N130</f>
        <v>16</v>
      </c>
    </row>
    <row r="131" spans="1:14" x14ac:dyDescent="0.25">
      <c r="A131" s="11">
        <f>'Raw Data'!A131</f>
        <v>129</v>
      </c>
      <c r="B131" s="8" t="str">
        <f>TRIM(CLEAN('Raw Data'!B131))</f>
        <v>Empowerment through learning and personal growth.</v>
      </c>
      <c r="C131" s="4" t="str">
        <f>TRIM(PROPER('Raw Data'!C131))</f>
        <v>Empowerment</v>
      </c>
      <c r="D131" s="5">
        <f>'Raw Data'!D131</f>
        <v>41840.479166666664</v>
      </c>
      <c r="E131" s="4" t="str">
        <f>TRIM(SUBSTITUTE('Raw Data'!E131," "," "))</f>
        <v>GrowthSeeker</v>
      </c>
      <c r="F131" s="4" t="str">
        <f>TRIM(PROPER('Raw Data'!F131))</f>
        <v>Instagram</v>
      </c>
      <c r="G131" s="8" t="str">
        <f>TRIM(CLEAN('Raw Data'!G131))</f>
        <v>#Empowerment #PersonalGrowth</v>
      </c>
      <c r="H131" s="12">
        <f>'Raw Data'!H131</f>
        <v>25</v>
      </c>
      <c r="I131" s="12">
        <v>35</v>
      </c>
      <c r="J131" s="12" t="str">
        <f>TRIM(UPPER('Raw Data'!J131))</f>
        <v>USA</v>
      </c>
      <c r="K131" s="12">
        <f>'Raw Data'!K131</f>
        <v>2014</v>
      </c>
      <c r="L131" s="12">
        <f>'Raw Data'!L131</f>
        <v>7</v>
      </c>
      <c r="M131" s="12">
        <f>'Raw Data'!M131</f>
        <v>20</v>
      </c>
      <c r="N131">
        <f>'Raw Data'!N131</f>
        <v>11</v>
      </c>
    </row>
    <row r="132" spans="1:14" ht="30" x14ac:dyDescent="0.25">
      <c r="A132" s="11">
        <f>'Raw Data'!A132</f>
        <v>130</v>
      </c>
      <c r="B132" s="8" t="str">
        <f>TRIM(CLEAN('Raw Data'!B132))</f>
        <v>Compassion towards those in need during the holidays.</v>
      </c>
      <c r="C132" s="4" t="str">
        <f>TRIM(PROPER('Raw Data'!C132))</f>
        <v>Compassion</v>
      </c>
      <c r="D132" s="5">
        <f>'Raw Data'!D132</f>
        <v>42360.597222222219</v>
      </c>
      <c r="E132" s="4" t="str">
        <f>TRIM(SUBSTITUTE('Raw Data'!E132," "," "))</f>
        <v>HolidayHelper</v>
      </c>
      <c r="F132" s="4" t="str">
        <f>TRIM(PROPER('Raw Data'!F132))</f>
        <v>Facebook</v>
      </c>
      <c r="G132" s="8" t="str">
        <f>TRIM(CLEAN('Raw Data'!G132))</f>
        <v>#Compassion #HolidaySupport</v>
      </c>
      <c r="H132" s="12">
        <f>'Raw Data'!H132</f>
        <v>18</v>
      </c>
      <c r="I132" s="12">
        <v>50</v>
      </c>
      <c r="J132" s="12" t="str">
        <f>TRIM(UPPER('Raw Data'!J132))</f>
        <v>USA</v>
      </c>
      <c r="K132" s="12">
        <f>'Raw Data'!K132</f>
        <v>2015</v>
      </c>
      <c r="L132" s="12">
        <f>'Raw Data'!L132</f>
        <v>12</v>
      </c>
      <c r="M132" s="12">
        <f>'Raw Data'!M132</f>
        <v>22</v>
      </c>
      <c r="N132">
        <f>'Raw Data'!N132</f>
        <v>14</v>
      </c>
    </row>
    <row r="133" spans="1:14" x14ac:dyDescent="0.25">
      <c r="A133" s="11">
        <f>'Raw Data'!A133</f>
        <v>131</v>
      </c>
      <c r="B133" s="8" t="str">
        <f>TRIM(CLEAN('Raw Data'!B133))</f>
        <v>Tenderness in the warmth of a cozy winter evening.</v>
      </c>
      <c r="C133" s="4" t="str">
        <f>TRIM(PROPER('Raw Data'!C133))</f>
        <v>Tenderness</v>
      </c>
      <c r="D133" s="5">
        <f>'Raw Data'!D133</f>
        <v>42410.822916666664</v>
      </c>
      <c r="E133" s="4" t="str">
        <f>TRIM(SUBSTITUTE('Raw Data'!E133," "," "))</f>
        <v>WinterWarmth</v>
      </c>
      <c r="F133" s="4" t="str">
        <f>TRIM(PROPER('Raw Data'!F133))</f>
        <v>Twitter</v>
      </c>
      <c r="G133" s="8" t="str">
        <f>TRIM(CLEAN('Raw Data'!G133))</f>
        <v>#Tenderness #CozyEvening</v>
      </c>
      <c r="H133" s="12">
        <f>'Raw Data'!H133</f>
        <v>25</v>
      </c>
      <c r="I133" s="12">
        <v>35</v>
      </c>
      <c r="J133" s="12" t="str">
        <f>TRIM(UPPER('Raw Data'!J133))</f>
        <v>UK</v>
      </c>
      <c r="K133" s="12">
        <f>'Raw Data'!K133</f>
        <v>2016</v>
      </c>
      <c r="L133" s="12">
        <f>'Raw Data'!L133</f>
        <v>2</v>
      </c>
      <c r="M133" s="12">
        <f>'Raw Data'!M133</f>
        <v>10</v>
      </c>
      <c r="N133">
        <f>'Raw Data'!N133</f>
        <v>19</v>
      </c>
    </row>
    <row r="134" spans="1:14" x14ac:dyDescent="0.25">
      <c r="A134" s="11">
        <f>'Raw Data'!A134</f>
        <v>132</v>
      </c>
      <c r="B134" s="8" t="str">
        <f>TRIM(CLEAN('Raw Data'!B134))</f>
        <v>Arousal of excitement for an upcoming adventure.</v>
      </c>
      <c r="C134" s="4" t="str">
        <f>TRIM(PROPER('Raw Data'!C134))</f>
        <v>Arousal</v>
      </c>
      <c r="D134" s="5">
        <f>'Raw Data'!D134</f>
        <v>42855.479166666664</v>
      </c>
      <c r="E134" s="4" t="str">
        <f>TRIM(SUBSTITUTE('Raw Data'!E134," "," "))</f>
        <v>AdventureAwaits</v>
      </c>
      <c r="F134" s="4" t="str">
        <f>TRIM(PROPER('Raw Data'!F134))</f>
        <v>Instagram</v>
      </c>
      <c r="G134" s="8" t="str">
        <f>TRIM(CLEAN('Raw Data'!G134))</f>
        <v>#Arousal #AdventureTime</v>
      </c>
      <c r="H134" s="12">
        <f>'Raw Data'!H134</f>
        <v>20</v>
      </c>
      <c r="I134" s="12">
        <v>50</v>
      </c>
      <c r="J134" s="12" t="str">
        <f>TRIM(UPPER('Raw Data'!J134))</f>
        <v>AUSTRALIA</v>
      </c>
      <c r="K134" s="12">
        <f>'Raw Data'!K134</f>
        <v>2017</v>
      </c>
      <c r="L134" s="12">
        <f>'Raw Data'!L134</f>
        <v>4</v>
      </c>
      <c r="M134" s="12">
        <f>'Raw Data'!M134</f>
        <v>30</v>
      </c>
      <c r="N134">
        <f>'Raw Data'!N134</f>
        <v>11</v>
      </c>
    </row>
    <row r="135" spans="1:14" x14ac:dyDescent="0.25">
      <c r="A135" s="11">
        <f>'Raw Data'!A135</f>
        <v>133</v>
      </c>
      <c r="B135" s="8" t="str">
        <f>TRIM(CLEAN('Raw Data'!B135))</f>
        <v>Enthusiasm for a creative project in the making.</v>
      </c>
      <c r="C135" s="4" t="str">
        <f>TRIM(PROPER('Raw Data'!C135))</f>
        <v>Enthusiasm</v>
      </c>
      <c r="D135" s="5">
        <f>'Raw Data'!D135</f>
        <v>43358.666666666664</v>
      </c>
      <c r="E135" s="4" t="str">
        <f>TRIM(SUBSTITUTE('Raw Data'!E135," "," "))</f>
        <v>CreativeSpirit</v>
      </c>
      <c r="F135" s="4" t="str">
        <f>TRIM(PROPER('Raw Data'!F135))</f>
        <v>Facebook</v>
      </c>
      <c r="G135" s="8" t="str">
        <f>TRIM(CLEAN('Raw Data'!G135))</f>
        <v>#Enthusiasm #Creativity</v>
      </c>
      <c r="H135" s="12">
        <f>'Raw Data'!H135</f>
        <v>15</v>
      </c>
      <c r="I135" s="12">
        <v>40</v>
      </c>
      <c r="J135" s="12" t="str">
        <f>TRIM(UPPER('Raw Data'!J135))</f>
        <v>CANADA</v>
      </c>
      <c r="K135" s="12">
        <f>'Raw Data'!K135</f>
        <v>2018</v>
      </c>
      <c r="L135" s="12">
        <f>'Raw Data'!L135</f>
        <v>9</v>
      </c>
      <c r="M135" s="12">
        <f>'Raw Data'!M135</f>
        <v>15</v>
      </c>
      <c r="N135">
        <f>'Raw Data'!N135</f>
        <v>16</v>
      </c>
    </row>
    <row r="136" spans="1:14" ht="30" x14ac:dyDescent="0.25">
      <c r="A136" s="11">
        <f>'Raw Data'!A136</f>
        <v>134</v>
      </c>
      <c r="B136" s="8" t="str">
        <f>TRIM(CLEAN('Raw Data'!B136))</f>
        <v>Fulfillment in completing a challenging workout routine.</v>
      </c>
      <c r="C136" s="4" t="str">
        <f>TRIM(PROPER('Raw Data'!C136))</f>
        <v>Fulfillment</v>
      </c>
      <c r="D136" s="5">
        <f>'Raw Data'!D136</f>
        <v>43644.763888888891</v>
      </c>
      <c r="E136" s="4" t="str">
        <f>TRIM(SUBSTITUTE('Raw Data'!E136," "," "))</f>
        <v>FitnessAchiever</v>
      </c>
      <c r="F136" s="4" t="str">
        <f>TRIM(PROPER('Raw Data'!F136))</f>
        <v>Twitter</v>
      </c>
      <c r="G136" s="8" t="str">
        <f>TRIM(CLEAN('Raw Data'!G136))</f>
        <v>#Fulfillment #FitnessGoals</v>
      </c>
      <c r="H136" s="12">
        <f>'Raw Data'!H136</f>
        <v>22</v>
      </c>
      <c r="I136" s="12">
        <v>30</v>
      </c>
      <c r="J136" s="12" t="str">
        <f>TRIM(UPPER('Raw Data'!J136))</f>
        <v>INDIA</v>
      </c>
      <c r="K136" s="12">
        <f>'Raw Data'!K136</f>
        <v>2019</v>
      </c>
      <c r="L136" s="12">
        <f>'Raw Data'!L136</f>
        <v>6</v>
      </c>
      <c r="M136" s="12">
        <f>'Raw Data'!M136</f>
        <v>28</v>
      </c>
      <c r="N136">
        <f>'Raw Data'!N136</f>
        <v>18</v>
      </c>
    </row>
    <row r="137" spans="1:14" x14ac:dyDescent="0.25">
      <c r="A137" s="11">
        <f>'Raw Data'!A137</f>
        <v>135</v>
      </c>
      <c r="B137" s="8" t="str">
        <f>TRIM(CLEAN('Raw Data'!B137))</f>
        <v>Reverence for the artistry displayed in a museum.</v>
      </c>
      <c r="C137" s="4" t="str">
        <f>TRIM(PROPER('Raw Data'!C137))</f>
        <v>Reverence</v>
      </c>
      <c r="D137" s="5">
        <f>'Raw Data'!D137</f>
        <v>44146.625</v>
      </c>
      <c r="E137" s="4" t="str">
        <f>TRIM(SUBSTITUTE('Raw Data'!E137," "," "))</f>
        <v>ArtAppreciator</v>
      </c>
      <c r="F137" s="4" t="str">
        <f>TRIM(PROPER('Raw Data'!F137))</f>
        <v>Instagram</v>
      </c>
      <c r="G137" s="8" t="str">
        <f>TRIM(CLEAN('Raw Data'!G137))</f>
        <v>#Reverence #ArtAppreciation</v>
      </c>
      <c r="H137" s="12">
        <f>'Raw Data'!H137</f>
        <v>18</v>
      </c>
      <c r="I137" s="12">
        <v>45</v>
      </c>
      <c r="J137" s="12" t="str">
        <f>TRIM(UPPER('Raw Data'!J137))</f>
        <v>UK</v>
      </c>
      <c r="K137" s="12">
        <f>'Raw Data'!K137</f>
        <v>2020</v>
      </c>
      <c r="L137" s="12">
        <f>'Raw Data'!L137</f>
        <v>11</v>
      </c>
      <c r="M137" s="12">
        <f>'Raw Data'!M137</f>
        <v>11</v>
      </c>
      <c r="N137">
        <f>'Raw Data'!N137</f>
        <v>15</v>
      </c>
    </row>
    <row r="138" spans="1:14" x14ac:dyDescent="0.25">
      <c r="A138" s="11">
        <f>'Raw Data'!A138</f>
        <v>136</v>
      </c>
      <c r="B138" s="8" t="str">
        <f>TRIM(CLEAN('Raw Data'!B138))</f>
        <v>Elation after achieving a personal goal.</v>
      </c>
      <c r="C138" s="4" t="str">
        <f>TRIM(PROPER('Raw Data'!C138))</f>
        <v>Elation</v>
      </c>
      <c r="D138" s="5">
        <f>'Raw Data'!D138</f>
        <v>44257.395833333336</v>
      </c>
      <c r="E138" s="4" t="str">
        <f>TRIM(SUBSTITUTE('Raw Data'!E138," "," "))</f>
        <v>GoalAchiever2</v>
      </c>
      <c r="F138" s="4" t="str">
        <f>TRIM(PROPER('Raw Data'!F138))</f>
        <v>Facebook</v>
      </c>
      <c r="G138" s="8" t="str">
        <f>TRIM(CLEAN('Raw Data'!G138))</f>
        <v>#Elation #PersonalAchievement</v>
      </c>
      <c r="H138" s="12">
        <f>'Raw Data'!H138</f>
        <v>25</v>
      </c>
      <c r="I138" s="12">
        <v>35</v>
      </c>
      <c r="J138" s="12" t="str">
        <f>TRIM(UPPER('Raw Data'!J138))</f>
        <v>USA</v>
      </c>
      <c r="K138" s="12">
        <f>'Raw Data'!K138</f>
        <v>2021</v>
      </c>
      <c r="L138" s="12">
        <f>'Raw Data'!L138</f>
        <v>3</v>
      </c>
      <c r="M138" s="12">
        <f>'Raw Data'!M138</f>
        <v>2</v>
      </c>
      <c r="N138">
        <f>'Raw Data'!N138</f>
        <v>9</v>
      </c>
    </row>
    <row r="139" spans="1:14" x14ac:dyDescent="0.25">
      <c r="A139" s="11">
        <f>'Raw Data'!A139</f>
        <v>137</v>
      </c>
      <c r="B139" s="8" t="str">
        <f>TRIM(CLEAN('Raw Data'!B139))</f>
        <v>Elation over discovering a hidden gem in the city.</v>
      </c>
      <c r="C139" s="4" t="str">
        <f>TRIM(PROPER('Raw Data'!C139))</f>
        <v>Elation</v>
      </c>
      <c r="D139" s="5">
        <f>'Raw Data'!D139</f>
        <v>40957.604166666664</v>
      </c>
      <c r="E139" s="4" t="str">
        <f>TRIM(SUBSTITUTE('Raw Data'!E139," "," "))</f>
        <v>UrbanExplorer2</v>
      </c>
      <c r="F139" s="4" t="str">
        <f>TRIM(PROPER('Raw Data'!F139))</f>
        <v>Twitter</v>
      </c>
      <c r="G139" s="8" t="str">
        <f>TRIM(CLEAN('Raw Data'!G139))</f>
        <v>#Elation #HiddenGem</v>
      </c>
      <c r="H139" s="12">
        <f>'Raw Data'!H139</f>
        <v>20</v>
      </c>
      <c r="I139" s="12">
        <v>50</v>
      </c>
      <c r="J139" s="12" t="str">
        <f>TRIM(UPPER('Raw Data'!J139))</f>
        <v>USA</v>
      </c>
      <c r="K139" s="12">
        <f>'Raw Data'!K139</f>
        <v>2012</v>
      </c>
      <c r="L139" s="12">
        <f>'Raw Data'!L139</f>
        <v>2</v>
      </c>
      <c r="M139" s="12">
        <f>'Raw Data'!M139</f>
        <v>18</v>
      </c>
      <c r="N139">
        <f>'Raw Data'!N139</f>
        <v>14</v>
      </c>
    </row>
    <row r="140" spans="1:14" x14ac:dyDescent="0.25">
      <c r="A140" s="11">
        <f>'Raw Data'!A140</f>
        <v>138</v>
      </c>
      <c r="B140" s="8" t="str">
        <f>TRIM(CLEAN('Raw Data'!B140))</f>
        <v>The euphoria of a surprise birthday celebration.</v>
      </c>
      <c r="C140" s="4" t="str">
        <f>TRIM(PROPER('Raw Data'!C140))</f>
        <v>Euphoria</v>
      </c>
      <c r="D140" s="5">
        <f>'Raw Data'!D140</f>
        <v>43409.90625</v>
      </c>
      <c r="E140" s="4" t="str">
        <f>TRIM(SUBSTITUTE('Raw Data'!E140," "," "))</f>
        <v>BirthdayJoy</v>
      </c>
      <c r="F140" s="4" t="str">
        <f>TRIM(PROPER('Raw Data'!F140))</f>
        <v>Instagram</v>
      </c>
      <c r="G140" s="8" t="str">
        <f>TRIM(CLEAN('Raw Data'!G140))</f>
        <v>#Euphoria #BirthdaySurprise</v>
      </c>
      <c r="H140" s="12">
        <f>'Raw Data'!H140</f>
        <v>15</v>
      </c>
      <c r="I140" s="12">
        <v>40</v>
      </c>
      <c r="J140" s="12" t="str">
        <f>TRIM(UPPER('Raw Data'!J140))</f>
        <v>UK</v>
      </c>
      <c r="K140" s="12">
        <f>'Raw Data'!K140</f>
        <v>2018</v>
      </c>
      <c r="L140" s="12">
        <f>'Raw Data'!L140</f>
        <v>11</v>
      </c>
      <c r="M140" s="12">
        <f>'Raw Data'!M140</f>
        <v>5</v>
      </c>
      <c r="N140">
        <f>'Raw Data'!N140</f>
        <v>21</v>
      </c>
    </row>
    <row r="141" spans="1:14" x14ac:dyDescent="0.25">
      <c r="A141" s="11">
        <f>'Raw Data'!A141</f>
        <v>139</v>
      </c>
      <c r="B141" s="8" t="str">
        <f>TRIM(CLEAN('Raw Data'!B141))</f>
        <v>Contentment in the simplicity of a home-cooked meal.</v>
      </c>
      <c r="C141" s="4" t="str">
        <f>TRIM(PROPER('Raw Data'!C141))</f>
        <v>Contentment</v>
      </c>
      <c r="D141" s="5">
        <f>'Raw Data'!D141</f>
        <v>42259.555555555555</v>
      </c>
      <c r="E141" s="4" t="str">
        <f>TRIM(SUBSTITUTE('Raw Data'!E141," "," "))</f>
        <v>HomeChef</v>
      </c>
      <c r="F141" s="4" t="str">
        <f>TRIM(PROPER('Raw Data'!F141))</f>
        <v>Facebook</v>
      </c>
      <c r="G141" s="8" t="str">
        <f>TRIM(CLEAN('Raw Data'!G141))</f>
        <v>#Contentment #HomeCooking</v>
      </c>
      <c r="H141" s="12">
        <f>'Raw Data'!H141</f>
        <v>25</v>
      </c>
      <c r="I141" s="12">
        <v>30</v>
      </c>
      <c r="J141" s="12" t="str">
        <f>TRIM(UPPER('Raw Data'!J141))</f>
        <v>INDIA</v>
      </c>
      <c r="K141" s="12">
        <f>'Raw Data'!K141</f>
        <v>2015</v>
      </c>
      <c r="L141" s="12">
        <f>'Raw Data'!L141</f>
        <v>9</v>
      </c>
      <c r="M141" s="12">
        <f>'Raw Data'!M141</f>
        <v>12</v>
      </c>
      <c r="N141">
        <f>'Raw Data'!N141</f>
        <v>13</v>
      </c>
    </row>
    <row r="142" spans="1:14" x14ac:dyDescent="0.25">
      <c r="A142" s="11">
        <f>'Raw Data'!A142</f>
        <v>140</v>
      </c>
      <c r="B142" s="8" t="str">
        <f>TRIM(CLEAN('Raw Data'!B142))</f>
        <v>Serenity found in the melody of a peaceful piano.</v>
      </c>
      <c r="C142" s="4" t="str">
        <f>TRIM(PROPER('Raw Data'!C142))</f>
        <v>Serenity</v>
      </c>
      <c r="D142" s="5">
        <f>'Raw Data'!D142</f>
        <v>42581.756944444445</v>
      </c>
      <c r="E142" s="4" t="str">
        <f>TRIM(SUBSTITUTE('Raw Data'!E142," "," "))</f>
        <v>MusicLover4</v>
      </c>
      <c r="F142" s="4" t="str">
        <f>TRIM(PROPER('Raw Data'!F142))</f>
        <v>Twitter</v>
      </c>
      <c r="G142" s="8" t="str">
        <f>TRIM(CLEAN('Raw Data'!G142))</f>
        <v>#Serenity #PeacefulMelody</v>
      </c>
      <c r="H142" s="12">
        <f>'Raw Data'!H142</f>
        <v>18</v>
      </c>
      <c r="I142" s="12">
        <v>50</v>
      </c>
      <c r="J142" s="12" t="str">
        <f>TRIM(UPPER('Raw Data'!J142))</f>
        <v>CANADA</v>
      </c>
      <c r="K142" s="12">
        <f>'Raw Data'!K142</f>
        <v>2016</v>
      </c>
      <c r="L142" s="12">
        <f>'Raw Data'!L142</f>
        <v>7</v>
      </c>
      <c r="M142" s="12">
        <f>'Raw Data'!M142</f>
        <v>30</v>
      </c>
      <c r="N142">
        <f>'Raw Data'!N142</f>
        <v>18</v>
      </c>
    </row>
    <row r="143" spans="1:14" x14ac:dyDescent="0.25">
      <c r="A143" s="11">
        <f>'Raw Data'!A143</f>
        <v>141</v>
      </c>
      <c r="B143" s="8" t="str">
        <f>TRIM(CLEAN('Raw Data'!B143))</f>
        <v>Gratitude for the supportive community around me.</v>
      </c>
      <c r="C143" s="4" t="str">
        <f>TRIM(PROPER('Raw Data'!C143))</f>
        <v>Gratitude</v>
      </c>
      <c r="D143" s="5">
        <f>'Raw Data'!D143</f>
        <v>41384.4375</v>
      </c>
      <c r="E143" s="4" t="str">
        <f>TRIM(SUBSTITUTE('Raw Data'!E143," "," "))</f>
        <v>CommunityLove</v>
      </c>
      <c r="F143" s="4" t="str">
        <f>TRIM(PROPER('Raw Data'!F143))</f>
        <v>Instagram</v>
      </c>
      <c r="G143" s="8" t="str">
        <f>TRIM(CLEAN('Raw Data'!G143))</f>
        <v>#Gratitude #CommunitySupport</v>
      </c>
      <c r="H143" s="12">
        <f>'Raw Data'!H143</f>
        <v>30</v>
      </c>
      <c r="I143" s="12">
        <v>35</v>
      </c>
      <c r="J143" s="12" t="str">
        <f>TRIM(UPPER('Raw Data'!J143))</f>
        <v>USA</v>
      </c>
      <c r="K143" s="12">
        <f>'Raw Data'!K143</f>
        <v>2013</v>
      </c>
      <c r="L143" s="12">
        <f>'Raw Data'!L143</f>
        <v>4</v>
      </c>
      <c r="M143" s="12">
        <f>'Raw Data'!M143</f>
        <v>20</v>
      </c>
      <c r="N143">
        <f>'Raw Data'!N143</f>
        <v>10</v>
      </c>
    </row>
    <row r="144" spans="1:14" x14ac:dyDescent="0.25">
      <c r="A144" s="11">
        <f>'Raw Data'!A144</f>
        <v>142</v>
      </c>
      <c r="B144" s="8" t="str">
        <f>TRIM(CLEAN('Raw Data'!B144))</f>
        <v>Hopeful about the prospects of a new business venture.</v>
      </c>
      <c r="C144" s="4" t="str">
        <f>TRIM(PROPER('Raw Data'!C144))</f>
        <v>Hope</v>
      </c>
      <c r="D144" s="5">
        <f>'Raw Data'!D144</f>
        <v>43077.802083333336</v>
      </c>
      <c r="E144" s="4" t="str">
        <f>TRIM(SUBSTITUTE('Raw Data'!E144," "," "))</f>
        <v>EntrepreneurHope</v>
      </c>
      <c r="F144" s="4" t="str">
        <f>TRIM(PROPER('Raw Data'!F144))</f>
        <v>Facebook</v>
      </c>
      <c r="G144" s="8" t="str">
        <f>TRIM(CLEAN('Raw Data'!G144))</f>
        <v>#Hope #BusinessVenture</v>
      </c>
      <c r="H144" s="12">
        <f>'Raw Data'!H144</f>
        <v>22</v>
      </c>
      <c r="I144" s="12">
        <v>60</v>
      </c>
      <c r="J144" s="12" t="str">
        <f>TRIM(UPPER('Raw Data'!J144))</f>
        <v>CANADA</v>
      </c>
      <c r="K144" s="12">
        <f>'Raw Data'!K144</f>
        <v>2017</v>
      </c>
      <c r="L144" s="12">
        <f>'Raw Data'!L144</f>
        <v>12</v>
      </c>
      <c r="M144" s="12">
        <f>'Raw Data'!M144</f>
        <v>8</v>
      </c>
      <c r="N144">
        <f>'Raw Data'!N144</f>
        <v>19</v>
      </c>
    </row>
    <row r="145" spans="1:14" x14ac:dyDescent="0.25">
      <c r="A145" s="11">
        <f>'Raw Data'!A145</f>
        <v>143</v>
      </c>
      <c r="B145" s="8" t="str">
        <f>TRIM(CLEAN('Raw Data'!B145))</f>
        <v>Empowerment through mentoring and guiding others.</v>
      </c>
      <c r="C145" s="4" t="str">
        <f>TRIM(PROPER('Raw Data'!C145))</f>
        <v>Empowerment</v>
      </c>
      <c r="D145" s="5">
        <f>'Raw Data'!D145</f>
        <v>41793.347222222219</v>
      </c>
      <c r="E145" s="4" t="str">
        <f>TRIM(SUBSTITUTE('Raw Data'!E145," "," "))</f>
        <v>MentorEmpower</v>
      </c>
      <c r="F145" s="4" t="str">
        <f>TRIM(PROPER('Raw Data'!F145))</f>
        <v>Twitter</v>
      </c>
      <c r="G145" s="8" t="str">
        <f>TRIM(CLEAN('Raw Data'!G145))</f>
        <v>#Empowerment #Mentorship</v>
      </c>
      <c r="H145" s="12">
        <f>'Raw Data'!H145</f>
        <v>15</v>
      </c>
      <c r="I145" s="12">
        <v>45</v>
      </c>
      <c r="J145" s="12" t="str">
        <f>TRIM(UPPER('Raw Data'!J145))</f>
        <v>UK</v>
      </c>
      <c r="K145" s="12">
        <f>'Raw Data'!K145</f>
        <v>2014</v>
      </c>
      <c r="L145" s="12">
        <f>'Raw Data'!L145</f>
        <v>6</v>
      </c>
      <c r="M145" s="12">
        <f>'Raw Data'!M145</f>
        <v>3</v>
      </c>
      <c r="N145">
        <f>'Raw Data'!N145</f>
        <v>8</v>
      </c>
    </row>
    <row r="146" spans="1:14" ht="30" x14ac:dyDescent="0.25">
      <c r="A146" s="11">
        <f>'Raw Data'!A146</f>
        <v>144</v>
      </c>
      <c r="B146" s="8" t="str">
        <f>TRIM(CLEAN('Raw Data'!B146))</f>
        <v>Compassion shown through acts of kindness in the community.</v>
      </c>
      <c r="C146" s="4" t="str">
        <f>TRIM(PROPER('Raw Data'!C146))</f>
        <v>Compassion</v>
      </c>
      <c r="D146" s="5">
        <f>'Raw Data'!D146</f>
        <v>43480.618055555555</v>
      </c>
      <c r="E146" s="4" t="str">
        <f>TRIM(SUBSTITUTE('Raw Data'!E146," "," "))</f>
        <v>KindnessInAction</v>
      </c>
      <c r="F146" s="4" t="str">
        <f>TRIM(PROPER('Raw Data'!F146))</f>
        <v>Instagram</v>
      </c>
      <c r="G146" s="8" t="str">
        <f>TRIM(CLEAN('Raw Data'!G146))</f>
        <v>#Compassion #CommunityKindness</v>
      </c>
      <c r="H146" s="12">
        <f>'Raw Data'!H146</f>
        <v>18</v>
      </c>
      <c r="I146" s="12">
        <v>30</v>
      </c>
      <c r="J146" s="12" t="str">
        <f>TRIM(UPPER('Raw Data'!J146))</f>
        <v>AUSTRALIA</v>
      </c>
      <c r="K146" s="12">
        <f>'Raw Data'!K146</f>
        <v>2019</v>
      </c>
      <c r="L146" s="12">
        <f>'Raw Data'!L146</f>
        <v>1</v>
      </c>
      <c r="M146" s="12">
        <f>'Raw Data'!M146</f>
        <v>15</v>
      </c>
      <c r="N146">
        <f>'Raw Data'!N146</f>
        <v>14</v>
      </c>
    </row>
    <row r="147" spans="1:14" x14ac:dyDescent="0.25">
      <c r="A147" s="11">
        <f>'Raw Data'!A147</f>
        <v>145</v>
      </c>
      <c r="B147" s="8" t="str">
        <f>TRIM(CLEAN('Raw Data'!B147))</f>
        <v>Tenderness in a heartfelt message to a loved one.</v>
      </c>
      <c r="C147" s="4" t="str">
        <f>TRIM(PROPER('Raw Data'!C147))</f>
        <v>Tenderness</v>
      </c>
      <c r="D147" s="5">
        <f>'Raw Data'!D147</f>
        <v>42729.8125</v>
      </c>
      <c r="E147" s="4" t="str">
        <f>TRIM(SUBSTITUTE('Raw Data'!E147," "," "))</f>
        <v>LoveExpress</v>
      </c>
      <c r="F147" s="4" t="str">
        <f>TRIM(PROPER('Raw Data'!F147))</f>
        <v>Facebook</v>
      </c>
      <c r="G147" s="8" t="str">
        <f>TRIM(CLEAN('Raw Data'!G147))</f>
        <v>#Tenderness #LoveNote</v>
      </c>
      <c r="H147" s="12">
        <f>'Raw Data'!H147</f>
        <v>25</v>
      </c>
      <c r="I147" s="12">
        <v>35</v>
      </c>
      <c r="J147" s="12" t="str">
        <f>TRIM(UPPER('Raw Data'!J147))</f>
        <v>UK</v>
      </c>
      <c r="K147" s="12">
        <f>'Raw Data'!K147</f>
        <v>2016</v>
      </c>
      <c r="L147" s="12">
        <f>'Raw Data'!L147</f>
        <v>12</v>
      </c>
      <c r="M147" s="12">
        <f>'Raw Data'!M147</f>
        <v>25</v>
      </c>
      <c r="N147">
        <f>'Raw Data'!N147</f>
        <v>19</v>
      </c>
    </row>
    <row r="148" spans="1:14" x14ac:dyDescent="0.25">
      <c r="A148" s="11">
        <f>'Raw Data'!A148</f>
        <v>146</v>
      </c>
      <c r="B148" s="8" t="str">
        <f>TRIM(CLEAN('Raw Data'!B148))</f>
        <v>Arousal of excitement before a much-awaited trip.</v>
      </c>
      <c r="C148" s="4" t="str">
        <f>TRIM(PROPER('Raw Data'!C148))</f>
        <v>Arousal</v>
      </c>
      <c r="D148" s="5">
        <f>'Raw Data'!D148</f>
        <v>43169.40625</v>
      </c>
      <c r="E148" s="4" t="str">
        <f>TRIM(SUBSTITUTE('Raw Data'!E148," "," "))</f>
        <v>TravelExcitement</v>
      </c>
      <c r="F148" s="4" t="str">
        <f>TRIM(PROPER('Raw Data'!F148))</f>
        <v>Twitter</v>
      </c>
      <c r="G148" s="8" t="str">
        <f>TRIM(CLEAN('Raw Data'!G148))</f>
        <v>#Arousal #TravelAdventure</v>
      </c>
      <c r="H148" s="12">
        <f>'Raw Data'!H148</f>
        <v>20</v>
      </c>
      <c r="I148" s="12">
        <v>50</v>
      </c>
      <c r="J148" s="12" t="str">
        <f>TRIM(UPPER('Raw Data'!J148))</f>
        <v>INDIA</v>
      </c>
      <c r="K148" s="12">
        <f>'Raw Data'!K148</f>
        <v>2018</v>
      </c>
      <c r="L148" s="12">
        <f>'Raw Data'!L148</f>
        <v>3</v>
      </c>
      <c r="M148" s="12">
        <f>'Raw Data'!M148</f>
        <v>10</v>
      </c>
      <c r="N148">
        <f>'Raw Data'!N148</f>
        <v>9</v>
      </c>
    </row>
    <row r="149" spans="1:14" x14ac:dyDescent="0.25">
      <c r="A149" s="11">
        <f>'Raw Data'!A149</f>
        <v>147</v>
      </c>
      <c r="B149" s="8" t="str">
        <f>TRIM(CLEAN('Raw Data'!B149))</f>
        <v>Enthusiasm for a new artistic project in the works.</v>
      </c>
      <c r="C149" s="4" t="str">
        <f>TRIM(PROPER('Raw Data'!C149))</f>
        <v>Enthusiasm</v>
      </c>
      <c r="D149" s="5">
        <f>'Raw Data'!D149</f>
        <v>44091.6875</v>
      </c>
      <c r="E149" s="4" t="str">
        <f>TRIM(SUBSTITUTE('Raw Data'!E149," "," "))</f>
        <v>ArtisticSpirit</v>
      </c>
      <c r="F149" s="4" t="str">
        <f>TRIM(PROPER('Raw Data'!F149))</f>
        <v>Instagram</v>
      </c>
      <c r="G149" s="8" t="str">
        <f>TRIM(CLEAN('Raw Data'!G149))</f>
        <v>#Enthusiasm #ArtisticProject</v>
      </c>
      <c r="H149" s="12">
        <f>'Raw Data'!H149</f>
        <v>15</v>
      </c>
      <c r="I149" s="12">
        <v>40</v>
      </c>
      <c r="J149" s="12" t="str">
        <f>TRIM(UPPER('Raw Data'!J149))</f>
        <v>USA</v>
      </c>
      <c r="K149" s="12">
        <f>'Raw Data'!K149</f>
        <v>2020</v>
      </c>
      <c r="L149" s="12">
        <f>'Raw Data'!L149</f>
        <v>9</v>
      </c>
      <c r="M149" s="12">
        <f>'Raw Data'!M149</f>
        <v>17</v>
      </c>
      <c r="N149">
        <f>'Raw Data'!N149</f>
        <v>16</v>
      </c>
    </row>
    <row r="150" spans="1:14" x14ac:dyDescent="0.25">
      <c r="A150" s="11">
        <f>'Raw Data'!A150</f>
        <v>148</v>
      </c>
      <c r="B150" s="8" t="str">
        <f>TRIM(CLEAN('Raw Data'!B150))</f>
        <v>Feeling a sense of fulfillment after helping others.</v>
      </c>
      <c r="C150" s="4" t="str">
        <f>TRIM(PROPER('Raw Data'!C150))</f>
        <v>Fulfillment</v>
      </c>
      <c r="D150" s="5">
        <f>'Raw Data'!D150</f>
        <v>40783.78125</v>
      </c>
      <c r="E150" s="4" t="str">
        <f>TRIM(SUBSTITUTE('Raw Data'!E150," "," "))</f>
        <v>HelperHeart</v>
      </c>
      <c r="F150" s="4" t="str">
        <f>TRIM(PROPER('Raw Data'!F150))</f>
        <v>Facebook</v>
      </c>
      <c r="G150" s="8" t="str">
        <f>TRIM(CLEAN('Raw Data'!G150))</f>
        <v>#Fulfillment #HelpingOthers</v>
      </c>
      <c r="H150" s="12">
        <f>'Raw Data'!H150</f>
        <v>22</v>
      </c>
      <c r="I150" s="12">
        <v>30</v>
      </c>
      <c r="J150" s="12" t="str">
        <f>TRIM(UPPER('Raw Data'!J150))</f>
        <v>CANADA</v>
      </c>
      <c r="K150" s="12">
        <f>'Raw Data'!K150</f>
        <v>2011</v>
      </c>
      <c r="L150" s="12">
        <f>'Raw Data'!L150</f>
        <v>8</v>
      </c>
      <c r="M150" s="12">
        <f>'Raw Data'!M150</f>
        <v>28</v>
      </c>
      <c r="N150">
        <f>'Raw Data'!N150</f>
        <v>18</v>
      </c>
    </row>
    <row r="151" spans="1:14" x14ac:dyDescent="0.25">
      <c r="A151" s="11">
        <f>'Raw Data'!A151</f>
        <v>149</v>
      </c>
      <c r="B151" s="8" t="str">
        <f>TRIM(CLEAN('Raw Data'!B151))</f>
        <v>Reverence for the historical significance of a landmark.</v>
      </c>
      <c r="C151" s="4" t="str">
        <f>TRIM(PROPER('Raw Data'!C151))</f>
        <v>Reverence</v>
      </c>
      <c r="D151" s="5">
        <f>'Raw Data'!D151</f>
        <v>43040.645833333336</v>
      </c>
      <c r="E151" s="4" t="str">
        <f>TRIM(SUBSTITUTE('Raw Data'!E151," "," "))</f>
        <v>HistoryBuff</v>
      </c>
      <c r="F151" s="4" t="str">
        <f>TRIM(PROPER('Raw Data'!F151))</f>
        <v>Twitter</v>
      </c>
      <c r="G151" s="8" t="str">
        <f>TRIM(CLEAN('Raw Data'!G151))</f>
        <v>#Reverence #HistoricalSite</v>
      </c>
      <c r="H151" s="12">
        <f>'Raw Data'!H151</f>
        <v>18</v>
      </c>
      <c r="I151" s="12">
        <v>45</v>
      </c>
      <c r="J151" s="12" t="str">
        <f>TRIM(UPPER('Raw Data'!J151))</f>
        <v>AUSTRALIA</v>
      </c>
      <c r="K151" s="12">
        <f>'Raw Data'!K151</f>
        <v>2017</v>
      </c>
      <c r="L151" s="12">
        <f>'Raw Data'!L151</f>
        <v>11</v>
      </c>
      <c r="M151" s="12">
        <f>'Raw Data'!M151</f>
        <v>1</v>
      </c>
      <c r="N151">
        <f>'Raw Data'!N151</f>
        <v>15</v>
      </c>
    </row>
    <row r="152" spans="1:14" x14ac:dyDescent="0.25">
      <c r="A152" s="11">
        <f>'Raw Data'!A152</f>
        <v>150</v>
      </c>
      <c r="B152" s="8" t="str">
        <f>TRIM(CLEAN('Raw Data'!B152))</f>
        <v>Elation after achieving a fitness milestone.</v>
      </c>
      <c r="C152" s="4" t="str">
        <f>TRIM(PROPER('Raw Data'!C152))</f>
        <v>Elation</v>
      </c>
      <c r="D152" s="5">
        <f>'Raw Data'!D152</f>
        <v>43631.416666666664</v>
      </c>
      <c r="E152" s="4" t="str">
        <f>TRIM(SUBSTITUTE('Raw Data'!E152," "," "))</f>
        <v>FitnessAchiever2</v>
      </c>
      <c r="F152" s="4" t="str">
        <f>TRIM(PROPER('Raw Data'!F152))</f>
        <v>Instagram</v>
      </c>
      <c r="G152" s="8" t="str">
        <f>TRIM(CLEAN('Raw Data'!G152))</f>
        <v>#Elation #FitnessMilestone</v>
      </c>
      <c r="H152" s="12">
        <f>'Raw Data'!H152</f>
        <v>25</v>
      </c>
      <c r="I152" s="12">
        <v>35</v>
      </c>
      <c r="J152" s="12" t="str">
        <f>TRIM(UPPER('Raw Data'!J152))</f>
        <v>UK</v>
      </c>
      <c r="K152" s="12">
        <f>'Raw Data'!K152</f>
        <v>2019</v>
      </c>
      <c r="L152" s="12">
        <f>'Raw Data'!L152</f>
        <v>6</v>
      </c>
      <c r="M152" s="12">
        <f>'Raw Data'!M152</f>
        <v>15</v>
      </c>
      <c r="N152">
        <f>'Raw Data'!N152</f>
        <v>10</v>
      </c>
    </row>
    <row r="153" spans="1:14" x14ac:dyDescent="0.25">
      <c r="A153" s="11">
        <f>'Raw Data'!A153</f>
        <v>151</v>
      </c>
      <c r="B153" s="8" t="str">
        <f>TRIM(CLEAN('Raw Data'!B153))</f>
        <v>The euphoria of a successful product launch.</v>
      </c>
      <c r="C153" s="4" t="str">
        <f>TRIM(PROPER('Raw Data'!C153))</f>
        <v>Euphoria</v>
      </c>
      <c r="D153" s="5">
        <f>'Raw Data'!D153</f>
        <v>44654.489583333336</v>
      </c>
      <c r="E153" s="4" t="str">
        <f>TRIM(SUBSTITUTE('Raw Data'!E153," "," "))</f>
        <v>ProductLaunchJoy</v>
      </c>
      <c r="F153" s="4" t="str">
        <f>TRIM(PROPER('Raw Data'!F153))</f>
        <v>Facebook</v>
      </c>
      <c r="G153" s="8" t="str">
        <f>TRIM(CLEAN('Raw Data'!G153))</f>
        <v>#Euphoria #ProductLaunchSuccess</v>
      </c>
      <c r="H153" s="12">
        <f>'Raw Data'!H153</f>
        <v>15</v>
      </c>
      <c r="I153" s="12">
        <v>50</v>
      </c>
      <c r="J153" s="12" t="str">
        <f>TRIM(UPPER('Raw Data'!J153))</f>
        <v>USA</v>
      </c>
      <c r="K153" s="12">
        <f>'Raw Data'!K153</f>
        <v>2022</v>
      </c>
      <c r="L153" s="12">
        <f>'Raw Data'!L153</f>
        <v>4</v>
      </c>
      <c r="M153" s="12">
        <f>'Raw Data'!M153</f>
        <v>3</v>
      </c>
      <c r="N153">
        <f>'Raw Data'!N153</f>
        <v>11</v>
      </c>
    </row>
    <row r="154" spans="1:14" x14ac:dyDescent="0.25">
      <c r="A154" s="11">
        <f>'Raw Data'!A154</f>
        <v>152</v>
      </c>
      <c r="B154" s="8" t="str">
        <f>TRIM(CLEAN('Raw Data'!B154))</f>
        <v>Contentment in the embrace of a loved one.</v>
      </c>
      <c r="C154" s="4" t="str">
        <f>TRIM(PROPER('Raw Data'!C154))</f>
        <v>Contentment</v>
      </c>
      <c r="D154" s="5">
        <f>'Raw Data'!D154</f>
        <v>40494.847222222219</v>
      </c>
      <c r="E154" s="4" t="str">
        <f>TRIM(SUBSTITUTE('Raw Data'!E154," "," "))</f>
        <v>LovingEmbrace</v>
      </c>
      <c r="F154" s="4" t="str">
        <f>TRIM(PROPER('Raw Data'!F154))</f>
        <v>Twitter</v>
      </c>
      <c r="G154" s="8" t="str">
        <f>TRIM(CLEAN('Raw Data'!G154))</f>
        <v>#Contentment #Love</v>
      </c>
      <c r="H154" s="12">
        <f>'Raw Data'!H154</f>
        <v>30</v>
      </c>
      <c r="I154" s="12">
        <v>30</v>
      </c>
      <c r="J154" s="12" t="str">
        <f>TRIM(UPPER('Raw Data'!J154))</f>
        <v>INDIA</v>
      </c>
      <c r="K154" s="12">
        <f>'Raw Data'!K154</f>
        <v>2010</v>
      </c>
      <c r="L154" s="12">
        <f>'Raw Data'!L154</f>
        <v>11</v>
      </c>
      <c r="M154" s="12">
        <f>'Raw Data'!M154</f>
        <v>12</v>
      </c>
      <c r="N154">
        <f>'Raw Data'!N154</f>
        <v>20</v>
      </c>
    </row>
    <row r="155" spans="1:14" x14ac:dyDescent="0.25">
      <c r="A155" s="11">
        <f>'Raw Data'!A155</f>
        <v>153</v>
      </c>
      <c r="B155" s="8" t="str">
        <f>TRIM(CLEAN('Raw Data'!B155))</f>
        <v>Serenity found in the beauty of a sunset by the sea.</v>
      </c>
      <c r="C155" s="4" t="str">
        <f>TRIM(PROPER('Raw Data'!C155))</f>
        <v>Serenity</v>
      </c>
      <c r="D155" s="5">
        <f>'Raw Data'!D155</f>
        <v>40746.770833333336</v>
      </c>
      <c r="E155" s="4" t="str">
        <f>TRIM(SUBSTITUTE('Raw Data'!E155," "," "))</f>
        <v>SunsetWatcher2</v>
      </c>
      <c r="F155" s="4" t="str">
        <f>TRIM(PROPER('Raw Data'!F155))</f>
        <v>Instagram</v>
      </c>
      <c r="G155" s="8" t="str">
        <f>TRIM(CLEAN('Raw Data'!G155))</f>
        <v>#Serenity #SunsetViews</v>
      </c>
      <c r="H155" s="12">
        <f>'Raw Data'!H155</f>
        <v>22</v>
      </c>
      <c r="I155" s="12">
        <v>60</v>
      </c>
      <c r="J155" s="12" t="str">
        <f>TRIM(UPPER('Raw Data'!J155))</f>
        <v>CANADA</v>
      </c>
      <c r="K155" s="12">
        <f>'Raw Data'!K155</f>
        <v>2011</v>
      </c>
      <c r="L155" s="12">
        <f>'Raw Data'!L155</f>
        <v>7</v>
      </c>
      <c r="M155" s="12">
        <f>'Raw Data'!M155</f>
        <v>22</v>
      </c>
      <c r="N155">
        <f>'Raw Data'!N155</f>
        <v>18</v>
      </c>
    </row>
    <row r="156" spans="1:14" x14ac:dyDescent="0.25">
      <c r="A156" s="11">
        <f>'Raw Data'!A156</f>
        <v>154</v>
      </c>
      <c r="B156" s="8" t="str">
        <f>TRIM(CLEAN('Raw Data'!B156))</f>
        <v>Gratitude for the small joys that each day brings.</v>
      </c>
      <c r="C156" s="4" t="str">
        <f>TRIM(PROPER('Raw Data'!C156))</f>
        <v>Gratitude</v>
      </c>
      <c r="D156" s="5">
        <f>'Raw Data'!D156</f>
        <v>40998.472222222219</v>
      </c>
      <c r="E156" s="4" t="str">
        <f>TRIM(SUBSTITUTE('Raw Data'!E156," "," "))</f>
        <v>JoyfulHeart2</v>
      </c>
      <c r="F156" s="4" t="str">
        <f>TRIM(PROPER('Raw Data'!F156))</f>
        <v>Facebook</v>
      </c>
      <c r="G156" s="8" t="str">
        <f>TRIM(CLEAN('Raw Data'!G156))</f>
        <v>#Gratitude #SmallJoys</v>
      </c>
      <c r="H156" s="12">
        <f>'Raw Data'!H156</f>
        <v>15</v>
      </c>
      <c r="I156" s="12">
        <v>45</v>
      </c>
      <c r="J156" s="12" t="str">
        <f>TRIM(UPPER('Raw Data'!J156))</f>
        <v>AUSTRALIA</v>
      </c>
      <c r="K156" s="12">
        <f>'Raw Data'!K156</f>
        <v>2012</v>
      </c>
      <c r="L156" s="12">
        <f>'Raw Data'!L156</f>
        <v>3</v>
      </c>
      <c r="M156" s="12">
        <f>'Raw Data'!M156</f>
        <v>30</v>
      </c>
      <c r="N156">
        <f>'Raw Data'!N156</f>
        <v>11</v>
      </c>
    </row>
    <row r="157" spans="1:14" x14ac:dyDescent="0.25">
      <c r="A157" s="11">
        <f>'Raw Data'!A157</f>
        <v>155</v>
      </c>
      <c r="B157" s="8" t="str">
        <f>TRIM(CLEAN('Raw Data'!B157))</f>
        <v>Hopeful about the potential for personal growth.</v>
      </c>
      <c r="C157" s="4" t="str">
        <f>TRIM(PROPER('Raw Data'!C157))</f>
        <v>Hope</v>
      </c>
      <c r="D157" s="5">
        <f>'Raw Data'!D157</f>
        <v>41552.694444444445</v>
      </c>
      <c r="E157" s="4" t="str">
        <f>TRIM(SUBSTITUTE('Raw Data'!E157," "," "))</f>
        <v>GrowthOptimist</v>
      </c>
      <c r="F157" s="4" t="str">
        <f>TRIM(PROPER('Raw Data'!F157))</f>
        <v>Twitter</v>
      </c>
      <c r="G157" s="8" t="str">
        <f>TRIM(CLEAN('Raw Data'!G157))</f>
        <v>#Hope #PersonalDevelopment</v>
      </c>
      <c r="H157" s="12">
        <f>'Raw Data'!H157</f>
        <v>18</v>
      </c>
      <c r="I157" s="12">
        <v>30</v>
      </c>
      <c r="J157" s="12" t="str">
        <f>TRIM(UPPER('Raw Data'!J157))</f>
        <v>UK</v>
      </c>
      <c r="K157" s="12">
        <f>'Raw Data'!K157</f>
        <v>2013</v>
      </c>
      <c r="L157" s="12">
        <f>'Raw Data'!L157</f>
        <v>10</v>
      </c>
      <c r="M157" s="12">
        <f>'Raw Data'!M157</f>
        <v>5</v>
      </c>
      <c r="N157">
        <f>'Raw Data'!N157</f>
        <v>16</v>
      </c>
    </row>
    <row r="158" spans="1:14" x14ac:dyDescent="0.25">
      <c r="A158" s="11">
        <f>'Raw Data'!A158</f>
        <v>156</v>
      </c>
      <c r="B158" s="8" t="str">
        <f>TRIM(CLEAN('Raw Data'!B158))</f>
        <v>Empowerment through learning a new skill.</v>
      </c>
      <c r="C158" s="4" t="str">
        <f>TRIM(PROPER('Raw Data'!C158))</f>
        <v>Empowerment</v>
      </c>
      <c r="D158" s="5">
        <f>'Raw Data'!D158</f>
        <v>41830.552083333336</v>
      </c>
      <c r="E158" s="4" t="str">
        <f>TRIM(SUBSTITUTE('Raw Data'!E158," "," "))</f>
        <v>SkillEmpower</v>
      </c>
      <c r="F158" s="4" t="str">
        <f>TRIM(PROPER('Raw Data'!F158))</f>
        <v>Instagram</v>
      </c>
      <c r="G158" s="8" t="str">
        <f>TRIM(CLEAN('Raw Data'!G158))</f>
        <v>#Empowerment #SkillBuilding</v>
      </c>
      <c r="H158" s="12">
        <f>'Raw Data'!H158</f>
        <v>25</v>
      </c>
      <c r="I158" s="12">
        <v>35</v>
      </c>
      <c r="J158" s="12" t="str">
        <f>TRIM(UPPER('Raw Data'!J158))</f>
        <v>INDIA</v>
      </c>
      <c r="K158" s="12">
        <f>'Raw Data'!K158</f>
        <v>2014</v>
      </c>
      <c r="L158" s="12">
        <f>'Raw Data'!L158</f>
        <v>7</v>
      </c>
      <c r="M158" s="12">
        <f>'Raw Data'!M158</f>
        <v>10</v>
      </c>
      <c r="N158">
        <f>'Raw Data'!N158</f>
        <v>13</v>
      </c>
    </row>
    <row r="159" spans="1:14" x14ac:dyDescent="0.25">
      <c r="A159" s="11">
        <f>'Raw Data'!A159</f>
        <v>157</v>
      </c>
      <c r="B159" s="8" t="str">
        <f>TRIM(CLEAN('Raw Data'!B159))</f>
        <v>Compassion in volunteering for a local charity.</v>
      </c>
      <c r="C159" s="4" t="str">
        <f>TRIM(PROPER('Raw Data'!C159))</f>
        <v>Compassion</v>
      </c>
      <c r="D159" s="5">
        <f>'Raw Data'!D159</f>
        <v>42356.597222222219</v>
      </c>
      <c r="E159" s="4" t="str">
        <f>TRIM(SUBSTITUTE('Raw Data'!E159," "," "))</f>
        <v>CharityVolunteer</v>
      </c>
      <c r="F159" s="4" t="str">
        <f>TRIM(PROPER('Raw Data'!F159))</f>
        <v>Facebook</v>
      </c>
      <c r="G159" s="8" t="str">
        <f>TRIM(CLEAN('Raw Data'!G159))</f>
        <v>#Compassion #VolunteerWork</v>
      </c>
      <c r="H159" s="12">
        <f>'Raw Data'!H159</f>
        <v>18</v>
      </c>
      <c r="I159" s="12">
        <v>50</v>
      </c>
      <c r="J159" s="12" t="str">
        <f>TRIM(UPPER('Raw Data'!J159))</f>
        <v>USA</v>
      </c>
      <c r="K159" s="12">
        <f>'Raw Data'!K159</f>
        <v>2015</v>
      </c>
      <c r="L159" s="12">
        <f>'Raw Data'!L159</f>
        <v>12</v>
      </c>
      <c r="M159" s="12">
        <f>'Raw Data'!M159</f>
        <v>18</v>
      </c>
      <c r="N159">
        <f>'Raw Data'!N159</f>
        <v>14</v>
      </c>
    </row>
    <row r="160" spans="1:14" x14ac:dyDescent="0.25">
      <c r="A160" s="11">
        <f>'Raw Data'!A160</f>
        <v>158</v>
      </c>
      <c r="B160" s="8" t="str">
        <f>TRIM(CLEAN('Raw Data'!B160))</f>
        <v>Tenderness in a quiet moment shared with a pet.</v>
      </c>
      <c r="C160" s="4" t="str">
        <f>TRIM(PROPER('Raw Data'!C160))</f>
        <v>Tenderness</v>
      </c>
      <c r="D160" s="5">
        <f>'Raw Data'!D160</f>
        <v>42410.822916666664</v>
      </c>
      <c r="E160" s="4" t="str">
        <f>TRIM(SUBSTITUTE('Raw Data'!E160," "," "))</f>
        <v>PetLove</v>
      </c>
      <c r="F160" s="4" t="str">
        <f>TRIM(PROPER('Raw Data'!F160))</f>
        <v>Twitter</v>
      </c>
      <c r="G160" s="8" t="str">
        <f>TRIM(CLEAN('Raw Data'!G160))</f>
        <v>#Tenderness #PetLove</v>
      </c>
      <c r="H160" s="12">
        <f>'Raw Data'!H160</f>
        <v>25</v>
      </c>
      <c r="I160" s="12">
        <v>35</v>
      </c>
      <c r="J160" s="12" t="str">
        <f>TRIM(UPPER('Raw Data'!J160))</f>
        <v>CANADA</v>
      </c>
      <c r="K160" s="12">
        <f>'Raw Data'!K160</f>
        <v>2016</v>
      </c>
      <c r="L160" s="12">
        <f>'Raw Data'!L160</f>
        <v>2</v>
      </c>
      <c r="M160" s="12">
        <f>'Raw Data'!M160</f>
        <v>10</v>
      </c>
      <c r="N160">
        <f>'Raw Data'!N160</f>
        <v>19</v>
      </c>
    </row>
    <row r="161" spans="1:14" x14ac:dyDescent="0.25">
      <c r="A161" s="11">
        <f>'Raw Data'!A161</f>
        <v>159</v>
      </c>
      <c r="B161" s="8" t="str">
        <f>TRIM(CLEAN('Raw Data'!B161))</f>
        <v>Arousal of excitement for an upcoming festival.</v>
      </c>
      <c r="C161" s="4" t="str">
        <f>TRIM(PROPER('Raw Data'!C161))</f>
        <v>Arousal</v>
      </c>
      <c r="D161" s="5">
        <f>'Raw Data'!D161</f>
        <v>43003.479166666664</v>
      </c>
      <c r="E161" s="4" t="str">
        <f>TRIM(SUBSTITUTE('Raw Data'!E161," "," "))</f>
        <v>FestivalFan</v>
      </c>
      <c r="F161" s="4" t="str">
        <f>TRIM(PROPER('Raw Data'!F161))</f>
        <v>Instagram</v>
      </c>
      <c r="G161" s="8" t="str">
        <f>TRIM(CLEAN('Raw Data'!G161))</f>
        <v>#Arousal #FestivalExcitement</v>
      </c>
      <c r="H161" s="12">
        <f>'Raw Data'!H161</f>
        <v>20</v>
      </c>
      <c r="I161" s="12">
        <v>50</v>
      </c>
      <c r="J161" s="12" t="str">
        <f>TRIM(UPPER('Raw Data'!J161))</f>
        <v>UK</v>
      </c>
      <c r="K161" s="12">
        <f>'Raw Data'!K161</f>
        <v>2017</v>
      </c>
      <c r="L161" s="12">
        <f>'Raw Data'!L161</f>
        <v>9</v>
      </c>
      <c r="M161" s="12">
        <f>'Raw Data'!M161</f>
        <v>25</v>
      </c>
      <c r="N161">
        <f>'Raw Data'!N161</f>
        <v>11</v>
      </c>
    </row>
    <row r="162" spans="1:14" x14ac:dyDescent="0.25">
      <c r="A162" s="11">
        <f>'Raw Data'!A162</f>
        <v>160</v>
      </c>
      <c r="B162" s="8" t="str">
        <f>TRIM(CLEAN('Raw Data'!B162))</f>
        <v>Enthusiasm for a DIY home improvement project.</v>
      </c>
      <c r="C162" s="4" t="str">
        <f>TRIM(PROPER('Raw Data'!C162))</f>
        <v>Enthusiasm</v>
      </c>
      <c r="D162" s="5">
        <f>'Raw Data'!D162</f>
        <v>43205.666666666664</v>
      </c>
      <c r="E162" s="4" t="str">
        <f>TRIM(SUBSTITUTE('Raw Data'!E162," "," "))</f>
        <v>DIYEnthusiast</v>
      </c>
      <c r="F162" s="4" t="str">
        <f>TRIM(PROPER('Raw Data'!F162))</f>
        <v>Facebook</v>
      </c>
      <c r="G162" s="8" t="str">
        <f>TRIM(CLEAN('Raw Data'!G162))</f>
        <v>#Enthusiasm #HomeImprovement</v>
      </c>
      <c r="H162" s="12">
        <f>'Raw Data'!H162</f>
        <v>15</v>
      </c>
      <c r="I162" s="12">
        <v>40</v>
      </c>
      <c r="J162" s="12" t="str">
        <f>TRIM(UPPER('Raw Data'!J162))</f>
        <v>AUSTRALIA</v>
      </c>
      <c r="K162" s="12">
        <f>'Raw Data'!K162</f>
        <v>2018</v>
      </c>
      <c r="L162" s="12">
        <f>'Raw Data'!L162</f>
        <v>4</v>
      </c>
      <c r="M162" s="12">
        <f>'Raw Data'!M162</f>
        <v>15</v>
      </c>
      <c r="N162">
        <f>'Raw Data'!N162</f>
        <v>16</v>
      </c>
    </row>
    <row r="163" spans="1:14" x14ac:dyDescent="0.25">
      <c r="A163" s="11">
        <f>'Raw Data'!A163</f>
        <v>161</v>
      </c>
      <c r="B163" s="8" t="str">
        <f>TRIM(CLEAN('Raw Data'!B163))</f>
        <v>Fulfillment in completing a challenging puzzle.</v>
      </c>
      <c r="C163" s="4" t="str">
        <f>TRIM(PROPER('Raw Data'!C163))</f>
        <v>Fulfillment</v>
      </c>
      <c r="D163" s="5">
        <f>'Raw Data'!D163</f>
        <v>43797.763888888891</v>
      </c>
      <c r="E163" s="4" t="str">
        <f>TRIM(SUBSTITUTE('Raw Data'!E163," "," "))</f>
        <v>PuzzleMaster</v>
      </c>
      <c r="F163" s="4" t="str">
        <f>TRIM(PROPER('Raw Data'!F163))</f>
        <v>Twitter</v>
      </c>
      <c r="G163" s="8" t="str">
        <f>TRIM(CLEAN('Raw Data'!G163))</f>
        <v>#Fulfillment #PuzzleChallenge</v>
      </c>
      <c r="H163" s="12">
        <f>'Raw Data'!H163</f>
        <v>22</v>
      </c>
      <c r="I163" s="12">
        <v>30</v>
      </c>
      <c r="J163" s="12" t="str">
        <f>TRIM(UPPER('Raw Data'!J163))</f>
        <v>INDIA</v>
      </c>
      <c r="K163" s="12">
        <f>'Raw Data'!K163</f>
        <v>2019</v>
      </c>
      <c r="L163" s="12">
        <f>'Raw Data'!L163</f>
        <v>11</v>
      </c>
      <c r="M163" s="12">
        <f>'Raw Data'!M163</f>
        <v>28</v>
      </c>
      <c r="N163">
        <f>'Raw Data'!N163</f>
        <v>18</v>
      </c>
    </row>
    <row r="164" spans="1:14" x14ac:dyDescent="0.25">
      <c r="A164" s="11">
        <f>'Raw Data'!A164</f>
        <v>162</v>
      </c>
      <c r="B164" s="8" t="str">
        <f>TRIM(CLEAN('Raw Data'!B164))</f>
        <v>Reverence for the wonders of nature on a hiking trail.</v>
      </c>
      <c r="C164" s="4" t="str">
        <f>TRIM(PROPER('Raw Data'!C164))</f>
        <v>Reverence</v>
      </c>
      <c r="D164" s="5">
        <f>'Raw Data'!D164</f>
        <v>43962.625</v>
      </c>
      <c r="E164" s="4" t="str">
        <f>TRIM(SUBSTITUTE('Raw Data'!E164," "," "))</f>
        <v>NatureAdmirer</v>
      </c>
      <c r="F164" s="4" t="str">
        <f>TRIM(PROPER('Raw Data'!F164))</f>
        <v>Instagram</v>
      </c>
      <c r="G164" s="8" t="str">
        <f>TRIM(CLEAN('Raw Data'!G164))</f>
        <v>#Reverence #NatureExploration</v>
      </c>
      <c r="H164" s="12">
        <f>'Raw Data'!H164</f>
        <v>18</v>
      </c>
      <c r="I164" s="12">
        <v>45</v>
      </c>
      <c r="J164" s="12" t="str">
        <f>TRIM(UPPER('Raw Data'!J164))</f>
        <v>USA</v>
      </c>
      <c r="K164" s="12">
        <f>'Raw Data'!K164</f>
        <v>2020</v>
      </c>
      <c r="L164" s="12">
        <f>'Raw Data'!L164</f>
        <v>5</v>
      </c>
      <c r="M164" s="12">
        <f>'Raw Data'!M164</f>
        <v>11</v>
      </c>
      <c r="N164">
        <f>'Raw Data'!N164</f>
        <v>15</v>
      </c>
    </row>
    <row r="165" spans="1:14" ht="30" x14ac:dyDescent="0.25">
      <c r="A165" s="11">
        <f>'Raw Data'!A165</f>
        <v>163</v>
      </c>
      <c r="B165" s="8" t="str">
        <f>TRIM(CLEAN('Raw Data'!B165))</f>
        <v>Elation after a surprise reunion with a childhood friend.</v>
      </c>
      <c r="C165" s="4" t="str">
        <f>TRIM(PROPER('Raw Data'!C165))</f>
        <v>Elation</v>
      </c>
      <c r="D165" s="5">
        <f>'Raw Data'!D165</f>
        <v>44232.395833333336</v>
      </c>
      <c r="E165" s="4" t="str">
        <f>TRIM(SUBSTITUTE('Raw Data'!E165," "," "))</f>
        <v>ChildhoodJoy</v>
      </c>
      <c r="F165" s="4" t="str">
        <f>TRIM(PROPER('Raw Data'!F165))</f>
        <v>Facebook</v>
      </c>
      <c r="G165" s="8" t="str">
        <f>TRIM(CLEAN('Raw Data'!G165))</f>
        <v>#Elation #FriendshipReunion</v>
      </c>
      <c r="H165" s="12">
        <f>'Raw Data'!H165</f>
        <v>25</v>
      </c>
      <c r="I165" s="12">
        <v>35</v>
      </c>
      <c r="J165" s="12" t="str">
        <f>TRIM(UPPER('Raw Data'!J165))</f>
        <v>CANADA</v>
      </c>
      <c r="K165" s="12">
        <f>'Raw Data'!K165</f>
        <v>2021</v>
      </c>
      <c r="L165" s="12">
        <f>'Raw Data'!L165</f>
        <v>2</v>
      </c>
      <c r="M165" s="12">
        <f>'Raw Data'!M165</f>
        <v>5</v>
      </c>
      <c r="N165">
        <f>'Raw Data'!N165</f>
        <v>9</v>
      </c>
    </row>
    <row r="166" spans="1:14" x14ac:dyDescent="0.25">
      <c r="A166" s="11">
        <f>'Raw Data'!A166</f>
        <v>164</v>
      </c>
      <c r="B166" s="8" t="str">
        <f>TRIM(CLEAN('Raw Data'!B166))</f>
        <v>Suffering from despair after another setback.</v>
      </c>
      <c r="C166" s="4" t="str">
        <f>TRIM(PROPER('Raw Data'!C166))</f>
        <v>Despair</v>
      </c>
      <c r="D166" s="5">
        <f>'Raw Data'!D166</f>
        <v>44265.354166666664</v>
      </c>
      <c r="E166" s="4" t="str">
        <f>TRIM(SUBSTITUTE('Raw Data'!E166," "," "))</f>
        <v>StrugglingSoul</v>
      </c>
      <c r="F166" s="4" t="str">
        <f>TRIM(PROPER('Raw Data'!F166))</f>
        <v>Twitter</v>
      </c>
      <c r="G166" s="8" t="str">
        <f>TRIM(CLEAN('Raw Data'!G166))</f>
        <v>#Despair #Struggle</v>
      </c>
      <c r="H166" s="12">
        <f>'Raw Data'!H166</f>
        <v>5</v>
      </c>
      <c r="I166" s="12">
        <v>50</v>
      </c>
      <c r="J166" s="12" t="str">
        <f>TRIM(UPPER('Raw Data'!J166))</f>
        <v>USA</v>
      </c>
      <c r="K166" s="12">
        <f>'Raw Data'!K166</f>
        <v>2021</v>
      </c>
      <c r="L166" s="12">
        <f>'Raw Data'!L166</f>
        <v>3</v>
      </c>
      <c r="M166" s="12">
        <f>'Raw Data'!M166</f>
        <v>10</v>
      </c>
      <c r="N166">
        <f>'Raw Data'!N166</f>
        <v>8</v>
      </c>
    </row>
    <row r="167" spans="1:14" x14ac:dyDescent="0.25">
      <c r="A167" s="11">
        <f>'Raw Data'!A167</f>
        <v>165</v>
      </c>
      <c r="B167" s="8" t="str">
        <f>TRIM(CLEAN('Raw Data'!B167))</f>
        <v>Overwhelmed by grief, missing a loved one dearly.</v>
      </c>
      <c r="C167" s="4" t="str">
        <f>TRIM(PROPER('Raw Data'!C167))</f>
        <v>Grief</v>
      </c>
      <c r="D167" s="5">
        <f>'Raw Data'!D167</f>
        <v>44747.65625</v>
      </c>
      <c r="E167" s="4" t="str">
        <f>TRIM(SUBSTITUTE('Raw Data'!E167," "," "))</f>
        <v>MourningHeart</v>
      </c>
      <c r="F167" s="4" t="str">
        <f>TRIM(PROPER('Raw Data'!F167))</f>
        <v>Instagram</v>
      </c>
      <c r="G167" s="8" t="str">
        <f>TRIM(CLEAN('Raw Data'!G167))</f>
        <v>#Grief #Loss</v>
      </c>
      <c r="H167" s="12">
        <f>'Raw Data'!H167</f>
        <v>8</v>
      </c>
      <c r="I167" s="12">
        <v>10</v>
      </c>
      <c r="J167" s="12" t="str">
        <f>TRIM(UPPER('Raw Data'!J167))</f>
        <v>CANADA</v>
      </c>
      <c r="K167" s="12">
        <f>'Raw Data'!K167</f>
        <v>2022</v>
      </c>
      <c r="L167" s="12">
        <f>'Raw Data'!L167</f>
        <v>7</v>
      </c>
      <c r="M167" s="12">
        <f>'Raw Data'!M167</f>
        <v>5</v>
      </c>
      <c r="N167">
        <f>'Raw Data'!N167</f>
        <v>15</v>
      </c>
    </row>
    <row r="168" spans="1:14" x14ac:dyDescent="0.25">
      <c r="A168" s="11">
        <f>'Raw Data'!A168</f>
        <v>166</v>
      </c>
      <c r="B168" s="8" t="str">
        <f>TRIM(CLEAN('Raw Data'!B168))</f>
        <v>Loneliness creeps in as the night grows colder.</v>
      </c>
      <c r="C168" s="4" t="str">
        <f>TRIM(PROPER('Raw Data'!C168))</f>
        <v>Loneliness</v>
      </c>
      <c r="D168" s="5">
        <f>'Raw Data'!D168</f>
        <v>43787.888888888891</v>
      </c>
      <c r="E168" s="4" t="str">
        <f>TRIM(SUBSTITUTE('Raw Data'!E168," "," "))</f>
        <v>SolitarySoul</v>
      </c>
      <c r="F168" s="4" t="str">
        <f>TRIM(PROPER('Raw Data'!F168))</f>
        <v>Facebook</v>
      </c>
      <c r="G168" s="8" t="str">
        <f>TRIM(CLEAN('Raw Data'!G168))</f>
        <v>#Loneliness #Isolation</v>
      </c>
      <c r="H168" s="12">
        <f>'Raw Data'!H168</f>
        <v>10</v>
      </c>
      <c r="I168" s="12">
        <v>15</v>
      </c>
      <c r="J168" s="12" t="str">
        <f>TRIM(UPPER('Raw Data'!J168))</f>
        <v>UK</v>
      </c>
      <c r="K168" s="12">
        <f>'Raw Data'!K168</f>
        <v>2019</v>
      </c>
      <c r="L168" s="12">
        <f>'Raw Data'!L168</f>
        <v>11</v>
      </c>
      <c r="M168" s="12">
        <f>'Raw Data'!M168</f>
        <v>18</v>
      </c>
      <c r="N168">
        <f>'Raw Data'!N168</f>
        <v>21</v>
      </c>
    </row>
    <row r="169" spans="1:14" x14ac:dyDescent="0.25">
      <c r="A169" s="11">
        <f>'Raw Data'!A169</f>
        <v>167</v>
      </c>
      <c r="B169" s="8" t="str">
        <f>TRIM(CLEAN('Raw Data'!B169))</f>
        <v>Jealousy consumes me as I witness others' success.</v>
      </c>
      <c r="C169" s="4" t="str">
        <f>TRIM(PROPER('Raw Data'!C169))</f>
        <v>Jealousy</v>
      </c>
      <c r="D169" s="5">
        <f>'Raw Data'!D169</f>
        <v>44055.479166666664</v>
      </c>
      <c r="E169" s="4" t="str">
        <f>TRIM(SUBSTITUTE('Raw Data'!E169," "," "))</f>
        <v>EnviousObserver</v>
      </c>
      <c r="F169" s="4" t="str">
        <f>TRIM(PROPER('Raw Data'!F169))</f>
        <v>Twitter</v>
      </c>
      <c r="G169" s="8" t="str">
        <f>TRIM(CLEAN('Raw Data'!G169))</f>
        <v>#Jealousy #Envy</v>
      </c>
      <c r="H169" s="12">
        <f>'Raw Data'!H169</f>
        <v>12</v>
      </c>
      <c r="I169" s="12">
        <v>20</v>
      </c>
      <c r="J169" s="12" t="str">
        <f>TRIM(UPPER('Raw Data'!J169))</f>
        <v>INDIA</v>
      </c>
      <c r="K169" s="12">
        <f>'Raw Data'!K169</f>
        <v>2020</v>
      </c>
      <c r="L169" s="12">
        <f>'Raw Data'!L169</f>
        <v>8</v>
      </c>
      <c r="M169" s="12">
        <f>'Raw Data'!M169</f>
        <v>12</v>
      </c>
      <c r="N169">
        <f>'Raw Data'!N169</f>
        <v>11</v>
      </c>
    </row>
    <row r="170" spans="1:14" x14ac:dyDescent="0.25">
      <c r="A170" s="11">
        <f>'Raw Data'!A170</f>
        <v>168</v>
      </c>
      <c r="B170" s="8" t="str">
        <f>TRIM(CLEAN('Raw Data'!B170))</f>
        <v>Resentment building up over past betrayals.</v>
      </c>
      <c r="C170" s="4" t="str">
        <f>TRIM(PROPER('Raw Data'!C170))</f>
        <v>Resentment</v>
      </c>
      <c r="D170" s="5">
        <f>'Raw Data'!D170</f>
        <v>43242.614583333336</v>
      </c>
      <c r="E170" s="4" t="str">
        <f>TRIM(SUBSTITUTE('Raw Data'!E170," "," "))</f>
        <v>BitterHeart</v>
      </c>
      <c r="F170" s="4" t="str">
        <f>TRIM(PROPER('Raw Data'!F170))</f>
        <v>Instagram</v>
      </c>
      <c r="G170" s="8" t="str">
        <f>TRIM(CLEAN('Raw Data'!G170))</f>
        <v>#Resentment #Bitterness</v>
      </c>
      <c r="H170" s="12">
        <f>'Raw Data'!H170</f>
        <v>7</v>
      </c>
      <c r="I170" s="12">
        <v>25</v>
      </c>
      <c r="J170" s="12" t="str">
        <f>TRIM(UPPER('Raw Data'!J170))</f>
        <v>AUSTRALIA</v>
      </c>
      <c r="K170" s="12">
        <f>'Raw Data'!K170</f>
        <v>2018</v>
      </c>
      <c r="L170" s="12">
        <f>'Raw Data'!L170</f>
        <v>5</v>
      </c>
      <c r="M170" s="12">
        <f>'Raw Data'!M170</f>
        <v>22</v>
      </c>
      <c r="N170">
        <f>'Raw Data'!N170</f>
        <v>14</v>
      </c>
    </row>
    <row r="171" spans="1:14" x14ac:dyDescent="0.25">
      <c r="A171" s="11">
        <f>'Raw Data'!A171</f>
        <v>169</v>
      </c>
      <c r="B171" s="8" t="str">
        <f>TRIM(CLEAN('Raw Data'!B171))</f>
        <v>Frustration mounts as obstacles block my path.</v>
      </c>
      <c r="C171" s="4" t="str">
        <f>TRIM(PROPER('Raw Data'!C171))</f>
        <v>Frustration</v>
      </c>
      <c r="D171" s="5">
        <f>'Raw Data'!D171</f>
        <v>42765.673611111109</v>
      </c>
      <c r="E171" s="4" t="str">
        <f>TRIM(SUBSTITUTE('Raw Data'!E171," "," "))</f>
        <v>BlockedGoals</v>
      </c>
      <c r="F171" s="4" t="str">
        <f>TRIM(PROPER('Raw Data'!F171))</f>
        <v>Facebook</v>
      </c>
      <c r="G171" s="8" t="str">
        <f>TRIM(CLEAN('Raw Data'!G171))</f>
        <v>#Frustration #Obstacles</v>
      </c>
      <c r="H171" s="12">
        <f>'Raw Data'!H171</f>
        <v>10</v>
      </c>
      <c r="I171" s="12">
        <v>15</v>
      </c>
      <c r="J171" s="12" t="str">
        <f>TRIM(UPPER('Raw Data'!J171))</f>
        <v>USA</v>
      </c>
      <c r="K171" s="12">
        <f>'Raw Data'!K171</f>
        <v>2017</v>
      </c>
      <c r="L171" s="12">
        <f>'Raw Data'!L171</f>
        <v>1</v>
      </c>
      <c r="M171" s="12">
        <f>'Raw Data'!M171</f>
        <v>30</v>
      </c>
      <c r="N171">
        <f>'Raw Data'!N171</f>
        <v>16</v>
      </c>
    </row>
    <row r="172" spans="1:14" x14ac:dyDescent="0.25">
      <c r="A172" s="11">
        <f>'Raw Data'!A172</f>
        <v>170</v>
      </c>
      <c r="B172" s="8" t="str">
        <f>TRIM(CLEAN('Raw Data'!B172))</f>
        <v>Boredom sets in, the day feels endlessly dull.</v>
      </c>
      <c r="C172" s="4" t="str">
        <f>TRIM(PROPER('Raw Data'!C172))</f>
        <v>Boredom</v>
      </c>
      <c r="D172" s="5">
        <f>'Raw Data'!D172</f>
        <v>42641.822916666664</v>
      </c>
      <c r="E172" s="4" t="str">
        <f>TRIM(SUBSTITUTE('Raw Data'!E172," "," "))</f>
        <v>BoredMind</v>
      </c>
      <c r="F172" s="4" t="str">
        <f>TRIM(PROPER('Raw Data'!F172))</f>
        <v>Twitter</v>
      </c>
      <c r="G172" s="8" t="str">
        <f>TRIM(CLEAN('Raw Data'!G172))</f>
        <v>#Boredom #LackOfInterest</v>
      </c>
      <c r="H172" s="12">
        <f>'Raw Data'!H172</f>
        <v>8</v>
      </c>
      <c r="I172" s="12">
        <v>20</v>
      </c>
      <c r="J172" s="12" t="str">
        <f>TRIM(UPPER('Raw Data'!J172))</f>
        <v>CANADA</v>
      </c>
      <c r="K172" s="12">
        <f>'Raw Data'!K172</f>
        <v>2016</v>
      </c>
      <c r="L172" s="12">
        <f>'Raw Data'!L172</f>
        <v>9</v>
      </c>
      <c r="M172" s="12">
        <f>'Raw Data'!M172</f>
        <v>28</v>
      </c>
      <c r="N172">
        <f>'Raw Data'!N172</f>
        <v>19</v>
      </c>
    </row>
    <row r="173" spans="1:14" x14ac:dyDescent="0.25">
      <c r="A173" s="11">
        <f>'Raw Data'!A173</f>
        <v>171</v>
      </c>
      <c r="B173" s="8" t="str">
        <f>TRIM(CLEAN('Raw Data'!B173))</f>
        <v>Anxiety grips my heart, worry clouds my thoughts.</v>
      </c>
      <c r="C173" s="4" t="str">
        <f>TRIM(PROPER('Raw Data'!C173))</f>
        <v>Anxiety</v>
      </c>
      <c r="D173" s="5">
        <f>'Raw Data'!D173</f>
        <v>43570.375</v>
      </c>
      <c r="E173" s="4" t="str">
        <f>TRIM(SUBSTITUTE('Raw Data'!E173," "," "))</f>
        <v>WorriedMind</v>
      </c>
      <c r="F173" s="4" t="str">
        <f>TRIM(PROPER('Raw Data'!F173))</f>
        <v>Instagram</v>
      </c>
      <c r="G173" s="8" t="str">
        <f>TRIM(CLEAN('Raw Data'!G173))</f>
        <v>#Anxiety #Worry</v>
      </c>
      <c r="H173" s="12">
        <f>'Raw Data'!H173</f>
        <v>12</v>
      </c>
      <c r="I173" s="12">
        <v>15</v>
      </c>
      <c r="J173" s="12" t="str">
        <f>TRIM(UPPER('Raw Data'!J173))</f>
        <v>UK</v>
      </c>
      <c r="K173" s="12">
        <f>'Raw Data'!K173</f>
        <v>2019</v>
      </c>
      <c r="L173" s="12">
        <f>'Raw Data'!L173</f>
        <v>4</v>
      </c>
      <c r="M173" s="12">
        <f>'Raw Data'!M173</f>
        <v>15</v>
      </c>
      <c r="N173">
        <f>'Raw Data'!N173</f>
        <v>9</v>
      </c>
    </row>
    <row r="174" spans="1:14" x14ac:dyDescent="0.25">
      <c r="A174" s="11">
        <f>'Raw Data'!A174</f>
        <v>172</v>
      </c>
      <c r="B174" s="8" t="str">
        <f>TRIM(CLEAN('Raw Data'!B174))</f>
        <v>Intimidation by the unknown future ahead.</v>
      </c>
      <c r="C174" s="4" t="str">
        <f>TRIM(PROPER('Raw Data'!C174))</f>
        <v>Intimidation</v>
      </c>
      <c r="D174" s="5">
        <f>'Raw Data'!D174</f>
        <v>44533.770833333336</v>
      </c>
      <c r="E174" s="4" t="str">
        <f>TRIM(SUBSTITUTE('Raw Data'!E174," "," "))</f>
        <v>FearfulSoul</v>
      </c>
      <c r="F174" s="4" t="str">
        <f>TRIM(PROPER('Raw Data'!F174))</f>
        <v>Facebook</v>
      </c>
      <c r="G174" s="8" t="str">
        <f>TRIM(CLEAN('Raw Data'!G174))</f>
        <v>#Intimidation #Fear</v>
      </c>
      <c r="H174" s="12">
        <f>'Raw Data'!H174</f>
        <v>15</v>
      </c>
      <c r="I174" s="12">
        <v>25</v>
      </c>
      <c r="J174" s="12" t="str">
        <f>TRIM(UPPER('Raw Data'!J174))</f>
        <v>INDIA</v>
      </c>
      <c r="K174" s="12">
        <f>'Raw Data'!K174</f>
        <v>2021</v>
      </c>
      <c r="L174" s="12">
        <f>'Raw Data'!L174</f>
        <v>12</v>
      </c>
      <c r="M174" s="12">
        <f>'Raw Data'!M174</f>
        <v>3</v>
      </c>
      <c r="N174">
        <f>'Raw Data'!N174</f>
        <v>18</v>
      </c>
    </row>
    <row r="175" spans="1:14" x14ac:dyDescent="0.25">
      <c r="A175" s="11">
        <f>'Raw Data'!A175</f>
        <v>173</v>
      </c>
      <c r="B175" s="8" t="str">
        <f>TRIM(CLEAN('Raw Data'!B175))</f>
        <v>Helplessness sinks in as challenges pile up.</v>
      </c>
      <c r="C175" s="4" t="str">
        <f>TRIM(PROPER('Raw Data'!C175))</f>
        <v>Helplessness</v>
      </c>
      <c r="D175" s="5">
        <f>'Raw Data'!D175</f>
        <v>44002.597222222219</v>
      </c>
      <c r="E175" s="4" t="str">
        <f>TRIM(SUBSTITUTE('Raw Data'!E175," "," "))</f>
        <v>OverwhelmedHeart</v>
      </c>
      <c r="F175" s="4" t="str">
        <f>TRIM(PROPER('Raw Data'!F175))</f>
        <v>Twitter</v>
      </c>
      <c r="G175" s="8" t="str">
        <f>TRIM(CLEAN('Raw Data'!G175))</f>
        <v>#Helplessness #Overwhelmed</v>
      </c>
      <c r="H175" s="12">
        <f>'Raw Data'!H175</f>
        <v>8</v>
      </c>
      <c r="I175" s="12">
        <v>30</v>
      </c>
      <c r="J175" s="12" t="str">
        <f>TRIM(UPPER('Raw Data'!J175))</f>
        <v>AUSTRALIA</v>
      </c>
      <c r="K175" s="12">
        <f>'Raw Data'!K175</f>
        <v>2020</v>
      </c>
      <c r="L175" s="12">
        <f>'Raw Data'!L175</f>
        <v>6</v>
      </c>
      <c r="M175" s="12">
        <f>'Raw Data'!M175</f>
        <v>20</v>
      </c>
      <c r="N175">
        <f>'Raw Data'!N175</f>
        <v>14</v>
      </c>
    </row>
    <row r="176" spans="1:14" x14ac:dyDescent="0.25">
      <c r="A176" s="11">
        <f>'Raw Data'!A176</f>
        <v>174</v>
      </c>
      <c r="B176" s="8" t="str">
        <f>TRIM(CLEAN('Raw Data'!B176))</f>
        <v>Envy eats away at me as I see others' prosperity.</v>
      </c>
      <c r="C176" s="4" t="str">
        <f>TRIM(PROPER('Raw Data'!C176))</f>
        <v>Envy</v>
      </c>
      <c r="D176" s="5">
        <f>'Raw Data'!D176</f>
        <v>43411.479166666664</v>
      </c>
      <c r="E176" s="4" t="str">
        <f>TRIM(SUBSTITUTE('Raw Data'!E176," "," "))</f>
        <v>CovetousMind</v>
      </c>
      <c r="F176" s="4" t="str">
        <f>TRIM(PROPER('Raw Data'!F176))</f>
        <v>Instagram</v>
      </c>
      <c r="G176" s="8" t="str">
        <f>TRIM(CLEAN('Raw Data'!G176))</f>
        <v>#Envy #Desire</v>
      </c>
      <c r="H176" s="12">
        <f>'Raw Data'!H176</f>
        <v>10</v>
      </c>
      <c r="I176" s="12">
        <v>15</v>
      </c>
      <c r="J176" s="12" t="str">
        <f>TRIM(UPPER('Raw Data'!J176))</f>
        <v>CANADA</v>
      </c>
      <c r="K176" s="12">
        <f>'Raw Data'!K176</f>
        <v>2018</v>
      </c>
      <c r="L176" s="12">
        <f>'Raw Data'!L176</f>
        <v>11</v>
      </c>
      <c r="M176" s="12">
        <f>'Raw Data'!M176</f>
        <v>7</v>
      </c>
      <c r="N176">
        <f>'Raw Data'!N176</f>
        <v>11</v>
      </c>
    </row>
    <row r="177" spans="1:14" x14ac:dyDescent="0.25">
      <c r="A177" s="11">
        <f>'Raw Data'!A177</f>
        <v>175</v>
      </c>
      <c r="B177" s="8" t="str">
        <f>TRIM(CLEAN('Raw Data'!B177))</f>
        <v>Regret over missed opportunities haunts my thoughts.</v>
      </c>
      <c r="C177" s="4" t="str">
        <f>TRIM(PROPER('Raw Data'!C177))</f>
        <v>Regret</v>
      </c>
      <c r="D177" s="5">
        <f>'Raw Data'!D177</f>
        <v>42972.666666666664</v>
      </c>
      <c r="E177" s="4" t="str">
        <f>TRIM(SUBSTITUTE('Raw Data'!E177," "," "))</f>
        <v>RemorsefulSoul</v>
      </c>
      <c r="F177" s="4" t="str">
        <f>TRIM(PROPER('Raw Data'!F177))</f>
        <v>Facebook</v>
      </c>
      <c r="G177" s="8" t="str">
        <f>TRIM(CLEAN('Raw Data'!G177))</f>
        <v>#Regret #MissedChances</v>
      </c>
      <c r="H177" s="12">
        <f>'Raw Data'!H177</f>
        <v>12</v>
      </c>
      <c r="I177" s="12">
        <v>20</v>
      </c>
      <c r="J177" s="12" t="str">
        <f>TRIM(UPPER('Raw Data'!J177))</f>
        <v>UK</v>
      </c>
      <c r="K177" s="12">
        <f>'Raw Data'!K177</f>
        <v>2017</v>
      </c>
      <c r="L177" s="12">
        <f>'Raw Data'!L177</f>
        <v>8</v>
      </c>
      <c r="M177" s="12">
        <f>'Raw Data'!M177</f>
        <v>25</v>
      </c>
      <c r="N177">
        <f>'Raw Data'!N177</f>
        <v>16</v>
      </c>
    </row>
    <row r="178" spans="1:14" x14ac:dyDescent="0.25">
      <c r="A178" s="11">
        <f>'Raw Data'!A178</f>
        <v>176</v>
      </c>
      <c r="B178" s="8" t="str">
        <f>TRIM(CLEAN('Raw Data'!B178))</f>
        <v>Disgust at the sight of injustice and cruelty.</v>
      </c>
      <c r="C178" s="4" t="str">
        <f>TRIM(PROPER('Raw Data'!C178))</f>
        <v>Disgust</v>
      </c>
      <c r="D178" s="5">
        <f>'Raw Data'!D178</f>
        <v>43507.40625</v>
      </c>
      <c r="E178" s="4" t="str">
        <f>TRIM(SUBSTITUTE('Raw Data'!E178," "," "))</f>
        <v>DisgustedHeart</v>
      </c>
      <c r="F178" s="4" t="str">
        <f>TRIM(PROPER('Raw Data'!F178))</f>
        <v>Twitter</v>
      </c>
      <c r="G178" s="8" t="str">
        <f>TRIM(CLEAN('Raw Data'!G178))</f>
        <v>#Disgust #Injustice</v>
      </c>
      <c r="H178" s="12">
        <f>'Raw Data'!H178</f>
        <v>7</v>
      </c>
      <c r="I178" s="12">
        <v>25</v>
      </c>
      <c r="J178" s="12" t="str">
        <f>TRIM(UPPER('Raw Data'!J178))</f>
        <v>INDIA</v>
      </c>
      <c r="K178" s="12">
        <f>'Raw Data'!K178</f>
        <v>2019</v>
      </c>
      <c r="L178" s="12">
        <f>'Raw Data'!L178</f>
        <v>2</v>
      </c>
      <c r="M178" s="12">
        <f>'Raw Data'!M178</f>
        <v>11</v>
      </c>
      <c r="N178">
        <f>'Raw Data'!N178</f>
        <v>9</v>
      </c>
    </row>
    <row r="179" spans="1:14" x14ac:dyDescent="0.25">
      <c r="A179" s="11">
        <f>'Raw Data'!A179</f>
        <v>177</v>
      </c>
      <c r="B179" s="8" t="str">
        <f>TRIM(CLEAN('Raw Data'!B179))</f>
        <v>Drowning in despair, hope slipping through my fingers.</v>
      </c>
      <c r="C179" s="4" t="str">
        <f>TRIM(PROPER('Raw Data'!C179))</f>
        <v>Despair</v>
      </c>
      <c r="D179" s="5">
        <f>'Raw Data'!D179</f>
        <v>42462.847222222219</v>
      </c>
      <c r="E179" s="4" t="str">
        <f>TRIM(SUBSTITUTE('Raw Data'!E179," "," "))</f>
        <v>HopelessHeart</v>
      </c>
      <c r="F179" s="4" t="str">
        <f>TRIM(PROPER('Raw Data'!F179))</f>
        <v>Instagram</v>
      </c>
      <c r="G179" s="8" t="str">
        <f>TRIM(CLEAN('Raw Data'!G179))</f>
        <v>#Despair #Hopeless</v>
      </c>
      <c r="H179" s="12">
        <f>'Raw Data'!H179</f>
        <v>10</v>
      </c>
      <c r="I179" s="12">
        <v>15</v>
      </c>
      <c r="J179" s="12" t="str">
        <f>TRIM(UPPER('Raw Data'!J179))</f>
        <v>USA</v>
      </c>
      <c r="K179" s="12">
        <f>'Raw Data'!K179</f>
        <v>2016</v>
      </c>
      <c r="L179" s="12">
        <f>'Raw Data'!L179</f>
        <v>4</v>
      </c>
      <c r="M179" s="12">
        <f>'Raw Data'!M179</f>
        <v>2</v>
      </c>
      <c r="N179">
        <f>'Raw Data'!N179</f>
        <v>20</v>
      </c>
    </row>
    <row r="180" spans="1:14" x14ac:dyDescent="0.25">
      <c r="A180" s="11">
        <f>'Raw Data'!A180</f>
        <v>178</v>
      </c>
      <c r="B180" s="8" t="str">
        <f>TRIM(CLEAN('Raw Data'!B180))</f>
        <v>Grief weighs heavy, tears a constant companion.</v>
      </c>
      <c r="C180" s="4" t="str">
        <f>TRIM(PROPER('Raw Data'!C180))</f>
        <v>Grief</v>
      </c>
      <c r="D180" s="5">
        <f>'Raw Data'!D180</f>
        <v>42295.645833333336</v>
      </c>
      <c r="E180" s="4" t="str">
        <f>TRIM(SUBSTITUTE('Raw Data'!E180," "," "))</f>
        <v>TearfulSoul</v>
      </c>
      <c r="F180" s="4" t="str">
        <f>TRIM(PROPER('Raw Data'!F180))</f>
        <v>Facebook</v>
      </c>
      <c r="G180" s="8" t="str">
        <f>TRIM(CLEAN('Raw Data'!G180))</f>
        <v>#Grief #Tears</v>
      </c>
      <c r="H180" s="12">
        <f>'Raw Data'!H180</f>
        <v>12</v>
      </c>
      <c r="I180" s="12">
        <v>20</v>
      </c>
      <c r="J180" s="12" t="str">
        <f>TRIM(UPPER('Raw Data'!J180))</f>
        <v>CANADA</v>
      </c>
      <c r="K180" s="12">
        <f>'Raw Data'!K180</f>
        <v>2015</v>
      </c>
      <c r="L180" s="12">
        <f>'Raw Data'!L180</f>
        <v>10</v>
      </c>
      <c r="M180" s="12">
        <f>'Raw Data'!M180</f>
        <v>18</v>
      </c>
      <c r="N180">
        <f>'Raw Data'!N180</f>
        <v>15</v>
      </c>
    </row>
    <row r="181" spans="1:14" ht="30" x14ac:dyDescent="0.25">
      <c r="A181" s="11">
        <f>'Raw Data'!A181</f>
        <v>179</v>
      </c>
      <c r="B181" s="8" t="str">
        <f>TRIM(CLEAN('Raw Data'!B181))</f>
        <v>Loneliness in a crowded room, a silent cry for connection.</v>
      </c>
      <c r="C181" s="4" t="str">
        <f>TRIM(PROPER('Raw Data'!C181))</f>
        <v>Loneliness</v>
      </c>
      <c r="D181" s="5">
        <f>'Raw Data'!D181</f>
        <v>43658.756944444445</v>
      </c>
      <c r="E181" s="4" t="str">
        <f>TRIM(SUBSTITUTE('Raw Data'!E181," "," "))</f>
        <v>IsolatedMind</v>
      </c>
      <c r="F181" s="4" t="str">
        <f>TRIM(PROPER('Raw Data'!F181))</f>
        <v>Twitter</v>
      </c>
      <c r="G181" s="8" t="str">
        <f>TRIM(CLEAN('Raw Data'!G181))</f>
        <v>#Loneliness #SeekingConnection</v>
      </c>
      <c r="H181" s="12">
        <f>'Raw Data'!H181</f>
        <v>15</v>
      </c>
      <c r="I181" s="12">
        <v>25</v>
      </c>
      <c r="J181" s="12" t="str">
        <f>TRIM(UPPER('Raw Data'!J181))</f>
        <v>UK</v>
      </c>
      <c r="K181" s="12">
        <f>'Raw Data'!K181</f>
        <v>2019</v>
      </c>
      <c r="L181" s="12">
        <f>'Raw Data'!L181</f>
        <v>7</v>
      </c>
      <c r="M181" s="12">
        <f>'Raw Data'!M181</f>
        <v>12</v>
      </c>
      <c r="N181">
        <f>'Raw Data'!N181</f>
        <v>18</v>
      </c>
    </row>
    <row r="182" spans="1:14" x14ac:dyDescent="0.25">
      <c r="A182" s="11">
        <f>'Raw Data'!A182</f>
        <v>180</v>
      </c>
      <c r="B182" s="8" t="str">
        <f>TRIM(CLEAN('Raw Data'!B182))</f>
        <v>Jealousy gnaws at my confidence, a toxic emotion.</v>
      </c>
      <c r="C182" s="4" t="str">
        <f>TRIM(PROPER('Raw Data'!C182))</f>
        <v>Jealousy</v>
      </c>
      <c r="D182" s="5">
        <f>'Raw Data'!D182</f>
        <v>43254.6875</v>
      </c>
      <c r="E182" s="4" t="str">
        <f>TRIM(SUBSTITUTE('Raw Data'!E182," "," "))</f>
        <v>SelfDoubt</v>
      </c>
      <c r="F182" s="4" t="str">
        <f>TRIM(PROPER('Raw Data'!F182))</f>
        <v>Instagram</v>
      </c>
      <c r="G182" s="8" t="str">
        <f>TRIM(CLEAN('Raw Data'!G182))</f>
        <v>#Jealousy #Insecurity</v>
      </c>
      <c r="H182" s="12">
        <f>'Raw Data'!H182</f>
        <v>8</v>
      </c>
      <c r="I182" s="12">
        <v>30</v>
      </c>
      <c r="J182" s="12" t="str">
        <f>TRIM(UPPER('Raw Data'!J182))</f>
        <v>INDIA</v>
      </c>
      <c r="K182" s="12">
        <f>'Raw Data'!K182</f>
        <v>2018</v>
      </c>
      <c r="L182" s="12">
        <f>'Raw Data'!L182</f>
        <v>6</v>
      </c>
      <c r="M182" s="12">
        <f>'Raw Data'!M182</f>
        <v>3</v>
      </c>
      <c r="N182">
        <f>'Raw Data'!N182</f>
        <v>16</v>
      </c>
    </row>
    <row r="183" spans="1:14" x14ac:dyDescent="0.25">
      <c r="A183" s="11">
        <f>'Raw Data'!A183</f>
        <v>181</v>
      </c>
      <c r="B183" s="8" t="str">
        <f>TRIM(CLEAN('Raw Data'!B183))</f>
        <v>Resentment festers, poisoning relationships.</v>
      </c>
      <c r="C183" s="4" t="str">
        <f>TRIM(PROPER('Raw Data'!C183))</f>
        <v>Resentment</v>
      </c>
      <c r="D183" s="5">
        <f>'Raw Data'!D183</f>
        <v>44576.5</v>
      </c>
      <c r="E183" s="4" t="str">
        <f>TRIM(SUBSTITUTE('Raw Data'!E183," "," "))</f>
        <v>BrokenTrust</v>
      </c>
      <c r="F183" s="4" t="str">
        <f>TRIM(PROPER('Raw Data'!F183))</f>
        <v>Facebook</v>
      </c>
      <c r="G183" s="8" t="str">
        <f>TRIM(CLEAN('Raw Data'!G183))</f>
        <v>#Resentment #BrokenTrust</v>
      </c>
      <c r="H183" s="12">
        <f>'Raw Data'!H183</f>
        <v>10</v>
      </c>
      <c r="I183" s="12">
        <v>15</v>
      </c>
      <c r="J183" s="12" t="str">
        <f>TRIM(UPPER('Raw Data'!J183))</f>
        <v>AUSTRALIA</v>
      </c>
      <c r="K183" s="12">
        <f>'Raw Data'!K183</f>
        <v>2022</v>
      </c>
      <c r="L183" s="12">
        <f>'Raw Data'!L183</f>
        <v>1</v>
      </c>
      <c r="M183" s="12">
        <f>'Raw Data'!M183</f>
        <v>15</v>
      </c>
      <c r="N183">
        <f>'Raw Data'!N183</f>
        <v>12</v>
      </c>
    </row>
    <row r="184" spans="1:14" x14ac:dyDescent="0.25">
      <c r="A184" s="11">
        <f>'Raw Data'!A184</f>
        <v>182</v>
      </c>
      <c r="B184" s="8" t="str">
        <f>TRIM(CLEAN('Raw Data'!B184))</f>
        <v>Frustration boils over, a volcanic eruption of emotions.</v>
      </c>
      <c r="C184" s="4" t="str">
        <f>TRIM(PROPER('Raw Data'!C184))</f>
        <v>Frustration</v>
      </c>
      <c r="D184" s="5">
        <f>'Raw Data'!D184</f>
        <v>42835.614583333336</v>
      </c>
      <c r="E184" s="4" t="str">
        <f>TRIM(SUBSTITUTE('Raw Data'!E184," "," "))</f>
        <v>ExplosiveMind</v>
      </c>
      <c r="F184" s="4" t="str">
        <f>TRIM(PROPER('Raw Data'!F184))</f>
        <v>Twitter</v>
      </c>
      <c r="G184" s="8" t="str">
        <f>TRIM(CLEAN('Raw Data'!G184))</f>
        <v>#Frustration #EmotionalOutburst</v>
      </c>
      <c r="H184" s="12">
        <f>'Raw Data'!H184</f>
        <v>12</v>
      </c>
      <c r="I184" s="12">
        <v>20</v>
      </c>
      <c r="J184" s="12" t="str">
        <f>TRIM(UPPER('Raw Data'!J184))</f>
        <v>USA</v>
      </c>
      <c r="K184" s="12">
        <f>'Raw Data'!K184</f>
        <v>2017</v>
      </c>
      <c r="L184" s="12">
        <f>'Raw Data'!L184</f>
        <v>4</v>
      </c>
      <c r="M184" s="12">
        <f>'Raw Data'!M184</f>
        <v>10</v>
      </c>
      <c r="N184">
        <f>'Raw Data'!N184</f>
        <v>14</v>
      </c>
    </row>
    <row r="185" spans="1:14" x14ac:dyDescent="0.25">
      <c r="A185" s="11">
        <f>'Raw Data'!A185</f>
        <v>183</v>
      </c>
      <c r="B185" s="8" t="str">
        <f>TRIM(CLEAN('Raw Data'!B185))</f>
        <v>Boredom settles like dust, life feels mundane.</v>
      </c>
      <c r="C185" s="4" t="str">
        <f>TRIM(PROPER('Raw Data'!C185))</f>
        <v>Boredom</v>
      </c>
      <c r="D185" s="5">
        <f>'Raw Data'!D185</f>
        <v>42702.791666666664</v>
      </c>
      <c r="E185" s="4" t="str">
        <f>TRIM(SUBSTITUTE('Raw Data'!E185," "," "))</f>
        <v>MundaneHeart</v>
      </c>
      <c r="F185" s="4" t="str">
        <f>TRIM(PROPER('Raw Data'!F185))</f>
        <v>Instagram</v>
      </c>
      <c r="G185" s="8" t="str">
        <f>TRIM(CLEAN('Raw Data'!G185))</f>
        <v>#Boredom #Monotony</v>
      </c>
      <c r="H185" s="12">
        <f>'Raw Data'!H185</f>
        <v>7</v>
      </c>
      <c r="I185" s="12">
        <v>25</v>
      </c>
      <c r="J185" s="12" t="str">
        <f>TRIM(UPPER('Raw Data'!J185))</f>
        <v>CANADA</v>
      </c>
      <c r="K185" s="12">
        <f>'Raw Data'!K185</f>
        <v>2016</v>
      </c>
      <c r="L185" s="12">
        <f>'Raw Data'!L185</f>
        <v>11</v>
      </c>
      <c r="M185" s="12">
        <f>'Raw Data'!M185</f>
        <v>28</v>
      </c>
      <c r="N185">
        <f>'Raw Data'!N185</f>
        <v>19</v>
      </c>
    </row>
    <row r="186" spans="1:14" ht="30" x14ac:dyDescent="0.25">
      <c r="A186" s="11">
        <f>'Raw Data'!A186</f>
        <v>184</v>
      </c>
      <c r="B186" s="8" t="str">
        <f>TRIM(CLEAN('Raw Data'!B186))</f>
        <v>Anxiety grips my chest, a relentless grip on my thoughts.</v>
      </c>
      <c r="C186" s="4" t="str">
        <f>TRIM(PROPER('Raw Data'!C186))</f>
        <v>Anxiety</v>
      </c>
      <c r="D186" s="5">
        <f>'Raw Data'!D186</f>
        <v>43348.395833333336</v>
      </c>
      <c r="E186" s="4" t="str">
        <f>TRIM(SUBSTITUTE('Raw Data'!E186," "," "))</f>
        <v>RestlessMind</v>
      </c>
      <c r="F186" s="4" t="str">
        <f>TRIM(PROPER('Raw Data'!F186))</f>
        <v>Facebook</v>
      </c>
      <c r="G186" s="8" t="str">
        <f>TRIM(CLEAN('Raw Data'!G186))</f>
        <v>#Anxiety #Restlessness</v>
      </c>
      <c r="H186" s="12">
        <f>'Raw Data'!H186</f>
        <v>10</v>
      </c>
      <c r="I186" s="12">
        <v>15</v>
      </c>
      <c r="J186" s="12" t="str">
        <f>TRIM(UPPER('Raw Data'!J186))</f>
        <v>UK</v>
      </c>
      <c r="K186" s="12">
        <f>'Raw Data'!K186</f>
        <v>2018</v>
      </c>
      <c r="L186" s="12">
        <f>'Raw Data'!L186</f>
        <v>9</v>
      </c>
      <c r="M186" s="12">
        <f>'Raw Data'!M186</f>
        <v>5</v>
      </c>
      <c r="N186">
        <f>'Raw Data'!N186</f>
        <v>9</v>
      </c>
    </row>
    <row r="187" spans="1:14" x14ac:dyDescent="0.25">
      <c r="A187" s="11">
        <f>'Raw Data'!A187</f>
        <v>185</v>
      </c>
      <c r="B187" s="8" t="str">
        <f>TRIM(CLEAN('Raw Data'!B187))</f>
        <v>Intimidation by the challenges ahead, fear takes hold.</v>
      </c>
      <c r="C187" s="4" t="str">
        <f>TRIM(PROPER('Raw Data'!C187))</f>
        <v>Intimidation</v>
      </c>
      <c r="D187" s="5">
        <f>'Raw Data'!D187</f>
        <v>44491.770833333336</v>
      </c>
      <c r="E187" s="4" t="str">
        <f>TRIM(SUBSTITUTE('Raw Data'!E187," "," "))</f>
        <v>FearfulJourney</v>
      </c>
      <c r="F187" s="4" t="str">
        <f>TRIM(PROPER('Raw Data'!F187))</f>
        <v>Twitter</v>
      </c>
      <c r="G187" s="8" t="str">
        <f>TRIM(CLEAN('Raw Data'!G187))</f>
        <v>#Intimidation #FacingFear</v>
      </c>
      <c r="H187" s="12">
        <f>'Raw Data'!H187</f>
        <v>15</v>
      </c>
      <c r="I187" s="12">
        <v>20</v>
      </c>
      <c r="J187" s="12" t="str">
        <f>TRIM(UPPER('Raw Data'!J187))</f>
        <v>INDIA</v>
      </c>
      <c r="K187" s="12">
        <f>'Raw Data'!K187</f>
        <v>2021</v>
      </c>
      <c r="L187" s="12">
        <f>'Raw Data'!L187</f>
        <v>10</v>
      </c>
      <c r="M187" s="12">
        <f>'Raw Data'!M187</f>
        <v>22</v>
      </c>
      <c r="N187">
        <f>'Raw Data'!N187</f>
        <v>18</v>
      </c>
    </row>
    <row r="188" spans="1:14" ht="30" x14ac:dyDescent="0.25">
      <c r="A188" s="11">
        <f>'Raw Data'!A188</f>
        <v>186</v>
      </c>
      <c r="B188" s="8" t="str">
        <f>TRIM(CLEAN('Raw Data'!B188))</f>
        <v>Helplessness engulfs me, drowning in a sea of problems.</v>
      </c>
      <c r="C188" s="4" t="str">
        <f>TRIM(PROPER('Raw Data'!C188))</f>
        <v>Helplessness</v>
      </c>
      <c r="D188" s="5">
        <f>'Raw Data'!D188</f>
        <v>43593.597222222219</v>
      </c>
      <c r="E188" s="4" t="str">
        <f>TRIM(SUBSTITUTE('Raw Data'!E188," "," "))</f>
        <v>OverwhelmedSoul</v>
      </c>
      <c r="F188" s="4" t="str">
        <f>TRIM(PROPER('Raw Data'!F188))</f>
        <v>Instagram</v>
      </c>
      <c r="G188" s="8" t="str">
        <f>TRIM(CLEAN('Raw Data'!G188))</f>
        <v>#Helplessness #Struggling</v>
      </c>
      <c r="H188" s="12">
        <f>'Raw Data'!H188</f>
        <v>8</v>
      </c>
      <c r="I188" s="12">
        <v>30</v>
      </c>
      <c r="J188" s="12" t="str">
        <f>TRIM(UPPER('Raw Data'!J188))</f>
        <v>AUSTRALIA</v>
      </c>
      <c r="K188" s="12">
        <f>'Raw Data'!K188</f>
        <v>2019</v>
      </c>
      <c r="L188" s="12">
        <f>'Raw Data'!L188</f>
        <v>5</v>
      </c>
      <c r="M188" s="12">
        <f>'Raw Data'!M188</f>
        <v>8</v>
      </c>
      <c r="N188">
        <f>'Raw Data'!N188</f>
        <v>14</v>
      </c>
    </row>
    <row r="189" spans="1:14" x14ac:dyDescent="0.25">
      <c r="A189" s="11">
        <f>'Raw Data'!A189</f>
        <v>187</v>
      </c>
      <c r="B189" s="8" t="str">
        <f>TRIM(CLEAN('Raw Data'!B189))</f>
        <v>Envy poisons my thoughts, coveting others' success.</v>
      </c>
      <c r="C189" s="4" t="str">
        <f>TRIM(PROPER('Raw Data'!C189))</f>
        <v>Envy</v>
      </c>
      <c r="D189" s="5">
        <f>'Raw Data'!D189</f>
        <v>42814.479166666664</v>
      </c>
      <c r="E189" s="4" t="str">
        <f>TRIM(SUBSTITUTE('Raw Data'!E189," "," "))</f>
        <v>GreenEyedMonster</v>
      </c>
      <c r="F189" s="4" t="str">
        <f>TRIM(PROPER('Raw Data'!F189))</f>
        <v>Facebook</v>
      </c>
      <c r="G189" s="8" t="str">
        <f>TRIM(CLEAN('Raw Data'!G189))</f>
        <v>#Envy #Success</v>
      </c>
      <c r="H189" s="12">
        <f>'Raw Data'!H189</f>
        <v>10</v>
      </c>
      <c r="I189" s="12">
        <v>15</v>
      </c>
      <c r="J189" s="12" t="str">
        <f>TRIM(UPPER('Raw Data'!J189))</f>
        <v>CANADA</v>
      </c>
      <c r="K189" s="12">
        <f>'Raw Data'!K189</f>
        <v>2017</v>
      </c>
      <c r="L189" s="12">
        <f>'Raw Data'!L189</f>
        <v>3</v>
      </c>
      <c r="M189" s="12">
        <f>'Raw Data'!M189</f>
        <v>20</v>
      </c>
      <c r="N189">
        <f>'Raw Data'!N189</f>
        <v>11</v>
      </c>
    </row>
    <row r="190" spans="1:14" x14ac:dyDescent="0.25">
      <c r="A190" s="11">
        <f>'Raw Data'!A190</f>
        <v>188</v>
      </c>
      <c r="B190" s="8" t="str">
        <f>TRIM(CLEAN('Raw Data'!B190))</f>
        <v>Regret for decisions that led to a painful present.</v>
      </c>
      <c r="C190" s="4" t="str">
        <f>TRIM(PROPER('Raw Data'!C190))</f>
        <v>Regret</v>
      </c>
      <c r="D190" s="5">
        <f>'Raw Data'!D190</f>
        <v>43449.666666666664</v>
      </c>
      <c r="E190" s="4" t="str">
        <f>TRIM(SUBSTITUTE('Raw Data'!E190," "," "))</f>
        <v>RegretfulMind</v>
      </c>
      <c r="F190" s="4" t="str">
        <f>TRIM(PROPER('Raw Data'!F190))</f>
        <v>Twitter</v>
      </c>
      <c r="G190" s="8" t="str">
        <f>TRIM(CLEAN('Raw Data'!G190))</f>
        <v>#Regret #PastChoices</v>
      </c>
      <c r="H190" s="12">
        <f>'Raw Data'!H190</f>
        <v>12</v>
      </c>
      <c r="I190" s="12">
        <v>20</v>
      </c>
      <c r="J190" s="12" t="str">
        <f>TRIM(UPPER('Raw Data'!J190))</f>
        <v>USA</v>
      </c>
      <c r="K190" s="12">
        <f>'Raw Data'!K190</f>
        <v>2018</v>
      </c>
      <c r="L190" s="12">
        <f>'Raw Data'!L190</f>
        <v>12</v>
      </c>
      <c r="M190" s="12">
        <f>'Raw Data'!M190</f>
        <v>15</v>
      </c>
      <c r="N190">
        <f>'Raw Data'!N190</f>
        <v>16</v>
      </c>
    </row>
    <row r="191" spans="1:14" x14ac:dyDescent="0.25">
      <c r="A191" s="11">
        <f>'Raw Data'!A191</f>
        <v>189</v>
      </c>
      <c r="B191" s="8" t="str">
        <f>TRIM(CLEAN('Raw Data'!B191))</f>
        <v>Disgust at the corruption that stains society.</v>
      </c>
      <c r="C191" s="4" t="str">
        <f>TRIM(PROPER('Raw Data'!C191))</f>
        <v>Disgust</v>
      </c>
      <c r="D191" s="5">
        <f>'Raw Data'!D191</f>
        <v>42552.40625</v>
      </c>
      <c r="E191" s="4" t="str">
        <f>TRIM(SUBSTITUTE('Raw Data'!E191," "," "))</f>
        <v>CorruptedHeart</v>
      </c>
      <c r="F191" s="4" t="str">
        <f>TRIM(PROPER('Raw Data'!F191))</f>
        <v>Instagram</v>
      </c>
      <c r="G191" s="8" t="str">
        <f>TRIM(CLEAN('Raw Data'!G191))</f>
        <v>#Disgust #Corruption</v>
      </c>
      <c r="H191" s="12">
        <f>'Raw Data'!H191</f>
        <v>7</v>
      </c>
      <c r="I191" s="12">
        <v>25</v>
      </c>
      <c r="J191" s="12" t="str">
        <f>TRIM(UPPER('Raw Data'!J191))</f>
        <v>UK</v>
      </c>
      <c r="K191" s="12">
        <f>'Raw Data'!K191</f>
        <v>2016</v>
      </c>
      <c r="L191" s="12">
        <f>'Raw Data'!L191</f>
        <v>7</v>
      </c>
      <c r="M191" s="12">
        <f>'Raw Data'!M191</f>
        <v>1</v>
      </c>
      <c r="N191">
        <f>'Raw Data'!N191</f>
        <v>9</v>
      </c>
    </row>
    <row r="192" spans="1:14" x14ac:dyDescent="0.25">
      <c r="A192" s="11">
        <f>'Raw Data'!A192</f>
        <v>190</v>
      </c>
      <c r="B192" s="8" t="str">
        <f>TRIM(CLEAN('Raw Data'!B192))</f>
        <v>Sinking in despair, each day darker than the last.</v>
      </c>
      <c r="C192" s="4" t="str">
        <f>TRIM(PROPER('Raw Data'!C192))</f>
        <v>Despair</v>
      </c>
      <c r="D192" s="5">
        <f>'Raw Data'!D192</f>
        <v>44063.847222222219</v>
      </c>
      <c r="E192" s="4" t="str">
        <f>TRIM(SUBSTITUTE('Raw Data'!E192," "," "))</f>
        <v>DrowningSoul</v>
      </c>
      <c r="F192" s="4" t="str">
        <f>TRIM(PROPER('Raw Data'!F192))</f>
        <v>Facebook</v>
      </c>
      <c r="G192" s="8" t="str">
        <f>TRIM(CLEAN('Raw Data'!G192))</f>
        <v>#Despair #DarkDays</v>
      </c>
      <c r="H192" s="12">
        <f>'Raw Data'!H192</f>
        <v>10</v>
      </c>
      <c r="I192" s="12">
        <v>15</v>
      </c>
      <c r="J192" s="12" t="str">
        <f>TRIM(UPPER('Raw Data'!J192))</f>
        <v>INDIA</v>
      </c>
      <c r="K192" s="12">
        <f>'Raw Data'!K192</f>
        <v>2020</v>
      </c>
      <c r="L192" s="12">
        <f>'Raw Data'!L192</f>
        <v>8</v>
      </c>
      <c r="M192" s="12">
        <f>'Raw Data'!M192</f>
        <v>20</v>
      </c>
      <c r="N192">
        <f>'Raw Data'!N192</f>
        <v>20</v>
      </c>
    </row>
    <row r="193" spans="1:14" x14ac:dyDescent="0.25">
      <c r="A193" s="11">
        <f>'Raw Data'!A193</f>
        <v>191</v>
      </c>
      <c r="B193" s="8" t="str">
        <f>TRIM(CLEAN('Raw Data'!B193))</f>
        <v>Grief overwhelms, a storm of emotions within.</v>
      </c>
      <c r="C193" s="4" t="str">
        <f>TRIM(PROPER('Raw Data'!C193))</f>
        <v>Grief</v>
      </c>
      <c r="D193" s="5">
        <f>'Raw Data'!D193</f>
        <v>44252.645833333336</v>
      </c>
      <c r="E193" s="4" t="str">
        <f>TRIM(SUBSTITUTE('Raw Data'!E193," "," "))</f>
        <v>StormyHeart</v>
      </c>
      <c r="F193" s="4" t="str">
        <f>TRIM(PROPER('Raw Data'!F193))</f>
        <v>Twitter</v>
      </c>
      <c r="G193" s="8" t="str">
        <f>TRIM(CLEAN('Raw Data'!G193))</f>
        <v>#Grief #EmotionalStorm</v>
      </c>
      <c r="H193" s="12">
        <f>'Raw Data'!H193</f>
        <v>12</v>
      </c>
      <c r="I193" s="12">
        <v>20</v>
      </c>
      <c r="J193" s="12" t="str">
        <f>TRIM(UPPER('Raw Data'!J193))</f>
        <v>CANADA</v>
      </c>
      <c r="K193" s="12">
        <f>'Raw Data'!K193</f>
        <v>2021</v>
      </c>
      <c r="L193" s="12">
        <f>'Raw Data'!L193</f>
        <v>2</v>
      </c>
      <c r="M193" s="12">
        <f>'Raw Data'!M193</f>
        <v>25</v>
      </c>
      <c r="N193">
        <f>'Raw Data'!N193</f>
        <v>15</v>
      </c>
    </row>
    <row r="194" spans="1:14" ht="30" x14ac:dyDescent="0.25">
      <c r="A194" s="11">
        <f>'Raw Data'!A194</f>
        <v>192</v>
      </c>
      <c r="B194" s="8" t="str">
        <f>TRIM(CLEAN('Raw Data'!B194))</f>
        <v>Loneliness echoes in empty spaces, yearning for connection.</v>
      </c>
      <c r="C194" s="4" t="str">
        <f>TRIM(PROPER('Raw Data'!C194))</f>
        <v>Loneliness</v>
      </c>
      <c r="D194" s="5">
        <f>'Raw Data'!D194</f>
        <v>43720.756944444445</v>
      </c>
      <c r="E194" s="4" t="str">
        <f>TRIM(SUBSTITUTE('Raw Data'!E194," "," "))</f>
        <v>EchoingSoul</v>
      </c>
      <c r="F194" s="4" t="str">
        <f>TRIM(PROPER('Raw Data'!F194))</f>
        <v>Instagram</v>
      </c>
      <c r="G194" s="8" t="str">
        <f>TRIM(CLEAN('Raw Data'!G194))</f>
        <v>#Loneliness #YearningForConnection</v>
      </c>
      <c r="H194" s="12">
        <f>'Raw Data'!H194</f>
        <v>15</v>
      </c>
      <c r="I194" s="12">
        <v>25</v>
      </c>
      <c r="J194" s="12" t="str">
        <f>TRIM(UPPER('Raw Data'!J194))</f>
        <v>AUSTRALIA</v>
      </c>
      <c r="K194" s="12">
        <f>'Raw Data'!K194</f>
        <v>2019</v>
      </c>
      <c r="L194" s="12">
        <f>'Raw Data'!L194</f>
        <v>9</v>
      </c>
      <c r="M194" s="12">
        <f>'Raw Data'!M194</f>
        <v>12</v>
      </c>
      <c r="N194">
        <f>'Raw Data'!N194</f>
        <v>18</v>
      </c>
    </row>
    <row r="195" spans="1:14" ht="30" x14ac:dyDescent="0.25">
      <c r="A195" s="11">
        <f>'Raw Data'!A195</f>
        <v>193</v>
      </c>
      <c r="B195" s="8" t="str">
        <f>TRIM(CLEAN('Raw Data'!B195))</f>
        <v>Jealousy poisons my thoughts, resentment brewing within.</v>
      </c>
      <c r="C195" s="4" t="str">
        <f>TRIM(PROPER('Raw Data'!C195))</f>
        <v>Jealousy</v>
      </c>
      <c r="D195" s="5">
        <f>'Raw Data'!D195</f>
        <v>43317.6875</v>
      </c>
      <c r="E195" s="4" t="str">
        <f>TRIM(SUBSTITUTE('Raw Data'!E195," "," "))</f>
        <v>PoisonedMind</v>
      </c>
      <c r="F195" s="4" t="str">
        <f>TRIM(PROPER('Raw Data'!F195))</f>
        <v>Facebook</v>
      </c>
      <c r="G195" s="8" t="str">
        <f>TRIM(CLEAN('Raw Data'!G195))</f>
        <v>#Jealousy #Resentment</v>
      </c>
      <c r="H195" s="12">
        <f>'Raw Data'!H195</f>
        <v>8</v>
      </c>
      <c r="I195" s="12">
        <v>30</v>
      </c>
      <c r="J195" s="12" t="str">
        <f>TRIM(UPPER('Raw Data'!J195))</f>
        <v>USA</v>
      </c>
      <c r="K195" s="12">
        <f>'Raw Data'!K195</f>
        <v>2018</v>
      </c>
      <c r="L195" s="12">
        <f>'Raw Data'!L195</f>
        <v>8</v>
      </c>
      <c r="M195" s="12">
        <f>'Raw Data'!M195</f>
        <v>5</v>
      </c>
      <c r="N195">
        <f>'Raw Data'!N195</f>
        <v>16</v>
      </c>
    </row>
    <row r="196" spans="1:14" x14ac:dyDescent="0.25">
      <c r="A196" s="11">
        <f>'Raw Data'!A196</f>
        <v>194</v>
      </c>
      <c r="B196" s="8" t="str">
        <f>TRIM(CLEAN('Raw Data'!B196))</f>
        <v>Resentment festers, a wound that refuses to heal.</v>
      </c>
      <c r="C196" s="4" t="str">
        <f>TRIM(PROPER('Raw Data'!C196))</f>
        <v>Resentment</v>
      </c>
      <c r="D196" s="5">
        <f>'Raw Data'!D196</f>
        <v>42747.5</v>
      </c>
      <c r="E196" s="4" t="str">
        <f>TRIM(SUBSTITUTE('Raw Data'!E196," "," "))</f>
        <v>UnforgivingSoul</v>
      </c>
      <c r="F196" s="4" t="str">
        <f>TRIM(PROPER('Raw Data'!F196))</f>
        <v>Twitter</v>
      </c>
      <c r="G196" s="8" t="str">
        <f>TRIM(CLEAN('Raw Data'!G196))</f>
        <v>#Resentment #Unforgiving</v>
      </c>
      <c r="H196" s="12">
        <f>'Raw Data'!H196</f>
        <v>10</v>
      </c>
      <c r="I196" s="12">
        <v>15</v>
      </c>
      <c r="J196" s="12" t="str">
        <f>TRIM(UPPER('Raw Data'!J196))</f>
        <v>INDIA</v>
      </c>
      <c r="K196" s="12">
        <f>'Raw Data'!K196</f>
        <v>2017</v>
      </c>
      <c r="L196" s="12">
        <f>'Raw Data'!L196</f>
        <v>1</v>
      </c>
      <c r="M196" s="12">
        <f>'Raw Data'!M196</f>
        <v>12</v>
      </c>
      <c r="N196">
        <f>'Raw Data'!N196</f>
        <v>12</v>
      </c>
    </row>
    <row r="197" spans="1:14" x14ac:dyDescent="0.25">
      <c r="A197" s="11">
        <f>'Raw Data'!A197</f>
        <v>195</v>
      </c>
      <c r="B197" s="8" t="str">
        <f>TRIM(CLEAN('Raw Data'!B197))</f>
        <v>Frustration escalates, a thunderstorm of emotions.</v>
      </c>
      <c r="C197" s="4" t="str">
        <f>TRIM(PROPER('Raw Data'!C197))</f>
        <v>Frustration</v>
      </c>
      <c r="D197" s="5">
        <f>'Raw Data'!D197</f>
        <v>44656.614583333336</v>
      </c>
      <c r="E197" s="4" t="str">
        <f>TRIM(SUBSTITUTE('Raw Data'!E197," "," "))</f>
        <v>ThunderingMind</v>
      </c>
      <c r="F197" s="4" t="str">
        <f>TRIM(PROPER('Raw Data'!F197))</f>
        <v>Instagram</v>
      </c>
      <c r="G197" s="8" t="str">
        <f>TRIM(CLEAN('Raw Data'!G197))</f>
        <v>#Frustration #EmotionalOutburst</v>
      </c>
      <c r="H197" s="12">
        <f>'Raw Data'!H197</f>
        <v>12</v>
      </c>
      <c r="I197" s="12">
        <v>20</v>
      </c>
      <c r="J197" s="12" t="str">
        <f>TRIM(UPPER('Raw Data'!J197))</f>
        <v>UK</v>
      </c>
      <c r="K197" s="12">
        <f>'Raw Data'!K197</f>
        <v>2022</v>
      </c>
      <c r="L197" s="12">
        <f>'Raw Data'!L197</f>
        <v>4</v>
      </c>
      <c r="M197" s="12">
        <f>'Raw Data'!M197</f>
        <v>5</v>
      </c>
      <c r="N197">
        <f>'Raw Data'!N197</f>
        <v>14</v>
      </c>
    </row>
    <row r="198" spans="1:14" x14ac:dyDescent="0.25">
      <c r="A198" s="11">
        <f>'Raw Data'!A198</f>
        <v>196</v>
      </c>
      <c r="B198" s="8" t="str">
        <f>TRIM(CLEAN('Raw Data'!B198))</f>
        <v>Boredom lingers, a stagnant pool of indifference.</v>
      </c>
      <c r="C198" s="4" t="str">
        <f>TRIM(PROPER('Raw Data'!C198))</f>
        <v>Boredom</v>
      </c>
      <c r="D198" s="5">
        <f>'Raw Data'!D198</f>
        <v>44471.791666666664</v>
      </c>
      <c r="E198" s="4" t="str">
        <f>TRIM(SUBSTITUTE('Raw Data'!E198," "," "))</f>
        <v>StagnantHeart</v>
      </c>
      <c r="F198" s="4" t="str">
        <f>TRIM(PROPER('Raw Data'!F198))</f>
        <v>Facebook</v>
      </c>
      <c r="G198" s="8" t="str">
        <f>TRIM(CLEAN('Raw Data'!G198))</f>
        <v>#Boredom #Stagnation</v>
      </c>
      <c r="H198" s="12">
        <f>'Raw Data'!H198</f>
        <v>7</v>
      </c>
      <c r="I198" s="12">
        <v>25</v>
      </c>
      <c r="J198" s="12" t="str">
        <f>TRIM(UPPER('Raw Data'!J198))</f>
        <v>CANADA</v>
      </c>
      <c r="K198" s="12">
        <f>'Raw Data'!K198</f>
        <v>2021</v>
      </c>
      <c r="L198" s="12">
        <f>'Raw Data'!L198</f>
        <v>10</v>
      </c>
      <c r="M198" s="12">
        <f>'Raw Data'!M198</f>
        <v>2</v>
      </c>
      <c r="N198">
        <f>'Raw Data'!N198</f>
        <v>19</v>
      </c>
    </row>
    <row r="199" spans="1:14" ht="30" x14ac:dyDescent="0.25">
      <c r="A199" s="11">
        <f>'Raw Data'!A199</f>
        <v>197</v>
      </c>
      <c r="B199" s="8" t="str">
        <f>TRIM(CLEAN('Raw Data'!B199))</f>
        <v>Embarking on a journey of discovery, fueled by curiosity and a thirst for knowledge.</v>
      </c>
      <c r="C199" s="4" t="str">
        <f>TRIM(PROPER('Raw Data'!C199))</f>
        <v>Curiosity</v>
      </c>
      <c r="D199" s="5">
        <f>'Raw Data'!D199</f>
        <v>45031.427083333336</v>
      </c>
      <c r="E199" s="4" t="str">
        <f>TRIM(SUBSTITUTE('Raw Data'!E199," "," "))</f>
        <v>InquisitiveMind</v>
      </c>
      <c r="F199" s="4" t="str">
        <f>TRIM(PROPER('Raw Data'!F199))</f>
        <v>Twitter</v>
      </c>
      <c r="G199" s="8" t="str">
        <f>TRIM(CLEAN('Raw Data'!G199))</f>
        <v>#Curiosity #Learning</v>
      </c>
      <c r="H199" s="12">
        <f>'Raw Data'!H199</f>
        <v>15</v>
      </c>
      <c r="I199" s="12">
        <v>15</v>
      </c>
      <c r="J199" s="12" t="str">
        <f>TRIM(UPPER('Raw Data'!J199))</f>
        <v>USA</v>
      </c>
      <c r="K199" s="12">
        <f>'Raw Data'!K199</f>
        <v>2023</v>
      </c>
      <c r="L199" s="12">
        <f>'Raw Data'!L199</f>
        <v>4</v>
      </c>
      <c r="M199" s="12">
        <f>'Raw Data'!M199</f>
        <v>15</v>
      </c>
      <c r="N199">
        <f>'Raw Data'!N199</f>
        <v>10</v>
      </c>
    </row>
    <row r="200" spans="1:14" ht="30" x14ac:dyDescent="0.25">
      <c r="A200" s="11">
        <f>'Raw Data'!A200</f>
        <v>198</v>
      </c>
      <c r="B200" s="8" t="str">
        <f>TRIM(CLEAN('Raw Data'!B200))</f>
        <v>Lost in the vast sea of information, an indifferent wave in the digital ocean.</v>
      </c>
      <c r="C200" s="4" t="str">
        <f>TRIM(PROPER('Raw Data'!C200))</f>
        <v>Indifference</v>
      </c>
      <c r="D200" s="5">
        <f>'Raw Data'!D200</f>
        <v>44893.729166666664</v>
      </c>
      <c r="E200" s="4" t="str">
        <f>TRIM(SUBSTITUTE('Raw Data'!E200," "," "))</f>
        <v>ApatheticObserver</v>
      </c>
      <c r="F200" s="4" t="str">
        <f>TRIM(PROPER('Raw Data'!F200))</f>
        <v>Instagram</v>
      </c>
      <c r="G200" s="8" t="str">
        <f>TRIM(CLEAN('Raw Data'!G200))</f>
        <v>#Indifference #DigitalOverload</v>
      </c>
      <c r="H200" s="12">
        <f>'Raw Data'!H200</f>
        <v>7</v>
      </c>
      <c r="I200" s="12">
        <v>30</v>
      </c>
      <c r="J200" s="12" t="str">
        <f>TRIM(UPPER('Raw Data'!J200))</f>
        <v>CANADA</v>
      </c>
      <c r="K200" s="12">
        <f>'Raw Data'!K200</f>
        <v>2022</v>
      </c>
      <c r="L200" s="12">
        <f>'Raw Data'!L200</f>
        <v>11</v>
      </c>
      <c r="M200" s="12">
        <f>'Raw Data'!M200</f>
        <v>28</v>
      </c>
      <c r="N200">
        <f>'Raw Data'!N200</f>
        <v>17</v>
      </c>
    </row>
    <row r="201" spans="1:14" ht="30" x14ac:dyDescent="0.25">
      <c r="A201" s="11">
        <f>'Raw Data'!A201</f>
        <v>199</v>
      </c>
      <c r="B201" s="8" t="str">
        <f>TRIM(CLEAN('Raw Data'!B201))</f>
        <v>The complex puzzle of life leaves me in a state of perpetual confusion, seeking answers in the chaos.</v>
      </c>
      <c r="C201" s="4" t="str">
        <f>TRIM(PROPER('Raw Data'!C201))</f>
        <v>Confusion</v>
      </c>
      <c r="D201" s="5">
        <f>'Raw Data'!D201</f>
        <v>43923.40625</v>
      </c>
      <c r="E201" s="4" t="str">
        <f>TRIM(SUBSTITUTE('Raw Data'!E201," "," "))</f>
        <v>SeekingClarity</v>
      </c>
      <c r="F201" s="4" t="str">
        <f>TRIM(PROPER('Raw Data'!F201))</f>
        <v>Facebook</v>
      </c>
      <c r="G201" s="8" t="str">
        <f>TRIM(CLEAN('Raw Data'!G201))</f>
        <v>#Confusion #LifePuzzle</v>
      </c>
      <c r="H201" s="12">
        <f>'Raw Data'!H201</f>
        <v>10</v>
      </c>
      <c r="I201" s="12">
        <v>15</v>
      </c>
      <c r="J201" s="12" t="str">
        <f>TRIM(UPPER('Raw Data'!J201))</f>
        <v>UK</v>
      </c>
      <c r="K201" s="12">
        <f>'Raw Data'!K201</f>
        <v>2020</v>
      </c>
      <c r="L201" s="12">
        <f>'Raw Data'!L201</f>
        <v>4</v>
      </c>
      <c r="M201" s="12">
        <f>'Raw Data'!M201</f>
        <v>2</v>
      </c>
      <c r="N201">
        <f>'Raw Data'!N201</f>
        <v>9</v>
      </c>
    </row>
    <row r="202" spans="1:14" ht="30" x14ac:dyDescent="0.25">
      <c r="A202" s="11">
        <f>'Raw Data'!A202</f>
        <v>200</v>
      </c>
      <c r="B202" s="8" t="str">
        <f>TRIM(CLEAN('Raw Data'!B202))</f>
        <v>A numbness settles over me, a shield against the overwhelming emotions life throws my way.</v>
      </c>
      <c r="C202" s="4" t="str">
        <f>TRIM(PROPER('Raw Data'!C202))</f>
        <v>Numbness</v>
      </c>
      <c r="D202" s="5">
        <f>'Raw Data'!D202</f>
        <v>44418.583333333336</v>
      </c>
      <c r="E202" s="4" t="str">
        <f>TRIM(SUBSTITUTE('Raw Data'!E202," "," "))</f>
        <v>EmotionallyDistant</v>
      </c>
      <c r="F202" s="4" t="str">
        <f>TRIM(PROPER('Raw Data'!F202))</f>
        <v>Twitter</v>
      </c>
      <c r="G202" s="8" t="str">
        <f>TRIM(CLEAN('Raw Data'!G202))</f>
        <v>#Numbness #EmotionalShield</v>
      </c>
      <c r="H202" s="12">
        <f>'Raw Data'!H202</f>
        <v>8</v>
      </c>
      <c r="I202" s="12">
        <v>20</v>
      </c>
      <c r="J202" s="12" t="str">
        <f>TRIM(UPPER('Raw Data'!J202))</f>
        <v>INDIA</v>
      </c>
      <c r="K202" s="12">
        <f>'Raw Data'!K202</f>
        <v>2021</v>
      </c>
      <c r="L202" s="12">
        <f>'Raw Data'!L202</f>
        <v>8</v>
      </c>
      <c r="M202" s="12">
        <f>'Raw Data'!M202</f>
        <v>10</v>
      </c>
      <c r="N202">
        <f>'Raw Data'!N202</f>
        <v>14</v>
      </c>
    </row>
    <row r="203" spans="1:14" ht="30" x14ac:dyDescent="0.25">
      <c r="A203" s="11">
        <f>'Raw Data'!A203</f>
        <v>201</v>
      </c>
      <c r="B203" s="8" t="str">
        <f>TRIM(CLEAN('Raw Data'!B203))</f>
        <v>Gazing at the sunset, a melancholic longing for moments that slip through the fingers of time.</v>
      </c>
      <c r="C203" s="4" t="str">
        <f>TRIM(PROPER('Raw Data'!C203))</f>
        <v>Melancholy</v>
      </c>
      <c r="D203" s="5">
        <f>'Raw Data'!D203</f>
        <v>43634.864583333336</v>
      </c>
      <c r="E203" s="4" t="str">
        <f>TRIM(SUBSTITUTE('Raw Data'!E203," "," "))</f>
        <v>SunsetDreamer</v>
      </c>
      <c r="F203" s="4" t="str">
        <f>TRIM(PROPER('Raw Data'!F203))</f>
        <v>Instagram</v>
      </c>
      <c r="G203" s="8" t="str">
        <f>TRIM(CLEAN('Raw Data'!G203))</f>
        <v>#Melancholy #SunsetMoments</v>
      </c>
      <c r="H203" s="12">
        <f>'Raw Data'!H203</f>
        <v>12</v>
      </c>
      <c r="I203" s="12">
        <v>15</v>
      </c>
      <c r="J203" s="12" t="str">
        <f>TRIM(UPPER('Raw Data'!J203))</f>
        <v>AUSTRALIA</v>
      </c>
      <c r="K203" s="12">
        <f>'Raw Data'!K203</f>
        <v>2019</v>
      </c>
      <c r="L203" s="12">
        <f>'Raw Data'!L203</f>
        <v>6</v>
      </c>
      <c r="M203" s="12">
        <f>'Raw Data'!M203</f>
        <v>18</v>
      </c>
      <c r="N203">
        <f>'Raw Data'!N203</f>
        <v>20</v>
      </c>
    </row>
    <row r="204" spans="1:14" ht="30" x14ac:dyDescent="0.25">
      <c r="A204" s="11">
        <f>'Raw Data'!A204</f>
        <v>202</v>
      </c>
      <c r="B204" s="8" t="str">
        <f>TRIM(CLEAN('Raw Data'!B204))</f>
        <v>Revisiting old photographs, caught in the embrace of nostalgia's bittersweet symphony.</v>
      </c>
      <c r="C204" s="4" t="str">
        <f>TRIM(PROPER('Raw Data'!C204))</f>
        <v>Nostalgia</v>
      </c>
      <c r="D204" s="5">
        <f>'Raw Data'!D204</f>
        <v>43136.635416666664</v>
      </c>
      <c r="E204" s="4" t="str">
        <f>TRIM(SUBSTITUTE('Raw Data'!E204," "," "))</f>
        <v>MemoryLaneTraveler</v>
      </c>
      <c r="F204" s="4" t="str">
        <f>TRIM(PROPER('Raw Data'!F204))</f>
        <v>Facebook</v>
      </c>
      <c r="G204" s="8" t="str">
        <f>TRIM(CLEAN('Raw Data'!G204))</f>
        <v>#Nostalgia #MemoryLane</v>
      </c>
      <c r="H204" s="12">
        <f>'Raw Data'!H204</f>
        <v>10</v>
      </c>
      <c r="I204" s="12">
        <v>25</v>
      </c>
      <c r="J204" s="12" t="str">
        <f>TRIM(UPPER('Raw Data'!J204))</f>
        <v>USA</v>
      </c>
      <c r="K204" s="12">
        <f>'Raw Data'!K204</f>
        <v>2018</v>
      </c>
      <c r="L204" s="12">
        <f>'Raw Data'!L204</f>
        <v>2</v>
      </c>
      <c r="M204" s="12">
        <f>'Raw Data'!M204</f>
        <v>5</v>
      </c>
      <c r="N204">
        <f>'Raw Data'!N204</f>
        <v>15</v>
      </c>
    </row>
    <row r="205" spans="1:14" ht="30" x14ac:dyDescent="0.25">
      <c r="A205" s="11">
        <f>'Raw Data'!A205</f>
        <v>203</v>
      </c>
      <c r="B205" s="8" t="str">
        <f>TRIM(CLEAN('Raw Data'!B205))</f>
        <v>Torn between conflicting emotions, an ambivalence that paints my decisions in shades of uncertainty.</v>
      </c>
      <c r="C205" s="4" t="str">
        <f>TRIM(PROPER('Raw Data'!C205))</f>
        <v>Ambivalence</v>
      </c>
      <c r="D205" s="5">
        <f>'Raw Data'!D205</f>
        <v>44711.479166666664</v>
      </c>
      <c r="E205" s="4" t="str">
        <f>TRIM(SUBSTITUTE('Raw Data'!E205," "," "))</f>
        <v>MixedFeelings</v>
      </c>
      <c r="F205" s="4" t="str">
        <f>TRIM(PROPER('Raw Data'!F205))</f>
        <v>Twitter</v>
      </c>
      <c r="G205" s="8" t="str">
        <f>TRIM(CLEAN('Raw Data'!G205))</f>
        <v>#Ambivalence #UncertainChoices</v>
      </c>
      <c r="H205" s="12">
        <f>'Raw Data'!H205</f>
        <v>12</v>
      </c>
      <c r="I205" s="12">
        <v>20</v>
      </c>
      <c r="J205" s="12" t="str">
        <f>TRIM(UPPER('Raw Data'!J205))</f>
        <v>CANADA</v>
      </c>
      <c r="K205" s="12">
        <f>'Raw Data'!K205</f>
        <v>2022</v>
      </c>
      <c r="L205" s="12">
        <f>'Raw Data'!L205</f>
        <v>5</v>
      </c>
      <c r="M205" s="12">
        <f>'Raw Data'!M205</f>
        <v>30</v>
      </c>
      <c r="N205">
        <f>'Raw Data'!N205</f>
        <v>11</v>
      </c>
    </row>
    <row r="206" spans="1:14" ht="30" x14ac:dyDescent="0.25">
      <c r="A206" s="11">
        <f>'Raw Data'!A206</f>
        <v>204</v>
      </c>
      <c r="B206" s="8" t="str">
        <f>TRIM(CLEAN('Raw Data'!B206))</f>
        <v>Embracing the ebb and flow of life, finding acceptance in the dance of existence.</v>
      </c>
      <c r="C206" s="4" t="str">
        <f>TRIM(PROPER('Raw Data'!C206))</f>
        <v>Acceptance</v>
      </c>
      <c r="D206" s="5">
        <f>'Raw Data'!D206</f>
        <v>44936.680555555555</v>
      </c>
      <c r="E206" s="4" t="str">
        <f>TRIM(SUBSTITUTE('Raw Data'!E206," "," "))</f>
        <v>ZenLifestyle</v>
      </c>
      <c r="F206" s="4" t="str">
        <f>TRIM(PROPER('Raw Data'!F206))</f>
        <v>Instagram</v>
      </c>
      <c r="G206" s="8" t="str">
        <f>TRIM(CLEAN('Raw Data'!G206))</f>
        <v>#Acceptance #LifeJourney</v>
      </c>
      <c r="H206" s="12">
        <f>'Raw Data'!H206</f>
        <v>15</v>
      </c>
      <c r="I206" s="12">
        <v>25</v>
      </c>
      <c r="J206" s="12" t="str">
        <f>TRIM(UPPER('Raw Data'!J206))</f>
        <v>UK</v>
      </c>
      <c r="K206" s="12">
        <f>'Raw Data'!K206</f>
        <v>2023</v>
      </c>
      <c r="L206" s="12">
        <f>'Raw Data'!L206</f>
        <v>1</v>
      </c>
      <c r="M206" s="12">
        <f>'Raw Data'!M206</f>
        <v>10</v>
      </c>
      <c r="N206">
        <f>'Raw Data'!N206</f>
        <v>16</v>
      </c>
    </row>
    <row r="207" spans="1:14" ht="30" x14ac:dyDescent="0.25">
      <c r="A207" s="11">
        <f>'Raw Data'!A207</f>
        <v>205</v>
      </c>
      <c r="B207" s="8" t="str">
        <f>TRIM(CLEAN('Raw Data'!B207))</f>
        <v>Facing challenges head-on, a determination that fuels the fire within to achieve the impossible.</v>
      </c>
      <c r="C207" s="4" t="str">
        <f>TRIM(PROPER('Raw Data'!C207))</f>
        <v>Determination</v>
      </c>
      <c r="D207" s="5">
        <f>'Raw Data'!D207</f>
        <v>44092.572916666664</v>
      </c>
      <c r="E207" s="4" t="str">
        <f>TRIM(SUBSTITUTE('Raw Data'!E207," "," "))</f>
        <v>ResilientSpirit</v>
      </c>
      <c r="F207" s="4" t="str">
        <f>TRIM(PROPER('Raw Data'!F207))</f>
        <v>Facebook</v>
      </c>
      <c r="G207" s="8" t="str">
        <f>TRIM(CLEAN('Raw Data'!G207))</f>
        <v>#Determination #AchieveTheImpossible</v>
      </c>
      <c r="H207" s="12">
        <f>'Raw Data'!H207</f>
        <v>10</v>
      </c>
      <c r="I207" s="12">
        <v>30</v>
      </c>
      <c r="J207" s="12" t="str">
        <f>TRIM(UPPER('Raw Data'!J207))</f>
        <v>INDIA</v>
      </c>
      <c r="K207" s="12">
        <f>'Raw Data'!K207</f>
        <v>2020</v>
      </c>
      <c r="L207" s="12">
        <f>'Raw Data'!L207</f>
        <v>9</v>
      </c>
      <c r="M207" s="12">
        <f>'Raw Data'!M207</f>
        <v>18</v>
      </c>
      <c r="N207">
        <f>'Raw Data'!N207</f>
        <v>13</v>
      </c>
    </row>
    <row r="208" spans="1:14" ht="30" x14ac:dyDescent="0.25">
      <c r="A208" s="11">
        <f>'Raw Data'!A208</f>
        <v>206</v>
      </c>
      <c r="B208" s="8" t="str">
        <f>TRIM(CLEAN('Raw Data'!B208))</f>
        <v>Serenity found in the stillness of nature, a tranquil retreat from the chaos of the modern world.</v>
      </c>
      <c r="C208" s="4" t="str">
        <f>TRIM(PROPER('Raw Data'!C208))</f>
        <v>Serenity</v>
      </c>
      <c r="D208" s="5">
        <f>'Raw Data'!D208</f>
        <v>44380.791666666664</v>
      </c>
      <c r="E208" s="4" t="str">
        <f>TRIM(SUBSTITUTE('Raw Data'!E208," "," "))</f>
        <v>NatureSoul</v>
      </c>
      <c r="F208" s="4" t="str">
        <f>TRIM(PROPER('Raw Data'!F208))</f>
        <v>Twitter</v>
      </c>
      <c r="G208" s="8" t="str">
        <f>TRIM(CLEAN('Raw Data'!G208))</f>
        <v>#Serenity #NatureRetreat</v>
      </c>
      <c r="H208" s="12">
        <f>'Raw Data'!H208</f>
        <v>12</v>
      </c>
      <c r="I208" s="12">
        <v>20</v>
      </c>
      <c r="J208" s="12" t="str">
        <f>TRIM(UPPER('Raw Data'!J208))</f>
        <v>AUSTRALIA</v>
      </c>
      <c r="K208" s="12">
        <f>'Raw Data'!K208</f>
        <v>2021</v>
      </c>
      <c r="L208" s="12">
        <f>'Raw Data'!L208</f>
        <v>7</v>
      </c>
      <c r="M208" s="12">
        <f>'Raw Data'!M208</f>
        <v>3</v>
      </c>
      <c r="N208">
        <f>'Raw Data'!N208</f>
        <v>19</v>
      </c>
    </row>
    <row r="209" spans="1:14" ht="30" x14ac:dyDescent="0.25">
      <c r="A209" s="11">
        <f>'Raw Data'!A209</f>
        <v>207</v>
      </c>
      <c r="B209" s="8" t="str">
        <f>TRIM(CLEAN('Raw Data'!B209))</f>
        <v>Curiosity leading me down the rabbit hole of knowledge, a perpetual student in life's classroom.</v>
      </c>
      <c r="C209" s="4" t="str">
        <f>TRIM(PROPER('Raw Data'!C209))</f>
        <v>Curiosity</v>
      </c>
      <c r="D209" s="5">
        <f>'Raw Data'!D209</f>
        <v>44842.34375</v>
      </c>
      <c r="E209" s="4" t="str">
        <f>TRIM(SUBSTITUTE('Raw Data'!E209," "," "))</f>
        <v>EternalLearner</v>
      </c>
      <c r="F209" s="4" t="str">
        <f>TRIM(PROPER('Raw Data'!F209))</f>
        <v>Instagram</v>
      </c>
      <c r="G209" s="8" t="str">
        <f>TRIM(CLEAN('Raw Data'!G209))</f>
        <v>#Curiosity #KnowledgeQuest</v>
      </c>
      <c r="H209" s="12">
        <f>'Raw Data'!H209</f>
        <v>20</v>
      </c>
      <c r="I209" s="12">
        <v>25</v>
      </c>
      <c r="J209" s="12" t="str">
        <f>TRIM(UPPER('Raw Data'!J209))</f>
        <v>USA</v>
      </c>
      <c r="K209" s="12">
        <f>'Raw Data'!K209</f>
        <v>2022</v>
      </c>
      <c r="L209" s="12">
        <f>'Raw Data'!L209</f>
        <v>10</v>
      </c>
      <c r="M209" s="12">
        <f>'Raw Data'!M209</f>
        <v>8</v>
      </c>
      <c r="N209">
        <f>'Raw Data'!N209</f>
        <v>8</v>
      </c>
    </row>
    <row r="210" spans="1:14" ht="30" x14ac:dyDescent="0.25">
      <c r="A210" s="11">
        <f>'Raw Data'!A210</f>
        <v>208</v>
      </c>
      <c r="B210" s="8" t="str">
        <f>TRIM(CLEAN('Raw Data'!B210))</f>
        <v>Floating through the day with an air of indifference, detached from the mundane happenings around.</v>
      </c>
      <c r="C210" s="4" t="str">
        <f>TRIM(PROPER('Raw Data'!C210))</f>
        <v>Indifference</v>
      </c>
      <c r="D210" s="5">
        <f>'Raw Data'!D210</f>
        <v>45007.6875</v>
      </c>
      <c r="E210" s="4" t="str">
        <f>TRIM(SUBSTITUTE('Raw Data'!E210," "," "))</f>
        <v>AloofObserver</v>
      </c>
      <c r="F210" s="4" t="str">
        <f>TRIM(PROPER('Raw Data'!F210))</f>
        <v>Facebook</v>
      </c>
      <c r="G210" s="8" t="str">
        <f>TRIM(CLEAN('Raw Data'!G210))</f>
        <v>#Indifference #FloatingThroughLife</v>
      </c>
      <c r="H210" s="12">
        <f>'Raw Data'!H210</f>
        <v>10</v>
      </c>
      <c r="I210" s="12">
        <v>40</v>
      </c>
      <c r="J210" s="12" t="str">
        <f>TRIM(UPPER('Raw Data'!J210))</f>
        <v>CANADA</v>
      </c>
      <c r="K210" s="12">
        <f>'Raw Data'!K210</f>
        <v>2023</v>
      </c>
      <c r="L210" s="12">
        <f>'Raw Data'!L210</f>
        <v>3</v>
      </c>
      <c r="M210" s="12">
        <f>'Raw Data'!M210</f>
        <v>22</v>
      </c>
      <c r="N210">
        <f>'Raw Data'!N210</f>
        <v>16</v>
      </c>
    </row>
    <row r="211" spans="1:14" ht="30" x14ac:dyDescent="0.25">
      <c r="A211" s="11">
        <f>'Raw Data'!A211</f>
        <v>209</v>
      </c>
      <c r="B211" s="8" t="str">
        <f>TRIM(CLEAN('Raw Data'!B211))</f>
        <v>Entangled in the web of thoughts, confusion reigning as I navigate the labyrinth of ideas.</v>
      </c>
      <c r="C211" s="4" t="str">
        <f>TRIM(PROPER('Raw Data'!C211))</f>
        <v>Confusion</v>
      </c>
      <c r="D211" s="5">
        <f>'Raw Data'!D211</f>
        <v>44331.489583333336</v>
      </c>
      <c r="E211" s="4" t="str">
        <f>TRIM(SUBSTITUTE('Raw Data'!E211," "," "))</f>
        <v>ThoughtExplorer</v>
      </c>
      <c r="F211" s="4" t="str">
        <f>TRIM(PROPER('Raw Data'!F211))</f>
        <v>Twitter</v>
      </c>
      <c r="G211" s="8" t="str">
        <f>TRIM(CLEAN('Raw Data'!G211))</f>
        <v>#Confusion #ThoughtLabyrinth</v>
      </c>
      <c r="H211" s="12">
        <f>'Raw Data'!H211</f>
        <v>15</v>
      </c>
      <c r="I211" s="12">
        <v>20</v>
      </c>
      <c r="J211" s="12" t="str">
        <f>TRIM(UPPER('Raw Data'!J211))</f>
        <v>UK</v>
      </c>
      <c r="K211" s="12">
        <f>'Raw Data'!K211</f>
        <v>2021</v>
      </c>
      <c r="L211" s="12">
        <f>'Raw Data'!L211</f>
        <v>5</v>
      </c>
      <c r="M211" s="12">
        <f>'Raw Data'!M211</f>
        <v>15</v>
      </c>
      <c r="N211">
        <f>'Raw Data'!N211</f>
        <v>11</v>
      </c>
    </row>
    <row r="212" spans="1:14" ht="30" x14ac:dyDescent="0.25">
      <c r="A212" s="11">
        <f>'Raw Data'!A212</f>
        <v>210</v>
      </c>
      <c r="B212" s="8" t="str">
        <f>TRIM(CLEAN('Raw Data'!B212))</f>
        <v>Numb to the chaos, emotions locked away, a stoic facade concealing the inner turmoil.</v>
      </c>
      <c r="C212" s="4" t="str">
        <f>TRIM(PROPER('Raw Data'!C212))</f>
        <v>Numbness</v>
      </c>
      <c r="D212" s="5">
        <f>'Raw Data'!D212</f>
        <v>43827.604166666664</v>
      </c>
      <c r="E212" s="4" t="str">
        <f>TRIM(SUBSTITUTE('Raw Data'!E212," "," "))</f>
        <v>StoicSoul</v>
      </c>
      <c r="F212" s="4" t="str">
        <f>TRIM(PROPER('Raw Data'!F212))</f>
        <v>Instagram</v>
      </c>
      <c r="G212" s="8" t="str">
        <f>TRIM(CLEAN('Raw Data'!G212))</f>
        <v>#Numbness #StoicFacade</v>
      </c>
      <c r="H212" s="12">
        <f>'Raw Data'!H212</f>
        <v>8</v>
      </c>
      <c r="I212" s="12">
        <v>30</v>
      </c>
      <c r="J212" s="12" t="str">
        <f>TRIM(UPPER('Raw Data'!J212))</f>
        <v>AUSTRALIA</v>
      </c>
      <c r="K212" s="12">
        <f>'Raw Data'!K212</f>
        <v>2019</v>
      </c>
      <c r="L212" s="12">
        <f>'Raw Data'!L212</f>
        <v>12</v>
      </c>
      <c r="M212" s="12">
        <f>'Raw Data'!M212</f>
        <v>28</v>
      </c>
      <c r="N212">
        <f>'Raw Data'!N212</f>
        <v>14</v>
      </c>
    </row>
    <row r="213" spans="1:14" ht="30" x14ac:dyDescent="0.25">
      <c r="A213" s="11">
        <f>'Raw Data'!A213</f>
        <v>211</v>
      </c>
      <c r="B213" s="8" t="str">
        <f>TRIM(CLEAN('Raw Data'!B213))</f>
        <v>Melancholy whispers in the breeze, a silent conversation with the echoes of forgotten dreams.</v>
      </c>
      <c r="C213" s="4" t="str">
        <f>TRIM(PROPER('Raw Data'!C213))</f>
        <v>Melancholy</v>
      </c>
      <c r="D213" s="5">
        <f>'Raw Data'!D213</f>
        <v>43891.791666666664</v>
      </c>
      <c r="E213" s="4" t="str">
        <f>TRIM(SUBSTITUTE('Raw Data'!E213," "," "))</f>
        <v>DreamerInSilence</v>
      </c>
      <c r="F213" s="4" t="str">
        <f>TRIM(PROPER('Raw Data'!F213))</f>
        <v>Facebook</v>
      </c>
      <c r="G213" s="8" t="str">
        <f>TRIM(CLEAN('Raw Data'!G213))</f>
        <v>#Melancholy #WhispersInTheBreeze</v>
      </c>
      <c r="H213" s="12">
        <f>'Raw Data'!H213</f>
        <v>12</v>
      </c>
      <c r="I213" s="12">
        <v>15</v>
      </c>
      <c r="J213" s="12" t="str">
        <f>TRIM(UPPER('Raw Data'!J213))</f>
        <v>INDIA</v>
      </c>
      <c r="K213" s="12">
        <f>'Raw Data'!K213</f>
        <v>2020</v>
      </c>
      <c r="L213" s="12">
        <f>'Raw Data'!L213</f>
        <v>3</v>
      </c>
      <c r="M213" s="12">
        <f>'Raw Data'!M213</f>
        <v>1</v>
      </c>
      <c r="N213">
        <f>'Raw Data'!N213</f>
        <v>19</v>
      </c>
    </row>
    <row r="214" spans="1:14" ht="30" x14ac:dyDescent="0.25">
      <c r="A214" s="11">
        <f>'Raw Data'!A214</f>
        <v>212</v>
      </c>
      <c r="B214" s="8" t="str">
        <f>TRIM(CLEAN('Raw Data'!B214))</f>
        <v>Stumbling upon an old journal, nostalgia flooding in waves, carrying me to moments long gone.</v>
      </c>
      <c r="C214" s="4" t="str">
        <f>TRIM(PROPER('Raw Data'!C214))</f>
        <v>Nostalgia</v>
      </c>
      <c r="D214" s="5">
        <f>'Raw Data'!D214</f>
        <v>43291.65625</v>
      </c>
      <c r="E214" s="4" t="str">
        <f>TRIM(SUBSTITUTE('Raw Data'!E214," "," "))</f>
        <v>JournalKeeper</v>
      </c>
      <c r="F214" s="4" t="str">
        <f>TRIM(PROPER('Raw Data'!F214))</f>
        <v>Twitter</v>
      </c>
      <c r="G214" s="8" t="str">
        <f>TRIM(CLEAN('Raw Data'!G214))</f>
        <v>#Nostalgia #JournalMoments</v>
      </c>
      <c r="H214" s="12">
        <f>'Raw Data'!H214</f>
        <v>10</v>
      </c>
      <c r="I214" s="12">
        <v>25</v>
      </c>
      <c r="J214" s="12" t="str">
        <f>TRIM(UPPER('Raw Data'!J214))</f>
        <v>CANADA</v>
      </c>
      <c r="K214" s="12">
        <f>'Raw Data'!K214</f>
        <v>2018</v>
      </c>
      <c r="L214" s="12">
        <f>'Raw Data'!L214</f>
        <v>7</v>
      </c>
      <c r="M214" s="12">
        <f>'Raw Data'!M214</f>
        <v>10</v>
      </c>
      <c r="N214">
        <f>'Raw Data'!N214</f>
        <v>15</v>
      </c>
    </row>
    <row r="215" spans="1:14" ht="30" x14ac:dyDescent="0.25">
      <c r="A215" s="11">
        <f>'Raw Data'!A215</f>
        <v>213</v>
      </c>
      <c r="B215" s="8" t="str">
        <f>TRIM(CLEAN('Raw Data'!B215))</f>
        <v>A tapestry of conflicting feelings, weaving through uncertainty, caught in the threads of ambivalence.</v>
      </c>
      <c r="C215" s="4" t="str">
        <f>TRIM(PROPER('Raw Data'!C215))</f>
        <v>Ambivalence</v>
      </c>
      <c r="D215" s="5">
        <f>'Raw Data'!D215</f>
        <v>44566.4375</v>
      </c>
      <c r="E215" s="4" t="str">
        <f>TRIM(SUBSTITUTE('Raw Data'!E215," "," "))</f>
        <v>ThreadWeaver</v>
      </c>
      <c r="F215" s="4" t="str">
        <f>TRIM(PROPER('Raw Data'!F215))</f>
        <v>Instagram</v>
      </c>
      <c r="G215" s="8" t="str">
        <f>TRIM(CLEAN('Raw Data'!G215))</f>
        <v>#Ambivalence #ConflictingFeelings</v>
      </c>
      <c r="H215" s="12">
        <f>'Raw Data'!H215</f>
        <v>12</v>
      </c>
      <c r="I215" s="12">
        <v>20</v>
      </c>
      <c r="J215" s="12" t="str">
        <f>TRIM(UPPER('Raw Data'!J215))</f>
        <v>UK</v>
      </c>
      <c r="K215" s="12">
        <f>'Raw Data'!K215</f>
        <v>2022</v>
      </c>
      <c r="L215" s="12">
        <f>'Raw Data'!L215</f>
        <v>1</v>
      </c>
      <c r="M215" s="12">
        <f>'Raw Data'!M215</f>
        <v>5</v>
      </c>
      <c r="N215">
        <f>'Raw Data'!N215</f>
        <v>10</v>
      </c>
    </row>
    <row r="216" spans="1:14" ht="30" x14ac:dyDescent="0.25">
      <c r="A216" s="11">
        <f>'Raw Data'!A216</f>
        <v>214</v>
      </c>
      <c r="B216" s="8" t="str">
        <f>TRIM(CLEAN('Raw Data'!B216))</f>
        <v>Embracing the flaws, finding acceptance in imperfection, a journey towards self-love.</v>
      </c>
      <c r="C216" s="4" t="str">
        <f>TRIM(PROPER('Raw Data'!C216))</f>
        <v>Acceptance</v>
      </c>
      <c r="D216" s="5">
        <f>'Raw Data'!D216</f>
        <v>44428.680555555555</v>
      </c>
      <c r="E216" s="4" t="str">
        <f>TRIM(SUBSTITUTE('Raw Data'!E216," "," "))</f>
        <v>SelfLoveAdvocate</v>
      </c>
      <c r="F216" s="4" t="str">
        <f>TRIM(PROPER('Raw Data'!F216))</f>
        <v>Facebook</v>
      </c>
      <c r="G216" s="8" t="str">
        <f>TRIM(CLEAN('Raw Data'!G216))</f>
        <v>#Acceptance #SelfLoveJourney</v>
      </c>
      <c r="H216" s="12">
        <f>'Raw Data'!H216</f>
        <v>15</v>
      </c>
      <c r="I216" s="12">
        <v>25</v>
      </c>
      <c r="J216" s="12" t="str">
        <f>TRIM(UPPER('Raw Data'!J216))</f>
        <v>AUSTRALIA</v>
      </c>
      <c r="K216" s="12">
        <f>'Raw Data'!K216</f>
        <v>2021</v>
      </c>
      <c r="L216" s="12">
        <f>'Raw Data'!L216</f>
        <v>8</v>
      </c>
      <c r="M216" s="12">
        <f>'Raw Data'!M216</f>
        <v>20</v>
      </c>
      <c r="N216">
        <f>'Raw Data'!N216</f>
        <v>16</v>
      </c>
    </row>
    <row r="217" spans="1:14" ht="30" x14ac:dyDescent="0.25">
      <c r="A217" s="11">
        <f>'Raw Data'!A217</f>
        <v>215</v>
      </c>
      <c r="B217" s="8" t="str">
        <f>TRIM(CLEAN('Raw Data'!B217))</f>
        <v>Determination burning like a wildfire, overcoming obstacles, turning dreams into reality.</v>
      </c>
      <c r="C217" s="4" t="str">
        <f>TRIM(PROPER('Raw Data'!C217))</f>
        <v>Determination</v>
      </c>
      <c r="D217" s="5">
        <f>'Raw Data'!D217</f>
        <v>43772.572916666664</v>
      </c>
      <c r="E217" s="4" t="str">
        <f>TRIM(SUBSTITUTE('Raw Data'!E217," "," "))</f>
        <v>DreamChaser</v>
      </c>
      <c r="F217" s="4" t="str">
        <f>TRIM(PROPER('Raw Data'!F217))</f>
        <v>Twitter</v>
      </c>
      <c r="G217" s="8" t="str">
        <f>TRIM(CLEAN('Raw Data'!G217))</f>
        <v>#Determination #DreamsIntoReality</v>
      </c>
      <c r="H217" s="12">
        <f>'Raw Data'!H217</f>
        <v>18</v>
      </c>
      <c r="I217" s="12">
        <v>30</v>
      </c>
      <c r="J217" s="12" t="str">
        <f>TRIM(UPPER('Raw Data'!J217))</f>
        <v>USA</v>
      </c>
      <c r="K217" s="12">
        <f>'Raw Data'!K217</f>
        <v>2019</v>
      </c>
      <c r="L217" s="12">
        <f>'Raw Data'!L217</f>
        <v>11</v>
      </c>
      <c r="M217" s="12">
        <f>'Raw Data'!M217</f>
        <v>3</v>
      </c>
      <c r="N217">
        <f>'Raw Data'!N217</f>
        <v>13</v>
      </c>
    </row>
    <row r="218" spans="1:14" ht="30" x14ac:dyDescent="0.25">
      <c r="A218" s="11">
        <f>'Raw Data'!A218</f>
        <v>216</v>
      </c>
      <c r="B218" s="8" t="str">
        <f>TRIM(CLEAN('Raw Data'!B218))</f>
        <v>Tranquil moments by the ocean, serenity washing over, a peaceful retreat within the waves' embrace.</v>
      </c>
      <c r="C218" s="4" t="str">
        <f>TRIM(PROPER('Raw Data'!C218))</f>
        <v>Serenity</v>
      </c>
      <c r="D218" s="5">
        <f>'Raw Data'!D218</f>
        <v>43933.8125</v>
      </c>
      <c r="E218" s="4" t="str">
        <f>TRIM(SUBSTITUTE('Raw Data'!E218," "," "))</f>
        <v>OceanSoul</v>
      </c>
      <c r="F218" s="4" t="str">
        <f>TRIM(PROPER('Raw Data'!F218))</f>
        <v>Instagram</v>
      </c>
      <c r="G218" s="8" t="str">
        <f>TRIM(CLEAN('Raw Data'!G218))</f>
        <v>#Serenity #OceanRetreat</v>
      </c>
      <c r="H218" s="12">
        <f>'Raw Data'!H218</f>
        <v>25</v>
      </c>
      <c r="I218" s="12">
        <v>35</v>
      </c>
      <c r="J218" s="12" t="str">
        <f>TRIM(UPPER('Raw Data'!J218))</f>
        <v>CANADA</v>
      </c>
      <c r="K218" s="12">
        <f>'Raw Data'!K218</f>
        <v>2020</v>
      </c>
      <c r="L218" s="12">
        <f>'Raw Data'!L218</f>
        <v>4</v>
      </c>
      <c r="M218" s="12">
        <f>'Raw Data'!M218</f>
        <v>12</v>
      </c>
      <c r="N218">
        <f>'Raw Data'!N218</f>
        <v>19</v>
      </c>
    </row>
    <row r="219" spans="1:14" ht="30" x14ac:dyDescent="0.25">
      <c r="A219" s="11">
        <f>'Raw Data'!A219</f>
        <v>217</v>
      </c>
      <c r="B219" s="8" t="str">
        <f>TRIM(CLEAN('Raw Data'!B219))</f>
        <v>Exploring new horizons with the spark of curiosity, an adventurer in the vast landscape of knowledge.</v>
      </c>
      <c r="C219" s="4" t="str">
        <f>TRIM(PROPER('Raw Data'!C219))</f>
        <v>Curiosity</v>
      </c>
      <c r="D219" s="5">
        <f>'Raw Data'!D219</f>
        <v>44666.364583333336</v>
      </c>
      <c r="E219" s="4" t="str">
        <f>TRIM(SUBSTITUTE('Raw Data'!E219," "," "))</f>
        <v>HorizonExplorer</v>
      </c>
      <c r="F219" s="4" t="str">
        <f>TRIM(PROPER('Raw Data'!F219))</f>
        <v>Facebook</v>
      </c>
      <c r="G219" s="8" t="str">
        <f>TRIM(CLEAN('Raw Data'!G219))</f>
        <v>#Curiosity #NewHorizons</v>
      </c>
      <c r="H219" s="12">
        <f>'Raw Data'!H219</f>
        <v>22</v>
      </c>
      <c r="I219" s="12">
        <v>50</v>
      </c>
      <c r="J219" s="12" t="str">
        <f>TRIM(UPPER('Raw Data'!J219))</f>
        <v>INDIA</v>
      </c>
      <c r="K219" s="12">
        <f>'Raw Data'!K219</f>
        <v>2022</v>
      </c>
      <c r="L219" s="12">
        <f>'Raw Data'!L219</f>
        <v>4</v>
      </c>
      <c r="M219" s="12">
        <f>'Raw Data'!M219</f>
        <v>15</v>
      </c>
      <c r="N219">
        <f>'Raw Data'!N219</f>
        <v>8</v>
      </c>
    </row>
    <row r="220" spans="1:14" ht="30" x14ac:dyDescent="0.25">
      <c r="A220" s="11">
        <f>'Raw Data'!A220</f>
        <v>218</v>
      </c>
      <c r="B220" s="8" t="str">
        <f>TRIM(CLEAN('Raw Data'!B220))</f>
        <v>Drifting through the day with a nonchalant demeanor, embracing the art of indifference.</v>
      </c>
      <c r="C220" s="4" t="str">
        <f>TRIM(PROPER('Raw Data'!C220))</f>
        <v>Indifference</v>
      </c>
      <c r="D220" s="5">
        <f>'Raw Data'!D220</f>
        <v>44967.708333333336</v>
      </c>
      <c r="E220" s="4" t="str">
        <f>TRIM(SUBSTITUTE('Raw Data'!E220," "," "))</f>
        <v>NonchalantSpirit</v>
      </c>
      <c r="F220" s="4" t="str">
        <f>TRIM(PROPER('Raw Data'!F220))</f>
        <v>Twitter</v>
      </c>
      <c r="G220" s="8" t="str">
        <f>TRIM(CLEAN('Raw Data'!G220))</f>
        <v>#Indifference #DriftingThroughLife</v>
      </c>
      <c r="H220" s="12">
        <f>'Raw Data'!H220</f>
        <v>9</v>
      </c>
      <c r="I220" s="12">
        <v>45</v>
      </c>
      <c r="J220" s="12" t="str">
        <f>TRIM(UPPER('Raw Data'!J220))</f>
        <v>UK</v>
      </c>
      <c r="K220" s="12">
        <f>'Raw Data'!K220</f>
        <v>2023</v>
      </c>
      <c r="L220" s="12">
        <f>'Raw Data'!L220</f>
        <v>2</v>
      </c>
      <c r="M220" s="12">
        <f>'Raw Data'!M220</f>
        <v>10</v>
      </c>
      <c r="N220">
        <f>'Raw Data'!N220</f>
        <v>17</v>
      </c>
    </row>
    <row r="221" spans="1:14" ht="30" x14ac:dyDescent="0.25">
      <c r="A221" s="11">
        <f>'Raw Data'!A221</f>
        <v>219</v>
      </c>
      <c r="B221" s="8" t="str">
        <f>TRIM(CLEAN('Raw Data'!B221))</f>
        <v>Wrestling with thoughts, a perplexed mind lost in the labyrinth of life's complexities.</v>
      </c>
      <c r="C221" s="4" t="str">
        <f>TRIM(PROPER('Raw Data'!C221))</f>
        <v>Confusion</v>
      </c>
      <c r="D221" s="5">
        <f>'Raw Data'!D221</f>
        <v>44048.510416666664</v>
      </c>
      <c r="E221" s="4" t="str">
        <f>TRIM(SUBSTITUTE('Raw Data'!E221," "," "))</f>
        <v>ComplexThinker</v>
      </c>
      <c r="F221" s="4" t="str">
        <f>TRIM(PROPER('Raw Data'!F221))</f>
        <v>Instagram</v>
      </c>
      <c r="G221" s="8" t="str">
        <f>TRIM(CLEAN('Raw Data'!G221))</f>
        <v>#Confusion #PerplexedMind</v>
      </c>
      <c r="H221" s="12">
        <f>'Raw Data'!H221</f>
        <v>14</v>
      </c>
      <c r="I221" s="12">
        <v>18</v>
      </c>
      <c r="J221" s="12" t="str">
        <f>TRIM(UPPER('Raw Data'!J221))</f>
        <v>AUSTRALIA</v>
      </c>
      <c r="K221" s="12">
        <f>'Raw Data'!K221</f>
        <v>2020</v>
      </c>
      <c r="L221" s="12">
        <f>'Raw Data'!L221</f>
        <v>8</v>
      </c>
      <c r="M221" s="12">
        <f>'Raw Data'!M221</f>
        <v>5</v>
      </c>
      <c r="N221">
        <f>'Raw Data'!N221</f>
        <v>12</v>
      </c>
    </row>
    <row r="222" spans="1:14" ht="30" x14ac:dyDescent="0.25">
      <c r="A222" s="11">
        <f>'Raw Data'!A222</f>
        <v>220</v>
      </c>
      <c r="B222" s="8" t="str">
        <f>TRIM(CLEAN('Raw Data'!B222))</f>
        <v>Immersed in a state of emotional numbness, a shield against the storm of daily struggles.</v>
      </c>
      <c r="C222" s="4" t="str">
        <f>TRIM(PROPER('Raw Data'!C222))</f>
        <v>Numbness</v>
      </c>
      <c r="D222" s="5">
        <f>'Raw Data'!D222</f>
        <v>44531.645833333336</v>
      </c>
      <c r="E222" s="4" t="str">
        <f>TRIM(SUBSTITUTE('Raw Data'!E222," "," "))</f>
        <v>ShieldedHeart</v>
      </c>
      <c r="F222" s="4" t="str">
        <f>TRIM(PROPER('Raw Data'!F222))</f>
        <v>Facebook</v>
      </c>
      <c r="G222" s="8" t="str">
        <f>TRIM(CLEAN('Raw Data'!G222))</f>
        <v>#Numbness #EmotionalShield</v>
      </c>
      <c r="H222" s="12">
        <f>'Raw Data'!H222</f>
        <v>10</v>
      </c>
      <c r="I222" s="12">
        <v>28</v>
      </c>
      <c r="J222" s="12" t="str">
        <f>TRIM(UPPER('Raw Data'!J222))</f>
        <v>USA</v>
      </c>
      <c r="K222" s="12">
        <f>'Raw Data'!K222</f>
        <v>2021</v>
      </c>
      <c r="L222" s="12">
        <f>'Raw Data'!L222</f>
        <v>12</v>
      </c>
      <c r="M222" s="12">
        <f>'Raw Data'!M222</f>
        <v>1</v>
      </c>
      <c r="N222">
        <f>'Raw Data'!N222</f>
        <v>15</v>
      </c>
    </row>
    <row r="223" spans="1:14" ht="30" x14ac:dyDescent="0.25">
      <c r="A223" s="11">
        <f>'Raw Data'!A223</f>
        <v>221</v>
      </c>
      <c r="B223" s="8" t="str">
        <f>TRIM(CLEAN('Raw Data'!B223))</f>
        <v>A melancholic symphony playing in the background, the soundtrack of a wistful heart.</v>
      </c>
      <c r="C223" s="4" t="str">
        <f>TRIM(PROPER('Raw Data'!C223))</f>
        <v>Melancholy</v>
      </c>
      <c r="D223" s="5">
        <f>'Raw Data'!D223</f>
        <v>43549.875</v>
      </c>
      <c r="E223" s="4" t="str">
        <f>TRIM(SUBSTITUTE('Raw Data'!E223," "," "))</f>
        <v>SymphonySoul</v>
      </c>
      <c r="F223" s="4" t="str">
        <f>TRIM(PROPER('Raw Data'!F223))</f>
        <v>Twitter</v>
      </c>
      <c r="G223" s="8" t="str">
        <f>TRIM(CLEAN('Raw Data'!G223))</f>
        <v>#Melancholy #WistfulHeart</v>
      </c>
      <c r="H223" s="12">
        <f>'Raw Data'!H223</f>
        <v>13</v>
      </c>
      <c r="I223" s="12">
        <v>20</v>
      </c>
      <c r="J223" s="12" t="str">
        <f>TRIM(UPPER('Raw Data'!J223))</f>
        <v>CANADA</v>
      </c>
      <c r="K223" s="12">
        <f>'Raw Data'!K223</f>
        <v>2019</v>
      </c>
      <c r="L223" s="12">
        <f>'Raw Data'!L223</f>
        <v>3</v>
      </c>
      <c r="M223" s="12">
        <f>'Raw Data'!M223</f>
        <v>25</v>
      </c>
      <c r="N223">
        <f>'Raw Data'!N223</f>
        <v>21</v>
      </c>
    </row>
    <row r="224" spans="1:14" ht="30" x14ac:dyDescent="0.25">
      <c r="A224" s="11">
        <f>'Raw Data'!A224</f>
        <v>222</v>
      </c>
      <c r="B224" s="8" t="str">
        <f>TRIM(CLEAN('Raw Data'!B224))</f>
        <v>Flipping through the pages of an old yearbook, nostalgia painting smiles and tears on my face.</v>
      </c>
      <c r="C224" s="4" t="str">
        <f>TRIM(PROPER('Raw Data'!C224))</f>
        <v>Nostalgia</v>
      </c>
      <c r="D224" s="5">
        <f>'Raw Data'!D224</f>
        <v>42904.614583333336</v>
      </c>
      <c r="E224" s="4" t="str">
        <f>TRIM(SUBSTITUTE('Raw Data'!E224," "," "))</f>
        <v>YearbookExplorer</v>
      </c>
      <c r="F224" s="4" t="str">
        <f>TRIM(PROPER('Raw Data'!F224))</f>
        <v>Instagram</v>
      </c>
      <c r="G224" s="8" t="str">
        <f>TRIM(CLEAN('Raw Data'!G224))</f>
        <v>#Nostalgia #YearbookMemories</v>
      </c>
      <c r="H224" s="12">
        <f>'Raw Data'!H224</f>
        <v>12</v>
      </c>
      <c r="I224" s="12">
        <v>26</v>
      </c>
      <c r="J224" s="12" t="str">
        <f>TRIM(UPPER('Raw Data'!J224))</f>
        <v>INDIA</v>
      </c>
      <c r="K224" s="12">
        <f>'Raw Data'!K224</f>
        <v>2017</v>
      </c>
      <c r="L224" s="12">
        <f>'Raw Data'!L224</f>
        <v>6</v>
      </c>
      <c r="M224" s="12">
        <f>'Raw Data'!M224</f>
        <v>18</v>
      </c>
      <c r="N224">
        <f>'Raw Data'!N224</f>
        <v>14</v>
      </c>
    </row>
    <row r="225" spans="1:14" ht="30" x14ac:dyDescent="0.25">
      <c r="A225" s="11">
        <f>'Raw Data'!A225</f>
        <v>223</v>
      </c>
      <c r="B225" s="8" t="str">
        <f>TRIM(CLEAN('Raw Data'!B225))</f>
        <v>Torn between opposing emotions, an ambivalence that colors my decisions with shades of uncertainty.</v>
      </c>
      <c r="C225" s="4" t="str">
        <f>TRIM(PROPER('Raw Data'!C225))</f>
        <v>Ambivalence</v>
      </c>
      <c r="D225" s="5">
        <f>'Raw Data'!D225</f>
        <v>44750.479166666664</v>
      </c>
      <c r="E225" s="4" t="str">
        <f>TRIM(SUBSTITUTE('Raw Data'!E225," "," "))</f>
        <v>DecisiveDilemma</v>
      </c>
      <c r="F225" s="4" t="str">
        <f>TRIM(PROPER('Raw Data'!F225))</f>
        <v>Facebook</v>
      </c>
      <c r="G225" s="8" t="str">
        <f>TRIM(CLEAN('Raw Data'!G225))</f>
        <v>#Ambivalence #ShadesOfUncertainty</v>
      </c>
      <c r="H225" s="12">
        <f>'Raw Data'!H225</f>
        <v>15</v>
      </c>
      <c r="I225" s="12">
        <v>25</v>
      </c>
      <c r="J225" s="12" t="str">
        <f>TRIM(UPPER('Raw Data'!J225))</f>
        <v>AUSTRALIA</v>
      </c>
      <c r="K225" s="12">
        <f>'Raw Data'!K225</f>
        <v>2022</v>
      </c>
      <c r="L225" s="12">
        <f>'Raw Data'!L225</f>
        <v>7</v>
      </c>
      <c r="M225" s="12">
        <f>'Raw Data'!M225</f>
        <v>8</v>
      </c>
      <c r="N225">
        <f>'Raw Data'!N225</f>
        <v>11</v>
      </c>
    </row>
    <row r="226" spans="1:14" ht="30" x14ac:dyDescent="0.25">
      <c r="A226" s="11">
        <f>'Raw Data'!A226</f>
        <v>224</v>
      </c>
      <c r="B226" s="8" t="str">
        <f>TRIM(CLEAN('Raw Data'!B226))</f>
        <v>Embracing life's imperfections, finding acceptance in the journey, scars and all.</v>
      </c>
      <c r="C226" s="4" t="str">
        <f>TRIM(PROPER('Raw Data'!C226))</f>
        <v>Acceptance</v>
      </c>
      <c r="D226" s="5">
        <f>'Raw Data'!D226</f>
        <v>45061.680555555555</v>
      </c>
      <c r="E226" s="4" t="str">
        <f>TRIM(SUBSTITUTE('Raw Data'!E226," "," "))</f>
        <v>ImperfectHarmony</v>
      </c>
      <c r="F226" s="4" t="str">
        <f>TRIM(PROPER('Raw Data'!F226))</f>
        <v>Twitter</v>
      </c>
      <c r="G226" s="8" t="str">
        <f>TRIM(CLEAN('Raw Data'!G226))</f>
        <v>#Acceptance #ImperfectJourney</v>
      </c>
      <c r="H226" s="12">
        <f>'Raw Data'!H226</f>
        <v>18</v>
      </c>
      <c r="I226" s="12">
        <v>30</v>
      </c>
      <c r="J226" s="12" t="str">
        <f>TRIM(UPPER('Raw Data'!J226))</f>
        <v>CANADA</v>
      </c>
      <c r="K226" s="12">
        <f>'Raw Data'!K226</f>
        <v>2023</v>
      </c>
      <c r="L226" s="12">
        <f>'Raw Data'!L226</f>
        <v>5</v>
      </c>
      <c r="M226" s="12">
        <f>'Raw Data'!M226</f>
        <v>15</v>
      </c>
      <c r="N226">
        <f>'Raw Data'!N226</f>
        <v>16</v>
      </c>
    </row>
    <row r="227" spans="1:14" ht="30" x14ac:dyDescent="0.25">
      <c r="A227" s="11">
        <f>'Raw Data'!A227</f>
        <v>225</v>
      </c>
      <c r="B227" s="8" t="str">
        <f>TRIM(CLEAN('Raw Data'!B227))</f>
        <v>A fiery determination burning within, fueled by the vision of reaching unparalleled heights.</v>
      </c>
      <c r="C227" s="4" t="str">
        <f>TRIM(PROPER('Raw Data'!C227))</f>
        <v>Determination</v>
      </c>
      <c r="D227" s="5">
        <f>'Raw Data'!D227</f>
        <v>44449.614583333336</v>
      </c>
      <c r="E227" s="4" t="str">
        <f>TRIM(SUBSTITUTE('Raw Data'!E227," "," "))</f>
        <v>VisionarySpirit</v>
      </c>
      <c r="F227" s="4" t="str">
        <f>TRIM(PROPER('Raw Data'!F227))</f>
        <v>Instagram</v>
      </c>
      <c r="G227" s="8" t="str">
        <f>TRIM(CLEAN('Raw Data'!G227))</f>
        <v>#Determination #UnparalleledHeights</v>
      </c>
      <c r="H227" s="12">
        <f>'Raw Data'!H227</f>
        <v>20</v>
      </c>
      <c r="I227" s="12">
        <v>36</v>
      </c>
      <c r="J227" s="12" t="str">
        <f>TRIM(UPPER('Raw Data'!J227))</f>
        <v>UK</v>
      </c>
      <c r="K227" s="12">
        <f>'Raw Data'!K227</f>
        <v>2021</v>
      </c>
      <c r="L227" s="12">
        <f>'Raw Data'!L227</f>
        <v>9</v>
      </c>
      <c r="M227" s="12">
        <f>'Raw Data'!M227</f>
        <v>10</v>
      </c>
      <c r="N227">
        <f>'Raw Data'!N227</f>
        <v>14</v>
      </c>
    </row>
    <row r="228" spans="1:14" ht="30" x14ac:dyDescent="0.25">
      <c r="A228" s="11">
        <f>'Raw Data'!A228</f>
        <v>226</v>
      </c>
      <c r="B228" s="8" t="str">
        <f>TRIM(CLEAN('Raw Data'!B228))</f>
        <v>Basking in the serenity of a quiet forest, where the whispers of nature bring peace to the soul.</v>
      </c>
      <c r="C228" s="4" t="str">
        <f>TRIM(PROPER('Raw Data'!C228))</f>
        <v>Serenity</v>
      </c>
      <c r="D228" s="5">
        <f>'Raw Data'!D228</f>
        <v>43889.770833333336</v>
      </c>
      <c r="E228" s="4" t="str">
        <f>TRIM(SUBSTITUTE('Raw Data'!E228," "," "))</f>
        <v>ForestDreamer</v>
      </c>
      <c r="F228" s="4" t="str">
        <f>TRIM(PROPER('Raw Data'!F228))</f>
        <v>Facebook</v>
      </c>
      <c r="G228" s="8" t="str">
        <f>TRIM(CLEAN('Raw Data'!G228))</f>
        <v>#Serenity #NatureWhispers</v>
      </c>
      <c r="H228" s="12">
        <f>'Raw Data'!H228</f>
        <v>25</v>
      </c>
      <c r="I228" s="12">
        <v>40</v>
      </c>
      <c r="J228" s="12" t="str">
        <f>TRIM(UPPER('Raw Data'!J228))</f>
        <v>USA</v>
      </c>
      <c r="K228" s="12">
        <f>'Raw Data'!K228</f>
        <v>2020</v>
      </c>
      <c r="L228" s="12">
        <f>'Raw Data'!L228</f>
        <v>2</v>
      </c>
      <c r="M228" s="12">
        <f>'Raw Data'!M228</f>
        <v>28</v>
      </c>
      <c r="N228">
        <f>'Raw Data'!N228</f>
        <v>18</v>
      </c>
    </row>
    <row r="229" spans="1:14" ht="30" x14ac:dyDescent="0.25">
      <c r="A229" s="11">
        <f>'Raw Data'!A229</f>
        <v>227</v>
      </c>
      <c r="B229" s="8" t="str">
        <f>TRIM(CLEAN('Raw Data'!B229))</f>
        <v>Indifferent to the noise of the world, a silent observer in the midst of life's cacophony.</v>
      </c>
      <c r="C229" s="4" t="str">
        <f>TRIM(PROPER('Raw Data'!C229))</f>
        <v>Indifference</v>
      </c>
      <c r="D229" s="5">
        <f>'Raw Data'!D229</f>
        <v>44995.6875</v>
      </c>
      <c r="E229" s="4" t="str">
        <f>TRIM(SUBSTITUTE('Raw Data'!E229," "," "))</f>
        <v>SilentSpectator</v>
      </c>
      <c r="F229" s="4" t="str">
        <f>TRIM(PROPER('Raw Data'!F229))</f>
        <v>Instagram</v>
      </c>
      <c r="G229" s="8" t="str">
        <f>TRIM(CLEAN('Raw Data'!G229))</f>
        <v>#Indifference #SilentObserver</v>
      </c>
      <c r="H229" s="12">
        <f>'Raw Data'!H229</f>
        <v>9</v>
      </c>
      <c r="I229" s="12">
        <v>50</v>
      </c>
      <c r="J229" s="12" t="str">
        <f>TRIM(UPPER('Raw Data'!J229))</f>
        <v>INDIA</v>
      </c>
      <c r="K229" s="12">
        <f>'Raw Data'!K229</f>
        <v>2023</v>
      </c>
      <c r="L229" s="12">
        <f>'Raw Data'!L229</f>
        <v>3</v>
      </c>
      <c r="M229" s="12">
        <f>'Raw Data'!M229</f>
        <v>10</v>
      </c>
      <c r="N229">
        <f>'Raw Data'!N229</f>
        <v>16</v>
      </c>
    </row>
    <row r="230" spans="1:14" ht="30" x14ac:dyDescent="0.25">
      <c r="A230" s="11">
        <f>'Raw Data'!A230</f>
        <v>228</v>
      </c>
      <c r="B230" s="8" t="str">
        <f>TRIM(CLEAN('Raw Data'!B230))</f>
        <v>Navigating through the labyrinth of thoughts, confusion a constant companion in the maze of ideas.</v>
      </c>
      <c r="C230" s="4" t="str">
        <f>TRIM(PROPER('Raw Data'!C230))</f>
        <v>Confusion</v>
      </c>
      <c r="D230" s="5">
        <f>'Raw Data'!D230</f>
        <v>44318.489583333336</v>
      </c>
      <c r="E230" s="4" t="str">
        <f>TRIM(SUBSTITUTE('Raw Data'!E230," "," "))</f>
        <v>MazeNavigator</v>
      </c>
      <c r="F230" s="4" t="str">
        <f>TRIM(PROPER('Raw Data'!F230))</f>
        <v>Facebook</v>
      </c>
      <c r="G230" s="8" t="str">
        <f>TRIM(CLEAN('Raw Data'!G230))</f>
        <v>#Confusion #ThoughtLabyrinth</v>
      </c>
      <c r="H230" s="12">
        <f>'Raw Data'!H230</f>
        <v>14</v>
      </c>
      <c r="I230" s="12">
        <v>18</v>
      </c>
      <c r="J230" s="12" t="str">
        <f>TRIM(UPPER('Raw Data'!J230))</f>
        <v>AUSTRALIA</v>
      </c>
      <c r="K230" s="12">
        <f>'Raw Data'!K230</f>
        <v>2021</v>
      </c>
      <c r="L230" s="12">
        <f>'Raw Data'!L230</f>
        <v>5</v>
      </c>
      <c r="M230" s="12">
        <f>'Raw Data'!M230</f>
        <v>2</v>
      </c>
      <c r="N230">
        <f>'Raw Data'!N230</f>
        <v>11</v>
      </c>
    </row>
    <row r="231" spans="1:14" ht="30" x14ac:dyDescent="0.25">
      <c r="A231" s="11">
        <f>'Raw Data'!A231</f>
        <v>229</v>
      </c>
      <c r="B231" s="8" t="str">
        <f>TRIM(CLEAN('Raw Data'!B231))</f>
        <v>An impenetrable numbness shields me from the emotional storms, a fortress of stoic resilience.</v>
      </c>
      <c r="C231" s="4" t="str">
        <f>TRIM(PROPER('Raw Data'!C231))</f>
        <v>Numbness</v>
      </c>
      <c r="D231" s="5">
        <f>'Raw Data'!D231</f>
        <v>43756.604166666664</v>
      </c>
      <c r="E231" s="4" t="str">
        <f>TRIM(SUBSTITUTE('Raw Data'!E231," "," "))</f>
        <v>ResilientFortress</v>
      </c>
      <c r="F231" s="4" t="str">
        <f>TRIM(PROPER('Raw Data'!F231))</f>
        <v>Twitter</v>
      </c>
      <c r="G231" s="8" t="str">
        <f>TRIM(CLEAN('Raw Data'!G231))</f>
        <v>#Numbness #StoicResilience</v>
      </c>
      <c r="H231" s="12">
        <f>'Raw Data'!H231</f>
        <v>11</v>
      </c>
      <c r="I231" s="12">
        <v>28</v>
      </c>
      <c r="J231" s="12" t="str">
        <f>TRIM(UPPER('Raw Data'!J231))</f>
        <v>UK</v>
      </c>
      <c r="K231" s="12">
        <f>'Raw Data'!K231</f>
        <v>2019</v>
      </c>
      <c r="L231" s="12">
        <f>'Raw Data'!L231</f>
        <v>10</v>
      </c>
      <c r="M231" s="12">
        <f>'Raw Data'!M231</f>
        <v>18</v>
      </c>
      <c r="N231">
        <f>'Raw Data'!N231</f>
        <v>14</v>
      </c>
    </row>
    <row r="232" spans="1:14" ht="30" x14ac:dyDescent="0.25">
      <c r="A232" s="11">
        <f>'Raw Data'!A232</f>
        <v>230</v>
      </c>
      <c r="B232" s="8" t="str">
        <f>TRIM(CLEAN('Raw Data'!B232))</f>
        <v>Melancholy painting the world in hues of nostalgia, a canvas of bittersweet memories.</v>
      </c>
      <c r="C232" s="4" t="str">
        <f>TRIM(PROPER('Raw Data'!C232))</f>
        <v>Melancholy</v>
      </c>
      <c r="D232" s="5">
        <f>'Raw Data'!D232</f>
        <v>43835.833333333336</v>
      </c>
      <c r="E232" s="4" t="str">
        <f>TRIM(SUBSTITUTE('Raw Data'!E232," "," "))</f>
        <v>CanvasDreamer</v>
      </c>
      <c r="F232" s="4" t="str">
        <f>TRIM(PROPER('Raw Data'!F232))</f>
        <v>Instagram</v>
      </c>
      <c r="G232" s="8" t="str">
        <f>TRIM(CLEAN('Raw Data'!G232))</f>
        <v>#Melancholy #BittersweetMemories</v>
      </c>
      <c r="H232" s="12">
        <f>'Raw Data'!H232</f>
        <v>13</v>
      </c>
      <c r="I232" s="12">
        <v>22</v>
      </c>
      <c r="J232" s="12" t="str">
        <f>TRIM(UPPER('Raw Data'!J232))</f>
        <v>USA</v>
      </c>
      <c r="K232" s="12">
        <f>'Raw Data'!K232</f>
        <v>2020</v>
      </c>
      <c r="L232" s="12">
        <f>'Raw Data'!L232</f>
        <v>1</v>
      </c>
      <c r="M232" s="12">
        <f>'Raw Data'!M232</f>
        <v>5</v>
      </c>
      <c r="N232">
        <f>'Raw Data'!N232</f>
        <v>20</v>
      </c>
    </row>
    <row r="233" spans="1:14" ht="30" x14ac:dyDescent="0.25">
      <c r="A233" s="11">
        <f>'Raw Data'!A233</f>
        <v>231</v>
      </c>
      <c r="B233" s="8" t="str">
        <f>TRIM(CLEAN('Raw Data'!B233))</f>
        <v>A journey into the past, flipping through the pages of an old diary, nostalgia taking the lead.</v>
      </c>
      <c r="C233" s="4" t="str">
        <f>TRIM(PROPER('Raw Data'!C233))</f>
        <v>Nostalgia</v>
      </c>
      <c r="D233" s="5">
        <f>'Raw Data'!D233</f>
        <v>43322.65625</v>
      </c>
      <c r="E233" s="4" t="str">
        <f>TRIM(SUBSTITUTE('Raw Data'!E233," "," "))</f>
        <v>DiaryExplorer</v>
      </c>
      <c r="F233" s="4" t="str">
        <f>TRIM(PROPER('Raw Data'!F233))</f>
        <v>Facebook</v>
      </c>
      <c r="G233" s="8" t="str">
        <f>TRIM(CLEAN('Raw Data'!G233))</f>
        <v>#Nostalgia #DiaryJourney</v>
      </c>
      <c r="H233" s="12">
        <f>'Raw Data'!H233</f>
        <v>12</v>
      </c>
      <c r="I233" s="12">
        <v>26</v>
      </c>
      <c r="J233" s="12" t="str">
        <f>TRIM(UPPER('Raw Data'!J233))</f>
        <v>CANADA</v>
      </c>
      <c r="K233" s="12">
        <f>'Raw Data'!K233</f>
        <v>2018</v>
      </c>
      <c r="L233" s="12">
        <f>'Raw Data'!L233</f>
        <v>8</v>
      </c>
      <c r="M233" s="12">
        <f>'Raw Data'!M233</f>
        <v>10</v>
      </c>
      <c r="N233">
        <f>'Raw Data'!N233</f>
        <v>15</v>
      </c>
    </row>
    <row r="234" spans="1:14" ht="30" x14ac:dyDescent="0.25">
      <c r="A234" s="11">
        <f>'Raw Data'!A234</f>
        <v>232</v>
      </c>
      <c r="B234" s="8" t="str">
        <f>TRIM(CLEAN('Raw Data'!B234))</f>
        <v>Ambivalence clouding decisions, caught in the crossroads of conflicting emotions.</v>
      </c>
      <c r="C234" s="4" t="str">
        <f>TRIM(PROPER('Raw Data'!C234))</f>
        <v>Ambivalence</v>
      </c>
      <c r="D234" s="5">
        <f>'Raw Data'!D234</f>
        <v>44576.4375</v>
      </c>
      <c r="E234" s="4" t="str">
        <f>TRIM(SUBSTITUTE('Raw Data'!E234," "," "))</f>
        <v>CrossroadsTraveler</v>
      </c>
      <c r="F234" s="4" t="str">
        <f>TRIM(PROPER('Raw Data'!F234))</f>
        <v>Twitter</v>
      </c>
      <c r="G234" s="8" t="str">
        <f>TRIM(CLEAN('Raw Data'!G234))</f>
        <v>#Ambivalence #ConflictingEmotions</v>
      </c>
      <c r="H234" s="12">
        <f>'Raw Data'!H234</f>
        <v>15</v>
      </c>
      <c r="I234" s="12">
        <v>25</v>
      </c>
      <c r="J234" s="12" t="str">
        <f>TRIM(UPPER('Raw Data'!J234))</f>
        <v>INDIA</v>
      </c>
      <c r="K234" s="12">
        <f>'Raw Data'!K234</f>
        <v>2022</v>
      </c>
      <c r="L234" s="12">
        <f>'Raw Data'!L234</f>
        <v>1</v>
      </c>
      <c r="M234" s="12">
        <f>'Raw Data'!M234</f>
        <v>15</v>
      </c>
      <c r="N234">
        <f>'Raw Data'!N234</f>
        <v>10</v>
      </c>
    </row>
    <row r="235" spans="1:14" ht="30" x14ac:dyDescent="0.25">
      <c r="A235" s="11">
        <f>'Raw Data'!A235</f>
        <v>233</v>
      </c>
      <c r="B235" s="8" t="str">
        <f>TRIM(CLEAN('Raw Data'!B235))</f>
        <v>Embracing imperfections, finding acceptance in the mosaic of life's beautiful chaos.</v>
      </c>
      <c r="C235" s="4" t="str">
        <f>TRIM(PROPER('Raw Data'!C235))</f>
        <v>Acceptance</v>
      </c>
      <c r="D235" s="5">
        <f>'Raw Data'!D235</f>
        <v>44397.680555555555</v>
      </c>
      <c r="E235" s="4" t="str">
        <f>TRIM(SUBSTITUTE('Raw Data'!E235," "," "))</f>
        <v>MosaicDreamer</v>
      </c>
      <c r="F235" s="4" t="str">
        <f>TRIM(PROPER('Raw Data'!F235))</f>
        <v>Instagram</v>
      </c>
      <c r="G235" s="8" t="str">
        <f>TRIM(CLEAN('Raw Data'!G235))</f>
        <v>#Acceptance #BeautifulChaos</v>
      </c>
      <c r="H235" s="12">
        <f>'Raw Data'!H235</f>
        <v>18</v>
      </c>
      <c r="I235" s="12">
        <v>30</v>
      </c>
      <c r="J235" s="12" t="str">
        <f>TRIM(UPPER('Raw Data'!J235))</f>
        <v>AUSTRALIA</v>
      </c>
      <c r="K235" s="12">
        <f>'Raw Data'!K235</f>
        <v>2021</v>
      </c>
      <c r="L235" s="12">
        <f>'Raw Data'!L235</f>
        <v>7</v>
      </c>
      <c r="M235" s="12">
        <f>'Raw Data'!M235</f>
        <v>20</v>
      </c>
      <c r="N235">
        <f>'Raw Data'!N235</f>
        <v>16</v>
      </c>
    </row>
    <row r="236" spans="1:14" ht="30" x14ac:dyDescent="0.25">
      <c r="A236" s="11">
        <f>'Raw Data'!A236</f>
        <v>234</v>
      </c>
      <c r="B236" s="8" t="str">
        <f>TRIM(CLEAN('Raw Data'!B236))</f>
        <v>Determination as the driving force, propelling me forward on the path to extraordinary achievements.</v>
      </c>
      <c r="C236" s="4" t="str">
        <f>TRIM(PROPER('Raw Data'!C236))</f>
        <v>Determination</v>
      </c>
      <c r="D236" s="5">
        <f>'Raw Data'!D236</f>
        <v>43802.572916666664</v>
      </c>
      <c r="E236" s="4" t="str">
        <f>TRIM(SUBSTITUTE('Raw Data'!E236," "," "))</f>
        <v>PathfinderSpirit</v>
      </c>
      <c r="F236" s="4" t="str">
        <f>TRIM(PROPER('Raw Data'!F236))</f>
        <v>Facebook</v>
      </c>
      <c r="G236" s="8" t="str">
        <f>TRIM(CLEAN('Raw Data'!G236))</f>
        <v>#Determination #ExtraordinaryPath</v>
      </c>
      <c r="H236" s="12">
        <f>'Raw Data'!H236</f>
        <v>20</v>
      </c>
      <c r="I236" s="12">
        <v>36</v>
      </c>
      <c r="J236" s="12" t="str">
        <f>TRIM(UPPER('Raw Data'!J236))</f>
        <v>USA</v>
      </c>
      <c r="K236" s="12">
        <f>'Raw Data'!K236</f>
        <v>2019</v>
      </c>
      <c r="L236" s="12">
        <f>'Raw Data'!L236</f>
        <v>12</v>
      </c>
      <c r="M236" s="12">
        <f>'Raw Data'!M236</f>
        <v>3</v>
      </c>
      <c r="N236">
        <f>'Raw Data'!N236</f>
        <v>13</v>
      </c>
    </row>
    <row r="237" spans="1:14" ht="30" x14ac:dyDescent="0.25">
      <c r="A237" s="11">
        <f>'Raw Data'!A237</f>
        <v>235</v>
      </c>
      <c r="B237" s="8" t="str">
        <f>TRIM(CLEAN('Raw Data'!B237))</f>
        <v>Seeking serenity in the melody of raindrops, a tranquil escape from the noise of everyday life.</v>
      </c>
      <c r="C237" s="4" t="str">
        <f>TRIM(PROPER('Raw Data'!C237))</f>
        <v>Serenity</v>
      </c>
      <c r="D237" s="5">
        <f>'Raw Data'!D237</f>
        <v>43933.8125</v>
      </c>
      <c r="E237" s="4" t="str">
        <f>TRIM(SUBSTITUTE('Raw Data'!E237," "," "))</f>
        <v>RaindropHarmony</v>
      </c>
      <c r="F237" s="4" t="str">
        <f>TRIM(PROPER('Raw Data'!F237))</f>
        <v>Twitter</v>
      </c>
      <c r="G237" s="8" t="str">
        <f>TRIM(CLEAN('Raw Data'!G237))</f>
        <v>#Serenity #RaindropMelody</v>
      </c>
      <c r="H237" s="12">
        <f>'Raw Data'!H237</f>
        <v>25</v>
      </c>
      <c r="I237" s="12">
        <v>40</v>
      </c>
      <c r="J237" s="12" t="str">
        <f>TRIM(UPPER('Raw Data'!J237))</f>
        <v>CANADA</v>
      </c>
      <c r="K237" s="12">
        <f>'Raw Data'!K237</f>
        <v>2020</v>
      </c>
      <c r="L237" s="12">
        <f>'Raw Data'!L237</f>
        <v>4</v>
      </c>
      <c r="M237" s="12">
        <f>'Raw Data'!M237</f>
        <v>12</v>
      </c>
      <c r="N237">
        <f>'Raw Data'!N237</f>
        <v>19</v>
      </c>
    </row>
    <row r="238" spans="1:14" ht="30" x14ac:dyDescent="0.25">
      <c r="A238" s="11">
        <f>'Raw Data'!A238</f>
        <v>236</v>
      </c>
      <c r="B238" s="8" t="str">
        <f>TRIM(CLEAN('Raw Data'!B238))</f>
        <v>Curiosity driving the exploration of the unknown, a seeker of knowledge in uncharted territories.</v>
      </c>
      <c r="C238" s="4" t="str">
        <f>TRIM(PROPER('Raw Data'!C238))</f>
        <v>Curiosity</v>
      </c>
      <c r="D238" s="5">
        <f>'Raw Data'!D238</f>
        <v>44689.364583333336</v>
      </c>
      <c r="E238" s="4" t="str">
        <f>TRIM(SUBSTITUTE('Raw Data'!E238," "," "))</f>
        <v>SeekerOfUnknowns</v>
      </c>
      <c r="F238" s="4" t="str">
        <f>TRIM(PROPER('Raw Data'!F238))</f>
        <v>Instagram</v>
      </c>
      <c r="G238" s="8" t="str">
        <f>TRIM(CLEAN('Raw Data'!G238))</f>
        <v>#Curiosity #SeekerOfKnowledge</v>
      </c>
      <c r="H238" s="12">
        <f>'Raw Data'!H238</f>
        <v>22</v>
      </c>
      <c r="I238" s="12">
        <v>50</v>
      </c>
      <c r="J238" s="12" t="str">
        <f>TRIM(UPPER('Raw Data'!J238))</f>
        <v>UK</v>
      </c>
      <c r="K238" s="12">
        <f>'Raw Data'!K238</f>
        <v>2022</v>
      </c>
      <c r="L238" s="12">
        <f>'Raw Data'!L238</f>
        <v>5</v>
      </c>
      <c r="M238" s="12">
        <f>'Raw Data'!M238</f>
        <v>8</v>
      </c>
      <c r="N238">
        <f>'Raw Data'!N238</f>
        <v>8</v>
      </c>
    </row>
    <row r="239" spans="1:14" ht="30" x14ac:dyDescent="0.25">
      <c r="A239" s="11">
        <f>'Raw Data'!A239</f>
        <v>237</v>
      </c>
      <c r="B239" s="8" t="str">
        <f>TRIM(CLEAN('Raw Data'!B239))</f>
        <v>Drifting through the day with an air of nonchalance, indifferent to the trivialities of life.</v>
      </c>
      <c r="C239" s="4" t="str">
        <f>TRIM(PROPER('Raw Data'!C239))</f>
        <v>Indifference</v>
      </c>
      <c r="D239" s="5">
        <f>'Raw Data'!D239</f>
        <v>44979.708333333336</v>
      </c>
      <c r="E239" s="4" t="str">
        <f>TRIM(SUBSTITUTE('Raw Data'!E239," "," "))</f>
        <v>NonchalantWanderer</v>
      </c>
      <c r="F239" s="4" t="str">
        <f>TRIM(PROPER('Raw Data'!F239))</f>
        <v>Facebook</v>
      </c>
      <c r="G239" s="8" t="str">
        <f>TRIM(CLEAN('Raw Data'!G239))</f>
        <v>#Indifference #DriftingThroughLife</v>
      </c>
      <c r="H239" s="12">
        <f>'Raw Data'!H239</f>
        <v>9</v>
      </c>
      <c r="I239" s="12">
        <v>45</v>
      </c>
      <c r="J239" s="12" t="str">
        <f>TRIM(UPPER('Raw Data'!J239))</f>
        <v>INDIA</v>
      </c>
      <c r="K239" s="12">
        <f>'Raw Data'!K239</f>
        <v>2023</v>
      </c>
      <c r="L239" s="12">
        <f>'Raw Data'!L239</f>
        <v>2</v>
      </c>
      <c r="M239" s="12">
        <f>'Raw Data'!M239</f>
        <v>22</v>
      </c>
      <c r="N239">
        <f>'Raw Data'!N239</f>
        <v>17</v>
      </c>
    </row>
    <row r="240" spans="1:14" ht="30" x14ac:dyDescent="0.25">
      <c r="A240" s="11">
        <f>'Raw Data'!A240</f>
        <v>238</v>
      </c>
      <c r="B240" s="8" t="str">
        <f>TRIM(CLEAN('Raw Data'!B240))</f>
        <v>Lost in the labyrinth of thoughts, confusion casting shadows on the quest for clarity.</v>
      </c>
      <c r="C240" s="4" t="str">
        <f>TRIM(PROPER('Raw Data'!C240))</f>
        <v>Confusion</v>
      </c>
      <c r="D240" s="5">
        <f>'Raw Data'!D240</f>
        <v>43987.510416666664</v>
      </c>
      <c r="E240" s="4" t="str">
        <f>TRIM(SUBSTITUTE('Raw Data'!E240," "," "))</f>
        <v>ShadowedSeeker</v>
      </c>
      <c r="F240" s="4" t="str">
        <f>TRIM(PROPER('Raw Data'!F240))</f>
        <v>Twitter</v>
      </c>
      <c r="G240" s="8" t="str">
        <f>TRIM(CLEAN('Raw Data'!G240))</f>
        <v>#Confusion #LabyrinthOfThoughts</v>
      </c>
      <c r="H240" s="12">
        <f>'Raw Data'!H240</f>
        <v>14</v>
      </c>
      <c r="I240" s="12">
        <v>18</v>
      </c>
      <c r="J240" s="12" t="str">
        <f>TRIM(UPPER('Raw Data'!J240))</f>
        <v>AUSTRALIA</v>
      </c>
      <c r="K240" s="12">
        <f>'Raw Data'!K240</f>
        <v>2020</v>
      </c>
      <c r="L240" s="12">
        <f>'Raw Data'!L240</f>
        <v>6</v>
      </c>
      <c r="M240" s="12">
        <f>'Raw Data'!M240</f>
        <v>5</v>
      </c>
      <c r="N240">
        <f>'Raw Data'!N240</f>
        <v>12</v>
      </c>
    </row>
    <row r="241" spans="1:14" ht="30" x14ac:dyDescent="0.25">
      <c r="A241" s="11">
        <f>'Raw Data'!A241</f>
        <v>239</v>
      </c>
      <c r="B241" s="8" t="str">
        <f>TRIM(CLEAN('Raw Data'!B241))</f>
        <v>Wrapped in the cloak of emotional numbness, a shield against the storms of life's turbulence.</v>
      </c>
      <c r="C241" s="4" t="str">
        <f>TRIM(PROPER('Raw Data'!C241))</f>
        <v>Numbness</v>
      </c>
      <c r="D241" s="5">
        <f>'Raw Data'!D241</f>
        <v>44530.645833333336</v>
      </c>
      <c r="E241" s="4" t="str">
        <f>TRIM(SUBSTITUTE('Raw Data'!E241," "," "))</f>
        <v>TurbulentShield</v>
      </c>
      <c r="F241" s="4" t="str">
        <f>TRIM(PROPER('Raw Data'!F241))</f>
        <v>Instagram</v>
      </c>
      <c r="G241" s="8" t="str">
        <f>TRIM(CLEAN('Raw Data'!G241))</f>
        <v>#Numbness #EmotionalStorms</v>
      </c>
      <c r="H241" s="12">
        <f>'Raw Data'!H241</f>
        <v>10</v>
      </c>
      <c r="I241" s="12">
        <v>28</v>
      </c>
      <c r="J241" s="12" t="str">
        <f>TRIM(UPPER('Raw Data'!J241))</f>
        <v>CANADA</v>
      </c>
      <c r="K241" s="12">
        <f>'Raw Data'!K241</f>
        <v>2021</v>
      </c>
      <c r="L241" s="12">
        <f>'Raw Data'!L241</f>
        <v>11</v>
      </c>
      <c r="M241" s="12">
        <f>'Raw Data'!M241</f>
        <v>30</v>
      </c>
      <c r="N241">
        <f>'Raw Data'!N241</f>
        <v>15</v>
      </c>
    </row>
    <row r="242" spans="1:14" ht="30" x14ac:dyDescent="0.25">
      <c r="A242" s="11">
        <f>'Raw Data'!A242</f>
        <v>240</v>
      </c>
      <c r="B242" s="8" t="str">
        <f>TRIM(CLEAN('Raw Data'!B242))</f>
        <v>Melancholy as a companion, painting the canvas of life with the brushstrokes of wistful yearning.</v>
      </c>
      <c r="C242" s="4" t="str">
        <f>TRIM(PROPER('Raw Data'!C242))</f>
        <v>Melancholy</v>
      </c>
      <c r="D242" s="5">
        <f>'Raw Data'!D242</f>
        <v>43521.875</v>
      </c>
      <c r="E242" s="4" t="str">
        <f>TRIM(SUBSTITUTE('Raw Data'!E242," "," "))</f>
        <v>WistfulPainter</v>
      </c>
      <c r="F242" s="4" t="str">
        <f>TRIM(PROPER('Raw Data'!F242))</f>
        <v>Facebook</v>
      </c>
      <c r="G242" s="8" t="str">
        <f>TRIM(CLEAN('Raw Data'!G242))</f>
        <v>#Melancholy #WistfulYearning</v>
      </c>
      <c r="H242" s="12">
        <f>'Raw Data'!H242</f>
        <v>13</v>
      </c>
      <c r="I242" s="12">
        <v>20</v>
      </c>
      <c r="J242" s="12" t="str">
        <f>TRIM(UPPER('Raw Data'!J242))</f>
        <v>UK</v>
      </c>
      <c r="K242" s="12">
        <f>'Raw Data'!K242</f>
        <v>2019</v>
      </c>
      <c r="L242" s="12">
        <f>'Raw Data'!L242</f>
        <v>2</v>
      </c>
      <c r="M242" s="12">
        <f>'Raw Data'!M242</f>
        <v>25</v>
      </c>
      <c r="N242">
        <f>'Raw Data'!N242</f>
        <v>21</v>
      </c>
    </row>
    <row r="243" spans="1:14" ht="30" x14ac:dyDescent="0.25">
      <c r="A243" s="11">
        <f>'Raw Data'!A243</f>
        <v>241</v>
      </c>
      <c r="B243" s="8" t="str">
        <f>TRIM(CLEAN('Raw Data'!B243))</f>
        <v>Leafing through the pages of an old photo album, nostalgia weaving tales of laughter and tears.</v>
      </c>
      <c r="C243" s="4" t="str">
        <f>TRIM(PROPER('Raw Data'!C243))</f>
        <v>Nostalgia</v>
      </c>
      <c r="D243" s="5">
        <f>'Raw Data'!D243</f>
        <v>42873.614583333336</v>
      </c>
      <c r="E243" s="4" t="str">
        <f>TRIM(SUBSTITUTE('Raw Data'!E243," "," "))</f>
        <v>TaleWeaver</v>
      </c>
      <c r="F243" s="4" t="str">
        <f>TRIM(PROPER('Raw Data'!F243))</f>
        <v>Twitter</v>
      </c>
      <c r="G243" s="8" t="str">
        <f>TRIM(CLEAN('Raw Data'!G243))</f>
        <v>#Nostalgia #PhotoAlbumStories</v>
      </c>
      <c r="H243" s="12">
        <f>'Raw Data'!H243</f>
        <v>12</v>
      </c>
      <c r="I243" s="12">
        <v>26</v>
      </c>
      <c r="J243" s="12" t="str">
        <f>TRIM(UPPER('Raw Data'!J243))</f>
        <v>USA</v>
      </c>
      <c r="K243" s="12">
        <f>'Raw Data'!K243</f>
        <v>2017</v>
      </c>
      <c r="L243" s="12">
        <f>'Raw Data'!L243</f>
        <v>5</v>
      </c>
      <c r="M243" s="12">
        <f>'Raw Data'!M243</f>
        <v>18</v>
      </c>
      <c r="N243">
        <f>'Raw Data'!N243</f>
        <v>14</v>
      </c>
    </row>
    <row r="244" spans="1:14" ht="30" x14ac:dyDescent="0.25">
      <c r="A244" s="11">
        <f>'Raw Data'!A244</f>
        <v>242</v>
      </c>
      <c r="B244" s="8" t="str">
        <f>TRIM(CLEAN('Raw Data'!B244))</f>
        <v>Ambivalence in the air, caught between the crossroads of conflicting emotions and decisions.</v>
      </c>
      <c r="C244" s="4" t="str">
        <f>TRIM(PROPER('Raw Data'!C244))</f>
        <v>Ambivalence</v>
      </c>
      <c r="D244" s="5">
        <f>'Raw Data'!D244</f>
        <v>44778.479166666664</v>
      </c>
      <c r="E244" s="4" t="str">
        <f>TRIM(SUBSTITUTE('Raw Data'!E244," "," "))</f>
        <v>CrossroadsExplorer</v>
      </c>
      <c r="F244" s="4" t="str">
        <f>TRIM(PROPER('Raw Data'!F244))</f>
        <v>Instagram</v>
      </c>
      <c r="G244" s="8" t="str">
        <f>TRIM(CLEAN('Raw Data'!G244))</f>
        <v>#Ambivalence #CrossroadsConfusion</v>
      </c>
      <c r="H244" s="12">
        <f>'Raw Data'!H244</f>
        <v>15</v>
      </c>
      <c r="I244" s="12">
        <v>25</v>
      </c>
      <c r="J244" s="12" t="str">
        <f>TRIM(UPPER('Raw Data'!J244))</f>
        <v>CANADA</v>
      </c>
      <c r="K244" s="12">
        <f>'Raw Data'!K244</f>
        <v>2022</v>
      </c>
      <c r="L244" s="12">
        <f>'Raw Data'!L244</f>
        <v>8</v>
      </c>
      <c r="M244" s="12">
        <f>'Raw Data'!M244</f>
        <v>5</v>
      </c>
      <c r="N244">
        <f>'Raw Data'!N244</f>
        <v>11</v>
      </c>
    </row>
    <row r="245" spans="1:14" ht="30" x14ac:dyDescent="0.25">
      <c r="A245" s="11">
        <f>'Raw Data'!A245</f>
        <v>243</v>
      </c>
      <c r="B245" s="8" t="str">
        <f>TRIM(CLEAN('Raw Data'!B245))</f>
        <v>Embracing the beauty in imperfections, finding acceptance in the mosaic of life's unpredictable art.</v>
      </c>
      <c r="C245" s="4" t="str">
        <f>TRIM(PROPER('Raw Data'!C245))</f>
        <v>Acceptance</v>
      </c>
      <c r="D245" s="5">
        <f>'Raw Data'!D245</f>
        <v>45092.680555555555</v>
      </c>
      <c r="E245" s="4" t="str">
        <f>TRIM(SUBSTITUTE('Raw Data'!E245," "," "))</f>
        <v>MosaicArtist</v>
      </c>
      <c r="F245" s="4" t="str">
        <f>TRIM(PROPER('Raw Data'!F245))</f>
        <v>Facebook</v>
      </c>
      <c r="G245" s="8" t="str">
        <f>TRIM(CLEAN('Raw Data'!G245))</f>
        <v>#Acceptance #UnpredictableArt</v>
      </c>
      <c r="H245" s="12">
        <f>'Raw Data'!H245</f>
        <v>18</v>
      </c>
      <c r="I245" s="12">
        <v>30</v>
      </c>
      <c r="J245" s="12" t="str">
        <f>TRIM(UPPER('Raw Data'!J245))</f>
        <v>AUSTRALIA</v>
      </c>
      <c r="K245" s="12">
        <f>'Raw Data'!K245</f>
        <v>2023</v>
      </c>
      <c r="L245" s="12">
        <f>'Raw Data'!L245</f>
        <v>6</v>
      </c>
      <c r="M245" s="12">
        <f>'Raw Data'!M245</f>
        <v>15</v>
      </c>
      <c r="N245">
        <f>'Raw Data'!N245</f>
        <v>16</v>
      </c>
    </row>
    <row r="246" spans="1:14" ht="30" x14ac:dyDescent="0.25">
      <c r="A246" s="11">
        <f>'Raw Data'!A246</f>
        <v>244</v>
      </c>
      <c r="B246" s="8" t="str">
        <f>TRIM(CLEAN('Raw Data'!B246))</f>
        <v>Determination ablaze, forging a path through challenges, sculpting dreams into tangible realities.</v>
      </c>
      <c r="C246" s="4" t="str">
        <f>TRIM(PROPER('Raw Data'!C246))</f>
        <v>Determination</v>
      </c>
      <c r="D246" s="5">
        <f>'Raw Data'!D246</f>
        <v>44479.614583333336</v>
      </c>
      <c r="E246" s="4" t="str">
        <f>TRIM(SUBSTITUTE('Raw Data'!E246," "," "))</f>
        <v>DreamSculptor</v>
      </c>
      <c r="F246" s="4" t="str">
        <f>TRIM(PROPER('Raw Data'!F246))</f>
        <v>Twitter</v>
      </c>
      <c r="G246" s="8" t="str">
        <f>TRIM(CLEAN('Raw Data'!G246))</f>
        <v>#Determination #SculptingDreams</v>
      </c>
      <c r="H246" s="12">
        <f>'Raw Data'!H246</f>
        <v>20</v>
      </c>
      <c r="I246" s="12">
        <v>36</v>
      </c>
      <c r="J246" s="12" t="str">
        <f>TRIM(UPPER('Raw Data'!J246))</f>
        <v>UK</v>
      </c>
      <c r="K246" s="12">
        <f>'Raw Data'!K246</f>
        <v>2021</v>
      </c>
      <c r="L246" s="12">
        <f>'Raw Data'!L246</f>
        <v>10</v>
      </c>
      <c r="M246" s="12">
        <f>'Raw Data'!M246</f>
        <v>10</v>
      </c>
      <c r="N246">
        <f>'Raw Data'!N246</f>
        <v>14</v>
      </c>
    </row>
    <row r="247" spans="1:14" ht="30" x14ac:dyDescent="0.25">
      <c r="A247" s="11">
        <f>'Raw Data'!A247</f>
        <v>245</v>
      </c>
      <c r="B247" s="8" t="str">
        <f>TRIM(CLEAN('Raw Data'!B247))</f>
        <v>Immerse in the serenity of a moonlit night, where the quiet whispers of nature bring peace to the soul.</v>
      </c>
      <c r="C247" s="4" t="str">
        <f>TRIM(PROPER('Raw Data'!C247))</f>
        <v>Serenity</v>
      </c>
      <c r="D247" s="5">
        <f>'Raw Data'!D247</f>
        <v>43963.8125</v>
      </c>
      <c r="E247" s="4" t="str">
        <f>TRIM(SUBSTITUTE('Raw Data'!E247," "," "))</f>
        <v>MoonlitSoul</v>
      </c>
      <c r="F247" s="4" t="str">
        <f>TRIM(PROPER('Raw Data'!F247))</f>
        <v>Instagram</v>
      </c>
      <c r="G247" s="8" t="str">
        <f>TRIM(CLEAN('Raw Data'!G247))</f>
        <v>#Serenity #MoonlitPeace</v>
      </c>
      <c r="H247" s="12">
        <f>'Raw Data'!H247</f>
        <v>25</v>
      </c>
      <c r="I247" s="12">
        <v>40</v>
      </c>
      <c r="J247" s="12" t="str">
        <f>TRIM(UPPER('Raw Data'!J247))</f>
        <v>USA</v>
      </c>
      <c r="K247" s="12">
        <f>'Raw Data'!K247</f>
        <v>2020</v>
      </c>
      <c r="L247" s="12">
        <f>'Raw Data'!L247</f>
        <v>5</v>
      </c>
      <c r="M247" s="12">
        <f>'Raw Data'!M247</f>
        <v>12</v>
      </c>
      <c r="N247">
        <f>'Raw Data'!N247</f>
        <v>19</v>
      </c>
    </row>
    <row r="248" spans="1:14" ht="30" x14ac:dyDescent="0.25">
      <c r="A248" s="11">
        <f>'Raw Data'!A248</f>
        <v>246</v>
      </c>
      <c r="B248" s="8" t="str">
        <f>TRIM(CLEAN('Raw Data'!B248))</f>
        <v>Fueled by curiosity, venturing into uncharted realms, a fearless explorer of the mysteries of the world.</v>
      </c>
      <c r="C248" s="4" t="str">
        <f>TRIM(PROPER('Raw Data'!C248))</f>
        <v>Curiosity</v>
      </c>
      <c r="D248" s="5">
        <f>'Raw Data'!D248</f>
        <v>44896.385416666664</v>
      </c>
      <c r="E248" s="4" t="str">
        <f>TRIM(SUBSTITUTE('Raw Data'!E248," "," "))</f>
        <v>FearlessExplorer</v>
      </c>
      <c r="F248" s="4" t="str">
        <f>TRIM(PROPER('Raw Data'!F248))</f>
        <v>Facebook</v>
      </c>
      <c r="G248" s="8" t="str">
        <f>TRIM(CLEAN('Raw Data'!G248))</f>
        <v>#Curiosity #FearlessExplorer</v>
      </c>
      <c r="H248" s="12">
        <f>'Raw Data'!H248</f>
        <v>22</v>
      </c>
      <c r="I248" s="12">
        <v>50</v>
      </c>
      <c r="J248" s="12" t="str">
        <f>TRIM(UPPER('Raw Data'!J248))</f>
        <v>INDIA</v>
      </c>
      <c r="K248" s="12">
        <f>'Raw Data'!K248</f>
        <v>2022</v>
      </c>
      <c r="L248" s="12">
        <f>'Raw Data'!L248</f>
        <v>12</v>
      </c>
      <c r="M248" s="12">
        <f>'Raw Data'!M248</f>
        <v>1</v>
      </c>
      <c r="N248">
        <f>'Raw Data'!N248</f>
        <v>9</v>
      </c>
    </row>
    <row r="249" spans="1:14" ht="30" x14ac:dyDescent="0.25">
      <c r="A249" s="11">
        <f>'Raw Data'!A249</f>
        <v>247</v>
      </c>
      <c r="B249" s="8" t="str">
        <f>TRIM(CLEAN('Raw Data'!B249))</f>
        <v>Wrapped in the cloak of emotional numbness, a shield against the storms of life's turbulence.</v>
      </c>
      <c r="C249" s="4" t="str">
        <f>TRIM(PROPER('Raw Data'!C249))</f>
        <v>Numbness</v>
      </c>
      <c r="D249" s="5">
        <f>'Raw Data'!D249</f>
        <v>44530.645833333336</v>
      </c>
      <c r="E249" s="4" t="str">
        <f>TRIM(SUBSTITUTE('Raw Data'!E249," "," "))</f>
        <v>TurbulentShield</v>
      </c>
      <c r="F249" s="4" t="str">
        <f>TRIM(PROPER('Raw Data'!F249))</f>
        <v>Instagram</v>
      </c>
      <c r="G249" s="8" t="str">
        <f>TRIM(CLEAN('Raw Data'!G249))</f>
        <v>#Numbness #EmotionalStorms</v>
      </c>
      <c r="H249" s="12">
        <f>'Raw Data'!H249</f>
        <v>10</v>
      </c>
      <c r="I249" s="12">
        <v>44</v>
      </c>
      <c r="J249" s="12" t="str">
        <f>TRIM(UPPER('Raw Data'!J249))</f>
        <v>CANADA</v>
      </c>
      <c r="K249" s="12">
        <f>'Raw Data'!K249</f>
        <v>2021</v>
      </c>
      <c r="L249" s="12">
        <f>'Raw Data'!L249</f>
        <v>11</v>
      </c>
      <c r="M249" s="12">
        <f>'Raw Data'!M249</f>
        <v>30</v>
      </c>
      <c r="N249">
        <f>'Raw Data'!N249</f>
        <v>15</v>
      </c>
    </row>
    <row r="250" spans="1:14" ht="30" x14ac:dyDescent="0.25">
      <c r="A250" s="11">
        <f>'Raw Data'!A250</f>
        <v>248</v>
      </c>
      <c r="B250" s="8" t="str">
        <f>TRIM(CLEAN('Raw Data'!B250))</f>
        <v>Dancing through life with the exuberance of a carefree spirit, embracing joy and zest at every turn.</v>
      </c>
      <c r="C250" s="4" t="str">
        <f>TRIM(PROPER('Raw Data'!C250))</f>
        <v>Zest</v>
      </c>
      <c r="D250" s="5">
        <f>'Raw Data'!D250</f>
        <v>43293.739583333336</v>
      </c>
      <c r="E250" s="4" t="str">
        <f>TRIM(SUBSTITUTE('Raw Data'!E250," "," "))</f>
        <v>JoyfulDancer</v>
      </c>
      <c r="F250" s="4" t="str">
        <f>TRIM(PROPER('Raw Data'!F250))</f>
        <v>Twitter</v>
      </c>
      <c r="G250" s="8" t="str">
        <f>TRIM(CLEAN('Raw Data'!G250))</f>
        <v>#Zest #CarefreeSpirit</v>
      </c>
      <c r="H250" s="12">
        <f>'Raw Data'!H250</f>
        <v>15</v>
      </c>
      <c r="I250" s="12">
        <v>20</v>
      </c>
      <c r="J250" s="12" t="str">
        <f>TRIM(UPPER('Raw Data'!J250))</f>
        <v>USA</v>
      </c>
      <c r="K250" s="12">
        <f>'Raw Data'!K250</f>
        <v>2018</v>
      </c>
      <c r="L250" s="12">
        <f>'Raw Data'!L250</f>
        <v>7</v>
      </c>
      <c r="M250" s="12">
        <f>'Raw Data'!M250</f>
        <v>12</v>
      </c>
      <c r="N250">
        <f>'Raw Data'!N250</f>
        <v>17</v>
      </c>
    </row>
    <row r="251" spans="1:14" ht="30" x14ac:dyDescent="0.25">
      <c r="A251" s="11">
        <f>'Raw Data'!A251</f>
        <v>249</v>
      </c>
      <c r="B251" s="8" t="str">
        <f>TRIM(CLEAN('Raw Data'!B251))</f>
        <v>Basking in the golden glow of contentment, a serene river flowing through the landscape of the heart.</v>
      </c>
      <c r="C251" s="4" t="str">
        <f>TRIM(PROPER('Raw Data'!C251))</f>
        <v>Contentment</v>
      </c>
      <c r="D251" s="5">
        <f>'Raw Data'!D251</f>
        <v>44079.840277777781</v>
      </c>
      <c r="E251" s="4" t="str">
        <f>TRIM(SUBSTITUTE('Raw Data'!E251," "," "))</f>
        <v>SereneBasker</v>
      </c>
      <c r="F251" s="4" t="str">
        <f>TRIM(PROPER('Raw Data'!F251))</f>
        <v>Facebook</v>
      </c>
      <c r="G251" s="8" t="str">
        <f>TRIM(CLEAN('Raw Data'!G251))</f>
        <v>#Contentment #GoldenGlow</v>
      </c>
      <c r="H251" s="12">
        <f>'Raw Data'!H251</f>
        <v>18</v>
      </c>
      <c r="I251" s="12">
        <v>30</v>
      </c>
      <c r="J251" s="12" t="str">
        <f>TRIM(UPPER('Raw Data'!J251))</f>
        <v>AUSTRALIA</v>
      </c>
      <c r="K251" s="12">
        <f>'Raw Data'!K251</f>
        <v>2020</v>
      </c>
      <c r="L251" s="12">
        <f>'Raw Data'!L251</f>
        <v>9</v>
      </c>
      <c r="M251" s="12">
        <f>'Raw Data'!M251</f>
        <v>5</v>
      </c>
      <c r="N251">
        <f>'Raw Data'!N251</f>
        <v>20</v>
      </c>
    </row>
    <row r="252" spans="1:14" ht="45" x14ac:dyDescent="0.25">
      <c r="A252" s="11">
        <f>'Raw Data'!A252</f>
        <v>250</v>
      </c>
      <c r="B252" s="8" t="str">
        <f>TRIM(CLEAN('Raw Data'!B252))</f>
        <v>Gazing towards the horizon with hopeful eyes, painting a canvas of dreams illuminated by the sun of optimism.</v>
      </c>
      <c r="C252" s="4" t="str">
        <f>TRIM(PROPER('Raw Data'!C252))</f>
        <v>Hopeful</v>
      </c>
      <c r="D252" s="5">
        <f>'Raw Data'!D252</f>
        <v>44669.333333333336</v>
      </c>
      <c r="E252" s="4" t="str">
        <f>TRIM(SUBSTITUTE('Raw Data'!E252," "," "))</f>
        <v>DreamPainter</v>
      </c>
      <c r="F252" s="4" t="str">
        <f>TRIM(PROPER('Raw Data'!F252))</f>
        <v>Instagram</v>
      </c>
      <c r="G252" s="8" t="str">
        <f>TRIM(CLEAN('Raw Data'!G252))</f>
        <v>#Hopeful #CanvasOfDreams</v>
      </c>
      <c r="H252" s="12">
        <f>'Raw Data'!H252</f>
        <v>12</v>
      </c>
      <c r="I252" s="12">
        <v>36</v>
      </c>
      <c r="J252" s="12" t="str">
        <f>TRIM(UPPER('Raw Data'!J252))</f>
        <v>INDIA</v>
      </c>
      <c r="K252" s="12">
        <f>'Raw Data'!K252</f>
        <v>2022</v>
      </c>
      <c r="L252" s="12">
        <f>'Raw Data'!L252</f>
        <v>4</v>
      </c>
      <c r="M252" s="12">
        <f>'Raw Data'!M252</f>
        <v>18</v>
      </c>
      <c r="N252">
        <f>'Raw Data'!N252</f>
        <v>8</v>
      </c>
    </row>
    <row r="253" spans="1:14" ht="45" x14ac:dyDescent="0.25">
      <c r="A253" s="11">
        <f>'Raw Data'!A253</f>
        <v>251</v>
      </c>
      <c r="B253" s="8" t="str">
        <f>TRIM(CLEAN('Raw Data'!B253))</f>
        <v>Standing tall, proud as an oak, the branches of achievement reaching towards the sky of accomplishment.</v>
      </c>
      <c r="C253" s="4" t="str">
        <f>TRIM(PROPER('Raw Data'!C253))</f>
        <v>Proud</v>
      </c>
      <c r="D253" s="5">
        <f>'Raw Data'!D253</f>
        <v>43809.513888888891</v>
      </c>
      <c r="E253" s="4" t="str">
        <f>TRIM(SUBSTITUTE('Raw Data'!E253," "," "))</f>
        <v>OakAchiever</v>
      </c>
      <c r="F253" s="4" t="str">
        <f>TRIM(PROPER('Raw Data'!F253))</f>
        <v>Twitter</v>
      </c>
      <c r="G253" s="8" t="str">
        <f>TRIM(CLEAN('Raw Data'!G253))</f>
        <v>#Proud #BranchesOfAchievement</v>
      </c>
      <c r="H253" s="12">
        <f>'Raw Data'!H253</f>
        <v>25</v>
      </c>
      <c r="I253" s="12">
        <v>24</v>
      </c>
      <c r="J253" s="12" t="str">
        <f>TRIM(UPPER('Raw Data'!J253))</f>
        <v>CANADA</v>
      </c>
      <c r="K253" s="12">
        <f>'Raw Data'!K253</f>
        <v>2019</v>
      </c>
      <c r="L253" s="12">
        <f>'Raw Data'!L253</f>
        <v>12</v>
      </c>
      <c r="M253" s="12">
        <f>'Raw Data'!M253</f>
        <v>10</v>
      </c>
      <c r="N253">
        <f>'Raw Data'!N253</f>
        <v>12</v>
      </c>
    </row>
    <row r="254" spans="1:14" ht="45" x14ac:dyDescent="0.25">
      <c r="A254" s="11">
        <f>'Raw Data'!A254</f>
        <v>252</v>
      </c>
      <c r="B254" s="8" t="str">
        <f>TRIM(CLEAN('Raw Data'!B254))</f>
        <v>A heart overflowing with gratitude, a garden where appreciation blooms in the soil of kindness and connection.</v>
      </c>
      <c r="C254" s="4" t="str">
        <f>TRIM(PROPER('Raw Data'!C254))</f>
        <v>Grateful</v>
      </c>
      <c r="D254" s="5">
        <f>'Raw Data'!D254</f>
        <v>44985.40625</v>
      </c>
      <c r="E254" s="4" t="str">
        <f>TRIM(SUBSTITUTE('Raw Data'!E254," "," "))</f>
        <v>HeartGardener</v>
      </c>
      <c r="F254" s="4" t="str">
        <f>TRIM(PROPER('Raw Data'!F254))</f>
        <v>Facebook</v>
      </c>
      <c r="G254" s="8" t="str">
        <f>TRIM(CLEAN('Raw Data'!G254))</f>
        <v>#Grateful #BlossomingConnection</v>
      </c>
      <c r="H254" s="12">
        <f>'Raw Data'!H254</f>
        <v>20</v>
      </c>
      <c r="I254" s="12">
        <v>50</v>
      </c>
      <c r="J254" s="12" t="str">
        <f>TRIM(UPPER('Raw Data'!J254))</f>
        <v>USA</v>
      </c>
      <c r="K254" s="12">
        <f>'Raw Data'!K254</f>
        <v>2023</v>
      </c>
      <c r="L254" s="12">
        <f>'Raw Data'!L254</f>
        <v>2</v>
      </c>
      <c r="M254" s="12">
        <f>'Raw Data'!M254</f>
        <v>28</v>
      </c>
      <c r="N254">
        <f>'Raw Data'!N254</f>
        <v>9</v>
      </c>
    </row>
    <row r="255" spans="1:14" ht="45" x14ac:dyDescent="0.25">
      <c r="A255" s="11">
        <f>'Raw Data'!A255</f>
        <v>253</v>
      </c>
      <c r="B255" s="8" t="str">
        <f>TRIM(CLEAN('Raw Data'!B255))</f>
        <v>Extending a hand, empathetic threads weaving a tapestry of understanding, embracing the joys and sorrows of others.</v>
      </c>
      <c r="C255" s="4" t="str">
        <f>TRIM(PROPER('Raw Data'!C255))</f>
        <v>Empathetic</v>
      </c>
      <c r="D255" s="5">
        <f>'Raw Data'!D255</f>
        <v>43193.59375</v>
      </c>
      <c r="E255" s="4" t="str">
        <f>TRIM(SUBSTITUTE('Raw Data'!E255," "," "))</f>
        <v>ThreadWeaver</v>
      </c>
      <c r="F255" s="4" t="str">
        <f>TRIM(PROPER('Raw Data'!F255))</f>
        <v>Instagram</v>
      </c>
      <c r="G255" s="8" t="str">
        <f>TRIM(CLEAN('Raw Data'!G255))</f>
        <v>#Empathetic #TapestryOfUnderstanding</v>
      </c>
      <c r="H255" s="12">
        <f>'Raw Data'!H255</f>
        <v>15</v>
      </c>
      <c r="I255" s="12">
        <v>40</v>
      </c>
      <c r="J255" s="12" t="str">
        <f>TRIM(UPPER('Raw Data'!J255))</f>
        <v>UK</v>
      </c>
      <c r="K255" s="12">
        <f>'Raw Data'!K255</f>
        <v>2018</v>
      </c>
      <c r="L255" s="12">
        <f>'Raw Data'!L255</f>
        <v>4</v>
      </c>
      <c r="M255" s="12">
        <f>'Raw Data'!M255</f>
        <v>3</v>
      </c>
      <c r="N255">
        <f>'Raw Data'!N255</f>
        <v>14</v>
      </c>
    </row>
    <row r="256" spans="1:14" ht="30" x14ac:dyDescent="0.25">
      <c r="A256" s="11">
        <f>'Raw Data'!A256</f>
        <v>254</v>
      </c>
      <c r="B256" s="8" t="str">
        <f>TRIM(CLEAN('Raw Data'!B256))</f>
        <v>Compassionate clouds, heavy with care, showering empathy on the parched grounds of human suffering.</v>
      </c>
      <c r="C256" s="4" t="str">
        <f>TRIM(PROPER('Raw Data'!C256))</f>
        <v>Compassionate</v>
      </c>
      <c r="D256" s="5">
        <f>'Raw Data'!D256</f>
        <v>44732.4375</v>
      </c>
      <c r="E256" s="4" t="str">
        <f>TRIM(SUBSTITUTE('Raw Data'!E256," "," "))</f>
        <v>CloudCaretaker</v>
      </c>
      <c r="F256" s="4" t="str">
        <f>TRIM(PROPER('Raw Data'!F256))</f>
        <v>Twitter</v>
      </c>
      <c r="G256" s="8" t="str">
        <f>TRIM(CLEAN('Raw Data'!G256))</f>
        <v>#Compassionate #ShowerOfEmpathy</v>
      </c>
      <c r="H256" s="12">
        <f>'Raw Data'!H256</f>
        <v>18</v>
      </c>
      <c r="I256" s="12">
        <v>30</v>
      </c>
      <c r="J256" s="12" t="str">
        <f>TRIM(UPPER('Raw Data'!J256))</f>
        <v>AUSTRALIA</v>
      </c>
      <c r="K256" s="12">
        <f>'Raw Data'!K256</f>
        <v>2022</v>
      </c>
      <c r="L256" s="12">
        <f>'Raw Data'!L256</f>
        <v>6</v>
      </c>
      <c r="M256" s="12">
        <f>'Raw Data'!M256</f>
        <v>20</v>
      </c>
      <c r="N256">
        <f>'Raw Data'!N256</f>
        <v>10</v>
      </c>
    </row>
    <row r="257" spans="1:14" ht="45" x14ac:dyDescent="0.25">
      <c r="A257" s="11">
        <f>'Raw Data'!A257</f>
        <v>255</v>
      </c>
      <c r="B257" s="8" t="str">
        <f>TRIM(CLEAN('Raw Data'!B257))</f>
        <v>Playfully dancing in the rain of laughter, a whimsical spirit twirling in the puddles of joy and lightheartedness.</v>
      </c>
      <c r="C257" s="4" t="str">
        <f>TRIM(PROPER('Raw Data'!C257))</f>
        <v>Playful</v>
      </c>
      <c r="D257" s="5">
        <f>'Raw Data'!D257</f>
        <v>44020.75</v>
      </c>
      <c r="E257" s="4" t="str">
        <f>TRIM(SUBSTITUTE('Raw Data'!E257," "," "))</f>
        <v>RainDancer</v>
      </c>
      <c r="F257" s="4" t="str">
        <f>TRIM(PROPER('Raw Data'!F257))</f>
        <v>Facebook</v>
      </c>
      <c r="G257" s="8" t="str">
        <f>TRIM(CLEAN('Raw Data'!G257))</f>
        <v>#Playful #DanceInTheRain</v>
      </c>
      <c r="H257" s="12">
        <f>'Raw Data'!H257</f>
        <v>22</v>
      </c>
      <c r="I257" s="12">
        <v>36</v>
      </c>
      <c r="J257" s="12" t="str">
        <f>TRIM(UPPER('Raw Data'!J257))</f>
        <v>CANADA</v>
      </c>
      <c r="K257" s="12">
        <f>'Raw Data'!K257</f>
        <v>2020</v>
      </c>
      <c r="L257" s="12">
        <f>'Raw Data'!L257</f>
        <v>7</v>
      </c>
      <c r="M257" s="12">
        <f>'Raw Data'!M257</f>
        <v>8</v>
      </c>
      <c r="N257">
        <f>'Raw Data'!N257</f>
        <v>18</v>
      </c>
    </row>
    <row r="258" spans="1:14" ht="45" x14ac:dyDescent="0.25">
      <c r="A258" s="11">
        <f>'Raw Data'!A258</f>
        <v>256</v>
      </c>
      <c r="B258" s="8" t="str">
        <f>TRIM(CLEAN('Raw Data'!B258))</f>
        <v>Soaring on the wings of a free spirit, unburdened by the chains of conformity, painting the sky with independence.</v>
      </c>
      <c r="C258" s="4" t="str">
        <f>TRIM(PROPER('Raw Data'!C258))</f>
        <v>Free-Spirited</v>
      </c>
      <c r="D258" s="5">
        <f>'Raw Data'!D258</f>
        <v>44423.465277777781</v>
      </c>
      <c r="E258" s="4" t="str">
        <f>TRIM(SUBSTITUTE('Raw Data'!E258," "," "))</f>
        <v>SkyPainter</v>
      </c>
      <c r="F258" s="4" t="str">
        <f>TRIM(PROPER('Raw Data'!F258))</f>
        <v>Instagram</v>
      </c>
      <c r="G258" s="8" t="str">
        <f>TRIM(CLEAN('Raw Data'!G258))</f>
        <v>#FreeSpirit #PaintingTheSky</v>
      </c>
      <c r="H258" s="12">
        <f>'Raw Data'!H258</f>
        <v>20</v>
      </c>
      <c r="I258" s="12">
        <v>44</v>
      </c>
      <c r="J258" s="12" t="str">
        <f>TRIM(UPPER('Raw Data'!J258))</f>
        <v>INDIA</v>
      </c>
      <c r="K258" s="12">
        <f>'Raw Data'!K258</f>
        <v>2021</v>
      </c>
      <c r="L258" s="12">
        <f>'Raw Data'!L258</f>
        <v>8</v>
      </c>
      <c r="M258" s="12">
        <f>'Raw Data'!M258</f>
        <v>15</v>
      </c>
      <c r="N258">
        <f>'Raw Data'!N258</f>
        <v>11</v>
      </c>
    </row>
    <row r="259" spans="1:14" ht="45" x14ac:dyDescent="0.25">
      <c r="A259" s="11">
        <f>'Raw Data'!A259</f>
        <v>257</v>
      </c>
      <c r="B259" s="8" t="str">
        <f>TRIM(CLEAN('Raw Data'!B259))</f>
        <v>Bathed in the glow of inspiration, a creative phoenix rising from the ashes of ordinary thoughts to explore new realms.</v>
      </c>
      <c r="C259" s="4" t="str">
        <f>TRIM(PROPER('Raw Data'!C259))</f>
        <v>Inspired</v>
      </c>
      <c r="D259" s="5">
        <f>'Raw Data'!D259</f>
        <v>43763.701388888891</v>
      </c>
      <c r="E259" s="4" t="str">
        <f>TRIM(SUBSTITUTE('Raw Data'!E259," "," "))</f>
        <v>PhoenixExplorer</v>
      </c>
      <c r="F259" s="4" t="str">
        <f>TRIM(PROPER('Raw Data'!F259))</f>
        <v>Twitter</v>
      </c>
      <c r="G259" s="8" t="str">
        <f>TRIM(CLEAN('Raw Data'!G259))</f>
        <v>#Inspired #CreativePhoenix</v>
      </c>
      <c r="H259" s="12">
        <f>'Raw Data'!H259</f>
        <v>15</v>
      </c>
      <c r="I259" s="12">
        <v>40</v>
      </c>
      <c r="J259" s="12" t="str">
        <f>TRIM(UPPER('Raw Data'!J259))</f>
        <v>UK</v>
      </c>
      <c r="K259" s="12">
        <f>'Raw Data'!K259</f>
        <v>2019</v>
      </c>
      <c r="L259" s="12">
        <f>'Raw Data'!L259</f>
        <v>10</v>
      </c>
      <c r="M259" s="12">
        <f>'Raw Data'!M259</f>
        <v>25</v>
      </c>
      <c r="N259">
        <f>'Raw Data'!N259</f>
        <v>16</v>
      </c>
    </row>
    <row r="260" spans="1:14" ht="45" x14ac:dyDescent="0.25">
      <c r="A260" s="11">
        <f>'Raw Data'!A260</f>
        <v>258</v>
      </c>
      <c r="B260" s="8" t="str">
        <f>TRIM(CLEAN('Raw Data'!B260))</f>
        <v>Navigating the sea of hope, sailing towards the sunrise of possibilities, confident in the ship of positive anticipation.</v>
      </c>
      <c r="C260" s="4" t="str">
        <f>TRIM(PROPER('Raw Data'!C260))</f>
        <v>Hopeful</v>
      </c>
      <c r="D260" s="5">
        <f>'Raw Data'!D260</f>
        <v>45204.3125</v>
      </c>
      <c r="E260" s="4" t="str">
        <f>TRIM(SUBSTITUTE('Raw Data'!E260," "," "))</f>
        <v>SunriseNavigator</v>
      </c>
      <c r="F260" s="4" t="str">
        <f>TRIM(PROPER('Raw Data'!F260))</f>
        <v>Facebook</v>
      </c>
      <c r="G260" s="8" t="str">
        <f>TRIM(CLEAN('Raw Data'!G260))</f>
        <v>#Hopeful #SunriseOfPossibilities</v>
      </c>
      <c r="H260" s="12">
        <f>'Raw Data'!H260</f>
        <v>12</v>
      </c>
      <c r="I260" s="12">
        <v>30</v>
      </c>
      <c r="J260" s="12" t="str">
        <f>TRIM(UPPER('Raw Data'!J260))</f>
        <v>USA</v>
      </c>
      <c r="K260" s="12">
        <f>'Raw Data'!K260</f>
        <v>2023</v>
      </c>
      <c r="L260" s="12">
        <f>'Raw Data'!L260</f>
        <v>10</v>
      </c>
      <c r="M260" s="12">
        <f>'Raw Data'!M260</f>
        <v>5</v>
      </c>
      <c r="N260">
        <f>'Raw Data'!N260</f>
        <v>7</v>
      </c>
    </row>
    <row r="261" spans="1:14" ht="45" x14ac:dyDescent="0.25">
      <c r="A261" s="11">
        <f>'Raw Data'!A261</f>
        <v>259</v>
      </c>
      <c r="B261" s="8" t="str">
        <f>TRIM(CLEAN('Raw Data'!B261))</f>
        <v>Striding with confidence, footprints of self-assuredness imprinted on the sands of challenges conquered and victories claimed.</v>
      </c>
      <c r="C261" s="4" t="str">
        <f>TRIM(PROPER('Raw Data'!C261))</f>
        <v>Confident</v>
      </c>
      <c r="D261" s="5">
        <f>'Raw Data'!D261</f>
        <v>44607.552083333336</v>
      </c>
      <c r="E261" s="4" t="str">
        <f>TRIM(SUBSTITUTE('Raw Data'!E261," "," "))</f>
        <v>SandStrider</v>
      </c>
      <c r="F261" s="4" t="str">
        <f>TRIM(PROPER('Raw Data'!F261))</f>
        <v>Instagram</v>
      </c>
      <c r="G261" s="8" t="str">
        <f>TRIM(CLEAN('Raw Data'!G261))</f>
        <v>#Confident #FootprintsOfAssuredness</v>
      </c>
      <c r="H261" s="12">
        <f>'Raw Data'!H261</f>
        <v>25</v>
      </c>
      <c r="I261" s="12">
        <v>24</v>
      </c>
      <c r="J261" s="12" t="str">
        <f>TRIM(UPPER('Raw Data'!J261))</f>
        <v>AUSTRALIA</v>
      </c>
      <c r="K261" s="12">
        <f>'Raw Data'!K261</f>
        <v>2022</v>
      </c>
      <c r="L261" s="12">
        <f>'Raw Data'!L261</f>
        <v>2</v>
      </c>
      <c r="M261" s="12">
        <f>'Raw Data'!M261</f>
        <v>15</v>
      </c>
      <c r="N261">
        <f>'Raw Data'!N261</f>
        <v>13</v>
      </c>
    </row>
    <row r="262" spans="1:14" ht="30" x14ac:dyDescent="0.25">
      <c r="A262" s="11">
        <f>'Raw Data'!A262</f>
        <v>260</v>
      </c>
      <c r="B262" s="8" t="str">
        <f>TRIM(CLEAN('Raw Data'!B262))</f>
        <v>Lost in the symphony of the night, a moonlit serenade that whispers tales of wanderlust and moonlit dreams.</v>
      </c>
      <c r="C262" s="4" t="str">
        <f>TRIM(PROPER('Raw Data'!C262))</f>
        <v>Serenity</v>
      </c>
      <c r="D262" s="5">
        <f>'Raw Data'!D262</f>
        <v>44324.916666666664</v>
      </c>
      <c r="E262" s="4" t="str">
        <f>TRIM(SUBSTITUTE('Raw Data'!E262," "," "))</f>
        <v>NightSerenader</v>
      </c>
      <c r="F262" s="4" t="str">
        <f>TRIM(PROPER('Raw Data'!F262))</f>
        <v>Twitter</v>
      </c>
      <c r="G262" s="8" t="str">
        <f>TRIM(CLEAN('Raw Data'!G262))</f>
        <v>#Serenity #MoonlitSerenade</v>
      </c>
      <c r="H262" s="12">
        <f>'Raw Data'!H262</f>
        <v>13</v>
      </c>
      <c r="I262" s="12">
        <v>50</v>
      </c>
      <c r="J262" s="12" t="str">
        <f>TRIM(UPPER('Raw Data'!J262))</f>
        <v>CANADA</v>
      </c>
      <c r="K262" s="12">
        <f>'Raw Data'!K262</f>
        <v>2021</v>
      </c>
      <c r="L262" s="12">
        <f>'Raw Data'!L262</f>
        <v>5</v>
      </c>
      <c r="M262" s="12">
        <f>'Raw Data'!M262</f>
        <v>8</v>
      </c>
      <c r="N262">
        <f>'Raw Data'!N262</f>
        <v>22</v>
      </c>
    </row>
    <row r="263" spans="1:14" ht="45" x14ac:dyDescent="0.25">
      <c r="A263" s="11">
        <f>'Raw Data'!A263</f>
        <v>261</v>
      </c>
      <c r="B263" s="8" t="str">
        <f>TRIM(CLEAN('Raw Data'!B263))</f>
        <v>Unveiling the layers of curiosity, a labyrinth of questions leading to the treasure troves of undiscovered knowledge.</v>
      </c>
      <c r="C263" s="4" t="str">
        <f>TRIM(PROPER('Raw Data'!C263))</f>
        <v>Curiosity</v>
      </c>
      <c r="D263" s="5">
        <f>'Raw Data'!D263</f>
        <v>44164.614583333336</v>
      </c>
      <c r="E263" s="4" t="str">
        <f>TRIM(SUBSTITUTE('Raw Data'!E263," "," "))</f>
        <v>KnowledgeSeeker</v>
      </c>
      <c r="F263" s="4" t="str">
        <f>TRIM(PROPER('Raw Data'!F263))</f>
        <v>Instagram</v>
      </c>
      <c r="G263" s="8" t="str">
        <f>TRIM(CLEAN('Raw Data'!G263))</f>
        <v>#Curiosity #LabyrinthOfQuestions</v>
      </c>
      <c r="H263" s="12">
        <f>'Raw Data'!H263</f>
        <v>17</v>
      </c>
      <c r="I263" s="12">
        <v>26</v>
      </c>
      <c r="J263" s="12" t="str">
        <f>TRIM(UPPER('Raw Data'!J263))</f>
        <v>USA</v>
      </c>
      <c r="K263" s="12">
        <f>'Raw Data'!K263</f>
        <v>2020</v>
      </c>
      <c r="L263" s="12">
        <f>'Raw Data'!L263</f>
        <v>11</v>
      </c>
      <c r="M263" s="12">
        <f>'Raw Data'!M263</f>
        <v>29</v>
      </c>
      <c r="N263">
        <f>'Raw Data'!N263</f>
        <v>14</v>
      </c>
    </row>
    <row r="264" spans="1:14" ht="45" x14ac:dyDescent="0.25">
      <c r="A264" s="11">
        <f>'Raw Data'!A264</f>
        <v>262</v>
      </c>
      <c r="B264" s="8" t="str">
        <f>TRIM(CLEAN('Raw Data'!B264))</f>
        <v>In the embrace of the autumn breeze, leaves of ambivalence dancing in a waltz between choices and uncertainties.</v>
      </c>
      <c r="C264" s="4" t="str">
        <f>TRIM(PROPER('Raw Data'!C264))</f>
        <v>Ambivalence</v>
      </c>
      <c r="D264" s="5">
        <f>'Raw Data'!D264</f>
        <v>43722.430555555555</v>
      </c>
      <c r="E264" s="4" t="str">
        <f>TRIM(SUBSTITUTE('Raw Data'!E264," "," "))</f>
        <v>BreezeWaltzer</v>
      </c>
      <c r="F264" s="4" t="str">
        <f>TRIM(PROPER('Raw Data'!F264))</f>
        <v>Facebook</v>
      </c>
      <c r="G264" s="8" t="str">
        <f>TRIM(CLEAN('Raw Data'!G264))</f>
        <v>#Ambivalence #AutumnWaltz</v>
      </c>
      <c r="H264" s="12">
        <f>'Raw Data'!H264</f>
        <v>14</v>
      </c>
      <c r="I264" s="12">
        <v>34</v>
      </c>
      <c r="J264" s="12" t="str">
        <f>TRIM(UPPER('Raw Data'!J264))</f>
        <v>UK</v>
      </c>
      <c r="K264" s="12">
        <f>'Raw Data'!K264</f>
        <v>2019</v>
      </c>
      <c r="L264" s="12">
        <f>'Raw Data'!L264</f>
        <v>9</v>
      </c>
      <c r="M264" s="12">
        <f>'Raw Data'!M264</f>
        <v>14</v>
      </c>
      <c r="N264">
        <f>'Raw Data'!N264</f>
        <v>10</v>
      </c>
    </row>
    <row r="265" spans="1:14" ht="45" x14ac:dyDescent="0.25">
      <c r="A265" s="11">
        <f>'Raw Data'!A265</f>
        <v>263</v>
      </c>
      <c r="B265" s="8" t="str">
        <f>TRIM(CLEAN('Raw Data'!B265))</f>
        <v>Gratitude as a guiding star, navigating the constellation of blessings in the vast universe of life's precious moments.</v>
      </c>
      <c r="C265" s="4" t="str">
        <f>TRIM(PROPER('Raw Data'!C265))</f>
        <v>Grateful</v>
      </c>
      <c r="D265" s="5">
        <f>'Raw Data'!D265</f>
        <v>44632.829861111109</v>
      </c>
      <c r="E265" s="4" t="str">
        <f>TRIM(SUBSTITUTE('Raw Data'!E265," "," "))</f>
        <v>StarNavigator</v>
      </c>
      <c r="F265" s="4" t="str">
        <f>TRIM(PROPER('Raw Data'!F265))</f>
        <v>Twitter</v>
      </c>
      <c r="G265" s="8" t="str">
        <f>TRIM(CLEAN('Raw Data'!G265))</f>
        <v>#Grateful #GuidingStar</v>
      </c>
      <c r="H265" s="12">
        <f>'Raw Data'!H265</f>
        <v>19</v>
      </c>
      <c r="I265" s="12">
        <v>28</v>
      </c>
      <c r="J265" s="12" t="str">
        <f>TRIM(UPPER('Raw Data'!J265))</f>
        <v>AUSTRALIA</v>
      </c>
      <c r="K265" s="12">
        <f>'Raw Data'!K265</f>
        <v>2022</v>
      </c>
      <c r="L265" s="12">
        <f>'Raw Data'!L265</f>
        <v>3</v>
      </c>
      <c r="M265" s="12">
        <f>'Raw Data'!M265</f>
        <v>12</v>
      </c>
      <c r="N265">
        <f>'Raw Data'!N265</f>
        <v>19</v>
      </c>
    </row>
    <row r="266" spans="1:14" ht="45" x14ac:dyDescent="0.25">
      <c r="A266" s="11">
        <f>'Raw Data'!A266</f>
        <v>264</v>
      </c>
      <c r="B266" s="8" t="str">
        <f>TRIM(CLEAN('Raw Data'!B266))</f>
        <v>With a zestful heart, sprinting through fields of enthusiasm, chasing sunbeams and laughter in the meadows of joy.</v>
      </c>
      <c r="C266" s="4" t="str">
        <f>TRIM(PROPER('Raw Data'!C266))</f>
        <v>Zest</v>
      </c>
      <c r="D266" s="5">
        <f>'Raw Data'!D266</f>
        <v>45015.6875</v>
      </c>
      <c r="E266" s="4" t="str">
        <f>TRIM(SUBSTITUTE('Raw Data'!E266," "," "))</f>
        <v>MeadowSprinter</v>
      </c>
      <c r="F266" s="4" t="str">
        <f>TRIM(PROPER('Raw Data'!F266))</f>
        <v>Instagram</v>
      </c>
      <c r="G266" s="8" t="str">
        <f>TRIM(CLEAN('Raw Data'!G266))</f>
        <v>#Zest #FieldsOfEnthusiasm</v>
      </c>
      <c r="H266" s="12">
        <f>'Raw Data'!H266</f>
        <v>16</v>
      </c>
      <c r="I266" s="12">
        <v>38</v>
      </c>
      <c r="J266" s="12" t="str">
        <f>TRIM(UPPER('Raw Data'!J266))</f>
        <v>INDIA</v>
      </c>
      <c r="K266" s="12">
        <f>'Raw Data'!K266</f>
        <v>2023</v>
      </c>
      <c r="L266" s="12">
        <f>'Raw Data'!L266</f>
        <v>3</v>
      </c>
      <c r="M266" s="12">
        <f>'Raw Data'!M266</f>
        <v>30</v>
      </c>
      <c r="N266">
        <f>'Raw Data'!N266</f>
        <v>16</v>
      </c>
    </row>
    <row r="267" spans="1:14" ht="45" x14ac:dyDescent="0.25">
      <c r="A267" s="11">
        <f>'Raw Data'!A267</f>
        <v>265</v>
      </c>
      <c r="B267" s="8" t="str">
        <f>TRIM(CLEAN('Raw Data'!B267))</f>
        <v>A compassionate rain, tears of empathy falling gently, nurturing the seeds of kindness in the garden of human connections.</v>
      </c>
      <c r="C267" s="4" t="str">
        <f>TRIM(PROPER('Raw Data'!C267))</f>
        <v>Compassionate</v>
      </c>
      <c r="D267" s="5">
        <f>'Raw Data'!D267</f>
        <v>44378.506944444445</v>
      </c>
      <c r="E267" s="4" t="str">
        <f>TRIM(SUBSTITUTE('Raw Data'!E267," "," "))</f>
        <v>RainNurturer</v>
      </c>
      <c r="F267" s="4" t="str">
        <f>TRIM(PROPER('Raw Data'!F267))</f>
        <v>Facebook</v>
      </c>
      <c r="G267" s="8" t="str">
        <f>TRIM(CLEAN('Raw Data'!G267))</f>
        <v>#Compassionate #TearsOfEmpathy</v>
      </c>
      <c r="H267" s="12">
        <f>'Raw Data'!H267</f>
        <v>21</v>
      </c>
      <c r="I267" s="12">
        <v>32</v>
      </c>
      <c r="J267" s="12" t="str">
        <f>TRIM(UPPER('Raw Data'!J267))</f>
        <v>CANADA</v>
      </c>
      <c r="K267" s="12">
        <f>'Raw Data'!K267</f>
        <v>2021</v>
      </c>
      <c r="L267" s="12">
        <f>'Raw Data'!L267</f>
        <v>7</v>
      </c>
      <c r="M267" s="12">
        <f>'Raw Data'!M267</f>
        <v>1</v>
      </c>
      <c r="N267">
        <f>'Raw Data'!N267</f>
        <v>12</v>
      </c>
    </row>
    <row r="268" spans="1:14" ht="45" x14ac:dyDescent="0.25">
      <c r="A268" s="11">
        <f>'Raw Data'!A268</f>
        <v>266</v>
      </c>
      <c r="B268" s="8" t="str">
        <f>TRIM(CLEAN('Raw Data'!B268))</f>
        <v>Proudly scaling the peaks of achievement, a mountaineer conquering challenges and planting the flag of success.</v>
      </c>
      <c r="C268" s="4" t="str">
        <f>TRIM(PROPER('Raw Data'!C268))</f>
        <v>Proud</v>
      </c>
      <c r="D268" s="5">
        <f>'Raw Data'!D268</f>
        <v>43835.364583333336</v>
      </c>
      <c r="E268" s="4" t="str">
        <f>TRIM(SUBSTITUTE('Raw Data'!E268," "," "))</f>
        <v>PeakConqueror</v>
      </c>
      <c r="F268" s="4" t="str">
        <f>TRIM(PROPER('Raw Data'!F268))</f>
        <v>Twitter</v>
      </c>
      <c r="G268" s="8" t="str">
        <f>TRIM(CLEAN('Raw Data'!G268))</f>
        <v>#Proud #ScalingPeaks</v>
      </c>
      <c r="H268" s="12">
        <f>'Raw Data'!H268</f>
        <v>23</v>
      </c>
      <c r="I268" s="12">
        <v>42</v>
      </c>
      <c r="J268" s="12" t="str">
        <f>TRIM(UPPER('Raw Data'!J268))</f>
        <v>USA</v>
      </c>
      <c r="K268" s="12">
        <f>'Raw Data'!K268</f>
        <v>2020</v>
      </c>
      <c r="L268" s="12">
        <f>'Raw Data'!L268</f>
        <v>1</v>
      </c>
      <c r="M268" s="12">
        <f>'Raw Data'!M268</f>
        <v>5</v>
      </c>
      <c r="N268">
        <f>'Raw Data'!N268</f>
        <v>8</v>
      </c>
    </row>
    <row r="269" spans="1:14" ht="45" x14ac:dyDescent="0.25">
      <c r="A269" s="11">
        <f>'Raw Data'!A269</f>
        <v>267</v>
      </c>
      <c r="B269" s="8" t="str">
        <f>TRIM(CLEAN('Raw Data'!B269))</f>
        <v>Embraced by the hopeful dawn, a gardener sowing seeds of optimism, tending to the blooms of a brighter tomorrow.</v>
      </c>
      <c r="C269" s="4" t="str">
        <f>TRIM(PROPER('Raw Data'!C269))</f>
        <v>Hopeful</v>
      </c>
      <c r="D269" s="5">
        <f>'Raw Data'!D269</f>
        <v>44759.260416666664</v>
      </c>
      <c r="E269" s="4" t="str">
        <f>TRIM(SUBSTITUTE('Raw Data'!E269," "," "))</f>
        <v>DawnGardener</v>
      </c>
      <c r="F269" s="4" t="str">
        <f>TRIM(PROPER('Raw Data'!F269))</f>
        <v>Instagram</v>
      </c>
      <c r="G269" s="8" t="str">
        <f>TRIM(CLEAN('Raw Data'!G269))</f>
        <v>#Hopeful #SeedsOfOptimism</v>
      </c>
      <c r="H269" s="12">
        <f>'Raw Data'!H269</f>
        <v>14</v>
      </c>
      <c r="I269" s="12">
        <v>46</v>
      </c>
      <c r="J269" s="12" t="str">
        <f>TRIM(UPPER('Raw Data'!J269))</f>
        <v>UK</v>
      </c>
      <c r="K269" s="12">
        <f>'Raw Data'!K269</f>
        <v>2022</v>
      </c>
      <c r="L269" s="12">
        <f>'Raw Data'!L269</f>
        <v>7</v>
      </c>
      <c r="M269" s="12">
        <f>'Raw Data'!M269</f>
        <v>17</v>
      </c>
      <c r="N269">
        <f>'Raw Data'!N269</f>
        <v>6</v>
      </c>
    </row>
    <row r="270" spans="1:14" ht="45" x14ac:dyDescent="0.25">
      <c r="A270" s="11">
        <f>'Raw Data'!A270</f>
        <v>268</v>
      </c>
      <c r="B270" s="8" t="str">
        <f>TRIM(CLEAN('Raw Data'!B270))</f>
        <v>A playful escapade in the carnival of life, carousel laughter and cotton candy dreams swirling in the joyous atmosphere.</v>
      </c>
      <c r="C270" s="4" t="str">
        <f>TRIM(PROPER('Raw Data'!C270))</f>
        <v>Playful</v>
      </c>
      <c r="D270" s="5">
        <f>'Raw Data'!D270</f>
        <v>43334.722222222219</v>
      </c>
      <c r="E270" s="4" t="str">
        <f>TRIM(SUBSTITUTE('Raw Data'!E270," "," "))</f>
        <v>CarnivalDreamer</v>
      </c>
      <c r="F270" s="4" t="str">
        <f>TRIM(PROPER('Raw Data'!F270))</f>
        <v>Facebook</v>
      </c>
      <c r="G270" s="8" t="str">
        <f>TRIM(CLEAN('Raw Data'!G270))</f>
        <v>#Playful #CarnivalEscapade</v>
      </c>
      <c r="H270" s="12">
        <f>'Raw Data'!H270</f>
        <v>24</v>
      </c>
      <c r="I270" s="12">
        <v>28</v>
      </c>
      <c r="J270" s="12" t="str">
        <f>TRIM(UPPER('Raw Data'!J270))</f>
        <v>AUSTRALIA</v>
      </c>
      <c r="K270" s="12">
        <f>'Raw Data'!K270</f>
        <v>2018</v>
      </c>
      <c r="L270" s="12">
        <f>'Raw Data'!L270</f>
        <v>8</v>
      </c>
      <c r="M270" s="12">
        <f>'Raw Data'!M270</f>
        <v>22</v>
      </c>
      <c r="N270">
        <f>'Raw Data'!N270</f>
        <v>17</v>
      </c>
    </row>
    <row r="271" spans="1:14" ht="45" x14ac:dyDescent="0.25">
      <c r="A271" s="11">
        <f>'Raw Data'!A271</f>
        <v>269</v>
      </c>
      <c r="B271" s="8" t="str">
        <f>TRIM(CLEAN('Raw Data'!B271))</f>
        <v>Floating on clouds of inspiration, an artist painting the sky with strokes of creativity, creating a masterpiece of dreams.</v>
      </c>
      <c r="C271" s="4" t="str">
        <f>TRIM(PROPER('Raw Data'!C271))</f>
        <v>Inspired</v>
      </c>
      <c r="D271" s="5">
        <f>'Raw Data'!D271</f>
        <v>44538.604166666664</v>
      </c>
      <c r="E271" s="4" t="str">
        <f>TRIM(SUBSTITUTE('Raw Data'!E271," "," "))</f>
        <v>SkyArtist</v>
      </c>
      <c r="F271" s="4" t="str">
        <f>TRIM(PROPER('Raw Data'!F271))</f>
        <v>Twitter</v>
      </c>
      <c r="G271" s="8" t="str">
        <f>TRIM(CLEAN('Raw Data'!G271))</f>
        <v>#Inspired #CloudsOfCreativity</v>
      </c>
      <c r="H271" s="12">
        <f>'Raw Data'!H271</f>
        <v>18</v>
      </c>
      <c r="I271" s="12">
        <v>48</v>
      </c>
      <c r="J271" s="12" t="str">
        <f>TRIM(UPPER('Raw Data'!J271))</f>
        <v>INDIA</v>
      </c>
      <c r="K271" s="12">
        <f>'Raw Data'!K271</f>
        <v>2021</v>
      </c>
      <c r="L271" s="12">
        <f>'Raw Data'!L271</f>
        <v>12</v>
      </c>
      <c r="M271" s="12">
        <f>'Raw Data'!M271</f>
        <v>8</v>
      </c>
      <c r="N271">
        <f>'Raw Data'!N271</f>
        <v>14</v>
      </c>
    </row>
    <row r="272" spans="1:14" ht="45" x14ac:dyDescent="0.25">
      <c r="A272" s="11">
        <f>'Raw Data'!A272</f>
        <v>270</v>
      </c>
      <c r="B272" s="8" t="str">
        <f>TRIM(CLEAN('Raw Data'!B272))</f>
        <v>Navigating the river of contentment, a serene boat cruise through the tranquil waters of inner peace and acceptance.</v>
      </c>
      <c r="C272" s="4" t="str">
        <f>TRIM(PROPER('Raw Data'!C272))</f>
        <v>Contentment</v>
      </c>
      <c r="D272" s="5">
        <f>'Raw Data'!D272</f>
        <v>43582.409722222219</v>
      </c>
      <c r="E272" s="4" t="str">
        <f>TRIM(SUBSTITUTE('Raw Data'!E272," "," "))</f>
        <v>RiverNavigator</v>
      </c>
      <c r="F272" s="4" t="str">
        <f>TRIM(PROPER('Raw Data'!F272))</f>
        <v>Instagram</v>
      </c>
      <c r="G272" s="8" t="str">
        <f>TRIM(CLEAN('Raw Data'!G272))</f>
        <v>#Contentment #TranquilWaters</v>
      </c>
      <c r="H272" s="12">
        <f>'Raw Data'!H272</f>
        <v>20</v>
      </c>
      <c r="I272" s="12">
        <v>36</v>
      </c>
      <c r="J272" s="12" t="str">
        <f>TRIM(UPPER('Raw Data'!J272))</f>
        <v>CANADA</v>
      </c>
      <c r="K272" s="12">
        <f>'Raw Data'!K272</f>
        <v>2019</v>
      </c>
      <c r="L272" s="12">
        <f>'Raw Data'!L272</f>
        <v>4</v>
      </c>
      <c r="M272" s="12">
        <f>'Raw Data'!M272</f>
        <v>27</v>
      </c>
      <c r="N272">
        <f>'Raw Data'!N272</f>
        <v>9</v>
      </c>
    </row>
    <row r="273" spans="1:14" ht="45" x14ac:dyDescent="0.25">
      <c r="A273" s="11">
        <f>'Raw Data'!A273</f>
        <v>271</v>
      </c>
      <c r="B273" s="8" t="str">
        <f>TRIM(CLEAN('Raw Data'!B273))</f>
        <v>With empathy as a lantern, wandering through the dark alleys of sorrow, illuminating the path with compassion and care.</v>
      </c>
      <c r="C273" s="4" t="str">
        <f>TRIM(PROPER('Raw Data'!C273))</f>
        <v>Empathetic</v>
      </c>
      <c r="D273" s="5">
        <f>'Raw Data'!D273</f>
        <v>45172.902777777781</v>
      </c>
      <c r="E273" s="4" t="str">
        <f>TRIM(SUBSTITUTE('Raw Data'!E273," "," "))</f>
        <v>LanternWanderer</v>
      </c>
      <c r="F273" s="4" t="str">
        <f>TRIM(PROPER('Raw Data'!F273))</f>
        <v>Facebook</v>
      </c>
      <c r="G273" s="8" t="str">
        <f>TRIM(CLEAN('Raw Data'!G273))</f>
        <v>#Empathetic #LanternOfCompassion</v>
      </c>
      <c r="H273" s="12">
        <f>'Raw Data'!H273</f>
        <v>16</v>
      </c>
      <c r="I273" s="12">
        <v>40</v>
      </c>
      <c r="J273" s="12" t="str">
        <f>TRIM(UPPER('Raw Data'!J273))</f>
        <v>USA</v>
      </c>
      <c r="K273" s="12">
        <f>'Raw Data'!K273</f>
        <v>2023</v>
      </c>
      <c r="L273" s="12">
        <f>'Raw Data'!L273</f>
        <v>9</v>
      </c>
      <c r="M273" s="12">
        <f>'Raw Data'!M273</f>
        <v>3</v>
      </c>
      <c r="N273">
        <f>'Raw Data'!N273</f>
        <v>21</v>
      </c>
    </row>
    <row r="274" spans="1:14" ht="45" x14ac:dyDescent="0.25">
      <c r="A274" s="11">
        <f>'Raw Data'!A274</f>
        <v>272</v>
      </c>
      <c r="B274" s="8" t="str">
        <f>TRIM(CLEAN('Raw Data'!B274))</f>
        <v>A free spirit soaring on the wings of dreams, leaving trails of independence in the azure sky of boundless possibilities.</v>
      </c>
      <c r="C274" s="4" t="str">
        <f>TRIM(PROPER('Raw Data'!C274))</f>
        <v>Free-Spirited</v>
      </c>
      <c r="D274" s="5">
        <f>'Raw Data'!D274</f>
        <v>43992.420138888891</v>
      </c>
      <c r="E274" s="4" t="str">
        <f>TRIM(SUBSTITUTE('Raw Data'!E274," "," "))</f>
        <v>DreamSoarer</v>
      </c>
      <c r="F274" s="4" t="str">
        <f>TRIM(PROPER('Raw Data'!F274))</f>
        <v>Twitter</v>
      </c>
      <c r="G274" s="8" t="str">
        <f>TRIM(CLEAN('Raw Data'!G274))</f>
        <v>#FreeSpirit #WingsOfDreams</v>
      </c>
      <c r="H274" s="12">
        <f>'Raw Data'!H274</f>
        <v>22</v>
      </c>
      <c r="I274" s="12">
        <v>32</v>
      </c>
      <c r="J274" s="12" t="str">
        <f>TRIM(UPPER('Raw Data'!J274))</f>
        <v>UK</v>
      </c>
      <c r="K274" s="12">
        <f>'Raw Data'!K274</f>
        <v>2020</v>
      </c>
      <c r="L274" s="12">
        <f>'Raw Data'!L274</f>
        <v>6</v>
      </c>
      <c r="M274" s="12">
        <f>'Raw Data'!M274</f>
        <v>10</v>
      </c>
      <c r="N274">
        <f>'Raw Data'!N274</f>
        <v>10</v>
      </c>
    </row>
    <row r="275" spans="1:14" ht="45" x14ac:dyDescent="0.25">
      <c r="A275" s="11">
        <f>'Raw Data'!A275</f>
        <v>273</v>
      </c>
      <c r="B275" s="8" t="str">
        <f>TRIM(CLEAN('Raw Data'!B275))</f>
        <v>Bathed in the golden hues of gratefulness, a sunset of appreciation casting its warm glow on the landscapes of the heart.</v>
      </c>
      <c r="C275" s="4" t="str">
        <f>TRIM(PROPER('Raw Data'!C275))</f>
        <v>Grateful</v>
      </c>
      <c r="D275" s="5">
        <f>'Raw Data'!D275</f>
        <v>44652.770833333336</v>
      </c>
      <c r="E275" s="4" t="str">
        <f>TRIM(SUBSTITUTE('Raw Data'!E275," "," "))</f>
        <v>SunsetAdmirer</v>
      </c>
      <c r="F275" s="4" t="str">
        <f>TRIM(PROPER('Raw Data'!F275))</f>
        <v>Instagram</v>
      </c>
      <c r="G275" s="8" t="str">
        <f>TRIM(CLEAN('Raw Data'!G275))</f>
        <v>#Grateful #GoldenHues</v>
      </c>
      <c r="H275" s="12">
        <f>'Raw Data'!H275</f>
        <v>19</v>
      </c>
      <c r="I275" s="12">
        <v>44</v>
      </c>
      <c r="J275" s="12" t="str">
        <f>TRIM(UPPER('Raw Data'!J275))</f>
        <v>AUSTRALIA</v>
      </c>
      <c r="K275" s="12">
        <f>'Raw Data'!K275</f>
        <v>2022</v>
      </c>
      <c r="L275" s="12">
        <f>'Raw Data'!L275</f>
        <v>4</v>
      </c>
      <c r="M275" s="12">
        <f>'Raw Data'!M275</f>
        <v>1</v>
      </c>
      <c r="N275">
        <f>'Raw Data'!N275</f>
        <v>18</v>
      </c>
    </row>
    <row r="276" spans="1:14" ht="45" x14ac:dyDescent="0.25">
      <c r="A276" s="11">
        <f>'Raw Data'!A276</f>
        <v>274</v>
      </c>
      <c r="B276" s="8" t="str">
        <f>TRIM(CLEAN('Raw Data'!B276))</f>
        <v>Confident strides in the dance of life, a ballroom where self-assuredness leads, twirling through challenges with grace.</v>
      </c>
      <c r="C276" s="4" t="str">
        <f>TRIM(PROPER('Raw Data'!C276))</f>
        <v>Confident</v>
      </c>
      <c r="D276" s="5">
        <f>'Raw Data'!D276</f>
        <v>44211.541666666664</v>
      </c>
      <c r="E276" s="4" t="str">
        <f>TRIM(SUBSTITUTE('Raw Data'!E276," "," "))</f>
        <v>DanceStrider</v>
      </c>
      <c r="F276" s="4" t="str">
        <f>TRIM(PROPER('Raw Data'!F276))</f>
        <v>Facebook</v>
      </c>
      <c r="G276" s="8" t="str">
        <f>TRIM(CLEAN('Raw Data'!G276))</f>
        <v>#Confident #DanceOfLife</v>
      </c>
      <c r="H276" s="12">
        <f>'Raw Data'!H276</f>
        <v>23</v>
      </c>
      <c r="I276" s="12">
        <v>38</v>
      </c>
      <c r="J276" s="12" t="str">
        <f>TRIM(UPPER('Raw Data'!J276))</f>
        <v>CANADA</v>
      </c>
      <c r="K276" s="12">
        <f>'Raw Data'!K276</f>
        <v>2021</v>
      </c>
      <c r="L276" s="12">
        <f>'Raw Data'!L276</f>
        <v>1</v>
      </c>
      <c r="M276" s="12">
        <f>'Raw Data'!M276</f>
        <v>15</v>
      </c>
      <c r="N276">
        <f>'Raw Data'!N276</f>
        <v>13</v>
      </c>
    </row>
    <row r="277" spans="1:14" ht="45" x14ac:dyDescent="0.25">
      <c r="A277" s="11">
        <f>'Raw Data'!A277</f>
        <v>275</v>
      </c>
      <c r="B277" s="8" t="str">
        <f>TRIM(CLEAN('Raw Data'!B277))</f>
        <v>Hopeful whispers of wind, carrying the promises of a brighter tomorrow, a symphony of optimism in the air of possibilities.</v>
      </c>
      <c r="C277" s="4" t="str">
        <f>TRIM(PROPER('Raw Data'!C277))</f>
        <v>Hopeful</v>
      </c>
      <c r="D277" s="5">
        <f>'Raw Data'!D277</f>
        <v>45052.305555555555</v>
      </c>
      <c r="E277" s="4" t="str">
        <f>TRIM(SUBSTITUTE('Raw Data'!E277," "," "))</f>
        <v>WindWhisperer</v>
      </c>
      <c r="F277" s="4" t="str">
        <f>TRIM(PROPER('Raw Data'!F277))</f>
        <v>Twitter</v>
      </c>
      <c r="G277" s="8" t="str">
        <f>TRIM(CLEAN('Raw Data'!G277))</f>
        <v>#Hopeful #BrighterTomorrows</v>
      </c>
      <c r="H277" s="12">
        <f>'Raw Data'!H277</f>
        <v>15</v>
      </c>
      <c r="I277" s="12">
        <v>46</v>
      </c>
      <c r="J277" s="12" t="str">
        <f>TRIM(UPPER('Raw Data'!J277))</f>
        <v>INDIA</v>
      </c>
      <c r="K277" s="12">
        <f>'Raw Data'!K277</f>
        <v>2023</v>
      </c>
      <c r="L277" s="12">
        <f>'Raw Data'!L277</f>
        <v>5</v>
      </c>
      <c r="M277" s="12">
        <f>'Raw Data'!M277</f>
        <v>6</v>
      </c>
      <c r="N277">
        <f>'Raw Data'!N277</f>
        <v>7</v>
      </c>
    </row>
    <row r="278" spans="1:14" ht="45" x14ac:dyDescent="0.25">
      <c r="A278" s="11">
        <f>'Raw Data'!A278</f>
        <v>276</v>
      </c>
      <c r="B278" s="8" t="str">
        <f>TRIM(CLEAN('Raw Data'!B278))</f>
        <v>Playfully juggling responsibilities, a circus performer balancing the acts of work and joy, tossing laughter into the air.</v>
      </c>
      <c r="C278" s="4" t="str">
        <f>TRIM(PROPER('Raw Data'!C278))</f>
        <v>Playful</v>
      </c>
      <c r="D278" s="5">
        <f>'Raw Data'!D278</f>
        <v>43787.635416666664</v>
      </c>
      <c r="E278" s="4" t="str">
        <f>TRIM(SUBSTITUTE('Raw Data'!E278," "," "))</f>
        <v>JugglingArtist</v>
      </c>
      <c r="F278" s="4" t="str">
        <f>TRIM(PROPER('Raw Data'!F278))</f>
        <v>Instagram</v>
      </c>
      <c r="G278" s="8" t="str">
        <f>TRIM(CLEAN('Raw Data'!G278))</f>
        <v>#Playful #JugglingResponsibilities</v>
      </c>
      <c r="H278" s="12">
        <f>'Raw Data'!H278</f>
        <v>25</v>
      </c>
      <c r="I278" s="12">
        <v>30</v>
      </c>
      <c r="J278" s="12" t="str">
        <f>TRIM(UPPER('Raw Data'!J278))</f>
        <v>USA</v>
      </c>
      <c r="K278" s="12">
        <f>'Raw Data'!K278</f>
        <v>2019</v>
      </c>
      <c r="L278" s="12">
        <f>'Raw Data'!L278</f>
        <v>11</v>
      </c>
      <c r="M278" s="12">
        <f>'Raw Data'!M278</f>
        <v>18</v>
      </c>
      <c r="N278">
        <f>'Raw Data'!N278</f>
        <v>15</v>
      </c>
    </row>
    <row r="279" spans="1:14" ht="45" x14ac:dyDescent="0.25">
      <c r="A279" s="11">
        <f>'Raw Data'!A279</f>
        <v>277</v>
      </c>
      <c r="B279" s="8" t="str">
        <f>TRIM(CLEAN('Raw Data'!B279))</f>
        <v>Whispering tales of inspiration to the stars, a storyteller crafting constellations from the threads of imagination.</v>
      </c>
      <c r="C279" s="4" t="str">
        <f>TRIM(PROPER('Raw Data'!C279))</f>
        <v>Inspired</v>
      </c>
      <c r="D279" s="5">
        <f>'Raw Data'!D279</f>
        <v>44072.864583333336</v>
      </c>
      <c r="E279" s="4" t="str">
        <f>TRIM(SUBSTITUTE('Raw Data'!E279," "," "))</f>
        <v>StarStoryteller</v>
      </c>
      <c r="F279" s="4" t="str">
        <f>TRIM(PROPER('Raw Data'!F279))</f>
        <v>Facebook</v>
      </c>
      <c r="G279" s="8" t="str">
        <f>TRIM(CLEAN('Raw Data'!G279))</f>
        <v>#Inspired #TalesToTheStars</v>
      </c>
      <c r="H279" s="12">
        <f>'Raw Data'!H279</f>
        <v>14</v>
      </c>
      <c r="I279" s="12">
        <v>50</v>
      </c>
      <c r="J279" s="12" t="str">
        <f>TRIM(UPPER('Raw Data'!J279))</f>
        <v>UK</v>
      </c>
      <c r="K279" s="12">
        <f>'Raw Data'!K279</f>
        <v>2020</v>
      </c>
      <c r="L279" s="12">
        <f>'Raw Data'!L279</f>
        <v>8</v>
      </c>
      <c r="M279" s="12">
        <f>'Raw Data'!M279</f>
        <v>29</v>
      </c>
      <c r="N279">
        <f>'Raw Data'!N279</f>
        <v>20</v>
      </c>
    </row>
    <row r="280" spans="1:14" ht="45" x14ac:dyDescent="0.25">
      <c r="A280" s="11">
        <f>'Raw Data'!A280</f>
        <v>278</v>
      </c>
      <c r="B280" s="8" t="str">
        <f>TRIM(CLEAN('Raw Data'!B280))</f>
        <v>Charting a course through the waves of hopeful anticipation, a sailor steering towards the shores of dreams yet unexplored.</v>
      </c>
      <c r="C280" s="4" t="str">
        <f>TRIM(PROPER('Raw Data'!C280))</f>
        <v>Hopeful</v>
      </c>
      <c r="D280" s="5">
        <f>'Raw Data'!D280</f>
        <v>44864.486111111109</v>
      </c>
      <c r="E280" s="4" t="str">
        <f>TRIM(SUBSTITUTE('Raw Data'!E280," "," "))</f>
        <v>WaveNavigator</v>
      </c>
      <c r="F280" s="4" t="str">
        <f>TRIM(PROPER('Raw Data'!F280))</f>
        <v>Twitter</v>
      </c>
      <c r="G280" s="8" t="str">
        <f>TRIM(CLEAN('Raw Data'!G280))</f>
        <v>#Hopeful #SailorOfDreams</v>
      </c>
      <c r="H280" s="12">
        <f>'Raw Data'!H280</f>
        <v>17</v>
      </c>
      <c r="I280" s="12">
        <v>28</v>
      </c>
      <c r="J280" s="12" t="str">
        <f>TRIM(UPPER('Raw Data'!J280))</f>
        <v>AUSTRALIA</v>
      </c>
      <c r="K280" s="12">
        <f>'Raw Data'!K280</f>
        <v>2022</v>
      </c>
      <c r="L280" s="12">
        <f>'Raw Data'!L280</f>
        <v>10</v>
      </c>
      <c r="M280" s="12">
        <f>'Raw Data'!M280</f>
        <v>30</v>
      </c>
      <c r="N280">
        <f>'Raw Data'!N280</f>
        <v>11</v>
      </c>
    </row>
    <row r="281" spans="1:14" ht="45" x14ac:dyDescent="0.25">
      <c r="A281" s="11">
        <f>'Raw Data'!A281</f>
        <v>279</v>
      </c>
      <c r="B281" s="8" t="str">
        <f>TRIM(CLEAN('Raw Data'!B281))</f>
        <v>A compassionate rain, tears of empathy falling gently, nurturing the seeds of kindness in the garden of human connections.</v>
      </c>
      <c r="C281" s="4" t="str">
        <f>TRIM(PROPER('Raw Data'!C281))</f>
        <v>Compassionate</v>
      </c>
      <c r="D281" s="5">
        <f>'Raw Data'!D281</f>
        <v>44378.506944444445</v>
      </c>
      <c r="E281" s="4" t="str">
        <f>TRIM(SUBSTITUTE('Raw Data'!E281," "," "))</f>
        <v>RainNurturer</v>
      </c>
      <c r="F281" s="4" t="str">
        <f>TRIM(PROPER('Raw Data'!F281))</f>
        <v>Instagram</v>
      </c>
      <c r="G281" s="8" t="str">
        <f>TRIM(CLEAN('Raw Data'!G281))</f>
        <v>#Compassionate #TearsOfEmpathy</v>
      </c>
      <c r="H281" s="12">
        <f>'Raw Data'!H281</f>
        <v>21</v>
      </c>
      <c r="I281" s="12">
        <v>34</v>
      </c>
      <c r="J281" s="12" t="str">
        <f>TRIM(UPPER('Raw Data'!J281))</f>
        <v>CANADA</v>
      </c>
      <c r="K281" s="12">
        <f>'Raw Data'!K281</f>
        <v>2021</v>
      </c>
      <c r="L281" s="12">
        <f>'Raw Data'!L281</f>
        <v>7</v>
      </c>
      <c r="M281" s="12">
        <f>'Raw Data'!M281</f>
        <v>1</v>
      </c>
      <c r="N281">
        <f>'Raw Data'!N281</f>
        <v>12</v>
      </c>
    </row>
    <row r="282" spans="1:14" ht="45" x14ac:dyDescent="0.25">
      <c r="A282" s="11">
        <f>'Raw Data'!A282</f>
        <v>280</v>
      </c>
      <c r="B282" s="8" t="str">
        <f>TRIM(CLEAN('Raw Data'!B282))</f>
        <v>Proudly scaling the peaks of achievement, a mountaineer conquering challenges and planting the flag of success.</v>
      </c>
      <c r="C282" s="4" t="str">
        <f>TRIM(PROPER('Raw Data'!C282))</f>
        <v>Proud</v>
      </c>
      <c r="D282" s="5">
        <f>'Raw Data'!D282</f>
        <v>43835.364583333336</v>
      </c>
      <c r="E282" s="4" t="str">
        <f>TRIM(SUBSTITUTE('Raw Data'!E282," "," "))</f>
        <v>PeakConqueror</v>
      </c>
      <c r="F282" s="4" t="str">
        <f>TRIM(PROPER('Raw Data'!F282))</f>
        <v>Twitter</v>
      </c>
      <c r="G282" s="8" t="str">
        <f>TRIM(CLEAN('Raw Data'!G282))</f>
        <v>#Proud #ScalingPeaks</v>
      </c>
      <c r="H282" s="12">
        <f>'Raw Data'!H282</f>
        <v>23</v>
      </c>
      <c r="I282" s="12">
        <v>42</v>
      </c>
      <c r="J282" s="12" t="str">
        <f>TRIM(UPPER('Raw Data'!J282))</f>
        <v>USA</v>
      </c>
      <c r="K282" s="12">
        <f>'Raw Data'!K282</f>
        <v>2020</v>
      </c>
      <c r="L282" s="12">
        <f>'Raw Data'!L282</f>
        <v>1</v>
      </c>
      <c r="M282" s="12">
        <f>'Raw Data'!M282</f>
        <v>5</v>
      </c>
      <c r="N282">
        <f>'Raw Data'!N282</f>
        <v>8</v>
      </c>
    </row>
    <row r="283" spans="1:14" ht="45" x14ac:dyDescent="0.25">
      <c r="A283" s="11">
        <f>'Raw Data'!A283</f>
        <v>281</v>
      </c>
      <c r="B283" s="8" t="str">
        <f>TRIM(CLEAN('Raw Data'!B283))</f>
        <v>Embraced by the hopeful dawn, a gardener sowing seeds of optimism, tending to the blooms of a brighter tomorrow.</v>
      </c>
      <c r="C283" s="4" t="str">
        <f>TRIM(PROPER('Raw Data'!C283))</f>
        <v>Hopeful</v>
      </c>
      <c r="D283" s="5">
        <f>'Raw Data'!D283</f>
        <v>44759.260416666664</v>
      </c>
      <c r="E283" s="4" t="str">
        <f>TRIM(SUBSTITUTE('Raw Data'!E283," "," "))</f>
        <v>DawnGardener</v>
      </c>
      <c r="F283" s="4" t="str">
        <f>TRIM(PROPER('Raw Data'!F283))</f>
        <v>Instagram</v>
      </c>
      <c r="G283" s="8" t="str">
        <f>TRIM(CLEAN('Raw Data'!G283))</f>
        <v>#Hopeful #SeedsOfOptimism</v>
      </c>
      <c r="H283" s="12">
        <f>'Raw Data'!H283</f>
        <v>14</v>
      </c>
      <c r="I283" s="12">
        <v>46</v>
      </c>
      <c r="J283" s="12" t="str">
        <f>TRIM(UPPER('Raw Data'!J283))</f>
        <v>UK</v>
      </c>
      <c r="K283" s="12">
        <f>'Raw Data'!K283</f>
        <v>2022</v>
      </c>
      <c r="L283" s="12">
        <f>'Raw Data'!L283</f>
        <v>7</v>
      </c>
      <c r="M283" s="12">
        <f>'Raw Data'!M283</f>
        <v>17</v>
      </c>
      <c r="N283">
        <f>'Raw Data'!N283</f>
        <v>6</v>
      </c>
    </row>
    <row r="284" spans="1:14" ht="45" x14ac:dyDescent="0.25">
      <c r="A284" s="11">
        <f>'Raw Data'!A284</f>
        <v>282</v>
      </c>
      <c r="B284" s="8" t="str">
        <f>TRIM(CLEAN('Raw Data'!B284))</f>
        <v>A playful escapade in the carnival of life, carousel laughter and cotton candy dreams swirling in the joyous atmosphere.</v>
      </c>
      <c r="C284" s="4" t="str">
        <f>TRIM(PROPER('Raw Data'!C284))</f>
        <v>Playful</v>
      </c>
      <c r="D284" s="5">
        <f>'Raw Data'!D284</f>
        <v>43334.722222222219</v>
      </c>
      <c r="E284" s="4" t="str">
        <f>TRIM(SUBSTITUTE('Raw Data'!E284," "," "))</f>
        <v>CarnivalDreamer</v>
      </c>
      <c r="F284" s="4" t="str">
        <f>TRIM(PROPER('Raw Data'!F284))</f>
        <v>Facebook</v>
      </c>
      <c r="G284" s="8" t="str">
        <f>TRIM(CLEAN('Raw Data'!G284))</f>
        <v>#Playful #CarnivalEscapade</v>
      </c>
      <c r="H284" s="12">
        <f>'Raw Data'!H284</f>
        <v>24</v>
      </c>
      <c r="I284" s="12">
        <v>28</v>
      </c>
      <c r="J284" s="12" t="str">
        <f>TRIM(UPPER('Raw Data'!J284))</f>
        <v>AUSTRALIA</v>
      </c>
      <c r="K284" s="12">
        <f>'Raw Data'!K284</f>
        <v>2018</v>
      </c>
      <c r="L284" s="12">
        <f>'Raw Data'!L284</f>
        <v>8</v>
      </c>
      <c r="M284" s="12">
        <f>'Raw Data'!M284</f>
        <v>22</v>
      </c>
      <c r="N284">
        <f>'Raw Data'!N284</f>
        <v>17</v>
      </c>
    </row>
    <row r="285" spans="1:14" ht="45" x14ac:dyDescent="0.25">
      <c r="A285" s="11">
        <f>'Raw Data'!A285</f>
        <v>283</v>
      </c>
      <c r="B285" s="8" t="str">
        <f>TRIM(CLEAN('Raw Data'!B285))</f>
        <v>Floating on clouds of inspiration, an artist painting the sky with strokes of creativity, creating a masterpiece of dreams.</v>
      </c>
      <c r="C285" s="4" t="str">
        <f>TRIM(PROPER('Raw Data'!C285))</f>
        <v>Inspired</v>
      </c>
      <c r="D285" s="5">
        <f>'Raw Data'!D285</f>
        <v>44538.604166666664</v>
      </c>
      <c r="E285" s="4" t="str">
        <f>TRIM(SUBSTITUTE('Raw Data'!E285," "," "))</f>
        <v>SkyArtist</v>
      </c>
      <c r="F285" s="4" t="str">
        <f>TRIM(PROPER('Raw Data'!F285))</f>
        <v>Twitter</v>
      </c>
      <c r="G285" s="8" t="str">
        <f>TRIM(CLEAN('Raw Data'!G285))</f>
        <v>#Inspired #CloudsOfCreativity</v>
      </c>
      <c r="H285" s="12">
        <f>'Raw Data'!H285</f>
        <v>18</v>
      </c>
      <c r="I285" s="12">
        <v>48</v>
      </c>
      <c r="J285" s="12" t="str">
        <f>TRIM(UPPER('Raw Data'!J285))</f>
        <v>INDIA</v>
      </c>
      <c r="K285" s="12">
        <f>'Raw Data'!K285</f>
        <v>2021</v>
      </c>
      <c r="L285" s="12">
        <f>'Raw Data'!L285</f>
        <v>12</v>
      </c>
      <c r="M285" s="12">
        <f>'Raw Data'!M285</f>
        <v>8</v>
      </c>
      <c r="N285">
        <f>'Raw Data'!N285</f>
        <v>14</v>
      </c>
    </row>
    <row r="286" spans="1:14" ht="45" x14ac:dyDescent="0.25">
      <c r="A286" s="11">
        <f>'Raw Data'!A286</f>
        <v>284</v>
      </c>
      <c r="B286" s="8" t="str">
        <f>TRIM(CLEAN('Raw Data'!B286))</f>
        <v>Navigating the river of contentment, a serene boat cruise through the tranquil waters of inner peace and acceptance.</v>
      </c>
      <c r="C286" s="4" t="str">
        <f>TRIM(PROPER('Raw Data'!C286))</f>
        <v>Contentment</v>
      </c>
      <c r="D286" s="5">
        <f>'Raw Data'!D286</f>
        <v>43582.409722222219</v>
      </c>
      <c r="E286" s="4" t="str">
        <f>TRIM(SUBSTITUTE('Raw Data'!E286," "," "))</f>
        <v>RiverNavigator</v>
      </c>
      <c r="F286" s="4" t="str">
        <f>TRIM(PROPER('Raw Data'!F286))</f>
        <v>Instagram</v>
      </c>
      <c r="G286" s="8" t="str">
        <f>TRIM(CLEAN('Raw Data'!G286))</f>
        <v>#Contentment #TranquilWaters</v>
      </c>
      <c r="H286" s="12">
        <f>'Raw Data'!H286</f>
        <v>20</v>
      </c>
      <c r="I286" s="12">
        <v>36</v>
      </c>
      <c r="J286" s="12" t="str">
        <f>TRIM(UPPER('Raw Data'!J286))</f>
        <v>CANADA</v>
      </c>
      <c r="K286" s="12">
        <f>'Raw Data'!K286</f>
        <v>2019</v>
      </c>
      <c r="L286" s="12">
        <f>'Raw Data'!L286</f>
        <v>4</v>
      </c>
      <c r="M286" s="12">
        <f>'Raw Data'!M286</f>
        <v>27</v>
      </c>
      <c r="N286">
        <f>'Raw Data'!N286</f>
        <v>9</v>
      </c>
    </row>
    <row r="287" spans="1:14" ht="45" x14ac:dyDescent="0.25">
      <c r="A287" s="11">
        <f>'Raw Data'!A287</f>
        <v>285</v>
      </c>
      <c r="B287" s="8" t="str">
        <f>TRIM(CLEAN('Raw Data'!B287))</f>
        <v>With empathy as a lantern, wandering through the dark alleys of sorrow, illuminating the path with compassion and care.</v>
      </c>
      <c r="C287" s="4" t="str">
        <f>TRIM(PROPER('Raw Data'!C287))</f>
        <v>Empathetic</v>
      </c>
      <c r="D287" s="5">
        <f>'Raw Data'!D287</f>
        <v>45172.902777777781</v>
      </c>
      <c r="E287" s="4" t="str">
        <f>TRIM(SUBSTITUTE('Raw Data'!E287," "," "))</f>
        <v>LanternWanderer</v>
      </c>
      <c r="F287" s="4" t="str">
        <f>TRIM(PROPER('Raw Data'!F287))</f>
        <v>Facebook</v>
      </c>
      <c r="G287" s="8" t="str">
        <f>TRIM(CLEAN('Raw Data'!G287))</f>
        <v>#Empathetic #LanternOfCompassion</v>
      </c>
      <c r="H287" s="12">
        <f>'Raw Data'!H287</f>
        <v>16</v>
      </c>
      <c r="I287" s="12">
        <v>40</v>
      </c>
      <c r="J287" s="12" t="str">
        <f>TRIM(UPPER('Raw Data'!J287))</f>
        <v>USA</v>
      </c>
      <c r="K287" s="12">
        <f>'Raw Data'!K287</f>
        <v>2023</v>
      </c>
      <c r="L287" s="12">
        <f>'Raw Data'!L287</f>
        <v>9</v>
      </c>
      <c r="M287" s="12">
        <f>'Raw Data'!M287</f>
        <v>3</v>
      </c>
      <c r="N287">
        <f>'Raw Data'!N287</f>
        <v>21</v>
      </c>
    </row>
    <row r="288" spans="1:14" ht="45" x14ac:dyDescent="0.25">
      <c r="A288" s="11">
        <f>'Raw Data'!A288</f>
        <v>286</v>
      </c>
      <c r="B288" s="8" t="str">
        <f>TRIM(CLEAN('Raw Data'!B288))</f>
        <v>A free spirit soaring on the wings of dreams, leaving trails of independence in the azure sky of boundless possibilities.</v>
      </c>
      <c r="C288" s="4" t="str">
        <f>TRIM(PROPER('Raw Data'!C288))</f>
        <v>Free-Spirited</v>
      </c>
      <c r="D288" s="5">
        <f>'Raw Data'!D288</f>
        <v>43992.420138888891</v>
      </c>
      <c r="E288" s="4" t="str">
        <f>TRIM(SUBSTITUTE('Raw Data'!E288," "," "))</f>
        <v>DreamSoarer</v>
      </c>
      <c r="F288" s="4" t="str">
        <f>TRIM(PROPER('Raw Data'!F288))</f>
        <v>Twitter</v>
      </c>
      <c r="G288" s="8" t="str">
        <f>TRIM(CLEAN('Raw Data'!G288))</f>
        <v>#FreeSpirit #WingsOfDreams</v>
      </c>
      <c r="H288" s="12">
        <f>'Raw Data'!H288</f>
        <v>22</v>
      </c>
      <c r="I288" s="12">
        <v>32</v>
      </c>
      <c r="J288" s="12" t="str">
        <f>TRIM(UPPER('Raw Data'!J288))</f>
        <v>UK</v>
      </c>
      <c r="K288" s="12">
        <f>'Raw Data'!K288</f>
        <v>2020</v>
      </c>
      <c r="L288" s="12">
        <f>'Raw Data'!L288</f>
        <v>6</v>
      </c>
      <c r="M288" s="12">
        <f>'Raw Data'!M288</f>
        <v>10</v>
      </c>
      <c r="N288">
        <f>'Raw Data'!N288</f>
        <v>10</v>
      </c>
    </row>
    <row r="289" spans="1:14" ht="45" x14ac:dyDescent="0.25">
      <c r="A289" s="11">
        <f>'Raw Data'!A289</f>
        <v>287</v>
      </c>
      <c r="B289" s="8" t="str">
        <f>TRIM(CLEAN('Raw Data'!B289))</f>
        <v>Bathed in the golden hues of gratefulness, a sunset of appreciation casting its warm glow on the landscapes of the heart.</v>
      </c>
      <c r="C289" s="4" t="str">
        <f>TRIM(PROPER('Raw Data'!C289))</f>
        <v>Grateful</v>
      </c>
      <c r="D289" s="5">
        <f>'Raw Data'!D289</f>
        <v>44652.770833333336</v>
      </c>
      <c r="E289" s="4" t="str">
        <f>TRIM(SUBSTITUTE('Raw Data'!E289," "," "))</f>
        <v>SunsetAdmirer</v>
      </c>
      <c r="F289" s="4" t="str">
        <f>TRIM(PROPER('Raw Data'!F289))</f>
        <v>Instagram</v>
      </c>
      <c r="G289" s="8" t="str">
        <f>TRIM(CLEAN('Raw Data'!G289))</f>
        <v>#Grateful #GoldenHues</v>
      </c>
      <c r="H289" s="12">
        <f>'Raw Data'!H289</f>
        <v>19</v>
      </c>
      <c r="I289" s="12">
        <v>44</v>
      </c>
      <c r="J289" s="12" t="str">
        <f>TRIM(UPPER('Raw Data'!J289))</f>
        <v>AUSTRALIA</v>
      </c>
      <c r="K289" s="12">
        <f>'Raw Data'!K289</f>
        <v>2022</v>
      </c>
      <c r="L289" s="12">
        <f>'Raw Data'!L289</f>
        <v>4</v>
      </c>
      <c r="M289" s="12">
        <f>'Raw Data'!M289</f>
        <v>1</v>
      </c>
      <c r="N289">
        <f>'Raw Data'!N289</f>
        <v>18</v>
      </c>
    </row>
    <row r="290" spans="1:14" ht="45" x14ac:dyDescent="0.25">
      <c r="A290" s="11">
        <f>'Raw Data'!A290</f>
        <v>288</v>
      </c>
      <c r="B290" s="8" t="str">
        <f>TRIM(CLEAN('Raw Data'!B290))</f>
        <v>Confident strides in the dance of life, a ballroom where self-assuredness leads, twirling through challenges with grace.</v>
      </c>
      <c r="C290" s="4" t="str">
        <f>TRIM(PROPER('Raw Data'!C290))</f>
        <v>Confident</v>
      </c>
      <c r="D290" s="5">
        <f>'Raw Data'!D290</f>
        <v>44211.541666666664</v>
      </c>
      <c r="E290" s="4" t="str">
        <f>TRIM(SUBSTITUTE('Raw Data'!E290," "," "))</f>
        <v>DanceStrider</v>
      </c>
      <c r="F290" s="4" t="str">
        <f>TRIM(PROPER('Raw Data'!F290))</f>
        <v>Facebook</v>
      </c>
      <c r="G290" s="8" t="str">
        <f>TRIM(CLEAN('Raw Data'!G290))</f>
        <v>#Confident #DanceOfLife</v>
      </c>
      <c r="H290" s="12">
        <f>'Raw Data'!H290</f>
        <v>23</v>
      </c>
      <c r="I290" s="12">
        <v>38</v>
      </c>
      <c r="J290" s="12" t="str">
        <f>TRIM(UPPER('Raw Data'!J290))</f>
        <v>CANADA</v>
      </c>
      <c r="K290" s="12">
        <f>'Raw Data'!K290</f>
        <v>2021</v>
      </c>
      <c r="L290" s="12">
        <f>'Raw Data'!L290</f>
        <v>1</v>
      </c>
      <c r="M290" s="12">
        <f>'Raw Data'!M290</f>
        <v>15</v>
      </c>
      <c r="N290">
        <f>'Raw Data'!N290</f>
        <v>13</v>
      </c>
    </row>
    <row r="291" spans="1:14" ht="45" x14ac:dyDescent="0.25">
      <c r="A291" s="11">
        <f>'Raw Data'!A291</f>
        <v>289</v>
      </c>
      <c r="B291" s="8" t="str">
        <f>TRIM(CLEAN('Raw Data'!B291))</f>
        <v>Hopeful whispers of wind, carrying the promises of a brighter tomorrow, a symphony of optimism in the air of possibilities.</v>
      </c>
      <c r="C291" s="4" t="str">
        <f>TRIM(PROPER('Raw Data'!C291))</f>
        <v>Hopeful</v>
      </c>
      <c r="D291" s="5">
        <f>'Raw Data'!D291</f>
        <v>45052.305555555555</v>
      </c>
      <c r="E291" s="4" t="str">
        <f>TRIM(SUBSTITUTE('Raw Data'!E291," "," "))</f>
        <v>WindWhisperer</v>
      </c>
      <c r="F291" s="4" t="str">
        <f>TRIM(PROPER('Raw Data'!F291))</f>
        <v>Twitter</v>
      </c>
      <c r="G291" s="8" t="str">
        <f>TRIM(CLEAN('Raw Data'!G291))</f>
        <v>#Hopeful #BrighterTomorrows</v>
      </c>
      <c r="H291" s="12">
        <f>'Raw Data'!H291</f>
        <v>15</v>
      </c>
      <c r="I291" s="12">
        <v>46</v>
      </c>
      <c r="J291" s="12" t="str">
        <f>TRIM(UPPER('Raw Data'!J291))</f>
        <v>INDIA</v>
      </c>
      <c r="K291" s="12">
        <f>'Raw Data'!K291</f>
        <v>2023</v>
      </c>
      <c r="L291" s="12">
        <f>'Raw Data'!L291</f>
        <v>5</v>
      </c>
      <c r="M291" s="12">
        <f>'Raw Data'!M291</f>
        <v>6</v>
      </c>
      <c r="N291">
        <f>'Raw Data'!N291</f>
        <v>7</v>
      </c>
    </row>
    <row r="292" spans="1:14" ht="45" x14ac:dyDescent="0.25">
      <c r="A292" s="11">
        <f>'Raw Data'!A292</f>
        <v>290</v>
      </c>
      <c r="B292" s="8" t="str">
        <f>TRIM(CLEAN('Raw Data'!B292))</f>
        <v>Playfully juggling responsibilities, a circus performer balancing the acts of work and joy, tossing laughter into the air.</v>
      </c>
      <c r="C292" s="4" t="str">
        <f>TRIM(PROPER('Raw Data'!C292))</f>
        <v>Playful</v>
      </c>
      <c r="D292" s="5">
        <f>'Raw Data'!D292</f>
        <v>43787.635416666664</v>
      </c>
      <c r="E292" s="4" t="str">
        <f>TRIM(SUBSTITUTE('Raw Data'!E292," "," "))</f>
        <v>JugglingArtist</v>
      </c>
      <c r="F292" s="4" t="str">
        <f>TRIM(PROPER('Raw Data'!F292))</f>
        <v>Instagram</v>
      </c>
      <c r="G292" s="8" t="str">
        <f>TRIM(CLEAN('Raw Data'!G292))</f>
        <v>#Playful #JugglingResponsibilities</v>
      </c>
      <c r="H292" s="12">
        <f>'Raw Data'!H292</f>
        <v>25</v>
      </c>
      <c r="I292" s="12">
        <v>30</v>
      </c>
      <c r="J292" s="12" t="str">
        <f>TRIM(UPPER('Raw Data'!J292))</f>
        <v>USA</v>
      </c>
      <c r="K292" s="12">
        <f>'Raw Data'!K292</f>
        <v>2019</v>
      </c>
      <c r="L292" s="12">
        <f>'Raw Data'!L292</f>
        <v>11</v>
      </c>
      <c r="M292" s="12">
        <f>'Raw Data'!M292</f>
        <v>18</v>
      </c>
      <c r="N292">
        <f>'Raw Data'!N292</f>
        <v>15</v>
      </c>
    </row>
    <row r="293" spans="1:14" ht="45" x14ac:dyDescent="0.25">
      <c r="A293" s="11">
        <f>'Raw Data'!A293</f>
        <v>291</v>
      </c>
      <c r="B293" s="8" t="str">
        <f>TRIM(CLEAN('Raw Data'!B293))</f>
        <v>Whispering tales of inspiration to the stars, a storyteller crafting constellations from the threads of imagination.</v>
      </c>
      <c r="C293" s="4" t="str">
        <f>TRIM(PROPER('Raw Data'!C293))</f>
        <v>Inspired</v>
      </c>
      <c r="D293" s="5">
        <f>'Raw Data'!D293</f>
        <v>44072.864583333336</v>
      </c>
      <c r="E293" s="4" t="str">
        <f>TRIM(SUBSTITUTE('Raw Data'!E293," "," "))</f>
        <v>StarStoryteller</v>
      </c>
      <c r="F293" s="4" t="str">
        <f>TRIM(PROPER('Raw Data'!F293))</f>
        <v>Facebook</v>
      </c>
      <c r="G293" s="8" t="str">
        <f>TRIM(CLEAN('Raw Data'!G293))</f>
        <v>#Inspired #TalesToTheStars</v>
      </c>
      <c r="H293" s="12">
        <f>'Raw Data'!H293</f>
        <v>14</v>
      </c>
      <c r="I293" s="12">
        <v>50</v>
      </c>
      <c r="J293" s="12" t="str">
        <f>TRIM(UPPER('Raw Data'!J293))</f>
        <v>UK</v>
      </c>
      <c r="K293" s="12">
        <f>'Raw Data'!K293</f>
        <v>2020</v>
      </c>
      <c r="L293" s="12">
        <f>'Raw Data'!L293</f>
        <v>8</v>
      </c>
      <c r="M293" s="12">
        <f>'Raw Data'!M293</f>
        <v>29</v>
      </c>
      <c r="N293">
        <f>'Raw Data'!N293</f>
        <v>20</v>
      </c>
    </row>
    <row r="294" spans="1:14" ht="45" x14ac:dyDescent="0.25">
      <c r="A294" s="11">
        <f>'Raw Data'!A294</f>
        <v>292</v>
      </c>
      <c r="B294" s="8" t="str">
        <f>TRIM(CLEAN('Raw Data'!B294))</f>
        <v>Charting a course through the waves of hopeful anticipation, a sailor steering towards the shores of dreams yet unexplored.</v>
      </c>
      <c r="C294" s="4" t="str">
        <f>TRIM(PROPER('Raw Data'!C294))</f>
        <v>Hopeful</v>
      </c>
      <c r="D294" s="5">
        <f>'Raw Data'!D294</f>
        <v>44864.486111111109</v>
      </c>
      <c r="E294" s="4" t="str">
        <f>TRIM(SUBSTITUTE('Raw Data'!E294," "," "))</f>
        <v>WaveNavigator</v>
      </c>
      <c r="F294" s="4" t="str">
        <f>TRIM(PROPER('Raw Data'!F294))</f>
        <v>Twitter</v>
      </c>
      <c r="G294" s="8" t="str">
        <f>TRIM(CLEAN('Raw Data'!G294))</f>
        <v>#Hopeful #SailorOfDreams</v>
      </c>
      <c r="H294" s="12">
        <f>'Raw Data'!H294</f>
        <v>17</v>
      </c>
      <c r="I294" s="12">
        <v>28</v>
      </c>
      <c r="J294" s="12" t="str">
        <f>TRIM(UPPER('Raw Data'!J294))</f>
        <v>AUSTRALIA</v>
      </c>
      <c r="K294" s="12">
        <f>'Raw Data'!K294</f>
        <v>2022</v>
      </c>
      <c r="L294" s="12">
        <f>'Raw Data'!L294</f>
        <v>10</v>
      </c>
      <c r="M294" s="12">
        <f>'Raw Data'!M294</f>
        <v>30</v>
      </c>
      <c r="N294">
        <f>'Raw Data'!N294</f>
        <v>11</v>
      </c>
    </row>
    <row r="295" spans="1:14" ht="45" x14ac:dyDescent="0.25">
      <c r="A295" s="11">
        <f>'Raw Data'!A295</f>
        <v>293</v>
      </c>
      <c r="B295" s="8" t="str">
        <f>TRIM(CLEAN('Raw Data'!B295))</f>
        <v>A compassionate rain, tears of empathy falling gently, nurturing the seeds of kindness in the garden of human connections.</v>
      </c>
      <c r="C295" s="4" t="str">
        <f>TRIM(PROPER('Raw Data'!C295))</f>
        <v>Compassionate</v>
      </c>
      <c r="D295" s="5">
        <f>'Raw Data'!D295</f>
        <v>44378.506944444445</v>
      </c>
      <c r="E295" s="4" t="str">
        <f>TRIM(SUBSTITUTE('Raw Data'!E295," "," "))</f>
        <v>RainNurturer</v>
      </c>
      <c r="F295" s="4" t="str">
        <f>TRIM(PROPER('Raw Data'!F295))</f>
        <v>Instagram</v>
      </c>
      <c r="G295" s="8" t="str">
        <f>TRIM(CLEAN('Raw Data'!G295))</f>
        <v>#Compassionate #TearsOfEmpathy</v>
      </c>
      <c r="H295" s="12">
        <f>'Raw Data'!H295</f>
        <v>21</v>
      </c>
      <c r="I295" s="12">
        <v>34</v>
      </c>
      <c r="J295" s="12" t="str">
        <f>TRIM(UPPER('Raw Data'!J295))</f>
        <v>CANADA</v>
      </c>
      <c r="K295" s="12">
        <f>'Raw Data'!K295</f>
        <v>2021</v>
      </c>
      <c r="L295" s="12">
        <f>'Raw Data'!L295</f>
        <v>7</v>
      </c>
      <c r="M295" s="12">
        <f>'Raw Data'!M295</f>
        <v>1</v>
      </c>
      <c r="N295">
        <f>'Raw Data'!N295</f>
        <v>12</v>
      </c>
    </row>
    <row r="296" spans="1:14" ht="45" x14ac:dyDescent="0.25">
      <c r="A296" s="11">
        <f>'Raw Data'!A296</f>
        <v>294</v>
      </c>
      <c r="B296" s="8" t="str">
        <f>TRIM(CLEAN('Raw Data'!B296))</f>
        <v>Proudly scaling the peaks of achievement, a mountaineer conquering challenges and planting the flag of success.</v>
      </c>
      <c r="C296" s="4" t="str">
        <f>TRIM(PROPER('Raw Data'!C296))</f>
        <v>Proud</v>
      </c>
      <c r="D296" s="5">
        <f>'Raw Data'!D296</f>
        <v>43835.364583333336</v>
      </c>
      <c r="E296" s="4" t="str">
        <f>TRIM(SUBSTITUTE('Raw Data'!E296," "," "))</f>
        <v>PeakConqueror</v>
      </c>
      <c r="F296" s="4" t="str">
        <f>TRIM(PROPER('Raw Data'!F296))</f>
        <v>Twitter</v>
      </c>
      <c r="G296" s="8" t="str">
        <f>TRIM(CLEAN('Raw Data'!G296))</f>
        <v>#Proud #ScalingPeaks</v>
      </c>
      <c r="H296" s="12">
        <f>'Raw Data'!H296</f>
        <v>23</v>
      </c>
      <c r="I296" s="12">
        <v>42</v>
      </c>
      <c r="J296" s="12" t="str">
        <f>TRIM(UPPER('Raw Data'!J296))</f>
        <v>USA</v>
      </c>
      <c r="K296" s="12">
        <f>'Raw Data'!K296</f>
        <v>2020</v>
      </c>
      <c r="L296" s="12">
        <f>'Raw Data'!L296</f>
        <v>1</v>
      </c>
      <c r="M296" s="12">
        <f>'Raw Data'!M296</f>
        <v>5</v>
      </c>
      <c r="N296">
        <f>'Raw Data'!N296</f>
        <v>8</v>
      </c>
    </row>
    <row r="297" spans="1:14" ht="45" x14ac:dyDescent="0.25">
      <c r="A297" s="11">
        <f>'Raw Data'!A297</f>
        <v>295</v>
      </c>
      <c r="B297" s="8" t="str">
        <f>TRIM(CLEAN('Raw Data'!B297))</f>
        <v>Embraced by the hopeful dawn, a gardener sowing seeds of optimism, tending to the blooms of a brighter tomorrow.</v>
      </c>
      <c r="C297" s="4" t="str">
        <f>TRIM(PROPER('Raw Data'!C297))</f>
        <v>Hopeful</v>
      </c>
      <c r="D297" s="5">
        <f>'Raw Data'!D297</f>
        <v>44759.260416666664</v>
      </c>
      <c r="E297" s="4" t="str">
        <f>TRIM(SUBSTITUTE('Raw Data'!E297," "," "))</f>
        <v>DawnGardener</v>
      </c>
      <c r="F297" s="4" t="str">
        <f>TRIM(PROPER('Raw Data'!F297))</f>
        <v>Instagram</v>
      </c>
      <c r="G297" s="8" t="str">
        <f>TRIM(CLEAN('Raw Data'!G297))</f>
        <v>#Hopeful #SeedsOfOptimism</v>
      </c>
      <c r="H297" s="12">
        <f>'Raw Data'!H297</f>
        <v>14</v>
      </c>
      <c r="I297" s="12">
        <v>46</v>
      </c>
      <c r="J297" s="12" t="str">
        <f>TRIM(UPPER('Raw Data'!J297))</f>
        <v>INDIA</v>
      </c>
      <c r="K297" s="12">
        <f>'Raw Data'!K297</f>
        <v>2022</v>
      </c>
      <c r="L297" s="12">
        <f>'Raw Data'!L297</f>
        <v>7</v>
      </c>
      <c r="M297" s="12">
        <f>'Raw Data'!M297</f>
        <v>17</v>
      </c>
      <c r="N297">
        <f>'Raw Data'!N297</f>
        <v>6</v>
      </c>
    </row>
    <row r="298" spans="1:14" ht="45" x14ac:dyDescent="0.25">
      <c r="A298" s="11">
        <f>'Raw Data'!A298</f>
        <v>296</v>
      </c>
      <c r="B298" s="8" t="str">
        <f>TRIM(CLEAN('Raw Data'!B298))</f>
        <v>A playful escapade in the carnival of life, carousel laughter and cotton candy dreams swirling in the joyous atmosphere.</v>
      </c>
      <c r="C298" s="4" t="str">
        <f>TRIM(PROPER('Raw Data'!C298))</f>
        <v>Playful</v>
      </c>
      <c r="D298" s="5">
        <f>'Raw Data'!D298</f>
        <v>43334.722222222219</v>
      </c>
      <c r="E298" s="4" t="str">
        <f>TRIM(SUBSTITUTE('Raw Data'!E298," "," "))</f>
        <v>CarnivalDreamer</v>
      </c>
      <c r="F298" s="4" t="str">
        <f>TRIM(PROPER('Raw Data'!F298))</f>
        <v>Facebook</v>
      </c>
      <c r="G298" s="8" t="str">
        <f>TRIM(CLEAN('Raw Data'!G298))</f>
        <v>#Playful #CarnivalEscapade</v>
      </c>
      <c r="H298" s="12">
        <f>'Raw Data'!H298</f>
        <v>24</v>
      </c>
      <c r="I298" s="12">
        <v>28</v>
      </c>
      <c r="J298" s="12" t="str">
        <f>TRIM(UPPER('Raw Data'!J298))</f>
        <v>AUSTRALIA</v>
      </c>
      <c r="K298" s="12">
        <f>'Raw Data'!K298</f>
        <v>2018</v>
      </c>
      <c r="L298" s="12">
        <f>'Raw Data'!L298</f>
        <v>8</v>
      </c>
      <c r="M298" s="12">
        <f>'Raw Data'!M298</f>
        <v>22</v>
      </c>
      <c r="N298">
        <f>'Raw Data'!N298</f>
        <v>17</v>
      </c>
    </row>
    <row r="299" spans="1:14" ht="45" x14ac:dyDescent="0.25">
      <c r="A299" s="11">
        <f>'Raw Data'!A299</f>
        <v>297</v>
      </c>
      <c r="B299" s="8" t="str">
        <f>TRIM(CLEAN('Raw Data'!B299))</f>
        <v>Drowning in the abyss of despair, a heart shattered into fragments, lost in the echoing silence of hopelessness.</v>
      </c>
      <c r="C299" s="4" t="str">
        <f>TRIM(PROPER('Raw Data'!C299))</f>
        <v>Despair</v>
      </c>
      <c r="D299" s="5">
        <f>'Raw Data'!D299</f>
        <v>44454.666666666664</v>
      </c>
      <c r="E299" s="4" t="str">
        <f>TRIM(SUBSTITUTE('Raw Data'!E299," "," "))</f>
        <v>ShatteredHeart</v>
      </c>
      <c r="F299" s="4" t="str">
        <f>TRIM(PROPER('Raw Data'!F299))</f>
        <v>Instagram</v>
      </c>
      <c r="G299" s="8" t="str">
        <f>TRIM(CLEAN('Raw Data'!G299))</f>
        <v>#Despair #EchoingSilence</v>
      </c>
      <c r="H299" s="12">
        <f>'Raw Data'!H299</f>
        <v>8</v>
      </c>
      <c r="I299" s="12">
        <v>48</v>
      </c>
      <c r="J299" s="12" t="str">
        <f>TRIM(UPPER('Raw Data'!J299))</f>
        <v>CANADA</v>
      </c>
      <c r="K299" s="12">
        <f>'Raw Data'!K299</f>
        <v>2021</v>
      </c>
      <c r="L299" s="12">
        <f>'Raw Data'!L299</f>
        <v>9</v>
      </c>
      <c r="M299" s="12">
        <f>'Raw Data'!M299</f>
        <v>15</v>
      </c>
      <c r="N299">
        <f>'Raw Data'!N299</f>
        <v>16</v>
      </c>
    </row>
    <row r="300" spans="1:14" ht="45" x14ac:dyDescent="0.25">
      <c r="A300" s="11">
        <f>'Raw Data'!A300</f>
        <v>298</v>
      </c>
      <c r="B300" s="8" t="str">
        <f>TRIM(CLEAN('Raw Data'!B300))</f>
        <v>Bitterness festering like a venomous vine, entwining the soul in a web of resentment, poisoning the garden of peace.</v>
      </c>
      <c r="C300" s="4" t="str">
        <f>TRIM(PROPER('Raw Data'!C300))</f>
        <v>Bitterness</v>
      </c>
      <c r="D300" s="5">
        <f>'Raw Data'!D300</f>
        <v>43532.597222222219</v>
      </c>
      <c r="E300" s="4" t="str">
        <f>TRIM(SUBSTITUTE('Raw Data'!E300," "," "))</f>
        <v>VenomousSoul</v>
      </c>
      <c r="F300" s="4" t="str">
        <f>TRIM(PROPER('Raw Data'!F300))</f>
        <v>Facebook</v>
      </c>
      <c r="G300" s="8" t="str">
        <f>TRIM(CLEAN('Raw Data'!G300))</f>
        <v>#Bitterness #ResentmentWeb</v>
      </c>
      <c r="H300" s="12">
        <f>'Raw Data'!H300</f>
        <v>12</v>
      </c>
      <c r="I300" s="12">
        <v>16</v>
      </c>
      <c r="J300" s="12" t="str">
        <f>TRIM(UPPER('Raw Data'!J300))</f>
        <v>UK</v>
      </c>
      <c r="K300" s="12">
        <f>'Raw Data'!K300</f>
        <v>2019</v>
      </c>
      <c r="L300" s="12">
        <f>'Raw Data'!L300</f>
        <v>3</v>
      </c>
      <c r="M300" s="12">
        <f>'Raw Data'!M300</f>
        <v>8</v>
      </c>
      <c r="N300">
        <f>'Raw Data'!N300</f>
        <v>14</v>
      </c>
    </row>
    <row r="301" spans="1:14" ht="45" x14ac:dyDescent="0.25">
      <c r="A301" s="11">
        <f>'Raw Data'!A301</f>
        <v>299</v>
      </c>
      <c r="B301" s="8" t="str">
        <f>TRIM(CLEAN('Raw Data'!B301))</f>
        <v>Wandering through the desert of loneliness, each step a heavy sigh, mirages of connection shimmering but never materializing.</v>
      </c>
      <c r="C301" s="4" t="str">
        <f>TRIM(PROPER('Raw Data'!C301))</f>
        <v>Loneliness</v>
      </c>
      <c r="D301" s="5">
        <f>'Raw Data'!D301</f>
        <v>42936.489583333336</v>
      </c>
      <c r="E301" s="4" t="str">
        <f>TRIM(SUBSTITUTE('Raw Data'!E301," "," "))</f>
        <v>DesertWanderer</v>
      </c>
      <c r="F301" s="4" t="str">
        <f>TRIM(PROPER('Raw Data'!F301))</f>
        <v>Twitter</v>
      </c>
      <c r="G301" s="8" t="str">
        <f>TRIM(CLEAN('Raw Data'!G301))</f>
        <v>#Loneliness #MiragesOfConnection</v>
      </c>
      <c r="H301" s="12">
        <f>'Raw Data'!H301</f>
        <v>15</v>
      </c>
      <c r="I301" s="12">
        <v>24</v>
      </c>
      <c r="J301" s="12" t="str">
        <f>TRIM(UPPER('Raw Data'!J301))</f>
        <v>USA</v>
      </c>
      <c r="K301" s="12">
        <f>'Raw Data'!K301</f>
        <v>2017</v>
      </c>
      <c r="L301" s="12">
        <f>'Raw Data'!L301</f>
        <v>7</v>
      </c>
      <c r="M301" s="12">
        <f>'Raw Data'!M301</f>
        <v>20</v>
      </c>
      <c r="N301">
        <f>'Raw Data'!N301</f>
        <v>11</v>
      </c>
    </row>
    <row r="302" spans="1:14" ht="45" x14ac:dyDescent="0.25">
      <c r="A302" s="11">
        <f>'Raw Data'!A302</f>
        <v>300</v>
      </c>
      <c r="B302" s="8" t="str">
        <f>TRIM(CLEAN('Raw Data'!B302))</f>
        <v>Yearning for a touch that's not there, echoes of a distant warmth haunting the heart in the cold embrace of solitude.</v>
      </c>
      <c r="C302" s="4" t="str">
        <f>TRIM(PROPER('Raw Data'!C302))</f>
        <v>Yearning</v>
      </c>
      <c r="D302" s="5">
        <f>'Raw Data'!D302</f>
        <v>44137.8125</v>
      </c>
      <c r="E302" s="4" t="str">
        <f>TRIM(SUBSTITUTE('Raw Data'!E302," "," "))</f>
        <v>ColdEmbrace</v>
      </c>
      <c r="F302" s="4" t="str">
        <f>TRIM(PROPER('Raw Data'!F302))</f>
        <v>Instagram</v>
      </c>
      <c r="G302" s="8" t="str">
        <f>TRIM(CLEAN('Raw Data'!G302))</f>
        <v>#Yearning #DistantWarmth</v>
      </c>
      <c r="H302" s="12">
        <f>'Raw Data'!H302</f>
        <v>10</v>
      </c>
      <c r="I302" s="12">
        <v>30</v>
      </c>
      <c r="J302" s="12" t="str">
        <f>TRIM(UPPER('Raw Data'!J302))</f>
        <v>AUSTRALIA</v>
      </c>
      <c r="K302" s="12">
        <f>'Raw Data'!K302</f>
        <v>2020</v>
      </c>
      <c r="L302" s="12">
        <f>'Raw Data'!L302</f>
        <v>11</v>
      </c>
      <c r="M302" s="12">
        <f>'Raw Data'!M302</f>
        <v>2</v>
      </c>
      <c r="N302">
        <f>'Raw Data'!N302</f>
        <v>19</v>
      </c>
    </row>
    <row r="303" spans="1:14" ht="30" x14ac:dyDescent="0.25">
      <c r="A303" s="11">
        <f>'Raw Data'!A303</f>
        <v>301</v>
      </c>
      <c r="B303" s="8" t="str">
        <f>TRIM(CLEAN('Raw Data'!B303))</f>
        <v>Eyes wide open in the night, fearful shadows dancing on the walls, the mind a prisoner of imagined horrors.</v>
      </c>
      <c r="C303" s="4" t="str">
        <f>TRIM(PROPER('Raw Data'!C303))</f>
        <v>Fearful</v>
      </c>
      <c r="D303" s="5">
        <f>'Raw Data'!D303</f>
        <v>44693.083333333336</v>
      </c>
      <c r="E303" s="4" t="str">
        <f>TRIM(SUBSTITUTE('Raw Data'!E303," "," "))</f>
        <v>NightPrisoner</v>
      </c>
      <c r="F303" s="4" t="str">
        <f>TRIM(PROPER('Raw Data'!F303))</f>
        <v>Facebook</v>
      </c>
      <c r="G303" s="8" t="str">
        <f>TRIM(CLEAN('Raw Data'!G303))</f>
        <v>#Fearful #ImaginedHorrors</v>
      </c>
      <c r="H303" s="12">
        <f>'Raw Data'!H303</f>
        <v>18</v>
      </c>
      <c r="I303" s="12">
        <v>20</v>
      </c>
      <c r="J303" s="12" t="str">
        <f>TRIM(UPPER('Raw Data'!J303))</f>
        <v>INDIA</v>
      </c>
      <c r="K303" s="12">
        <f>'Raw Data'!K303</f>
        <v>2022</v>
      </c>
      <c r="L303" s="12">
        <f>'Raw Data'!L303</f>
        <v>5</v>
      </c>
      <c r="M303" s="12">
        <f>'Raw Data'!M303</f>
        <v>12</v>
      </c>
      <c r="N303">
        <f>'Raw Data'!N303</f>
        <v>2</v>
      </c>
    </row>
    <row r="304" spans="1:14" ht="45" x14ac:dyDescent="0.25">
      <c r="A304" s="11">
        <f>'Raw Data'!A304</f>
        <v>302</v>
      </c>
      <c r="B304" s="8" t="str">
        <f>TRIM(CLEAN('Raw Data'!B304))</f>
        <v>Apprehensive steps on the tightrope of uncertainty, a balancing act where the fall seems inevitable, anxiety a constant companion.</v>
      </c>
      <c r="C304" s="4" t="str">
        <f>TRIM(PROPER('Raw Data'!C304))</f>
        <v>Apprehensive</v>
      </c>
      <c r="D304" s="5">
        <f>'Raw Data'!D304</f>
        <v>45024.552083333336</v>
      </c>
      <c r="E304" s="4" t="str">
        <f>TRIM(SUBSTITUTE('Raw Data'!E304," "," "))</f>
        <v>TightropeWalker</v>
      </c>
      <c r="F304" s="4" t="str">
        <f>TRIM(PROPER('Raw Data'!F304))</f>
        <v>Twitter</v>
      </c>
      <c r="G304" s="8" t="str">
        <f>TRIM(CLEAN('Raw Data'!G304))</f>
        <v>#Apprehensive #BalancingAct</v>
      </c>
      <c r="H304" s="12">
        <f>'Raw Data'!H304</f>
        <v>14</v>
      </c>
      <c r="I304" s="12">
        <v>36</v>
      </c>
      <c r="J304" s="12" t="str">
        <f>TRIM(UPPER('Raw Data'!J304))</f>
        <v>UK</v>
      </c>
      <c r="K304" s="12">
        <f>'Raw Data'!K304</f>
        <v>2023</v>
      </c>
      <c r="L304" s="12">
        <f>'Raw Data'!L304</f>
        <v>4</v>
      </c>
      <c r="M304" s="12">
        <f>'Raw Data'!M304</f>
        <v>8</v>
      </c>
      <c r="N304">
        <f>'Raw Data'!N304</f>
        <v>13</v>
      </c>
    </row>
    <row r="305" spans="1:14" ht="45" x14ac:dyDescent="0.25">
      <c r="A305" s="11">
        <f>'Raw Data'!A305</f>
        <v>303</v>
      </c>
      <c r="B305" s="8" t="str">
        <f>TRIM(CLEAN('Raw Data'!B305))</f>
        <v>Overwhelmed by the weight of the world, Atlas with trembling shoulders, each responsibility a boulder in the landscape of exhaustion.</v>
      </c>
      <c r="C305" s="4" t="str">
        <f>TRIM(PROPER('Raw Data'!C305))</f>
        <v>Overwhelmed</v>
      </c>
      <c r="D305" s="5">
        <f>'Raw Data'!D305</f>
        <v>44372.743055555555</v>
      </c>
      <c r="E305" s="4" t="str">
        <f>TRIM(SUBSTITUTE('Raw Data'!E305," "," "))</f>
        <v>AtlasBearer</v>
      </c>
      <c r="F305" s="4" t="str">
        <f>TRIM(PROPER('Raw Data'!F305))</f>
        <v>Instagram</v>
      </c>
      <c r="G305" s="8" t="str">
        <f>TRIM(CLEAN('Raw Data'!G305))</f>
        <v>#Overwhelmed #BouldersOfExhaustion</v>
      </c>
      <c r="H305" s="12">
        <f>'Raw Data'!H305</f>
        <v>22</v>
      </c>
      <c r="I305" s="12">
        <v>28</v>
      </c>
      <c r="J305" s="12" t="str">
        <f>TRIM(UPPER('Raw Data'!J305))</f>
        <v>CANADA</v>
      </c>
      <c r="K305" s="12">
        <f>'Raw Data'!K305</f>
        <v>2021</v>
      </c>
      <c r="L305" s="12">
        <f>'Raw Data'!L305</f>
        <v>6</v>
      </c>
      <c r="M305" s="12">
        <f>'Raw Data'!M305</f>
        <v>25</v>
      </c>
      <c r="N305">
        <f>'Raw Data'!N305</f>
        <v>17</v>
      </c>
    </row>
    <row r="306" spans="1:14" ht="45" x14ac:dyDescent="0.25">
      <c r="A306" s="11">
        <f>'Raw Data'!A306</f>
        <v>304</v>
      </c>
      <c r="B306" s="8" t="str">
        <f>TRIM(CLEAN('Raw Data'!B306))</f>
        <v>Jealousy, a green-eyed monster, lurking in the shadows, casting a dark cloud over the sunshine of others' success.</v>
      </c>
      <c r="C306" s="4" t="str">
        <f>TRIM(PROPER('Raw Data'!C306))</f>
        <v>Jealous</v>
      </c>
      <c r="D306" s="5">
        <f>'Raw Data'!D306</f>
        <v>43707.423611111109</v>
      </c>
      <c r="E306" s="4" t="str">
        <f>TRIM(SUBSTITUTE('Raw Data'!E306," "," "))</f>
        <v>GreenMonster</v>
      </c>
      <c r="F306" s="4" t="str">
        <f>TRIM(PROPER('Raw Data'!F306))</f>
        <v>Facebook</v>
      </c>
      <c r="G306" s="8" t="str">
        <f>TRIM(CLEAN('Raw Data'!G306))</f>
        <v>#Jealous #GreenEyedMonster</v>
      </c>
      <c r="H306" s="12">
        <f>'Raw Data'!H306</f>
        <v>16</v>
      </c>
      <c r="I306" s="12">
        <v>44</v>
      </c>
      <c r="J306" s="12" t="str">
        <f>TRIM(UPPER('Raw Data'!J306))</f>
        <v>USA</v>
      </c>
      <c r="K306" s="12">
        <f>'Raw Data'!K306</f>
        <v>2019</v>
      </c>
      <c r="L306" s="12">
        <f>'Raw Data'!L306</f>
        <v>8</v>
      </c>
      <c r="M306" s="12">
        <f>'Raw Data'!M306</f>
        <v>30</v>
      </c>
      <c r="N306">
        <f>'Raw Data'!N306</f>
        <v>10</v>
      </c>
    </row>
    <row r="307" spans="1:14" ht="45" x14ac:dyDescent="0.25">
      <c r="A307" s="11">
        <f>'Raw Data'!A307</f>
        <v>305</v>
      </c>
      <c r="B307" s="8" t="str">
        <f>TRIM(CLEAN('Raw Data'!B307))</f>
        <v>Devastated by the storm of betrayal, the wreckage of trust scattered like debris, a heart torn by the winds of broken promises.</v>
      </c>
      <c r="C307" s="4" t="str">
        <f>TRIM(PROPER('Raw Data'!C307))</f>
        <v>Devastated</v>
      </c>
      <c r="D307" s="5">
        <f>'Raw Data'!D307</f>
        <v>44776.645833333336</v>
      </c>
      <c r="E307" s="4" t="str">
        <f>TRIM(SUBSTITUTE('Raw Data'!E307," "," "))</f>
        <v>StormSurvivor</v>
      </c>
      <c r="F307" s="4" t="str">
        <f>TRIM(PROPER('Raw Data'!F307))</f>
        <v>Twitter</v>
      </c>
      <c r="G307" s="8" t="str">
        <f>TRIM(CLEAN('Raw Data'!G307))</f>
        <v>#Devastated #WindsOfBrokenPromises</v>
      </c>
      <c r="H307" s="12">
        <f>'Raw Data'!H307</f>
        <v>25</v>
      </c>
      <c r="I307" s="12">
        <v>32</v>
      </c>
      <c r="J307" s="12" t="str">
        <f>TRIM(UPPER('Raw Data'!J307))</f>
        <v>AUSTRALIA</v>
      </c>
      <c r="K307" s="12">
        <f>'Raw Data'!K307</f>
        <v>2022</v>
      </c>
      <c r="L307" s="12">
        <f>'Raw Data'!L307</f>
        <v>8</v>
      </c>
      <c r="M307" s="12">
        <f>'Raw Data'!M307</f>
        <v>3</v>
      </c>
      <c r="N307">
        <f>'Raw Data'!N307</f>
        <v>15</v>
      </c>
    </row>
    <row r="308" spans="1:14" ht="45" x14ac:dyDescent="0.25">
      <c r="A308" s="11">
        <f>'Raw Data'!A308</f>
        <v>306</v>
      </c>
      <c r="B308" s="8" t="str">
        <f>TRIM(CLEAN('Raw Data'!B308))</f>
        <v>Frustrated fingers tapping on the keyboard, a symphony of annoyance composing an unsolvable puzzle of unmet expectations.</v>
      </c>
      <c r="C308" s="4" t="str">
        <f>TRIM(PROPER('Raw Data'!C308))</f>
        <v>Frustrated</v>
      </c>
      <c r="D308" s="5">
        <f>'Raw Data'!D308</f>
        <v>44182.388888888891</v>
      </c>
      <c r="E308" s="4" t="str">
        <f>TRIM(SUBSTITUTE('Raw Data'!E308," "," "))</f>
        <v>PuzzleComposer</v>
      </c>
      <c r="F308" s="4" t="str">
        <f>TRIM(PROPER('Raw Data'!F308))</f>
        <v>Instagram</v>
      </c>
      <c r="G308" s="8" t="str">
        <f>TRIM(CLEAN('Raw Data'!G308))</f>
        <v>#Frustrated #UnsolvablePuzzle</v>
      </c>
      <c r="H308" s="12">
        <f>'Raw Data'!H308</f>
        <v>12</v>
      </c>
      <c r="I308" s="12">
        <v>50</v>
      </c>
      <c r="J308" s="12" t="str">
        <f>TRIM(UPPER('Raw Data'!J308))</f>
        <v>INDIA</v>
      </c>
      <c r="K308" s="12">
        <f>'Raw Data'!K308</f>
        <v>2020</v>
      </c>
      <c r="L308" s="12">
        <f>'Raw Data'!L308</f>
        <v>12</v>
      </c>
      <c r="M308" s="12">
        <f>'Raw Data'!M308</f>
        <v>17</v>
      </c>
      <c r="N308">
        <f>'Raw Data'!N308</f>
        <v>9</v>
      </c>
    </row>
    <row r="309" spans="1:14" ht="45" x14ac:dyDescent="0.25">
      <c r="A309" s="11">
        <f>'Raw Data'!A309</f>
        <v>307</v>
      </c>
      <c r="B309" s="8" t="str">
        <f>TRIM(CLEAN('Raw Data'!B309))</f>
        <v>Envious eyes fixated on the gilded prize, a heartache fueled by the painful desire for possessions that seem forever out of reach.</v>
      </c>
      <c r="C309" s="4" t="str">
        <f>TRIM(PROPER('Raw Data'!C309))</f>
        <v>Envious</v>
      </c>
      <c r="D309" s="5">
        <f>'Raw Data'!D309</f>
        <v>44255.947916666664</v>
      </c>
      <c r="E309" s="4" t="str">
        <f>TRIM(SUBSTITUTE('Raw Data'!E309," "," "))</f>
        <v>GildedHeartache</v>
      </c>
      <c r="F309" s="4" t="str">
        <f>TRIM(PROPER('Raw Data'!F309))</f>
        <v>Facebook</v>
      </c>
      <c r="G309" s="8" t="str">
        <f>TRIM(CLEAN('Raw Data'!G309))</f>
        <v>#Envious #GildedPrize</v>
      </c>
      <c r="H309" s="12">
        <f>'Raw Data'!H309</f>
        <v>20</v>
      </c>
      <c r="I309" s="12">
        <v>24</v>
      </c>
      <c r="J309" s="12" t="str">
        <f>TRIM(UPPER('Raw Data'!J309))</f>
        <v>USA</v>
      </c>
      <c r="K309" s="12">
        <f>'Raw Data'!K309</f>
        <v>2021</v>
      </c>
      <c r="L309" s="12">
        <f>'Raw Data'!L309</f>
        <v>2</v>
      </c>
      <c r="M309" s="12">
        <f>'Raw Data'!M309</f>
        <v>28</v>
      </c>
      <c r="N309">
        <f>'Raw Data'!N309</f>
        <v>22</v>
      </c>
    </row>
    <row r="310" spans="1:14" ht="45" x14ac:dyDescent="0.25">
      <c r="A310" s="11">
        <f>'Raw Data'!A310</f>
        <v>308</v>
      </c>
      <c r="B310" s="8" t="str">
        <f>TRIM(CLEAN('Raw Data'!B310))</f>
        <v>Dismissive glances, a fortress built with indifference, walls impenetrable to the pleas of understanding and recognition.</v>
      </c>
      <c r="C310" s="4" t="str">
        <f>TRIM(PROPER('Raw Data'!C310))</f>
        <v>Dismissive</v>
      </c>
      <c r="D310" s="5">
        <f>'Raw Data'!D310</f>
        <v>43230.583333333336</v>
      </c>
      <c r="E310" s="4" t="str">
        <f>TRIM(SUBSTITUTE('Raw Data'!E310," "," "))</f>
        <v>IndifferentFort</v>
      </c>
      <c r="F310" s="4" t="str">
        <f>TRIM(PROPER('Raw Data'!F310))</f>
        <v>Twitter</v>
      </c>
      <c r="G310" s="8" t="str">
        <f>TRIM(CLEAN('Raw Data'!G310))</f>
        <v>#Dismissive #ImpenetrableWalls</v>
      </c>
      <c r="H310" s="12">
        <f>'Raw Data'!H310</f>
        <v>14</v>
      </c>
      <c r="I310" s="12">
        <v>40</v>
      </c>
      <c r="J310" s="12" t="str">
        <f>TRIM(UPPER('Raw Data'!J310))</f>
        <v>UK</v>
      </c>
      <c r="K310" s="12">
        <f>'Raw Data'!K310</f>
        <v>2018</v>
      </c>
      <c r="L310" s="12">
        <f>'Raw Data'!L310</f>
        <v>5</v>
      </c>
      <c r="M310" s="12">
        <f>'Raw Data'!M310</f>
        <v>10</v>
      </c>
      <c r="N310">
        <f>'Raw Data'!N310</f>
        <v>14</v>
      </c>
    </row>
    <row r="311" spans="1:14" ht="45" x14ac:dyDescent="0.25">
      <c r="A311" s="11">
        <f>'Raw Data'!A311</f>
        <v>309</v>
      </c>
      <c r="B311" s="8" t="str">
        <f>TRIM(CLEAN('Raw Data'!B311))</f>
        <v>Shattered dreams lie on the floor like fragments of glass, a mosaic of disappointment crafted by the hands of frustration.</v>
      </c>
      <c r="C311" s="4" t="str">
        <f>TRIM(PROPER('Raw Data'!C311))</f>
        <v>Frustrated</v>
      </c>
      <c r="D311" s="5">
        <f>'Raw Data'!D311</f>
        <v>44568.465277777781</v>
      </c>
      <c r="E311" s="4" t="str">
        <f>TRIM(SUBSTITUTE('Raw Data'!E311," "," "))</f>
        <v>DreamMosaic</v>
      </c>
      <c r="F311" s="4" t="str">
        <f>TRIM(PROPER('Raw Data'!F311))</f>
        <v>Instagram</v>
      </c>
      <c r="G311" s="8" t="str">
        <f>TRIM(CLEAN('Raw Data'!G311))</f>
        <v>#Frustrated #MosaicOfDisappointment</v>
      </c>
      <c r="H311" s="12">
        <f>'Raw Data'!H311</f>
        <v>15</v>
      </c>
      <c r="I311" s="12">
        <v>28</v>
      </c>
      <c r="J311" s="12" t="str">
        <f>TRIM(UPPER('Raw Data'!J311))</f>
        <v>CANADA</v>
      </c>
      <c r="K311" s="12">
        <f>'Raw Data'!K311</f>
        <v>2022</v>
      </c>
      <c r="L311" s="12">
        <f>'Raw Data'!L311</f>
        <v>1</v>
      </c>
      <c r="M311" s="12">
        <f>'Raw Data'!M311</f>
        <v>7</v>
      </c>
      <c r="N311">
        <f>'Raw Data'!N311</f>
        <v>11</v>
      </c>
    </row>
    <row r="312" spans="1:14" ht="45" x14ac:dyDescent="0.25">
      <c r="A312" s="11">
        <f>'Raw Data'!A312</f>
        <v>310</v>
      </c>
      <c r="B312" s="8" t="str">
        <f>TRIM(CLEAN('Raw Data'!B312))</f>
        <v>Loneliness, a silent companion in the night, the only echo in the chamber of solitude, a heart's solitary nocturne.</v>
      </c>
      <c r="C312" s="4" t="str">
        <f>TRIM(PROPER('Raw Data'!C312))</f>
        <v>Loneliness</v>
      </c>
      <c r="D312" s="5">
        <f>'Raw Data'!D312</f>
        <v>43727.145833333336</v>
      </c>
      <c r="E312" s="4" t="str">
        <f>TRIM(SUBSTITUTE('Raw Data'!E312," "," "))</f>
        <v>NocturnalEcho</v>
      </c>
      <c r="F312" s="4" t="str">
        <f>TRIM(PROPER('Raw Data'!F312))</f>
        <v>Facebook</v>
      </c>
      <c r="G312" s="8" t="str">
        <f>TRIM(CLEAN('Raw Data'!G312))</f>
        <v>#Loneliness #SolitaryNocturne</v>
      </c>
      <c r="H312" s="12">
        <f>'Raw Data'!H312</f>
        <v>18</v>
      </c>
      <c r="I312" s="12">
        <v>30</v>
      </c>
      <c r="J312" s="12" t="str">
        <f>TRIM(UPPER('Raw Data'!J312))</f>
        <v>AUSTRALIA</v>
      </c>
      <c r="K312" s="12">
        <f>'Raw Data'!K312</f>
        <v>2019</v>
      </c>
      <c r="L312" s="12">
        <f>'Raw Data'!L312</f>
        <v>9</v>
      </c>
      <c r="M312" s="12">
        <f>'Raw Data'!M312</f>
        <v>19</v>
      </c>
      <c r="N312">
        <f>'Raw Data'!N312</f>
        <v>3</v>
      </c>
    </row>
    <row r="313" spans="1:14" ht="45" x14ac:dyDescent="0.25">
      <c r="A313" s="11">
        <f>'Raw Data'!A313</f>
        <v>311</v>
      </c>
      <c r="B313" s="8" t="str">
        <f>TRIM(CLEAN('Raw Data'!B313))</f>
        <v>Fearful whispers in the dark, the mind haunted by the specter of the unknown, shadows dancing to the rhythm of anxiety's tune.</v>
      </c>
      <c r="C313" s="4" t="str">
        <f>TRIM(PROPER('Raw Data'!C313))</f>
        <v>Fearful</v>
      </c>
      <c r="D313" s="5">
        <f>'Raw Data'!D313</f>
        <v>45121.958333333336</v>
      </c>
      <c r="E313" s="4" t="str">
        <f>TRIM(SUBSTITUTE('Raw Data'!E313," "," "))</f>
        <v>DarkWhispers</v>
      </c>
      <c r="F313" s="4" t="str">
        <f>TRIM(PROPER('Raw Data'!F313))</f>
        <v>Twitter</v>
      </c>
      <c r="G313" s="8" t="str">
        <f>TRIM(CLEAN('Raw Data'!G313))</f>
        <v>#Fearful #SpecterOfTheUnknown</v>
      </c>
      <c r="H313" s="12">
        <f>'Raw Data'!H313</f>
        <v>13</v>
      </c>
      <c r="I313" s="12">
        <v>36</v>
      </c>
      <c r="J313" s="12" t="str">
        <f>TRIM(UPPER('Raw Data'!J313))</f>
        <v>UK</v>
      </c>
      <c r="K313" s="12">
        <f>'Raw Data'!K313</f>
        <v>2023</v>
      </c>
      <c r="L313" s="12">
        <f>'Raw Data'!L313</f>
        <v>7</v>
      </c>
      <c r="M313" s="12">
        <f>'Raw Data'!M313</f>
        <v>14</v>
      </c>
      <c r="N313">
        <f>'Raw Data'!N313</f>
        <v>23</v>
      </c>
    </row>
    <row r="314" spans="1:14" ht="45" x14ac:dyDescent="0.25">
      <c r="A314" s="11">
        <f>'Raw Data'!A314</f>
        <v>312</v>
      </c>
      <c r="B314" s="8" t="str">
        <f>TRIM(CLEAN('Raw Data'!B314))</f>
        <v>Bitterness, a bitter aftertaste lingering on the tongue, each word a reminder of wounds that refuse to heal with the passing of time.</v>
      </c>
      <c r="C314" s="4" t="str">
        <f>TRIM(PROPER('Raw Data'!C314))</f>
        <v>Bitterness</v>
      </c>
      <c r="D314" s="5">
        <f>'Raw Data'!D314</f>
        <v>43926.680555555555</v>
      </c>
      <c r="E314" s="4" t="str">
        <f>TRIM(SUBSTITUTE('Raw Data'!E314," "," "))</f>
        <v>LingeringTaste</v>
      </c>
      <c r="F314" s="4" t="str">
        <f>TRIM(PROPER('Raw Data'!F314))</f>
        <v>Instagram</v>
      </c>
      <c r="G314" s="8" t="str">
        <f>TRIM(CLEAN('Raw Data'!G314))</f>
        <v>#Bitterness #BitterAftertaste</v>
      </c>
      <c r="H314" s="12">
        <f>'Raw Data'!H314</f>
        <v>10</v>
      </c>
      <c r="I314" s="12">
        <v>26</v>
      </c>
      <c r="J314" s="12" t="str">
        <f>TRIM(UPPER('Raw Data'!J314))</f>
        <v>INDIA</v>
      </c>
      <c r="K314" s="12">
        <f>'Raw Data'!K314</f>
        <v>2020</v>
      </c>
      <c r="L314" s="12">
        <f>'Raw Data'!L314</f>
        <v>4</v>
      </c>
      <c r="M314" s="12">
        <f>'Raw Data'!M314</f>
        <v>5</v>
      </c>
      <c r="N314">
        <f>'Raw Data'!N314</f>
        <v>16</v>
      </c>
    </row>
    <row r="315" spans="1:14" ht="45" x14ac:dyDescent="0.25">
      <c r="A315" s="11">
        <f>'Raw Data'!A315</f>
        <v>313</v>
      </c>
      <c r="B315" s="8" t="str">
        <f>TRIM(CLEAN('Raw Data'!B315))</f>
        <v>Overwhelmed by the cacophony of expectations, a drowning soul in the tempest of pressure, struggling to stay afloat.</v>
      </c>
      <c r="C315" s="4" t="str">
        <f>TRIM(PROPER('Raw Data'!C315))</f>
        <v>Overwhelmed</v>
      </c>
      <c r="D315" s="5">
        <f>'Raw Data'!D315</f>
        <v>44529.364583333336</v>
      </c>
      <c r="E315" s="4" t="str">
        <f>TRIM(SUBSTITUTE('Raw Data'!E315," "," "))</f>
        <v>TempestSurvivor</v>
      </c>
      <c r="F315" s="4" t="str">
        <f>TRIM(PROPER('Raw Data'!F315))</f>
        <v>Facebook</v>
      </c>
      <c r="G315" s="8" t="str">
        <f>TRIM(CLEAN('Raw Data'!G315))</f>
        <v>#Overwhelmed #DrowningSoul</v>
      </c>
      <c r="H315" s="12">
        <f>'Raw Data'!H315</f>
        <v>20</v>
      </c>
      <c r="I315" s="12">
        <v>20</v>
      </c>
      <c r="J315" s="12" t="str">
        <f>TRIM(UPPER('Raw Data'!J315))</f>
        <v>USA</v>
      </c>
      <c r="K315" s="12">
        <f>'Raw Data'!K315</f>
        <v>2021</v>
      </c>
      <c r="L315" s="12">
        <f>'Raw Data'!L315</f>
        <v>11</v>
      </c>
      <c r="M315" s="12">
        <f>'Raw Data'!M315</f>
        <v>29</v>
      </c>
      <c r="N315">
        <f>'Raw Data'!N315</f>
        <v>8</v>
      </c>
    </row>
    <row r="316" spans="1:14" ht="45" x14ac:dyDescent="0.25">
      <c r="A316" s="11">
        <f>'Raw Data'!A316</f>
        <v>314</v>
      </c>
      <c r="B316" s="8" t="str">
        <f>TRIM(CLEAN('Raw Data'!B316))</f>
        <v>Jealousy, a venom that seeps through the veins, poisoning the heart and turning it into a breeding ground for discontent.</v>
      </c>
      <c r="C316" s="4" t="str">
        <f>TRIM(PROPER('Raw Data'!C316))</f>
        <v>Jealous</v>
      </c>
      <c r="D316" s="5">
        <f>'Raw Data'!D316</f>
        <v>43811.708333333336</v>
      </c>
      <c r="E316" s="4" t="str">
        <f>TRIM(SUBSTITUTE('Raw Data'!E316," "," "))</f>
        <v>VenomousHeart</v>
      </c>
      <c r="F316" s="4" t="str">
        <f>TRIM(PROPER('Raw Data'!F316))</f>
        <v>Twitter</v>
      </c>
      <c r="G316" s="8" t="str">
        <f>TRIM(CLEAN('Raw Data'!G316))</f>
        <v>#Jealous #HeartOfDiscontent</v>
      </c>
      <c r="H316" s="12">
        <f>'Raw Data'!H316</f>
        <v>16</v>
      </c>
      <c r="I316" s="12">
        <v>40</v>
      </c>
      <c r="J316" s="12" t="str">
        <f>TRIM(UPPER('Raw Data'!J316))</f>
        <v>AUSTRALIA</v>
      </c>
      <c r="K316" s="12">
        <f>'Raw Data'!K316</f>
        <v>2019</v>
      </c>
      <c r="L316" s="12">
        <f>'Raw Data'!L316</f>
        <v>12</v>
      </c>
      <c r="M316" s="12">
        <f>'Raw Data'!M316</f>
        <v>12</v>
      </c>
      <c r="N316">
        <f>'Raw Data'!N316</f>
        <v>17</v>
      </c>
    </row>
    <row r="317" spans="1:14" ht="45" x14ac:dyDescent="0.25">
      <c r="A317" s="11">
        <f>'Raw Data'!A317</f>
        <v>315</v>
      </c>
      <c r="B317" s="8" t="str">
        <f>TRIM(CLEAN('Raw Data'!B317))</f>
        <v>Devastated by the revelation of betrayal, the trust shattered like fragile glass, leaving shards of pain in its wake.</v>
      </c>
      <c r="C317" s="4" t="str">
        <f>TRIM(PROPER('Raw Data'!C317))</f>
        <v>Devastated</v>
      </c>
      <c r="D317" s="5">
        <f>'Raw Data'!D317</f>
        <v>44701.618055555555</v>
      </c>
      <c r="E317" s="4" t="str">
        <f>TRIM(SUBSTITUTE('Raw Data'!E317," "," "))</f>
        <v>FragileTrust</v>
      </c>
      <c r="F317" s="4" t="str">
        <f>TRIM(PROPER('Raw Data'!F317))</f>
        <v>Instagram</v>
      </c>
      <c r="G317" s="8" t="str">
        <f>TRIM(CLEAN('Raw Data'!G317))</f>
        <v>#Devastated #ShatteredTrust</v>
      </c>
      <c r="H317" s="12">
        <f>'Raw Data'!H317</f>
        <v>25</v>
      </c>
      <c r="I317" s="12">
        <v>32</v>
      </c>
      <c r="J317" s="12" t="str">
        <f>TRIM(UPPER('Raw Data'!J317))</f>
        <v>CANADA</v>
      </c>
      <c r="K317" s="12">
        <f>'Raw Data'!K317</f>
        <v>2022</v>
      </c>
      <c r="L317" s="12">
        <f>'Raw Data'!L317</f>
        <v>5</v>
      </c>
      <c r="M317" s="12">
        <f>'Raw Data'!M317</f>
        <v>20</v>
      </c>
      <c r="N317">
        <f>'Raw Data'!N317</f>
        <v>14</v>
      </c>
    </row>
    <row r="318" spans="1:14" ht="45" x14ac:dyDescent="0.25">
      <c r="A318" s="11">
        <f>'Raw Data'!A318</f>
        <v>316</v>
      </c>
      <c r="B318" s="8" t="str">
        <f>TRIM(CLEAN('Raw Data'!B318))</f>
        <v>Frustrated attempts to mend a broken connection, the threads of understanding slipping through the fingers like grains of sand.</v>
      </c>
      <c r="C318" s="4" t="str">
        <f>TRIM(PROPER('Raw Data'!C318))</f>
        <v>Frustrated</v>
      </c>
      <c r="D318" s="5">
        <f>'Raw Data'!D318</f>
        <v>44077.510416666664</v>
      </c>
      <c r="E318" s="4" t="str">
        <f>TRIM(SUBSTITUTE('Raw Data'!E318," "," "))</f>
        <v>BrokenThreads</v>
      </c>
      <c r="F318" s="4" t="str">
        <f>TRIM(PROPER('Raw Data'!F318))</f>
        <v>Facebook</v>
      </c>
      <c r="G318" s="8" t="str">
        <f>TRIM(CLEAN('Raw Data'!G318))</f>
        <v>#Frustrated #SlippingThreads</v>
      </c>
      <c r="H318" s="12">
        <f>'Raw Data'!H318</f>
        <v>14</v>
      </c>
      <c r="I318" s="12">
        <v>50</v>
      </c>
      <c r="J318" s="12" t="str">
        <f>TRIM(UPPER('Raw Data'!J318))</f>
        <v>UK</v>
      </c>
      <c r="K318" s="12">
        <f>'Raw Data'!K318</f>
        <v>2020</v>
      </c>
      <c r="L318" s="12">
        <f>'Raw Data'!L318</f>
        <v>9</v>
      </c>
      <c r="M318" s="12">
        <f>'Raw Data'!M318</f>
        <v>3</v>
      </c>
      <c r="N318">
        <f>'Raw Data'!N318</f>
        <v>12</v>
      </c>
    </row>
    <row r="319" spans="1:14" ht="45" x14ac:dyDescent="0.25">
      <c r="A319" s="11">
        <f>'Raw Data'!A319</f>
        <v>317</v>
      </c>
      <c r="B319" s="8" t="str">
        <f>TRIM(CLEAN('Raw Data'!B319))</f>
        <v>Envious gazes cast upon the podium of success, a bitter pill swallowed, the taste lingering as a constant reminder of unattained heights.</v>
      </c>
      <c r="C319" s="4" t="str">
        <f>TRIM(PROPER('Raw Data'!C319))</f>
        <v>Envious</v>
      </c>
      <c r="D319" s="5">
        <f>'Raw Data'!D319</f>
        <v>44237.8125</v>
      </c>
      <c r="E319" s="4" t="str">
        <f>TRIM(SUBSTITUTE('Raw Data'!E319," "," "))</f>
        <v>SuccessPill</v>
      </c>
      <c r="F319" s="4" t="str">
        <f>TRIM(PROPER('Raw Data'!F319))</f>
        <v>Twitter</v>
      </c>
      <c r="G319" s="8" t="str">
        <f>TRIM(CLEAN('Raw Data'!G319))</f>
        <v>#Envious #BitterPill</v>
      </c>
      <c r="H319" s="12">
        <f>'Raw Data'!H319</f>
        <v>20</v>
      </c>
      <c r="I319" s="12">
        <v>28</v>
      </c>
      <c r="J319" s="12" t="str">
        <f>TRIM(UPPER('Raw Data'!J319))</f>
        <v>USA</v>
      </c>
      <c r="K319" s="12">
        <f>'Raw Data'!K319</f>
        <v>2021</v>
      </c>
      <c r="L319" s="12">
        <f>'Raw Data'!L319</f>
        <v>2</v>
      </c>
      <c r="M319" s="12">
        <f>'Raw Data'!M319</f>
        <v>10</v>
      </c>
      <c r="N319">
        <f>'Raw Data'!N319</f>
        <v>19</v>
      </c>
    </row>
    <row r="320" spans="1:14" ht="45" x14ac:dyDescent="0.25">
      <c r="A320" s="11">
        <f>'Raw Data'!A320</f>
        <v>318</v>
      </c>
      <c r="B320" s="8" t="str">
        <f>TRIM(CLEAN('Raw Data'!B320))</f>
        <v>Dismissive gestures, a curtain drawn to shield the vulnerability, a stage where emotions take a backseat to the performance of indifference.</v>
      </c>
      <c r="C320" s="4" t="str">
        <f>TRIM(PROPER('Raw Data'!C320))</f>
        <v>Dismissive</v>
      </c>
      <c r="D320" s="5">
        <f>'Raw Data'!D320</f>
        <v>43330.611111111109</v>
      </c>
      <c r="E320" s="4" t="str">
        <f>TRIM(SUBSTITUTE('Raw Data'!E320," "," "))</f>
        <v>CurtainShield</v>
      </c>
      <c r="F320" s="4" t="str">
        <f>TRIM(PROPER('Raw Data'!F320))</f>
        <v>Instagram</v>
      </c>
      <c r="G320" s="8" t="str">
        <f>TRIM(CLEAN('Raw Data'!G320))</f>
        <v>#Dismissive #IndifferencePerformance</v>
      </c>
      <c r="H320" s="12">
        <f>'Raw Data'!H320</f>
        <v>12</v>
      </c>
      <c r="I320" s="12">
        <v>40</v>
      </c>
      <c r="J320" s="12" t="str">
        <f>TRIM(UPPER('Raw Data'!J320))</f>
        <v>AUSTRALIA</v>
      </c>
      <c r="K320" s="12">
        <f>'Raw Data'!K320</f>
        <v>2018</v>
      </c>
      <c r="L320" s="12">
        <f>'Raw Data'!L320</f>
        <v>8</v>
      </c>
      <c r="M320" s="12">
        <f>'Raw Data'!M320</f>
        <v>18</v>
      </c>
      <c r="N320">
        <f>'Raw Data'!N320</f>
        <v>14</v>
      </c>
    </row>
    <row r="321" spans="1:14" ht="45" x14ac:dyDescent="0.25">
      <c r="A321" s="11">
        <f>'Raw Data'!A321</f>
        <v>319</v>
      </c>
      <c r="B321" s="8" t="str">
        <f>TRIM(CLEAN('Raw Data'!B321))</f>
        <v>Despair like a heavy fog, enveloping every thought, blurring the path ahead, a journey in the labyrinth of utter hopelessness.</v>
      </c>
      <c r="C321" s="4" t="str">
        <f>TRIM(PROPER('Raw Data'!C321))</f>
        <v>Despair</v>
      </c>
      <c r="D321" s="5">
        <f>'Raw Data'!D321</f>
        <v>44620.875</v>
      </c>
      <c r="E321" s="4" t="str">
        <f>TRIM(SUBSTITUTE('Raw Data'!E321," "," "))</f>
        <v>FoggyLabyrinth</v>
      </c>
      <c r="F321" s="4" t="str">
        <f>TRIM(PROPER('Raw Data'!F321))</f>
        <v>Facebook</v>
      </c>
      <c r="G321" s="8" t="str">
        <f>TRIM(CLEAN('Raw Data'!G321))</f>
        <v>#Despair #LabyrinthOfHopelessness</v>
      </c>
      <c r="H321" s="12">
        <f>'Raw Data'!H321</f>
        <v>8</v>
      </c>
      <c r="I321" s="12">
        <v>24</v>
      </c>
      <c r="J321" s="12" t="str">
        <f>TRIM(UPPER('Raw Data'!J321))</f>
        <v>CANADA</v>
      </c>
      <c r="K321" s="12">
        <f>'Raw Data'!K321</f>
        <v>2022</v>
      </c>
      <c r="L321" s="12">
        <f>'Raw Data'!L321</f>
        <v>2</v>
      </c>
      <c r="M321" s="12">
        <f>'Raw Data'!M321</f>
        <v>28</v>
      </c>
      <c r="N321">
        <f>'Raw Data'!N321</f>
        <v>21</v>
      </c>
    </row>
    <row r="322" spans="1:14" ht="45" x14ac:dyDescent="0.25">
      <c r="A322" s="11">
        <f>'Raw Data'!A322</f>
        <v>320</v>
      </c>
      <c r="B322" s="8" t="str">
        <f>TRIM(CLEAN('Raw Data'!B322))</f>
        <v>Bitterness, a bitter chill in the air, freezing moments into icicles of resentment that dangle precariously over the landscape of memory.</v>
      </c>
      <c r="C322" s="4" t="str">
        <f>TRIM(PROPER('Raw Data'!C322))</f>
        <v>Bitterness</v>
      </c>
      <c r="D322" s="5">
        <f>'Raw Data'!D322</f>
        <v>43753.4375</v>
      </c>
      <c r="E322" s="4" t="str">
        <f>TRIM(SUBSTITUTE('Raw Data'!E322," "," "))</f>
        <v>IcyResentment</v>
      </c>
      <c r="F322" s="4" t="str">
        <f>TRIM(PROPER('Raw Data'!F322))</f>
        <v>Twitter</v>
      </c>
      <c r="G322" s="8" t="str">
        <f>TRIM(CLEAN('Raw Data'!G322))</f>
        <v>#Bitterness #IciclesOfResentment</v>
      </c>
      <c r="H322" s="12">
        <f>'Raw Data'!H322</f>
        <v>15</v>
      </c>
      <c r="I322" s="12">
        <v>16</v>
      </c>
      <c r="J322" s="12" t="str">
        <f>TRIM(UPPER('Raw Data'!J322))</f>
        <v>UK</v>
      </c>
      <c r="K322" s="12">
        <f>'Raw Data'!K322</f>
        <v>2019</v>
      </c>
      <c r="L322" s="12">
        <f>'Raw Data'!L322</f>
        <v>10</v>
      </c>
      <c r="M322" s="12">
        <f>'Raw Data'!M322</f>
        <v>15</v>
      </c>
      <c r="N322">
        <f>'Raw Data'!N322</f>
        <v>10</v>
      </c>
    </row>
    <row r="323" spans="1:14" ht="45" x14ac:dyDescent="0.25">
      <c r="A323" s="11">
        <f>'Raw Data'!A323</f>
        <v>321</v>
      </c>
      <c r="B323" s="8" t="str">
        <f>TRIM(CLEAN('Raw Data'!B323))</f>
        <v>Loneliness, a solitary moon in a starless sky, casting a cold glow on the landscape of isolation, where echoes bounce in empty spaces.</v>
      </c>
      <c r="C323" s="4" t="str">
        <f>TRIM(PROPER('Raw Data'!C323))</f>
        <v>Loneliness</v>
      </c>
      <c r="D323" s="5">
        <f>'Raw Data'!D323</f>
        <v>43070.784722222219</v>
      </c>
      <c r="E323" s="4" t="str">
        <f>TRIM(SUBSTITUTE('Raw Data'!E323," "," "))</f>
        <v>SolitaryMoon</v>
      </c>
      <c r="F323" s="4" t="str">
        <f>TRIM(PROPER('Raw Data'!F323))</f>
        <v>Instagram</v>
      </c>
      <c r="G323" s="8" t="str">
        <f>TRIM(CLEAN('Raw Data'!G323))</f>
        <v>#Loneliness #StarlessSky</v>
      </c>
      <c r="H323" s="12">
        <f>'Raw Data'!H323</f>
        <v>18</v>
      </c>
      <c r="I323" s="12">
        <v>30</v>
      </c>
      <c r="J323" s="12" t="str">
        <f>TRIM(UPPER('Raw Data'!J323))</f>
        <v>USA</v>
      </c>
      <c r="K323" s="12">
        <f>'Raw Data'!K323</f>
        <v>2017</v>
      </c>
      <c r="L323" s="12">
        <f>'Raw Data'!L323</f>
        <v>12</v>
      </c>
      <c r="M323" s="12">
        <f>'Raw Data'!M323</f>
        <v>1</v>
      </c>
      <c r="N323">
        <f>'Raw Data'!N323</f>
        <v>18</v>
      </c>
    </row>
    <row r="324" spans="1:14" ht="45" x14ac:dyDescent="0.25">
      <c r="A324" s="11">
        <f>'Raw Data'!A324</f>
        <v>322</v>
      </c>
      <c r="B324" s="8" t="str">
        <f>TRIM(CLEAN('Raw Data'!B324))</f>
        <v>Yearning for the warmth of a vanished sun, a heartache painted in the hues of a sunset that never graced the horizon.</v>
      </c>
      <c r="C324" s="4" t="str">
        <f>TRIM(PROPER('Raw Data'!C324))</f>
        <v>Yearning</v>
      </c>
      <c r="D324" s="5">
        <f>'Raw Data'!D324</f>
        <v>43939.677083333336</v>
      </c>
      <c r="E324" s="4" t="str">
        <f>TRIM(SUBSTITUTE('Raw Data'!E324," "," "))</f>
        <v>VanishedSunset</v>
      </c>
      <c r="F324" s="4" t="str">
        <f>TRIM(PROPER('Raw Data'!F324))</f>
        <v>Facebook</v>
      </c>
      <c r="G324" s="8" t="str">
        <f>TRIM(CLEAN('Raw Data'!G324))</f>
        <v>#Yearning #HuesOfSunset</v>
      </c>
      <c r="H324" s="12">
        <f>'Raw Data'!H324</f>
        <v>10</v>
      </c>
      <c r="I324" s="12">
        <v>36</v>
      </c>
      <c r="J324" s="12" t="str">
        <f>TRIM(UPPER('Raw Data'!J324))</f>
        <v>AUSTRALIA</v>
      </c>
      <c r="K324" s="12">
        <f>'Raw Data'!K324</f>
        <v>2020</v>
      </c>
      <c r="L324" s="12">
        <f>'Raw Data'!L324</f>
        <v>4</v>
      </c>
      <c r="M324" s="12">
        <f>'Raw Data'!M324</f>
        <v>18</v>
      </c>
      <c r="N324">
        <f>'Raw Data'!N324</f>
        <v>16</v>
      </c>
    </row>
    <row r="325" spans="1:14" ht="45" x14ac:dyDescent="0.25">
      <c r="A325" s="11">
        <f>'Raw Data'!A325</f>
        <v>323</v>
      </c>
      <c r="B325" s="8" t="str">
        <f>TRIM(CLEAN('Raw Data'!B325))</f>
        <v>Fearful eyes scanning the shadows, a prisoner of the night, terrorized by the lurking monsters born from the mind's darkest corners.</v>
      </c>
      <c r="C325" s="4" t="str">
        <f>TRIM(PROPER('Raw Data'!C325))</f>
        <v>Fearful</v>
      </c>
      <c r="D325" s="5">
        <f>'Raw Data'!D325</f>
        <v>44933.145833333336</v>
      </c>
      <c r="E325" s="4" t="str">
        <f>TRIM(SUBSTITUTE('Raw Data'!E325," "," "))</f>
        <v>NightPrisoner</v>
      </c>
      <c r="F325" s="4" t="str">
        <f>TRIM(PROPER('Raw Data'!F325))</f>
        <v>Twitter</v>
      </c>
      <c r="G325" s="8" t="str">
        <f>TRIM(CLEAN('Raw Data'!G325))</f>
        <v>#Fearful #LurkingMonsters</v>
      </c>
      <c r="H325" s="12">
        <f>'Raw Data'!H325</f>
        <v>18</v>
      </c>
      <c r="I325" s="12">
        <v>20</v>
      </c>
      <c r="J325" s="12" t="str">
        <f>TRIM(UPPER('Raw Data'!J325))</f>
        <v>INDIA</v>
      </c>
      <c r="K325" s="12">
        <f>'Raw Data'!K325</f>
        <v>2023</v>
      </c>
      <c r="L325" s="12">
        <f>'Raw Data'!L325</f>
        <v>1</v>
      </c>
      <c r="M325" s="12">
        <f>'Raw Data'!M325</f>
        <v>7</v>
      </c>
      <c r="N325">
        <f>'Raw Data'!N325</f>
        <v>3</v>
      </c>
    </row>
    <row r="326" spans="1:14" ht="45" x14ac:dyDescent="0.25">
      <c r="A326" s="11">
        <f>'Raw Data'!A326</f>
        <v>324</v>
      </c>
      <c r="B326" s="8" t="str">
        <f>TRIM(CLEAN('Raw Data'!B326))</f>
        <v>Apprehensive whispers in the wind, a forecast of uncertainty, the mind's weather vane spinning wildly in the storm of doubt.</v>
      </c>
      <c r="C326" s="4" t="str">
        <f>TRIM(PROPER('Raw Data'!C326))</f>
        <v>Apprehensive</v>
      </c>
      <c r="D326" s="5">
        <f>'Raw Data'!D326</f>
        <v>44357.416666666664</v>
      </c>
      <c r="E326" s="4" t="str">
        <f>TRIM(SUBSTITUTE('Raw Data'!E326," "," "))</f>
        <v>WindWhisperer</v>
      </c>
      <c r="F326" s="4" t="str">
        <f>TRIM(PROPER('Raw Data'!F326))</f>
        <v>Instagram</v>
      </c>
      <c r="G326" s="8" t="str">
        <f>TRIM(CLEAN('Raw Data'!G326))</f>
        <v>#Apprehensive #StormOfDoubt</v>
      </c>
      <c r="H326" s="12">
        <f>'Raw Data'!H326</f>
        <v>14</v>
      </c>
      <c r="I326" s="12">
        <v>36</v>
      </c>
      <c r="J326" s="12" t="str">
        <f>TRIM(UPPER('Raw Data'!J326))</f>
        <v>CANADA</v>
      </c>
      <c r="K326" s="12">
        <f>'Raw Data'!K326</f>
        <v>2021</v>
      </c>
      <c r="L326" s="12">
        <f>'Raw Data'!L326</f>
        <v>6</v>
      </c>
      <c r="M326" s="12">
        <f>'Raw Data'!M326</f>
        <v>10</v>
      </c>
      <c r="N326">
        <f>'Raw Data'!N326</f>
        <v>10</v>
      </c>
    </row>
    <row r="327" spans="1:14" ht="45" x14ac:dyDescent="0.25">
      <c r="A327" s="11">
        <f>'Raw Data'!A327</f>
        <v>325</v>
      </c>
      <c r="B327" s="8" t="str">
        <f>TRIM(CLEAN('Raw Data'!B327))</f>
        <v>Overwhelmed by the maze of expectations, a minotaur of pressure lurking in the labyrinth, waiting to devour the spirit of resilience.</v>
      </c>
      <c r="C327" s="4" t="str">
        <f>TRIM(PROPER('Raw Data'!C327))</f>
        <v>Overwhelmed</v>
      </c>
      <c r="D327" s="5">
        <f>'Raw Data'!D327</f>
        <v>43883.638888888891</v>
      </c>
      <c r="E327" s="4" t="str">
        <f>TRIM(SUBSTITUTE('Raw Data'!E327," "," "))</f>
        <v>MazeExplorer</v>
      </c>
      <c r="F327" s="4" t="str">
        <f>TRIM(PROPER('Raw Data'!F327))</f>
        <v>Facebook</v>
      </c>
      <c r="G327" s="8" t="str">
        <f>TRIM(CLEAN('Raw Data'!G327))</f>
        <v>#Overwhelmed #MinotaurOfPressure</v>
      </c>
      <c r="H327" s="12">
        <f>'Raw Data'!H327</f>
        <v>22</v>
      </c>
      <c r="I327" s="12">
        <v>28</v>
      </c>
      <c r="J327" s="12" t="str">
        <f>TRIM(UPPER('Raw Data'!J327))</f>
        <v>USA</v>
      </c>
      <c r="K327" s="12">
        <f>'Raw Data'!K327</f>
        <v>2020</v>
      </c>
      <c r="L327" s="12">
        <f>'Raw Data'!L327</f>
        <v>2</v>
      </c>
      <c r="M327" s="12">
        <f>'Raw Data'!M327</f>
        <v>22</v>
      </c>
      <c r="N327">
        <f>'Raw Data'!N327</f>
        <v>15</v>
      </c>
    </row>
    <row r="328" spans="1:14" ht="45" x14ac:dyDescent="0.25">
      <c r="A328" s="11">
        <f>'Raw Data'!A328</f>
        <v>326</v>
      </c>
      <c r="B328" s="8" t="str">
        <f>TRIM(CLEAN('Raw Data'!B328))</f>
        <v>Jealousy, a festering wound, the pain intensifying with each glance at the garden of others' achievements, blooming beyond the fence.</v>
      </c>
      <c r="C328" s="4" t="str">
        <f>TRIM(PROPER('Raw Data'!C328))</f>
        <v>Jealous</v>
      </c>
      <c r="D328" s="5">
        <f>'Raw Data'!D328</f>
        <v>43176.614583333336</v>
      </c>
      <c r="E328" s="4" t="str">
        <f>TRIM(SUBSTITUTE('Raw Data'!E328," "," "))</f>
        <v>WoundedGarden</v>
      </c>
      <c r="F328" s="4" t="str">
        <f>TRIM(PROPER('Raw Data'!F328))</f>
        <v>Twitter</v>
      </c>
      <c r="G328" s="8" t="str">
        <f>TRIM(CLEAN('Raw Data'!G328))</f>
        <v>#Jealous #BloomingAchievements</v>
      </c>
      <c r="H328" s="12">
        <f>'Raw Data'!H328</f>
        <v>16</v>
      </c>
      <c r="I328" s="12">
        <v>44</v>
      </c>
      <c r="J328" s="12" t="str">
        <f>TRIM(UPPER('Raw Data'!J328))</f>
        <v>UK</v>
      </c>
      <c r="K328" s="12">
        <f>'Raw Data'!K328</f>
        <v>2018</v>
      </c>
      <c r="L328" s="12">
        <f>'Raw Data'!L328</f>
        <v>3</v>
      </c>
      <c r="M328" s="12">
        <f>'Raw Data'!M328</f>
        <v>17</v>
      </c>
      <c r="N328">
        <f>'Raw Data'!N328</f>
        <v>14</v>
      </c>
    </row>
    <row r="329" spans="1:14" ht="45" x14ac:dyDescent="0.25">
      <c r="A329" s="11">
        <f>'Raw Data'!A329</f>
        <v>327</v>
      </c>
      <c r="B329" s="8" t="str">
        <f>TRIM(CLEAN('Raw Data'!B329))</f>
        <v>Devastated, a heart in ruins, the echoes of shattered dreams reverberating in the chambers, a requiem for what once was whole.</v>
      </c>
      <c r="C329" s="4" t="str">
        <f>TRIM(PROPER('Raw Data'!C329))</f>
        <v>Devastated</v>
      </c>
      <c r="D329" s="5">
        <f>'Raw Data'!D329</f>
        <v>44862.46875</v>
      </c>
      <c r="E329" s="4" t="str">
        <f>TRIM(SUBSTITUTE('Raw Data'!E329," "," "))</f>
        <v>RuinedHeart</v>
      </c>
      <c r="F329" s="4" t="str">
        <f>TRIM(PROPER('Raw Data'!F329))</f>
        <v>Instagram</v>
      </c>
      <c r="G329" s="8" t="str">
        <f>TRIM(CLEAN('Raw Data'!G329))</f>
        <v>#Devastated #EchoesOfShatteredDreams</v>
      </c>
      <c r="H329" s="12">
        <f>'Raw Data'!H329</f>
        <v>25</v>
      </c>
      <c r="I329" s="12">
        <v>32</v>
      </c>
      <c r="J329" s="12" t="str">
        <f>TRIM(UPPER('Raw Data'!J329))</f>
        <v>AUSTRALIA</v>
      </c>
      <c r="K329" s="12">
        <f>'Raw Data'!K329</f>
        <v>2022</v>
      </c>
      <c r="L329" s="12">
        <f>'Raw Data'!L329</f>
        <v>10</v>
      </c>
      <c r="M329" s="12">
        <f>'Raw Data'!M329</f>
        <v>28</v>
      </c>
      <c r="N329">
        <f>'Raw Data'!N329</f>
        <v>11</v>
      </c>
    </row>
    <row r="330" spans="1:14" ht="45" x14ac:dyDescent="0.25">
      <c r="A330" s="11">
        <f>'Raw Data'!A330</f>
        <v>328</v>
      </c>
      <c r="B330" s="8" t="str">
        <f>TRIM(CLEAN('Raw Data'!B330))</f>
        <v>Frustrated attempts to untangle the knot of confusion, the threads of understanding slipping further into the labyrinth of miscommunication.</v>
      </c>
      <c r="C330" s="4" t="str">
        <f>TRIM(PROPER('Raw Data'!C330))</f>
        <v>Frustrated</v>
      </c>
      <c r="D330" s="5">
        <f>'Raw Data'!D330</f>
        <v>44136.520833333336</v>
      </c>
      <c r="E330" s="4" t="str">
        <f>TRIM(SUBSTITUTE('Raw Data'!E330," "," "))</f>
        <v>KnotUntangler</v>
      </c>
      <c r="F330" s="4" t="str">
        <f>TRIM(PROPER('Raw Data'!F330))</f>
        <v>Facebook</v>
      </c>
      <c r="G330" s="8" t="str">
        <f>TRIM(CLEAN('Raw Data'!G330))</f>
        <v>#Frustrated #LabyrinthOfMiscommunication</v>
      </c>
      <c r="H330" s="12">
        <f>'Raw Data'!H330</f>
        <v>14</v>
      </c>
      <c r="I330" s="12">
        <v>50</v>
      </c>
      <c r="J330" s="12" t="str">
        <f>TRIM(UPPER('Raw Data'!J330))</f>
        <v>INDIA</v>
      </c>
      <c r="K330" s="12">
        <f>'Raw Data'!K330</f>
        <v>2020</v>
      </c>
      <c r="L330" s="12">
        <f>'Raw Data'!L330</f>
        <v>11</v>
      </c>
      <c r="M330" s="12">
        <f>'Raw Data'!M330</f>
        <v>1</v>
      </c>
      <c r="N330">
        <f>'Raw Data'!N330</f>
        <v>12</v>
      </c>
    </row>
    <row r="331" spans="1:14" ht="45" x14ac:dyDescent="0.25">
      <c r="A331" s="11">
        <f>'Raw Data'!A331</f>
        <v>329</v>
      </c>
      <c r="B331" s="8" t="str">
        <f>TRIM(CLEAN('Raw Data'!B331))</f>
        <v>Envious eyes locked on the treasure chest of opportunities, a heartache fueled by the desire for keys that seem forever elusive.</v>
      </c>
      <c r="C331" s="4" t="str">
        <f>TRIM(PROPER('Raw Data'!C331))</f>
        <v>Envious</v>
      </c>
      <c r="D331" s="5">
        <f>'Raw Data'!D331</f>
        <v>44211.923611111109</v>
      </c>
      <c r="E331" s="4" t="str">
        <f>TRIM(SUBSTITUTE('Raw Data'!E331," "," "))</f>
        <v>ElusiveKeys</v>
      </c>
      <c r="F331" s="4" t="str">
        <f>TRIM(PROPER('Raw Data'!F331))</f>
        <v>Twitter</v>
      </c>
      <c r="G331" s="8" t="str">
        <f>TRIM(CLEAN('Raw Data'!G331))</f>
        <v>#Envious #DesireForKeys</v>
      </c>
      <c r="H331" s="12">
        <f>'Raw Data'!H331</f>
        <v>20</v>
      </c>
      <c r="I331" s="12">
        <v>28</v>
      </c>
      <c r="J331" s="12" t="str">
        <f>TRIM(UPPER('Raw Data'!J331))</f>
        <v>USA</v>
      </c>
      <c r="K331" s="12">
        <f>'Raw Data'!K331</f>
        <v>2021</v>
      </c>
      <c r="L331" s="12">
        <f>'Raw Data'!L331</f>
        <v>1</v>
      </c>
      <c r="M331" s="12">
        <f>'Raw Data'!M331</f>
        <v>15</v>
      </c>
      <c r="N331">
        <f>'Raw Data'!N331</f>
        <v>22</v>
      </c>
    </row>
    <row r="332" spans="1:14" ht="45" x14ac:dyDescent="0.25">
      <c r="A332" s="11">
        <f>'Raw Data'!A332</f>
        <v>330</v>
      </c>
      <c r="B332" s="8" t="str">
        <f>TRIM(CLEAN('Raw Data'!B332))</f>
        <v>Dismissive gestures, a curtain drawn to shield the vulnerability, a stage where emotions take a backseat to the performance of indifference.</v>
      </c>
      <c r="C332" s="4" t="str">
        <f>TRIM(PROPER('Raw Data'!C332))</f>
        <v>Dismissive</v>
      </c>
      <c r="D332" s="5">
        <f>'Raw Data'!D332</f>
        <v>43330.583333333336</v>
      </c>
      <c r="E332" s="4" t="str">
        <f>TRIM(SUBSTITUTE('Raw Data'!E332," "," "))</f>
        <v>IndifferentFort</v>
      </c>
      <c r="F332" s="4" t="str">
        <f>TRIM(PROPER('Raw Data'!F332))</f>
        <v>Instagram</v>
      </c>
      <c r="G332" s="8" t="str">
        <f>TRIM(CLEAN('Raw Data'!G332))</f>
        <v>#Dismissive #IndifferencePerformance</v>
      </c>
      <c r="H332" s="12">
        <f>'Raw Data'!H332</f>
        <v>12</v>
      </c>
      <c r="I332" s="12">
        <v>40</v>
      </c>
      <c r="J332" s="12" t="str">
        <f>TRIM(UPPER('Raw Data'!J332))</f>
        <v>AUSTRALIA</v>
      </c>
      <c r="K332" s="12">
        <f>'Raw Data'!K332</f>
        <v>2018</v>
      </c>
      <c r="L332" s="12">
        <f>'Raw Data'!L332</f>
        <v>8</v>
      </c>
      <c r="M332" s="12">
        <f>'Raw Data'!M332</f>
        <v>18</v>
      </c>
      <c r="N332">
        <f>'Raw Data'!N332</f>
        <v>14</v>
      </c>
    </row>
    <row r="333" spans="1:14" ht="45" x14ac:dyDescent="0.25">
      <c r="A333" s="11">
        <f>'Raw Data'!A333</f>
        <v>331</v>
      </c>
      <c r="B333" s="8" t="str">
        <f>TRIM(CLEAN('Raw Data'!B333))</f>
        <v>Shattered dreams lie on the floor like fragments of glass, a mosaic of disappointment crafted by the hands of frustration.</v>
      </c>
      <c r="C333" s="4" t="str">
        <f>TRIM(PROPER('Raw Data'!C333))</f>
        <v>Frustrated</v>
      </c>
      <c r="D333" s="5">
        <f>'Raw Data'!D333</f>
        <v>44568.465277777781</v>
      </c>
      <c r="E333" s="4" t="str">
        <f>TRIM(SUBSTITUTE('Raw Data'!E333," "," "))</f>
        <v>DreamMosaic</v>
      </c>
      <c r="F333" s="4" t="str">
        <f>TRIM(PROPER('Raw Data'!F333))</f>
        <v>Twitter</v>
      </c>
      <c r="G333" s="8" t="str">
        <f>TRIM(CLEAN('Raw Data'!G333))</f>
        <v>#Frustrated #MosaicOfDisappointment</v>
      </c>
      <c r="H333" s="12">
        <f>'Raw Data'!H333</f>
        <v>15</v>
      </c>
      <c r="I333" s="12">
        <v>24</v>
      </c>
      <c r="J333" s="12" t="str">
        <f>TRIM(UPPER('Raw Data'!J333))</f>
        <v>CANADA</v>
      </c>
      <c r="K333" s="12">
        <f>'Raw Data'!K333</f>
        <v>2022</v>
      </c>
      <c r="L333" s="12">
        <f>'Raw Data'!L333</f>
        <v>1</v>
      </c>
      <c r="M333" s="12">
        <f>'Raw Data'!M333</f>
        <v>7</v>
      </c>
      <c r="N333">
        <f>'Raw Data'!N333</f>
        <v>11</v>
      </c>
    </row>
    <row r="334" spans="1:14" ht="45" x14ac:dyDescent="0.25">
      <c r="A334" s="11">
        <f>'Raw Data'!A334</f>
        <v>332</v>
      </c>
      <c r="B334" s="8" t="str">
        <f>TRIM(CLEAN('Raw Data'!B334))</f>
        <v>Loneliness, a silent companion in the night, the only echo in the chamber of solitude, a heart's solitary nocturne.</v>
      </c>
      <c r="C334" s="4" t="str">
        <f>TRIM(PROPER('Raw Data'!C334))</f>
        <v>Loneliness</v>
      </c>
      <c r="D334" s="5">
        <f>'Raw Data'!D334</f>
        <v>43727.145833333336</v>
      </c>
      <c r="E334" s="4" t="str">
        <f>TRIM(SUBSTITUTE('Raw Data'!E334," "," "))</f>
        <v>NocturnalEcho</v>
      </c>
      <c r="F334" s="4" t="str">
        <f>TRIM(PROPER('Raw Data'!F334))</f>
        <v>Facebook</v>
      </c>
      <c r="G334" s="8" t="str">
        <f>TRIM(CLEAN('Raw Data'!G334))</f>
        <v>#Loneliness #SolitaryNocturne</v>
      </c>
      <c r="H334" s="12">
        <f>'Raw Data'!H334</f>
        <v>18</v>
      </c>
      <c r="I334" s="12">
        <v>30</v>
      </c>
      <c r="J334" s="12" t="str">
        <f>TRIM(UPPER('Raw Data'!J334))</f>
        <v>AUSTRALIA</v>
      </c>
      <c r="K334" s="12">
        <f>'Raw Data'!K334</f>
        <v>2019</v>
      </c>
      <c r="L334" s="12">
        <f>'Raw Data'!L334</f>
        <v>9</v>
      </c>
      <c r="M334" s="12">
        <f>'Raw Data'!M334</f>
        <v>19</v>
      </c>
      <c r="N334">
        <f>'Raw Data'!N334</f>
        <v>3</v>
      </c>
    </row>
    <row r="335" spans="1:14" ht="30" x14ac:dyDescent="0.25">
      <c r="A335" s="11">
        <f>'Raw Data'!A335</f>
        <v>333</v>
      </c>
      <c r="B335" s="8" t="str">
        <f>TRIM(CLEAN('Raw Data'!B335))</f>
        <v>Awe-struck by the breathtaking sunrise over the mountains.</v>
      </c>
      <c r="C335" s="4" t="str">
        <f>TRIM(PROPER('Raw Data'!C335))</f>
        <v>Awe</v>
      </c>
      <c r="D335" s="5">
        <f>'Raw Data'!D335</f>
        <v>44654.260416666664</v>
      </c>
      <c r="E335" s="4" t="str">
        <f>TRIM(SUBSTITUTE('Raw Data'!E335," "," "))</f>
        <v>NatureAdmirer</v>
      </c>
      <c r="F335" s="4" t="str">
        <f>TRIM(PROPER('Raw Data'!F335))</f>
        <v>Instagram</v>
      </c>
      <c r="G335" s="8" t="str">
        <f>TRIM(CLEAN('Raw Data'!G335))</f>
        <v>#Awe #BreathtakingSunrise</v>
      </c>
      <c r="H335" s="12">
        <f>'Raw Data'!H335</f>
        <v>28</v>
      </c>
      <c r="I335" s="12">
        <v>36</v>
      </c>
      <c r="J335" s="12" t="str">
        <f>TRIM(UPPER('Raw Data'!J335))</f>
        <v>USA</v>
      </c>
      <c r="K335" s="12">
        <f>'Raw Data'!K335</f>
        <v>2022</v>
      </c>
      <c r="L335" s="12">
        <f>'Raw Data'!L335</f>
        <v>4</v>
      </c>
      <c r="M335" s="12">
        <f>'Raw Data'!M335</f>
        <v>3</v>
      </c>
      <c r="N335">
        <f>'Raw Data'!N335</f>
        <v>6</v>
      </c>
    </row>
    <row r="336" spans="1:14" x14ac:dyDescent="0.25">
      <c r="A336" s="11">
        <f>'Raw Data'!A336</f>
        <v>334</v>
      </c>
      <c r="B336" s="8" t="str">
        <f>TRIM(CLEAN('Raw Data'!B336))</f>
        <v>Navigating through the challenges with determination.</v>
      </c>
      <c r="C336" s="4" t="str">
        <f>TRIM(PROPER('Raw Data'!C336))</f>
        <v>Determination</v>
      </c>
      <c r="D336" s="5">
        <f>'Raw Data'!D336</f>
        <v>45211.4375</v>
      </c>
      <c r="E336" s="4" t="str">
        <f>TRIM(SUBSTITUTE('Raw Data'!E336," "," "))</f>
        <v>GoalPursuer</v>
      </c>
      <c r="F336" s="4" t="str">
        <f>TRIM(PROPER('Raw Data'!F336))</f>
        <v>Twitter</v>
      </c>
      <c r="G336" s="8" t="str">
        <f>TRIM(CLEAN('Raw Data'!G336))</f>
        <v>#Determination #Challenges</v>
      </c>
      <c r="H336" s="12">
        <f>'Raw Data'!H336</f>
        <v>15</v>
      </c>
      <c r="I336" s="12">
        <v>55</v>
      </c>
      <c r="J336" s="12" t="str">
        <f>TRIM(UPPER('Raw Data'!J336))</f>
        <v>CANADA</v>
      </c>
      <c r="K336" s="12">
        <f>'Raw Data'!K336</f>
        <v>2023</v>
      </c>
      <c r="L336" s="12">
        <f>'Raw Data'!L336</f>
        <v>10</v>
      </c>
      <c r="M336" s="12">
        <f>'Raw Data'!M336</f>
        <v>12</v>
      </c>
      <c r="N336">
        <f>'Raw Data'!N336</f>
        <v>10</v>
      </c>
    </row>
    <row r="337" spans="1:14" ht="30" x14ac:dyDescent="0.25">
      <c r="A337" s="11">
        <f>'Raw Data'!A337</f>
        <v>335</v>
      </c>
      <c r="B337" s="8" t="str">
        <f>TRIM(CLEAN('Raw Data'!B337))</f>
        <v>Nostalgia hits while flipping through an old photo album.</v>
      </c>
      <c r="C337" s="4" t="str">
        <f>TRIM(PROPER('Raw Data'!C337))</f>
        <v>Nostalgia</v>
      </c>
      <c r="D337" s="5">
        <f>'Raw Data'!D337</f>
        <v>43644.791666666664</v>
      </c>
      <c r="E337" s="4" t="str">
        <f>TRIM(SUBSTITUTE('Raw Data'!E337," "," "))</f>
        <v>MemoryLane</v>
      </c>
      <c r="F337" s="4" t="str">
        <f>TRIM(PROPER('Raw Data'!F337))</f>
        <v>Facebook</v>
      </c>
      <c r="G337" s="8" t="str">
        <f>TRIM(CLEAN('Raw Data'!G337))</f>
        <v>#Nostalgia #OldMemories</v>
      </c>
      <c r="H337" s="12">
        <f>'Raw Data'!H337</f>
        <v>22</v>
      </c>
      <c r="I337" s="12">
        <v>30</v>
      </c>
      <c r="J337" s="12" t="str">
        <f>TRIM(UPPER('Raw Data'!J337))</f>
        <v>UK</v>
      </c>
      <c r="K337" s="12">
        <f>'Raw Data'!K337</f>
        <v>2019</v>
      </c>
      <c r="L337" s="12">
        <f>'Raw Data'!L337</f>
        <v>6</v>
      </c>
      <c r="M337" s="12">
        <f>'Raw Data'!M337</f>
        <v>28</v>
      </c>
      <c r="N337">
        <f>'Raw Data'!N337</f>
        <v>19</v>
      </c>
    </row>
    <row r="338" spans="1:14" x14ac:dyDescent="0.25">
      <c r="A338" s="11">
        <f>'Raw Data'!A338</f>
        <v>336</v>
      </c>
      <c r="B338" s="8" t="str">
        <f>TRIM(CLEAN('Raw Data'!B338))</f>
        <v>Thrilled to witness the grandeur of a cultural festival.</v>
      </c>
      <c r="C338" s="4" t="str">
        <f>TRIM(PROPER('Raw Data'!C338))</f>
        <v>Thrill</v>
      </c>
      <c r="D338" s="5">
        <f>'Raw Data'!D338</f>
        <v>44089.614583333336</v>
      </c>
      <c r="E338" s="4" t="str">
        <f>TRIM(SUBSTITUTE('Raw Data'!E338," "," "))</f>
        <v>CultureEnthusiast</v>
      </c>
      <c r="F338" s="4" t="str">
        <f>TRIM(PROPER('Raw Data'!F338))</f>
        <v>Instagram</v>
      </c>
      <c r="G338" s="8" t="str">
        <f>TRIM(CLEAN('Raw Data'!G338))</f>
        <v>#Thrill #CulturalCelebration</v>
      </c>
      <c r="H338" s="12">
        <f>'Raw Data'!H338</f>
        <v>40</v>
      </c>
      <c r="I338" s="12">
        <v>45</v>
      </c>
      <c r="J338" s="12" t="str">
        <f>TRIM(UPPER('Raw Data'!J338))</f>
        <v>INDIA</v>
      </c>
      <c r="K338" s="12">
        <f>'Raw Data'!K338</f>
        <v>2020</v>
      </c>
      <c r="L338" s="12">
        <f>'Raw Data'!L338</f>
        <v>9</v>
      </c>
      <c r="M338" s="12">
        <f>'Raw Data'!M338</f>
        <v>15</v>
      </c>
      <c r="N338">
        <f>'Raw Data'!N338</f>
        <v>14</v>
      </c>
    </row>
    <row r="339" spans="1:14" ht="30" x14ac:dyDescent="0.25">
      <c r="A339" s="11">
        <f>'Raw Data'!A339</f>
        <v>337</v>
      </c>
      <c r="B339" s="8" t="str">
        <f>TRIM(CLEAN('Raw Data'!B339))</f>
        <v>Calmness found in the rhythm of raindrops on the windowpane.</v>
      </c>
      <c r="C339" s="4" t="str">
        <f>TRIM(PROPER('Raw Data'!C339))</f>
        <v>Calmness</v>
      </c>
      <c r="D339" s="5">
        <f>'Raw Data'!D339</f>
        <v>43047.888888888891</v>
      </c>
      <c r="E339" s="4" t="str">
        <f>TRIM(SUBSTITUTE('Raw Data'!E339," "," "))</f>
        <v>RainWatcher</v>
      </c>
      <c r="F339" s="4" t="str">
        <f>TRIM(PROPER('Raw Data'!F339))</f>
        <v>Twitter</v>
      </c>
      <c r="G339" s="8" t="str">
        <f>TRIM(CLEAN('Raw Data'!G339))</f>
        <v>#Calmness #RainyDays</v>
      </c>
      <c r="H339" s="12">
        <f>'Raw Data'!H339</f>
        <v>18</v>
      </c>
      <c r="I339" s="12">
        <v>80</v>
      </c>
      <c r="J339" s="12" t="str">
        <f>TRIM(UPPER('Raw Data'!J339))</f>
        <v>AUSTRALIA</v>
      </c>
      <c r="K339" s="12">
        <f>'Raw Data'!K339</f>
        <v>2017</v>
      </c>
      <c r="L339" s="12">
        <f>'Raw Data'!L339</f>
        <v>11</v>
      </c>
      <c r="M339" s="12">
        <f>'Raw Data'!M339</f>
        <v>8</v>
      </c>
      <c r="N339">
        <f>'Raw Data'!N339</f>
        <v>21</v>
      </c>
    </row>
    <row r="340" spans="1:14" ht="30" x14ac:dyDescent="0.25">
      <c r="A340" s="11">
        <f>'Raw Data'!A340</f>
        <v>338</v>
      </c>
      <c r="B340" s="8" t="str">
        <f>TRIM(CLEAN('Raw Data'!B340))</f>
        <v>Overwhelmed by the support received during a personal challenge.</v>
      </c>
      <c r="C340" s="4" t="str">
        <f>TRIM(PROPER('Raw Data'!C340))</f>
        <v>Overwhelmed</v>
      </c>
      <c r="D340" s="5">
        <f>'Raw Data'!D340</f>
        <v>44336.729166666664</v>
      </c>
      <c r="E340" s="4" t="str">
        <f>TRIM(SUBSTITUTE('Raw Data'!E340," "," "))</f>
        <v>PersonalJourney</v>
      </c>
      <c r="F340" s="4" t="str">
        <f>TRIM(PROPER('Raw Data'!F340))</f>
        <v>Facebook</v>
      </c>
      <c r="G340" s="8" t="str">
        <f>TRIM(CLEAN('Raw Data'!G340))</f>
        <v>#Overwhelmed #SupportiveCommunity</v>
      </c>
      <c r="H340" s="12">
        <f>'Raw Data'!H340</f>
        <v>25</v>
      </c>
      <c r="I340" s="12">
        <v>35</v>
      </c>
      <c r="J340" s="12" t="str">
        <f>TRIM(UPPER('Raw Data'!J340))</f>
        <v>USA</v>
      </c>
      <c r="K340" s="12">
        <f>'Raw Data'!K340</f>
        <v>2021</v>
      </c>
      <c r="L340" s="12">
        <f>'Raw Data'!L340</f>
        <v>5</v>
      </c>
      <c r="M340" s="12">
        <f>'Raw Data'!M340</f>
        <v>20</v>
      </c>
      <c r="N340">
        <f>'Raw Data'!N340</f>
        <v>17</v>
      </c>
    </row>
    <row r="341" spans="1:14" ht="30" x14ac:dyDescent="0.25">
      <c r="A341" s="11">
        <f>'Raw Data'!A341</f>
        <v>339</v>
      </c>
      <c r="B341" s="8" t="str">
        <f>TRIM(CLEAN('Raw Data'!B341))</f>
        <v>Excitement builds as the countdown to a long-awaited vacation begins.</v>
      </c>
      <c r="C341" s="4" t="str">
        <f>TRIM(PROPER('Raw Data'!C341))</f>
        <v>Excitement</v>
      </c>
      <c r="D341" s="5">
        <f>'Raw Data'!D341</f>
        <v>44936.5</v>
      </c>
      <c r="E341" s="4" t="str">
        <f>TRIM(SUBSTITUTE('Raw Data'!E341," "," "))</f>
        <v>VacationDreamer</v>
      </c>
      <c r="F341" s="4" t="str">
        <f>TRIM(PROPER('Raw Data'!F341))</f>
        <v>Instagram</v>
      </c>
      <c r="G341" s="8" t="str">
        <f>TRIM(CLEAN('Raw Data'!G341))</f>
        <v>#Excitement #VacationCountdown</v>
      </c>
      <c r="H341" s="12">
        <f>'Raw Data'!H341</f>
        <v>30</v>
      </c>
      <c r="I341" s="12">
        <v>50</v>
      </c>
      <c r="J341" s="12" t="str">
        <f>TRIM(UPPER('Raw Data'!J341))</f>
        <v>FRANCE</v>
      </c>
      <c r="K341" s="12">
        <f>'Raw Data'!K341</f>
        <v>2023</v>
      </c>
      <c r="L341" s="12">
        <f>'Raw Data'!L341</f>
        <v>1</v>
      </c>
      <c r="M341" s="12">
        <f>'Raw Data'!M341</f>
        <v>10</v>
      </c>
      <c r="N341">
        <f>'Raw Data'!N341</f>
        <v>12</v>
      </c>
    </row>
    <row r="342" spans="1:14" ht="30" x14ac:dyDescent="0.25">
      <c r="A342" s="11">
        <f>'Raw Data'!A342</f>
        <v>340</v>
      </c>
      <c r="B342" s="8" t="str">
        <f>TRIM(CLEAN('Raw Data'!B342))</f>
        <v>Reflecting on life's journey, grateful for the lessons learned.</v>
      </c>
      <c r="C342" s="4" t="str">
        <f>TRIM(PROPER('Raw Data'!C342))</f>
        <v>Gratitude</v>
      </c>
      <c r="D342" s="5">
        <f>'Raw Data'!D342</f>
        <v>43439.364583333336</v>
      </c>
      <c r="E342" s="4" t="str">
        <f>TRIM(SUBSTITUTE('Raw Data'!E342," "," "))</f>
        <v>LifeLearner</v>
      </c>
      <c r="F342" s="4" t="str">
        <f>TRIM(PROPER('Raw Data'!F342))</f>
        <v>Twitter</v>
      </c>
      <c r="G342" s="8" t="str">
        <f>TRIM(CLEAN('Raw Data'!G342))</f>
        <v>#Gratitude #LifeLessons</v>
      </c>
      <c r="H342" s="12">
        <f>'Raw Data'!H342</f>
        <v>35</v>
      </c>
      <c r="I342" s="12">
        <v>60</v>
      </c>
      <c r="J342" s="12" t="str">
        <f>TRIM(UPPER('Raw Data'!J342))</f>
        <v>BRAZIL</v>
      </c>
      <c r="K342" s="12">
        <f>'Raw Data'!K342</f>
        <v>2018</v>
      </c>
      <c r="L342" s="12">
        <f>'Raw Data'!L342</f>
        <v>12</v>
      </c>
      <c r="M342" s="12">
        <f>'Raw Data'!M342</f>
        <v>5</v>
      </c>
      <c r="N342">
        <f>'Raw Data'!N342</f>
        <v>8</v>
      </c>
    </row>
    <row r="343" spans="1:14" ht="30" x14ac:dyDescent="0.25">
      <c r="A343" s="11">
        <f>'Raw Data'!A343</f>
        <v>341</v>
      </c>
      <c r="B343" s="8" t="str">
        <f>TRIM(CLEAN('Raw Data'!B343))</f>
        <v>Bittersweet emotions arise while bidding farewell to a dear friend.</v>
      </c>
      <c r="C343" s="4" t="str">
        <f>TRIM(PROPER('Raw Data'!C343))</f>
        <v>Bittersweet</v>
      </c>
      <c r="D343" s="5">
        <f>'Raw Data'!D343</f>
        <v>43905.770833333336</v>
      </c>
      <c r="E343" s="4" t="str">
        <f>TRIM(SUBSTITUTE('Raw Data'!E343," "," "))</f>
        <v>FarewellSender</v>
      </c>
      <c r="F343" s="4" t="str">
        <f>TRIM(PROPER('Raw Data'!F343))</f>
        <v>Instagram</v>
      </c>
      <c r="G343" s="8" t="str">
        <f>TRIM(CLEAN('Raw Data'!G343))</f>
        <v>#Bittersweet #Farewell</v>
      </c>
      <c r="H343" s="12">
        <f>'Raw Data'!H343</f>
        <v>20</v>
      </c>
      <c r="I343" s="12">
        <v>70</v>
      </c>
      <c r="J343" s="12" t="str">
        <f>TRIM(UPPER('Raw Data'!J343))</f>
        <v>JAPAN</v>
      </c>
      <c r="K343" s="12">
        <f>'Raw Data'!K343</f>
        <v>2020</v>
      </c>
      <c r="L343" s="12">
        <f>'Raw Data'!L343</f>
        <v>3</v>
      </c>
      <c r="M343" s="12">
        <f>'Raw Data'!M343</f>
        <v>15</v>
      </c>
      <c r="N343">
        <f>'Raw Data'!N343</f>
        <v>18</v>
      </c>
    </row>
    <row r="344" spans="1:14" ht="30" x14ac:dyDescent="0.25">
      <c r="A344" s="11">
        <f>'Raw Data'!A344</f>
        <v>342</v>
      </c>
      <c r="B344" s="8" t="str">
        <f>TRIM(CLEAN('Raw Data'!B344))</f>
        <v>Curiosity sparked by exploring a mysterious ancient ruin.</v>
      </c>
      <c r="C344" s="4" t="str">
        <f>TRIM(PROPER('Raw Data'!C344))</f>
        <v>Curiosity</v>
      </c>
      <c r="D344" s="5">
        <f>'Raw Data'!D344</f>
        <v>42604.631944444445</v>
      </c>
      <c r="E344" s="4" t="str">
        <f>TRIM(SUBSTITUTE('Raw Data'!E344," "," "))</f>
        <v>HistoryExplorer</v>
      </c>
      <c r="F344" s="4" t="str">
        <f>TRIM(PROPER('Raw Data'!F344))</f>
        <v>Facebook</v>
      </c>
      <c r="G344" s="8" t="str">
        <f>TRIM(CLEAN('Raw Data'!G344))</f>
        <v>#Curiosity #AncientDiscovery</v>
      </c>
      <c r="H344" s="12">
        <f>'Raw Data'!H344</f>
        <v>18</v>
      </c>
      <c r="I344" s="12">
        <v>40</v>
      </c>
      <c r="J344" s="12" t="str">
        <f>TRIM(UPPER('Raw Data'!J344))</f>
        <v>GREECE</v>
      </c>
      <c r="K344" s="12">
        <f>'Raw Data'!K344</f>
        <v>2016</v>
      </c>
      <c r="L344" s="12">
        <f>'Raw Data'!L344</f>
        <v>8</v>
      </c>
      <c r="M344" s="12">
        <f>'Raw Data'!M344</f>
        <v>22</v>
      </c>
      <c r="N344">
        <f>'Raw Data'!N344</f>
        <v>15</v>
      </c>
    </row>
    <row r="345" spans="1:14" ht="30" x14ac:dyDescent="0.25">
      <c r="A345" s="11">
        <f>'Raw Data'!A345</f>
        <v>343</v>
      </c>
      <c r="B345" s="8" t="str">
        <f>TRIM(CLEAN('Raw Data'!B345))</f>
        <v>Admiration for the intricate details of a handcrafted masterpiece.</v>
      </c>
      <c r="C345" s="4" t="str">
        <f>TRIM(PROPER('Raw Data'!C345))</f>
        <v>Admiration</v>
      </c>
      <c r="D345" s="5">
        <f>'Raw Data'!D345</f>
        <v>43697.666666666664</v>
      </c>
      <c r="E345" s="4" t="str">
        <f>TRIM(SUBSTITUTE('Raw Data'!E345," "," "))</f>
        <v>CraftEnthusiast</v>
      </c>
      <c r="F345" s="4" t="str">
        <f>TRIM(PROPER('Raw Data'!F345))</f>
        <v>Instagram</v>
      </c>
      <c r="G345" s="8" t="str">
        <f>TRIM(CLEAN('Raw Data'!G345))</f>
        <v>#Admiration #HandcraftedArt</v>
      </c>
      <c r="H345" s="12">
        <f>'Raw Data'!H345</f>
        <v>25</v>
      </c>
      <c r="I345" s="12">
        <v>35</v>
      </c>
      <c r="J345" s="12" t="str">
        <f>TRIM(UPPER('Raw Data'!J345))</f>
        <v>USA</v>
      </c>
      <c r="K345" s="12">
        <f>'Raw Data'!K345</f>
        <v>2019</v>
      </c>
      <c r="L345" s="12">
        <f>'Raw Data'!L345</f>
        <v>8</v>
      </c>
      <c r="M345" s="12">
        <f>'Raw Data'!M345</f>
        <v>20</v>
      </c>
      <c r="N345">
        <f>'Raw Data'!N345</f>
        <v>16</v>
      </c>
    </row>
    <row r="346" spans="1:14" ht="30" x14ac:dyDescent="0.25">
      <c r="A346" s="11">
        <f>'Raw Data'!A346</f>
        <v>344</v>
      </c>
      <c r="B346" s="8" t="str">
        <f>TRIM(CLEAN('Raw Data'!B346))</f>
        <v>Overjoyed by the warmth of a cozy fireplace on a winter evening.</v>
      </c>
      <c r="C346" s="4" t="str">
        <f>TRIM(PROPER('Raw Data'!C346))</f>
        <v>Overjoyed</v>
      </c>
      <c r="D346" s="5">
        <f>'Raw Data'!D346</f>
        <v>44538.8125</v>
      </c>
      <c r="E346" s="4" t="str">
        <f>TRIM(SUBSTITUTE('Raw Data'!E346," "," "))</f>
        <v>WinterLover</v>
      </c>
      <c r="F346" s="4" t="str">
        <f>TRIM(PROPER('Raw Data'!F346))</f>
        <v>Twitter</v>
      </c>
      <c r="G346" s="8" t="str">
        <f>TRIM(CLEAN('Raw Data'!G346))</f>
        <v>#Overjoyed #WinterWarmth</v>
      </c>
      <c r="H346" s="12">
        <f>'Raw Data'!H346</f>
        <v>18</v>
      </c>
      <c r="I346" s="12">
        <v>50</v>
      </c>
      <c r="J346" s="12" t="str">
        <f>TRIM(UPPER('Raw Data'!J346))</f>
        <v>CANADA</v>
      </c>
      <c r="K346" s="12">
        <f>'Raw Data'!K346</f>
        <v>2021</v>
      </c>
      <c r="L346" s="12">
        <f>'Raw Data'!L346</f>
        <v>12</v>
      </c>
      <c r="M346" s="12">
        <f>'Raw Data'!M346</f>
        <v>8</v>
      </c>
      <c r="N346">
        <f>'Raw Data'!N346</f>
        <v>19</v>
      </c>
    </row>
    <row r="347" spans="1:14" ht="30" x14ac:dyDescent="0.25">
      <c r="A347" s="11">
        <f>'Raw Data'!A347</f>
        <v>345</v>
      </c>
      <c r="B347" s="8" t="str">
        <f>TRIM(CLEAN('Raw Data'!B347))</f>
        <v>Inspiration strikes while observing the colors of a vibrant sunset.</v>
      </c>
      <c r="C347" s="4" t="str">
        <f>TRIM(PROPER('Raw Data'!C347))</f>
        <v>Inspiration</v>
      </c>
      <c r="D347" s="5">
        <f>'Raw Data'!D347</f>
        <v>43992.864583333336</v>
      </c>
      <c r="E347" s="4" t="str">
        <f>TRIM(SUBSTITUTE('Raw Data'!E347," "," "))</f>
        <v>SunsetWatcher</v>
      </c>
      <c r="F347" s="4" t="str">
        <f>TRIM(PROPER('Raw Data'!F347))</f>
        <v>Instagram</v>
      </c>
      <c r="G347" s="8" t="str">
        <f>TRIM(CLEAN('Raw Data'!G347))</f>
        <v>#Inspiration #ColorfulSunset</v>
      </c>
      <c r="H347" s="12">
        <f>'Raw Data'!H347</f>
        <v>30</v>
      </c>
      <c r="I347" s="12">
        <v>35</v>
      </c>
      <c r="J347" s="12" t="str">
        <f>TRIM(UPPER('Raw Data'!J347))</f>
        <v>UK</v>
      </c>
      <c r="K347" s="12">
        <f>'Raw Data'!K347</f>
        <v>2020</v>
      </c>
      <c r="L347" s="12">
        <f>'Raw Data'!L347</f>
        <v>6</v>
      </c>
      <c r="M347" s="12">
        <f>'Raw Data'!M347</f>
        <v>10</v>
      </c>
      <c r="N347">
        <f>'Raw Data'!N347</f>
        <v>20</v>
      </c>
    </row>
    <row r="348" spans="1:14" ht="30" x14ac:dyDescent="0.25">
      <c r="A348" s="11">
        <f>'Raw Data'!A348</f>
        <v>346</v>
      </c>
      <c r="B348" s="8" t="str">
        <f>TRIM(CLEAN('Raw Data'!B348))</f>
        <v>Motivated to achieve fitness goals after an invigorating workout.</v>
      </c>
      <c r="C348" s="4" t="str">
        <f>TRIM(PROPER('Raw Data'!C348))</f>
        <v>Motivation</v>
      </c>
      <c r="D348" s="5">
        <f>'Raw Data'!D348</f>
        <v>44620.302083333336</v>
      </c>
      <c r="E348" s="4" t="str">
        <f>TRIM(SUBSTITUTE('Raw Data'!E348," "," "))</f>
        <v>FitnessJunkie</v>
      </c>
      <c r="F348" s="4" t="str">
        <f>TRIM(PROPER('Raw Data'!F348))</f>
        <v>Facebook</v>
      </c>
      <c r="G348" s="8" t="str">
        <f>TRIM(CLEAN('Raw Data'!G348))</f>
        <v>#Motivation #FitnessGoals</v>
      </c>
      <c r="H348" s="12">
        <f>'Raw Data'!H348</f>
        <v>40</v>
      </c>
      <c r="I348" s="12">
        <v>60</v>
      </c>
      <c r="J348" s="12" t="str">
        <f>TRIM(UPPER('Raw Data'!J348))</f>
        <v>AUSTRALIA</v>
      </c>
      <c r="K348" s="12">
        <f>'Raw Data'!K348</f>
        <v>2022</v>
      </c>
      <c r="L348" s="12">
        <f>'Raw Data'!L348</f>
        <v>2</v>
      </c>
      <c r="M348" s="12">
        <f>'Raw Data'!M348</f>
        <v>28</v>
      </c>
      <c r="N348">
        <f>'Raw Data'!N348</f>
        <v>7</v>
      </c>
    </row>
    <row r="349" spans="1:14" ht="30" x14ac:dyDescent="0.25">
      <c r="A349" s="11">
        <f>'Raw Data'!A349</f>
        <v>347</v>
      </c>
      <c r="B349" s="8" t="str">
        <f>TRIM(CLEAN('Raw Data'!B349))</f>
        <v>Gratitude for the simple joys found in a cup of morning coffee.</v>
      </c>
      <c r="C349" s="4" t="str">
        <f>TRIM(PROPER('Raw Data'!C349))</f>
        <v>Gratitude</v>
      </c>
      <c r="D349" s="5">
        <f>'Raw Data'!D349</f>
        <v>42840.333333333336</v>
      </c>
      <c r="E349" s="4" t="str">
        <f>TRIM(SUBSTITUTE('Raw Data'!E349," "," "))</f>
        <v>CoffeeLover</v>
      </c>
      <c r="F349" s="4" t="str">
        <f>TRIM(PROPER('Raw Data'!F349))</f>
        <v>Twitter</v>
      </c>
      <c r="G349" s="8" t="str">
        <f>TRIM(CLEAN('Raw Data'!G349))</f>
        <v>#Gratitude #MorningCoffee</v>
      </c>
      <c r="H349" s="12">
        <f>'Raw Data'!H349</f>
        <v>22</v>
      </c>
      <c r="I349" s="12">
        <v>80</v>
      </c>
      <c r="J349" s="12" t="str">
        <f>TRIM(UPPER('Raw Data'!J349))</f>
        <v>INDIA</v>
      </c>
      <c r="K349" s="12">
        <f>'Raw Data'!K349</f>
        <v>2017</v>
      </c>
      <c r="L349" s="12">
        <f>'Raw Data'!L349</f>
        <v>4</v>
      </c>
      <c r="M349" s="12">
        <f>'Raw Data'!M349</f>
        <v>15</v>
      </c>
      <c r="N349">
        <f>'Raw Data'!N349</f>
        <v>8</v>
      </c>
    </row>
    <row r="350" spans="1:14" ht="30" x14ac:dyDescent="0.25">
      <c r="A350" s="11">
        <f>'Raw Data'!A350</f>
        <v>348</v>
      </c>
      <c r="B350" s="8" t="str">
        <f>TRIM(CLEAN('Raw Data'!B350))</f>
        <v>Feeling empowered after conquering a challenging hiking trail.</v>
      </c>
      <c r="C350" s="4" t="str">
        <f>TRIM(PROPER('Raw Data'!C350))</f>
        <v>Empowerment</v>
      </c>
      <c r="D350" s="5">
        <f>'Raw Data'!D350</f>
        <v>43348.597222222219</v>
      </c>
      <c r="E350" s="4" t="str">
        <f>TRIM(SUBSTITUTE('Raw Data'!E350," "," "))</f>
        <v>HikingExplorer</v>
      </c>
      <c r="F350" s="4" t="str">
        <f>TRIM(PROPER('Raw Data'!F350))</f>
        <v>Instagram</v>
      </c>
      <c r="G350" s="8" t="str">
        <f>TRIM(CLEAN('Raw Data'!G350))</f>
        <v>#Empowerment #HikingAdventure</v>
      </c>
      <c r="H350" s="12">
        <f>'Raw Data'!H350</f>
        <v>35</v>
      </c>
      <c r="I350" s="12">
        <v>45</v>
      </c>
      <c r="J350" s="12" t="str">
        <f>TRIM(UPPER('Raw Data'!J350))</f>
        <v>USA</v>
      </c>
      <c r="K350" s="12">
        <f>'Raw Data'!K350</f>
        <v>2018</v>
      </c>
      <c r="L350" s="12">
        <f>'Raw Data'!L350</f>
        <v>9</v>
      </c>
      <c r="M350" s="12">
        <f>'Raw Data'!M350</f>
        <v>5</v>
      </c>
      <c r="N350">
        <f>'Raw Data'!N350</f>
        <v>14</v>
      </c>
    </row>
    <row r="351" spans="1:14" x14ac:dyDescent="0.25">
      <c r="A351" s="11">
        <f>'Raw Data'!A351</f>
        <v>349</v>
      </c>
      <c r="B351" s="8" t="str">
        <f>TRIM(CLEAN('Raw Data'!B351))</f>
        <v>Amused by the antics of playful kittens during playtime.</v>
      </c>
      <c r="C351" s="4" t="str">
        <f>TRIM(PROPER('Raw Data'!C351))</f>
        <v>Amusement</v>
      </c>
      <c r="D351" s="5">
        <f>'Raw Data'!D351</f>
        <v>44856.53125</v>
      </c>
      <c r="E351" s="4" t="str">
        <f>TRIM(SUBSTITUTE('Raw Data'!E351," "," "))</f>
        <v>KittyObserver</v>
      </c>
      <c r="F351" s="4" t="str">
        <f>TRIM(PROPER('Raw Data'!F351))</f>
        <v>Facebook</v>
      </c>
      <c r="G351" s="8" t="str">
        <f>TRIM(CLEAN('Raw Data'!G351))</f>
        <v>#Amusement #PlayfulKittens</v>
      </c>
      <c r="H351" s="12">
        <f>'Raw Data'!H351</f>
        <v>15</v>
      </c>
      <c r="I351" s="12">
        <v>70</v>
      </c>
      <c r="J351" s="12" t="str">
        <f>TRIM(UPPER('Raw Data'!J351))</f>
        <v>CANADA</v>
      </c>
      <c r="K351" s="12">
        <f>'Raw Data'!K351</f>
        <v>2022</v>
      </c>
      <c r="L351" s="12">
        <f>'Raw Data'!L351</f>
        <v>10</v>
      </c>
      <c r="M351" s="12">
        <f>'Raw Data'!M351</f>
        <v>22</v>
      </c>
      <c r="N351">
        <f>'Raw Data'!N351</f>
        <v>12</v>
      </c>
    </row>
    <row r="352" spans="1:14" ht="30" x14ac:dyDescent="0.25">
      <c r="A352" s="11">
        <f>'Raw Data'!A352</f>
        <v>350</v>
      </c>
      <c r="B352" s="8" t="str">
        <f>TRIM(CLEAN('Raw Data'!B352))</f>
        <v>Contemplating life's mysteries under the starry night sky.</v>
      </c>
      <c r="C352" s="4" t="str">
        <f>TRIM(PROPER('Raw Data'!C352))</f>
        <v>Contemplation</v>
      </c>
      <c r="D352" s="5">
        <f>'Raw Data'!D352</f>
        <v>42553.979166666664</v>
      </c>
      <c r="E352" s="4" t="str">
        <f>TRIM(SUBSTITUTE('Raw Data'!E352," "," "))</f>
        <v>Stargazer</v>
      </c>
      <c r="F352" s="4" t="str">
        <f>TRIM(PROPER('Raw Data'!F352))</f>
        <v>Twitter</v>
      </c>
      <c r="G352" s="8" t="str">
        <f>TRIM(CLEAN('Raw Data'!G352))</f>
        <v>#Contemplation #StarryNight</v>
      </c>
      <c r="H352" s="12">
        <f>'Raw Data'!H352</f>
        <v>28</v>
      </c>
      <c r="I352" s="12">
        <v>30</v>
      </c>
      <c r="J352" s="12" t="str">
        <f>TRIM(UPPER('Raw Data'!J352))</f>
        <v>UK</v>
      </c>
      <c r="K352" s="12">
        <f>'Raw Data'!K352</f>
        <v>2016</v>
      </c>
      <c r="L352" s="12">
        <f>'Raw Data'!L352</f>
        <v>7</v>
      </c>
      <c r="M352" s="12">
        <f>'Raw Data'!M352</f>
        <v>2</v>
      </c>
      <c r="N352">
        <f>'Raw Data'!N352</f>
        <v>23</v>
      </c>
    </row>
    <row r="353" spans="1:14" ht="30" x14ac:dyDescent="0.25">
      <c r="A353" s="11">
        <f>'Raw Data'!A353</f>
        <v>351</v>
      </c>
      <c r="B353" s="8" t="str">
        <f>TRIM(CLEAN('Raw Data'!B353))</f>
        <v>Joyful reunion with long-lost friends after years of separation.</v>
      </c>
      <c r="C353" s="4" t="str">
        <f>TRIM(PROPER('Raw Data'!C353))</f>
        <v>Joyfulreunion</v>
      </c>
      <c r="D353" s="5">
        <f>'Raw Data'!D353</f>
        <v>44153.715277777781</v>
      </c>
      <c r="E353" s="4" t="str">
        <f>TRIM(SUBSTITUTE('Raw Data'!E353," "," "))</f>
        <v>FriendshipRenewal</v>
      </c>
      <c r="F353" s="4" t="str">
        <f>TRIM(PROPER('Raw Data'!F353))</f>
        <v>Instagram</v>
      </c>
      <c r="G353" s="8" t="str">
        <f>TRIM(CLEAN('Raw Data'!G353))</f>
        <v>#JoyfulReunion #Friendship</v>
      </c>
      <c r="H353" s="12">
        <f>'Raw Data'!H353</f>
        <v>20</v>
      </c>
      <c r="I353" s="12">
        <v>55</v>
      </c>
      <c r="J353" s="12" t="str">
        <f>TRIM(UPPER('Raw Data'!J353))</f>
        <v>INDIA</v>
      </c>
      <c r="K353" s="12">
        <f>'Raw Data'!K353</f>
        <v>2020</v>
      </c>
      <c r="L353" s="12">
        <f>'Raw Data'!L353</f>
        <v>11</v>
      </c>
      <c r="M353" s="12">
        <f>'Raw Data'!M353</f>
        <v>18</v>
      </c>
      <c r="N353">
        <f>'Raw Data'!N353</f>
        <v>17</v>
      </c>
    </row>
    <row r="354" spans="1:14" ht="30" x14ac:dyDescent="0.25">
      <c r="A354" s="11">
        <f>'Raw Data'!A354</f>
        <v>352</v>
      </c>
      <c r="B354" s="8" t="str">
        <f>TRIM(CLEAN('Raw Data'!B354))</f>
        <v>Excitement builds while preparing for a surprise celebration.</v>
      </c>
      <c r="C354" s="4" t="str">
        <f>TRIM(PROPER('Raw Data'!C354))</f>
        <v>Excitement</v>
      </c>
      <c r="D354" s="5">
        <f>'Raw Data'!D354</f>
        <v>44990.625</v>
      </c>
      <c r="E354" s="4" t="str">
        <f>TRIM(SUBSTITUTE('Raw Data'!E354," "," "))</f>
        <v>CelebrationPlanner</v>
      </c>
      <c r="F354" s="4" t="str">
        <f>TRIM(PROPER('Raw Data'!F354))</f>
        <v>Facebook</v>
      </c>
      <c r="G354" s="8" t="str">
        <f>TRIM(CLEAN('Raw Data'!G354))</f>
        <v>#Excitement #SurpriseCelebration</v>
      </c>
      <c r="H354" s="12">
        <f>'Raw Data'!H354</f>
        <v>30</v>
      </c>
      <c r="I354" s="12">
        <v>40</v>
      </c>
      <c r="J354" s="12" t="str">
        <f>TRIM(UPPER('Raw Data'!J354))</f>
        <v>AUSTRALIA</v>
      </c>
      <c r="K354" s="12">
        <f>'Raw Data'!K354</f>
        <v>2023</v>
      </c>
      <c r="L354" s="12">
        <f>'Raw Data'!L354</f>
        <v>3</v>
      </c>
      <c r="M354" s="12">
        <f>'Raw Data'!M354</f>
        <v>5</v>
      </c>
      <c r="N354">
        <f>'Raw Data'!N354</f>
        <v>15</v>
      </c>
    </row>
    <row r="355" spans="1:14" ht="30" x14ac:dyDescent="0.25">
      <c r="A355" s="11">
        <f>'Raw Data'!A355</f>
        <v>353</v>
      </c>
      <c r="B355" s="8" t="str">
        <f>TRIM(CLEAN('Raw Data'!B355))</f>
        <v>Satisfaction derived from successfully completing a DIY project.</v>
      </c>
      <c r="C355" s="4" t="str">
        <f>TRIM(PROPER('Raw Data'!C355))</f>
        <v>Satisfaction</v>
      </c>
      <c r="D355" s="5">
        <f>'Raw Data'!D355</f>
        <v>42339.479166666664</v>
      </c>
      <c r="E355" s="4" t="str">
        <f>TRIM(SUBSTITUTE('Raw Data'!E355," "," "))</f>
        <v>DIYEnthusiast</v>
      </c>
      <c r="F355" s="4" t="str">
        <f>TRIM(PROPER('Raw Data'!F355))</f>
        <v>Twitter</v>
      </c>
      <c r="G355" s="8" t="str">
        <f>TRIM(CLEAN('Raw Data'!G355))</f>
        <v>#Satisfaction #DIYProject</v>
      </c>
      <c r="H355" s="12">
        <f>'Raw Data'!H355</f>
        <v>25</v>
      </c>
      <c r="I355" s="12">
        <v>60</v>
      </c>
      <c r="J355" s="12" t="str">
        <f>TRIM(UPPER('Raw Data'!J355))</f>
        <v>USA</v>
      </c>
      <c r="K355" s="12">
        <f>'Raw Data'!K355</f>
        <v>2015</v>
      </c>
      <c r="L355" s="12">
        <f>'Raw Data'!L355</f>
        <v>12</v>
      </c>
      <c r="M355" s="12">
        <f>'Raw Data'!M355</f>
        <v>1</v>
      </c>
      <c r="N355">
        <f>'Raw Data'!N355</f>
        <v>11</v>
      </c>
    </row>
    <row r="356" spans="1:14" ht="30" x14ac:dyDescent="0.25">
      <c r="A356" s="11">
        <f>'Raw Data'!A356</f>
        <v>354</v>
      </c>
      <c r="B356" s="8" t="str">
        <f>TRIM(CLEAN('Raw Data'!B356))</f>
        <v>Feeling blessed for the supportive community in times of need.</v>
      </c>
      <c r="C356" s="4" t="str">
        <f>TRIM(PROPER('Raw Data'!C356))</f>
        <v>Blessed</v>
      </c>
      <c r="D356" s="5">
        <f>'Raw Data'!D356</f>
        <v>44449.40625</v>
      </c>
      <c r="E356" s="4" t="str">
        <f>TRIM(SUBSTITUTE('Raw Data'!E356," "," "))</f>
        <v>CommunityHelper</v>
      </c>
      <c r="F356" s="4" t="str">
        <f>TRIM(PROPER('Raw Data'!F356))</f>
        <v>Instagram</v>
      </c>
      <c r="G356" s="8" t="str">
        <f>TRIM(CLEAN('Raw Data'!G356))</f>
        <v>#Blessed #SupportiveCommunity</v>
      </c>
      <c r="H356" s="12">
        <f>'Raw Data'!H356</f>
        <v>18</v>
      </c>
      <c r="I356" s="12">
        <v>50</v>
      </c>
      <c r="J356" s="12" t="str">
        <f>TRIM(UPPER('Raw Data'!J356))</f>
        <v>UK</v>
      </c>
      <c r="K356" s="12">
        <f>'Raw Data'!K356</f>
        <v>2021</v>
      </c>
      <c r="L356" s="12">
        <f>'Raw Data'!L356</f>
        <v>9</v>
      </c>
      <c r="M356" s="12">
        <f>'Raw Data'!M356</f>
        <v>10</v>
      </c>
      <c r="N356">
        <f>'Raw Data'!N356</f>
        <v>9</v>
      </c>
    </row>
    <row r="357" spans="1:14" ht="30" x14ac:dyDescent="0.25">
      <c r="A357" s="11">
        <f>'Raw Data'!A357</f>
        <v>355</v>
      </c>
      <c r="B357" s="8" t="str">
        <f>TRIM(CLEAN('Raw Data'!B357))</f>
        <v>Captivated by the serenity of a tranquil garden in full bloom.</v>
      </c>
      <c r="C357" s="4" t="str">
        <f>TRIM(PROPER('Raw Data'!C357))</f>
        <v>Serenity</v>
      </c>
      <c r="D357" s="5">
        <f>'Raw Data'!D357</f>
        <v>43232.597222222219</v>
      </c>
      <c r="E357" s="4" t="str">
        <f>TRIM(SUBSTITUTE('Raw Data'!E357," "," "))</f>
        <v>GardenEnthusiast</v>
      </c>
      <c r="F357" s="4" t="str">
        <f>TRIM(PROPER('Raw Data'!F357))</f>
        <v>Facebook</v>
      </c>
      <c r="G357" s="8" t="str">
        <f>TRIM(CLEAN('Raw Data'!G357))</f>
        <v>#Serenity #TranquilGarden</v>
      </c>
      <c r="H357" s="12">
        <f>'Raw Data'!H357</f>
        <v>22</v>
      </c>
      <c r="I357" s="12">
        <v>35</v>
      </c>
      <c r="J357" s="12" t="str">
        <f>TRIM(UPPER('Raw Data'!J357))</f>
        <v>CANADA</v>
      </c>
      <c r="K357" s="12">
        <f>'Raw Data'!K357</f>
        <v>2018</v>
      </c>
      <c r="L357" s="12">
        <f>'Raw Data'!L357</f>
        <v>5</v>
      </c>
      <c r="M357" s="12">
        <f>'Raw Data'!M357</f>
        <v>12</v>
      </c>
      <c r="N357">
        <f>'Raw Data'!N357</f>
        <v>14</v>
      </c>
    </row>
    <row r="358" spans="1:14" ht="30" x14ac:dyDescent="0.25">
      <c r="A358" s="11">
        <f>'Raw Data'!A358</f>
        <v>356</v>
      </c>
      <c r="B358" s="8" t="str">
        <f>TRIM(CLEAN('Raw Data'!B358))</f>
        <v>Anticipation for an upcoming adventure in an exotic destination.</v>
      </c>
      <c r="C358" s="4" t="str">
        <f>TRIM(PROPER('Raw Data'!C358))</f>
        <v>Anticipation</v>
      </c>
      <c r="D358" s="5">
        <f>'Raw Data'!D358</f>
        <v>44767.416666666664</v>
      </c>
      <c r="E358" s="4" t="str">
        <f>TRIM(SUBSTITUTE('Raw Data'!E358," "," "))</f>
        <v>Wanderlust</v>
      </c>
      <c r="F358" s="4" t="str">
        <f>TRIM(PROPER('Raw Data'!F358))</f>
        <v>Twitter</v>
      </c>
      <c r="G358" s="8" t="str">
        <f>TRIM(CLEAN('Raw Data'!G358))</f>
        <v>#Anticipation #AdventureAwaits</v>
      </c>
      <c r="H358" s="12">
        <f>'Raw Data'!H358</f>
        <v>40</v>
      </c>
      <c r="I358" s="12">
        <v>45</v>
      </c>
      <c r="J358" s="12" t="str">
        <f>TRIM(UPPER('Raw Data'!J358))</f>
        <v>INDIA</v>
      </c>
      <c r="K358" s="12">
        <f>'Raw Data'!K358</f>
        <v>2022</v>
      </c>
      <c r="L358" s="12">
        <f>'Raw Data'!L358</f>
        <v>7</v>
      </c>
      <c r="M358" s="12">
        <f>'Raw Data'!M358</f>
        <v>25</v>
      </c>
      <c r="N358">
        <f>'Raw Data'!N358</f>
        <v>10</v>
      </c>
    </row>
    <row r="359" spans="1:14" ht="30" x14ac:dyDescent="0.25">
      <c r="A359" s="11">
        <f>'Raw Data'!A359</f>
        <v>357</v>
      </c>
      <c r="B359" s="8" t="str">
        <f>TRIM(CLEAN('Raw Data'!B359))</f>
        <v>Reflecting on personal growth achieved through life experiences.</v>
      </c>
      <c r="C359" s="4" t="str">
        <f>TRIM(PROPER('Raw Data'!C359))</f>
        <v>Reflection</v>
      </c>
      <c r="D359" s="5">
        <f>'Raw Data'!D359</f>
        <v>43532.770833333336</v>
      </c>
      <c r="E359" s="4" t="str">
        <f>TRIM(SUBSTITUTE('Raw Data'!E359," "," "))</f>
        <v>GrowthSeeker</v>
      </c>
      <c r="F359" s="4" t="str">
        <f>TRIM(PROPER('Raw Data'!F359))</f>
        <v>Instagram</v>
      </c>
      <c r="G359" s="8" t="str">
        <f>TRIM(CLEAN('Raw Data'!G359))</f>
        <v>#Reflection #PersonalGrowth</v>
      </c>
      <c r="H359" s="12">
        <f>'Raw Data'!H359</f>
        <v>35</v>
      </c>
      <c r="I359" s="12">
        <v>80</v>
      </c>
      <c r="J359" s="12" t="str">
        <f>TRIM(UPPER('Raw Data'!J359))</f>
        <v>USA</v>
      </c>
      <c r="K359" s="12">
        <f>'Raw Data'!K359</f>
        <v>2019</v>
      </c>
      <c r="L359" s="12">
        <f>'Raw Data'!L359</f>
        <v>3</v>
      </c>
      <c r="M359" s="12">
        <f>'Raw Data'!M359</f>
        <v>8</v>
      </c>
      <c r="N359">
        <f>'Raw Data'!N359</f>
        <v>18</v>
      </c>
    </row>
    <row r="360" spans="1:14" ht="30" x14ac:dyDescent="0.25">
      <c r="A360" s="11">
        <f>'Raw Data'!A360</f>
        <v>358</v>
      </c>
      <c r="B360" s="8" t="str">
        <f>TRIM(CLEAN('Raw Data'!B360))</f>
        <v>Nostalgic memories flood in while revisiting childhood favorites.</v>
      </c>
      <c r="C360" s="4" t="str">
        <f>TRIM(PROPER('Raw Data'!C360))</f>
        <v>Nostalgia</v>
      </c>
      <c r="D360" s="5">
        <f>'Raw Data'!D360</f>
        <v>42763.885416666664</v>
      </c>
      <c r="E360" s="4" t="str">
        <f>TRIM(SUBSTITUTE('Raw Data'!E360," "," "))</f>
        <v>ChildhoodMemories</v>
      </c>
      <c r="F360" s="4" t="str">
        <f>TRIM(PROPER('Raw Data'!F360))</f>
        <v>Facebook</v>
      </c>
      <c r="G360" s="8" t="str">
        <f>TRIM(CLEAN('Raw Data'!G360))</f>
        <v>#Nostalgia #ChildhoodFavorites</v>
      </c>
      <c r="H360" s="12">
        <f>'Raw Data'!H360</f>
        <v>20</v>
      </c>
      <c r="I360" s="12">
        <v>70</v>
      </c>
      <c r="J360" s="12" t="str">
        <f>TRIM(UPPER('Raw Data'!J360))</f>
        <v>AUSTRALIA</v>
      </c>
      <c r="K360" s="12">
        <f>'Raw Data'!K360</f>
        <v>2017</v>
      </c>
      <c r="L360" s="12">
        <f>'Raw Data'!L360</f>
        <v>1</v>
      </c>
      <c r="M360" s="12">
        <f>'Raw Data'!M360</f>
        <v>28</v>
      </c>
      <c r="N360">
        <f>'Raw Data'!N360</f>
        <v>21</v>
      </c>
    </row>
    <row r="361" spans="1:14" ht="30" x14ac:dyDescent="0.25">
      <c r="A361" s="11">
        <f>'Raw Data'!A361</f>
        <v>359</v>
      </c>
      <c r="B361" s="8" t="str">
        <f>TRIM(CLEAN('Raw Data'!B361))</f>
        <v>Appreciation for the vibrant culture experienced during travel.</v>
      </c>
      <c r="C361" s="4" t="str">
        <f>TRIM(PROPER('Raw Data'!C361))</f>
        <v>Appreciation</v>
      </c>
      <c r="D361" s="5">
        <f>'Raw Data'!D361</f>
        <v>42688.572916666664</v>
      </c>
      <c r="E361" s="4" t="str">
        <f>TRIM(SUBSTITUTE('Raw Data'!E361," "," "))</f>
        <v>CultureExplorer</v>
      </c>
      <c r="F361" s="4" t="str">
        <f>TRIM(PROPER('Raw Data'!F361))</f>
        <v>Twitter</v>
      </c>
      <c r="G361" s="8" t="str">
        <f>TRIM(CLEAN('Raw Data'!G361))</f>
        <v>#Appreciation #CulturalExperience</v>
      </c>
      <c r="H361" s="12">
        <f>'Raw Data'!H361</f>
        <v>28</v>
      </c>
      <c r="I361" s="12">
        <v>40</v>
      </c>
      <c r="J361" s="12" t="str">
        <f>TRIM(UPPER('Raw Data'!J361))</f>
        <v>UK</v>
      </c>
      <c r="K361" s="12">
        <f>'Raw Data'!K361</f>
        <v>2016</v>
      </c>
      <c r="L361" s="12">
        <f>'Raw Data'!L361</f>
        <v>11</v>
      </c>
      <c r="M361" s="12">
        <f>'Raw Data'!M361</f>
        <v>14</v>
      </c>
      <c r="N361">
        <f>'Raw Data'!N361</f>
        <v>13</v>
      </c>
    </row>
    <row r="362" spans="1:14" ht="30" x14ac:dyDescent="0.25">
      <c r="A362" s="11">
        <f>'Raw Data'!A362</f>
        <v>360</v>
      </c>
      <c r="B362" s="8" t="str">
        <f>TRIM(CLEAN('Raw Data'!B362))</f>
        <v>Confidence soars after overcoming public speaking anxiety.</v>
      </c>
      <c r="C362" s="4" t="str">
        <f>TRIM(PROPER('Raw Data'!C362))</f>
        <v>Confidence</v>
      </c>
      <c r="D362" s="5">
        <f>'Raw Data'!D362</f>
        <v>43923.729166666664</v>
      </c>
      <c r="E362" s="4" t="str">
        <f>TRIM(SUBSTITUTE('Raw Data'!E362," "," "))</f>
        <v>PublicSpeaker</v>
      </c>
      <c r="F362" s="4" t="str">
        <f>TRIM(PROPER('Raw Data'!F362))</f>
        <v>Instagram</v>
      </c>
      <c r="G362" s="8" t="str">
        <f>TRIM(CLEAN('Raw Data'!G362))</f>
        <v>#Confidence #OvercomingAnxiety</v>
      </c>
      <c r="H362" s="12">
        <f>'Raw Data'!H362</f>
        <v>15</v>
      </c>
      <c r="I362" s="12">
        <v>55</v>
      </c>
      <c r="J362" s="12" t="str">
        <f>TRIM(UPPER('Raw Data'!J362))</f>
        <v>USA</v>
      </c>
      <c r="K362" s="12">
        <f>'Raw Data'!K362</f>
        <v>2020</v>
      </c>
      <c r="L362" s="12">
        <f>'Raw Data'!L362</f>
        <v>4</v>
      </c>
      <c r="M362" s="12">
        <f>'Raw Data'!M362</f>
        <v>2</v>
      </c>
      <c r="N362">
        <f>'Raw Data'!N362</f>
        <v>17</v>
      </c>
    </row>
    <row r="363" spans="1:14" ht="30" x14ac:dyDescent="0.25">
      <c r="A363" s="11">
        <f>'Raw Data'!A363</f>
        <v>361</v>
      </c>
      <c r="B363" s="8" t="str">
        <f>TRIM(CLEAN('Raw Data'!B363))</f>
        <v>Contentment in the midst of a family gathering filled with laughter.</v>
      </c>
      <c r="C363" s="4" t="str">
        <f>TRIM(PROPER('Raw Data'!C363))</f>
        <v>Contentment</v>
      </c>
      <c r="D363" s="5">
        <f>'Raw Data'!D363</f>
        <v>44941.791666666664</v>
      </c>
      <c r="E363" s="4" t="str">
        <f>TRIM(SUBSTITUTE('Raw Data'!E363," "," "))</f>
        <v>FamilyCelebration</v>
      </c>
      <c r="F363" s="4" t="str">
        <f>TRIM(PROPER('Raw Data'!F363))</f>
        <v>Facebook</v>
      </c>
      <c r="G363" s="8" t="str">
        <f>TRIM(CLEAN('Raw Data'!G363))</f>
        <v>#Contentment #FamilyLaughter</v>
      </c>
      <c r="H363" s="12">
        <f>'Raw Data'!H363</f>
        <v>25</v>
      </c>
      <c r="I363" s="12">
        <v>30</v>
      </c>
      <c r="J363" s="12" t="str">
        <f>TRIM(UPPER('Raw Data'!J363))</f>
        <v>CANADA</v>
      </c>
      <c r="K363" s="12">
        <f>'Raw Data'!K363</f>
        <v>2023</v>
      </c>
      <c r="L363" s="12">
        <f>'Raw Data'!L363</f>
        <v>1</v>
      </c>
      <c r="M363" s="12">
        <f>'Raw Data'!M363</f>
        <v>15</v>
      </c>
      <c r="N363">
        <f>'Raw Data'!N363</f>
        <v>19</v>
      </c>
    </row>
    <row r="364" spans="1:14" ht="30" x14ac:dyDescent="0.25">
      <c r="A364" s="11">
        <f>'Raw Data'!A364</f>
        <v>362</v>
      </c>
      <c r="B364" s="8" t="str">
        <f>TRIM(CLEAN('Raw Data'!B364))</f>
        <v>Enthusiasm for learning new skills and expanding knowledge.</v>
      </c>
      <c r="C364" s="4" t="str">
        <f>TRIM(PROPER('Raw Data'!C364))</f>
        <v>Enthusiasm</v>
      </c>
      <c r="D364" s="5">
        <f>'Raw Data'!D364</f>
        <v>43319.510416666664</v>
      </c>
      <c r="E364" s="4" t="str">
        <f>TRIM(SUBSTITUTE('Raw Data'!E364," "," "))</f>
        <v>LifelongLearner</v>
      </c>
      <c r="F364" s="4" t="str">
        <f>TRIM(PROPER('Raw Data'!F364))</f>
        <v>Twitter</v>
      </c>
      <c r="G364" s="8" t="str">
        <f>TRIM(CLEAN('Raw Data'!G364))</f>
        <v>#Enthusiasm #SkillBuilding</v>
      </c>
      <c r="H364" s="12">
        <f>'Raw Data'!H364</f>
        <v>30</v>
      </c>
      <c r="I364" s="12">
        <v>50</v>
      </c>
      <c r="J364" s="12" t="str">
        <f>TRIM(UPPER('Raw Data'!J364))</f>
        <v>INDIA</v>
      </c>
      <c r="K364" s="12">
        <f>'Raw Data'!K364</f>
        <v>2018</v>
      </c>
      <c r="L364" s="12">
        <f>'Raw Data'!L364</f>
        <v>8</v>
      </c>
      <c r="M364" s="12">
        <f>'Raw Data'!M364</f>
        <v>7</v>
      </c>
      <c r="N364">
        <f>'Raw Data'!N364</f>
        <v>12</v>
      </c>
    </row>
    <row r="365" spans="1:14" ht="30" x14ac:dyDescent="0.25">
      <c r="A365" s="11">
        <f>'Raw Data'!A365</f>
        <v>363</v>
      </c>
      <c r="B365" s="8" t="str">
        <f>TRIM(CLEAN('Raw Data'!B365))</f>
        <v>Surprise and delight at discovering a hidden gem in the city.</v>
      </c>
      <c r="C365" s="4" t="str">
        <f>TRIM(PROPER('Raw Data'!C365))</f>
        <v>Surprise</v>
      </c>
      <c r="D365" s="5">
        <f>'Raw Data'!D365</f>
        <v>43756.697916666664</v>
      </c>
      <c r="E365" s="4" t="str">
        <f>TRIM(SUBSTITUTE('Raw Data'!E365," "," "))</f>
        <v>CityExplorer</v>
      </c>
      <c r="F365" s="4" t="str">
        <f>TRIM(PROPER('Raw Data'!F365))</f>
        <v>Instagram</v>
      </c>
      <c r="G365" s="8" t="str">
        <f>TRIM(CLEAN('Raw Data'!G365))</f>
        <v>#Surprise #HiddenGem</v>
      </c>
      <c r="H365" s="12">
        <f>'Raw Data'!H365</f>
        <v>18</v>
      </c>
      <c r="I365" s="12">
        <v>60</v>
      </c>
      <c r="J365" s="12" t="str">
        <f>TRIM(UPPER('Raw Data'!J365))</f>
        <v>UK</v>
      </c>
      <c r="K365" s="12">
        <f>'Raw Data'!K365</f>
        <v>2019</v>
      </c>
      <c r="L365" s="12">
        <f>'Raw Data'!L365</f>
        <v>10</v>
      </c>
      <c r="M365" s="12">
        <f>'Raw Data'!M365</f>
        <v>18</v>
      </c>
      <c r="N365">
        <f>'Raw Data'!N365</f>
        <v>16</v>
      </c>
    </row>
    <row r="366" spans="1:14" ht="30" x14ac:dyDescent="0.25">
      <c r="A366" s="11">
        <f>'Raw Data'!A366</f>
        <v>364</v>
      </c>
      <c r="B366" s="8" t="str">
        <f>TRIM(CLEAN('Raw Data'!B366))</f>
        <v>A sense of accomplishment after completing a challenging workout.</v>
      </c>
      <c r="C366" s="4" t="str">
        <f>TRIM(PROPER('Raw Data'!C366))</f>
        <v>Accomplishment</v>
      </c>
      <c r="D366" s="5">
        <f>'Raw Data'!D366</f>
        <v>44742.291666666664</v>
      </c>
      <c r="E366" s="4" t="str">
        <f>TRIM(SUBSTITUTE('Raw Data'!E366," "," "))</f>
        <v>FitnessAchiever</v>
      </c>
      <c r="F366" s="4" t="str">
        <f>TRIM(PROPER('Raw Data'!F366))</f>
        <v>Facebook</v>
      </c>
      <c r="G366" s="8" t="str">
        <f>TRIM(CLEAN('Raw Data'!G366))</f>
        <v>#Accomplishment #FitnessSuccess</v>
      </c>
      <c r="H366" s="12">
        <f>'Raw Data'!H366</f>
        <v>22</v>
      </c>
      <c r="I366" s="12">
        <v>35</v>
      </c>
      <c r="J366" s="12" t="str">
        <f>TRIM(UPPER('Raw Data'!J366))</f>
        <v>AUSTRALIA</v>
      </c>
      <c r="K366" s="12">
        <f>'Raw Data'!K366</f>
        <v>2022</v>
      </c>
      <c r="L366" s="12">
        <f>'Raw Data'!L366</f>
        <v>6</v>
      </c>
      <c r="M366" s="12">
        <f>'Raw Data'!M366</f>
        <v>30</v>
      </c>
      <c r="N366">
        <f>'Raw Data'!N366</f>
        <v>7</v>
      </c>
    </row>
    <row r="367" spans="1:14" ht="30" x14ac:dyDescent="0.25">
      <c r="A367" s="11">
        <f>'Raw Data'!A367</f>
        <v>365</v>
      </c>
      <c r="B367" s="8" t="str">
        <f>TRIM(CLEAN('Raw Data'!B367))</f>
        <v>Wonderment at the beauty of a double rainbow after the rain.</v>
      </c>
      <c r="C367" s="4" t="str">
        <f>TRIM(PROPER('Raw Data'!C367))</f>
        <v>Wonderment</v>
      </c>
      <c r="D367" s="5">
        <f>'Raw Data'!D367</f>
        <v>42898.763888888891</v>
      </c>
      <c r="E367" s="4" t="str">
        <f>TRIM(SUBSTITUTE('Raw Data'!E367," "," "))</f>
        <v>RainbowChaser</v>
      </c>
      <c r="F367" s="4" t="str">
        <f>TRIM(PROPER('Raw Data'!F367))</f>
        <v>Twitter</v>
      </c>
      <c r="G367" s="8" t="str">
        <f>TRIM(CLEAN('Raw Data'!G367))</f>
        <v>#Wonderment #DoubleRainbow</v>
      </c>
      <c r="H367" s="12">
        <f>'Raw Data'!H367</f>
        <v>35</v>
      </c>
      <c r="I367" s="12">
        <v>45</v>
      </c>
      <c r="J367" s="12" t="str">
        <f>TRIM(UPPER('Raw Data'!J367))</f>
        <v>USA</v>
      </c>
      <c r="K367" s="12">
        <f>'Raw Data'!K367</f>
        <v>2017</v>
      </c>
      <c r="L367" s="12">
        <f>'Raw Data'!L367</f>
        <v>6</v>
      </c>
      <c r="M367" s="12">
        <f>'Raw Data'!M367</f>
        <v>12</v>
      </c>
      <c r="N367">
        <f>'Raw Data'!N367</f>
        <v>18</v>
      </c>
    </row>
    <row r="368" spans="1:14" x14ac:dyDescent="0.25">
      <c r="A368" s="11">
        <f>'Raw Data'!A368</f>
        <v>366</v>
      </c>
      <c r="B368" s="8" t="str">
        <f>TRIM(CLEAN('Raw Data'!B368))</f>
        <v>Optimism for a bright future amidst challenging times.</v>
      </c>
      <c r="C368" s="4" t="str">
        <f>TRIM(PROPER('Raw Data'!C368))</f>
        <v>Optimism</v>
      </c>
      <c r="D368" s="5">
        <f>'Raw Data'!D368</f>
        <v>44382.395833333336</v>
      </c>
      <c r="E368" s="4" t="str">
        <f>TRIM(SUBSTITUTE('Raw Data'!E368," "," "))</f>
        <v>FutureOptimist</v>
      </c>
      <c r="F368" s="4" t="str">
        <f>TRIM(PROPER('Raw Data'!F368))</f>
        <v>Instagram</v>
      </c>
      <c r="G368" s="8" t="str">
        <f>TRIM(CLEAN('Raw Data'!G368))</f>
        <v>#Optimism #BrightFuture</v>
      </c>
      <c r="H368" s="12">
        <f>'Raw Data'!H368</f>
        <v>20</v>
      </c>
      <c r="I368" s="12">
        <v>70</v>
      </c>
      <c r="J368" s="12" t="str">
        <f>TRIM(UPPER('Raw Data'!J368))</f>
        <v>CANADA</v>
      </c>
      <c r="K368" s="12">
        <f>'Raw Data'!K368</f>
        <v>2021</v>
      </c>
      <c r="L368" s="12">
        <f>'Raw Data'!L368</f>
        <v>7</v>
      </c>
      <c r="M368" s="12">
        <f>'Raw Data'!M368</f>
        <v>5</v>
      </c>
      <c r="N368">
        <f>'Raw Data'!N368</f>
        <v>9</v>
      </c>
    </row>
    <row r="369" spans="1:14" ht="30" x14ac:dyDescent="0.25">
      <c r="A369" s="11">
        <f>'Raw Data'!A369</f>
        <v>367</v>
      </c>
      <c r="B369" s="8" t="str">
        <f>TRIM(CLEAN('Raw Data'!B369))</f>
        <v>Pride in achieving a personal milestone in career progression.</v>
      </c>
      <c r="C369" s="4" t="str">
        <f>TRIM(PROPER('Raw Data'!C369))</f>
        <v>Pride</v>
      </c>
      <c r="D369" s="5">
        <f>'Raw Data'!D369</f>
        <v>42475.618055555555</v>
      </c>
      <c r="E369" s="4" t="str">
        <f>TRIM(SUBSTITUTE('Raw Data'!E369," "," "))</f>
        <v>CareerAchiever</v>
      </c>
      <c r="F369" s="4" t="str">
        <f>TRIM(PROPER('Raw Data'!F369))</f>
        <v>Facebook</v>
      </c>
      <c r="G369" s="8" t="str">
        <f>TRIM(CLEAN('Raw Data'!G369))</f>
        <v>#Pride #CareerMilestone</v>
      </c>
      <c r="H369" s="12">
        <f>'Raw Data'!H369</f>
        <v>28</v>
      </c>
      <c r="I369" s="12">
        <v>40</v>
      </c>
      <c r="J369" s="12" t="str">
        <f>TRIM(UPPER('Raw Data'!J369))</f>
        <v>UK</v>
      </c>
      <c r="K369" s="12">
        <f>'Raw Data'!K369</f>
        <v>2016</v>
      </c>
      <c r="L369" s="12">
        <f>'Raw Data'!L369</f>
        <v>4</v>
      </c>
      <c r="M369" s="12">
        <f>'Raw Data'!M369</f>
        <v>15</v>
      </c>
      <c r="N369">
        <f>'Raw Data'!N369</f>
        <v>14</v>
      </c>
    </row>
    <row r="370" spans="1:14" ht="30" x14ac:dyDescent="0.25">
      <c r="A370" s="11">
        <f>'Raw Data'!A370</f>
        <v>368</v>
      </c>
      <c r="B370" s="8" t="str">
        <f>TRIM(CLEAN('Raw Data'!B370))</f>
        <v>Happiness blooms like flowers in a garden on a sunny day.</v>
      </c>
      <c r="C370" s="4" t="str">
        <f>TRIM(PROPER('Raw Data'!C370))</f>
        <v>Happiness</v>
      </c>
      <c r="D370" s="5">
        <f>'Raw Data'!D370</f>
        <v>43871.46875</v>
      </c>
      <c r="E370" s="4" t="str">
        <f>TRIM(SUBSTITUTE('Raw Data'!E370," "," "))</f>
        <v>SunnyDayEnthusiast</v>
      </c>
      <c r="F370" s="4" t="str">
        <f>TRIM(PROPER('Raw Data'!F370))</f>
        <v>Twitter</v>
      </c>
      <c r="G370" s="8" t="str">
        <f>TRIM(CLEAN('Raw Data'!G370))</f>
        <v>#Happiness #SunnyDay</v>
      </c>
      <c r="H370" s="12">
        <f>'Raw Data'!H370</f>
        <v>15</v>
      </c>
      <c r="I370" s="12">
        <v>55</v>
      </c>
      <c r="J370" s="12" t="str">
        <f>TRIM(UPPER('Raw Data'!J370))</f>
        <v>INDIA</v>
      </c>
      <c r="K370" s="12">
        <f>'Raw Data'!K370</f>
        <v>2020</v>
      </c>
      <c r="L370" s="12">
        <f>'Raw Data'!L370</f>
        <v>2</v>
      </c>
      <c r="M370" s="12">
        <f>'Raw Data'!M370</f>
        <v>10</v>
      </c>
      <c r="N370">
        <f>'Raw Data'!N370</f>
        <v>11</v>
      </c>
    </row>
    <row r="371" spans="1:14" ht="30" x14ac:dyDescent="0.25">
      <c r="A371" s="11">
        <f>'Raw Data'!A371</f>
        <v>369</v>
      </c>
      <c r="B371" s="8" t="str">
        <f>TRIM(CLEAN('Raw Data'!B371))</f>
        <v>Elation over discovering a rare book in a quaint bookstore.</v>
      </c>
      <c r="C371" s="4" t="str">
        <f>TRIM(PROPER('Raw Data'!C371))</f>
        <v>Elation</v>
      </c>
      <c r="D371" s="5">
        <f>'Raw Data'!D371</f>
        <v>43365.6875</v>
      </c>
      <c r="E371" s="4" t="str">
        <f>TRIM(SUBSTITUTE('Raw Data'!E371," "," "))</f>
        <v>Bookworm</v>
      </c>
      <c r="F371" s="4" t="str">
        <f>TRIM(PROPER('Raw Data'!F371))</f>
        <v>Instagram</v>
      </c>
      <c r="G371" s="8" t="str">
        <f>TRIM(CLEAN('Raw Data'!G371))</f>
        <v>#Elation #RareBookDiscovery</v>
      </c>
      <c r="H371" s="12">
        <f>'Raw Data'!H371</f>
        <v>40</v>
      </c>
      <c r="I371" s="12">
        <v>30</v>
      </c>
      <c r="J371" s="12" t="str">
        <f>TRIM(UPPER('Raw Data'!J371))</f>
        <v>USA</v>
      </c>
      <c r="K371" s="12">
        <f>'Raw Data'!K371</f>
        <v>2018</v>
      </c>
      <c r="L371" s="12">
        <f>'Raw Data'!L371</f>
        <v>9</v>
      </c>
      <c r="M371" s="12">
        <f>'Raw Data'!M371</f>
        <v>22</v>
      </c>
      <c r="N371">
        <f>'Raw Data'!N371</f>
        <v>16</v>
      </c>
    </row>
    <row r="372" spans="1:14" ht="30" x14ac:dyDescent="0.25">
      <c r="A372" s="11">
        <f>'Raw Data'!A372</f>
        <v>370</v>
      </c>
      <c r="B372" s="8" t="str">
        <f>TRIM(CLEAN('Raw Data'!B372))</f>
        <v>Curiosity piqued by the mysteries of an ancient archaeological site.</v>
      </c>
      <c r="C372" s="4" t="str">
        <f>TRIM(PROPER('Raw Data'!C372))</f>
        <v>Curiosity</v>
      </c>
      <c r="D372" s="5">
        <f>'Raw Data'!D372</f>
        <v>42316.416666666664</v>
      </c>
      <c r="E372" s="4" t="str">
        <f>TRIM(SUBSTITUTE('Raw Data'!E372," "," "))</f>
        <v>ArchaeologyEnthusiast</v>
      </c>
      <c r="F372" s="4" t="str">
        <f>TRIM(PROPER('Raw Data'!F372))</f>
        <v>Facebook</v>
      </c>
      <c r="G372" s="8" t="str">
        <f>TRIM(CLEAN('Raw Data'!G372))</f>
        <v>#Curiosity #AncientMysteries</v>
      </c>
      <c r="H372" s="12">
        <f>'Raw Data'!H372</f>
        <v>18</v>
      </c>
      <c r="I372" s="12">
        <v>80</v>
      </c>
      <c r="J372" s="12" t="str">
        <f>TRIM(UPPER('Raw Data'!J372))</f>
        <v>AUSTRALIA</v>
      </c>
      <c r="K372" s="12">
        <f>'Raw Data'!K372</f>
        <v>2015</v>
      </c>
      <c r="L372" s="12">
        <f>'Raw Data'!L372</f>
        <v>11</v>
      </c>
      <c r="M372" s="12">
        <f>'Raw Data'!M372</f>
        <v>8</v>
      </c>
      <c r="N372">
        <f>'Raw Data'!N372</f>
        <v>10</v>
      </c>
    </row>
    <row r="373" spans="1:14" ht="30" x14ac:dyDescent="0.25">
      <c r="A373" s="11">
        <f>'Raw Data'!A373</f>
        <v>371</v>
      </c>
      <c r="B373" s="8" t="str">
        <f>TRIM(CLEAN('Raw Data'!B373))</f>
        <v>Mesmerized by the cosmic dance of fireflies on a moonlit night.</v>
      </c>
      <c r="C373" s="4" t="str">
        <f>TRIM(PROPER('Raw Data'!C373))</f>
        <v>Enchantment</v>
      </c>
      <c r="D373" s="5">
        <f>'Raw Data'!D373</f>
        <v>44783.916666666664</v>
      </c>
      <c r="E373" s="4" t="str">
        <f>TRIM(SUBSTITUTE('Raw Data'!E373," "," "))</f>
        <v>NightSkyObserver</v>
      </c>
      <c r="F373" s="4" t="str">
        <f>TRIM(PROPER('Raw Data'!F373))</f>
        <v>Instagram</v>
      </c>
      <c r="G373" s="8" t="str">
        <f>TRIM(CLEAN('Raw Data'!G373))</f>
        <v>#Enchantment #CosmicFireflies</v>
      </c>
      <c r="H373" s="12">
        <f>'Raw Data'!H373</f>
        <v>25</v>
      </c>
      <c r="I373" s="12">
        <v>35</v>
      </c>
      <c r="J373" s="12" t="str">
        <f>TRIM(UPPER('Raw Data'!J373))</f>
        <v>BRAZIL</v>
      </c>
      <c r="K373" s="12">
        <f>'Raw Data'!K373</f>
        <v>2022</v>
      </c>
      <c r="L373" s="12">
        <f>'Raw Data'!L373</f>
        <v>8</v>
      </c>
      <c r="M373" s="12">
        <f>'Raw Data'!M373</f>
        <v>10</v>
      </c>
      <c r="N373">
        <f>'Raw Data'!N373</f>
        <v>22</v>
      </c>
    </row>
    <row r="374" spans="1:14" ht="30" x14ac:dyDescent="0.25">
      <c r="A374" s="11">
        <f>'Raw Data'!A374</f>
        <v>372</v>
      </c>
      <c r="B374" s="8" t="str">
        <f>TRIM(CLEAN('Raw Data'!B374))</f>
        <v>Intrigued by the symphony of colors in an abstract art exhibition.</v>
      </c>
      <c r="C374" s="4" t="str">
        <f>TRIM(PROPER('Raw Data'!C374))</f>
        <v>Intrigue</v>
      </c>
      <c r="D374" s="5">
        <f>'Raw Data'!D374</f>
        <v>43560.729166666664</v>
      </c>
      <c r="E374" s="4" t="str">
        <f>TRIM(SUBSTITUTE('Raw Data'!E374," "," "))</f>
        <v>ArtConnoisseur</v>
      </c>
      <c r="F374" s="4" t="str">
        <f>TRIM(PROPER('Raw Data'!F374))</f>
        <v>Twitter</v>
      </c>
      <c r="G374" s="8" t="str">
        <f>TRIM(CLEAN('Raw Data'!G374))</f>
        <v>#Intrigue #AbstractArt</v>
      </c>
      <c r="H374" s="12">
        <f>'Raw Data'!H374</f>
        <v>18</v>
      </c>
      <c r="I374" s="12">
        <v>50</v>
      </c>
      <c r="J374" s="12" t="str">
        <f>TRIM(UPPER('Raw Data'!J374))</f>
        <v>FRANCE</v>
      </c>
      <c r="K374" s="12">
        <f>'Raw Data'!K374</f>
        <v>2019</v>
      </c>
      <c r="L374" s="12">
        <f>'Raw Data'!L374</f>
        <v>4</v>
      </c>
      <c r="M374" s="12">
        <f>'Raw Data'!M374</f>
        <v>5</v>
      </c>
      <c r="N374">
        <f>'Raw Data'!N374</f>
        <v>17</v>
      </c>
    </row>
    <row r="375" spans="1:14" ht="30" x14ac:dyDescent="0.25">
      <c r="A375" s="11">
        <f>'Raw Data'!A375</f>
        <v>373</v>
      </c>
      <c r="B375" s="8" t="str">
        <f>TRIM(CLEAN('Raw Data'!B375))</f>
        <v>Giggles and joy echo in the air during a children's playdate.</v>
      </c>
      <c r="C375" s="4" t="str">
        <f>TRIM(PROPER('Raw Data'!C375))</f>
        <v>Playfuljoy</v>
      </c>
      <c r="D375" s="5">
        <f>'Raw Data'!D375</f>
        <v>44180.65625</v>
      </c>
      <c r="E375" s="4" t="str">
        <f>TRIM(SUBSTITUTE('Raw Data'!E375," "," "))</f>
        <v>PlayfulParent</v>
      </c>
      <c r="F375" s="4" t="str">
        <f>TRIM(PROPER('Raw Data'!F375))</f>
        <v>Facebook</v>
      </c>
      <c r="G375" s="8" t="str">
        <f>TRIM(CLEAN('Raw Data'!G375))</f>
        <v>#PlayfulJoy #ChildrensPlaydate</v>
      </c>
      <c r="H375" s="12">
        <f>'Raw Data'!H375</f>
        <v>22</v>
      </c>
      <c r="I375" s="12">
        <v>35</v>
      </c>
      <c r="J375" s="12" t="str">
        <f>TRIM(UPPER('Raw Data'!J375))</f>
        <v>JAPAN</v>
      </c>
      <c r="K375" s="12">
        <f>'Raw Data'!K375</f>
        <v>2020</v>
      </c>
      <c r="L375" s="12">
        <f>'Raw Data'!L375</f>
        <v>12</v>
      </c>
      <c r="M375" s="12">
        <f>'Raw Data'!M375</f>
        <v>15</v>
      </c>
      <c r="N375">
        <f>'Raw Data'!N375</f>
        <v>15</v>
      </c>
    </row>
    <row r="376" spans="1:14" ht="30" x14ac:dyDescent="0.25">
      <c r="A376" s="11">
        <f>'Raw Data'!A376</f>
        <v>374</v>
      </c>
      <c r="B376" s="8" t="str">
        <f>TRIM(CLEAN('Raw Data'!B376))</f>
        <v>Enveloped in serenity while practicing mindfulness by the lake.</v>
      </c>
      <c r="C376" s="4" t="str">
        <f>TRIM(PROPER('Raw Data'!C376))</f>
        <v>Mindfulness</v>
      </c>
      <c r="D376" s="5">
        <f>'Raw Data'!D376</f>
        <v>43028.34375</v>
      </c>
      <c r="E376" s="4" t="str">
        <f>TRIM(SUBSTITUTE('Raw Data'!E376," "," "))</f>
        <v>ZenSeeker</v>
      </c>
      <c r="F376" s="4" t="str">
        <f>TRIM(PROPER('Raw Data'!F376))</f>
        <v>Instagram</v>
      </c>
      <c r="G376" s="8" t="str">
        <f>TRIM(CLEAN('Raw Data'!G376))</f>
        <v>#Mindfulness #LakeTranquility</v>
      </c>
      <c r="H376" s="12">
        <f>'Raw Data'!H376</f>
        <v>35</v>
      </c>
      <c r="I376" s="12">
        <v>45</v>
      </c>
      <c r="J376" s="12" t="str">
        <f>TRIM(UPPER('Raw Data'!J376))</f>
        <v>CANADA</v>
      </c>
      <c r="K376" s="12">
        <f>'Raw Data'!K376</f>
        <v>2017</v>
      </c>
      <c r="L376" s="12">
        <f>'Raw Data'!L376</f>
        <v>10</v>
      </c>
      <c r="M376" s="12">
        <f>'Raw Data'!M376</f>
        <v>20</v>
      </c>
      <c r="N376">
        <f>'Raw Data'!N376</f>
        <v>8</v>
      </c>
    </row>
    <row r="377" spans="1:14" ht="30" x14ac:dyDescent="0.25">
      <c r="A377" s="11">
        <f>'Raw Data'!A377</f>
        <v>375</v>
      </c>
      <c r="B377" s="8" t="str">
        <f>TRIM(CLEAN('Raw Data'!B377))</f>
        <v>Chasing dreams like a kite soaring high in the vast open sky.</v>
      </c>
      <c r="C377" s="4" t="str">
        <f>TRIM(PROPER('Raw Data'!C377))</f>
        <v>Dreamchaser</v>
      </c>
      <c r="D377" s="5">
        <f>'Raw Data'!D377</f>
        <v>44255.541666666664</v>
      </c>
      <c r="E377" s="4" t="str">
        <f>TRIM(SUBSTITUTE('Raw Data'!E377," "," "))</f>
        <v>SkyDreamer</v>
      </c>
      <c r="F377" s="4" t="str">
        <f>TRIM(PROPER('Raw Data'!F377))</f>
        <v>Twitter</v>
      </c>
      <c r="G377" s="8" t="str">
        <f>TRIM(CLEAN('Raw Data'!G377))</f>
        <v>#DreamChaser #SkyHighDreams</v>
      </c>
      <c r="H377" s="12">
        <f>'Raw Data'!H377</f>
        <v>30</v>
      </c>
      <c r="I377" s="12">
        <v>70</v>
      </c>
      <c r="J377" s="12" t="str">
        <f>TRIM(UPPER('Raw Data'!J377))</f>
        <v>AUSTRALIA</v>
      </c>
      <c r="K377" s="12">
        <f>'Raw Data'!K377</f>
        <v>2021</v>
      </c>
      <c r="L377" s="12">
        <f>'Raw Data'!L377</f>
        <v>2</v>
      </c>
      <c r="M377" s="12">
        <f>'Raw Data'!M377</f>
        <v>28</v>
      </c>
      <c r="N377">
        <f>'Raw Data'!N377</f>
        <v>13</v>
      </c>
    </row>
    <row r="378" spans="1:14" ht="30" x14ac:dyDescent="0.25">
      <c r="A378" s="11">
        <f>'Raw Data'!A378</f>
        <v>376</v>
      </c>
      <c r="B378" s="8" t="str">
        <f>TRIM(CLEAN('Raw Data'!B378))</f>
        <v>Spellbound by the elegance of a ballroom dance under crystal chandeliers.</v>
      </c>
      <c r="C378" s="4" t="str">
        <f>TRIM(PROPER('Raw Data'!C378))</f>
        <v>Elegance</v>
      </c>
      <c r="D378" s="5">
        <f>'Raw Data'!D378</f>
        <v>43263.854166666664</v>
      </c>
      <c r="E378" s="4" t="str">
        <f>TRIM(SUBSTITUTE('Raw Data'!E378," "," "))</f>
        <v>DanceEnthusiast</v>
      </c>
      <c r="F378" s="4" t="str">
        <f>TRIM(PROPER('Raw Data'!F378))</f>
        <v>Facebook</v>
      </c>
      <c r="G378" s="8" t="str">
        <f>TRIM(CLEAN('Raw Data'!G378))</f>
        <v>#Elegance #BallroomDance</v>
      </c>
      <c r="H378" s="12">
        <f>'Raw Data'!H378</f>
        <v>28</v>
      </c>
      <c r="I378" s="12">
        <v>60</v>
      </c>
      <c r="J378" s="12" t="str">
        <f>TRIM(UPPER('Raw Data'!J378))</f>
        <v>UK</v>
      </c>
      <c r="K378" s="12">
        <f>'Raw Data'!K378</f>
        <v>2018</v>
      </c>
      <c r="L378" s="12">
        <f>'Raw Data'!L378</f>
        <v>6</v>
      </c>
      <c r="M378" s="12">
        <f>'Raw Data'!M378</f>
        <v>12</v>
      </c>
      <c r="N378">
        <f>'Raw Data'!N378</f>
        <v>20</v>
      </c>
    </row>
    <row r="379" spans="1:14" ht="30" x14ac:dyDescent="0.25">
      <c r="A379" s="11">
        <f>'Raw Data'!A379</f>
        <v>377</v>
      </c>
      <c r="B379" s="8" t="str">
        <f>TRIM(CLEAN('Raw Data'!B379))</f>
        <v>Whimsical delight in a world of fairy tales and magical creatures.</v>
      </c>
      <c r="C379" s="4" t="str">
        <f>TRIM(PROPER('Raw Data'!C379))</f>
        <v>Whimsy</v>
      </c>
      <c r="D379" s="5">
        <f>'Raw Data'!D379</f>
        <v>42437.597222222219</v>
      </c>
      <c r="E379" s="4" t="str">
        <f>TRIM(SUBSTITUTE('Raw Data'!E379," "," "))</f>
        <v>FairyTaleExplorer</v>
      </c>
      <c r="F379" s="4" t="str">
        <f>TRIM(PROPER('Raw Data'!F379))</f>
        <v>Instagram</v>
      </c>
      <c r="G379" s="8" t="str">
        <f>TRIM(CLEAN('Raw Data'!G379))</f>
        <v>#Whimsy #MagicalWorld</v>
      </c>
      <c r="H379" s="12">
        <f>'Raw Data'!H379</f>
        <v>20</v>
      </c>
      <c r="I379" s="12">
        <v>55</v>
      </c>
      <c r="J379" s="12" t="str">
        <f>TRIM(UPPER('Raw Data'!J379))</f>
        <v>USA</v>
      </c>
      <c r="K379" s="12">
        <f>'Raw Data'!K379</f>
        <v>2016</v>
      </c>
      <c r="L379" s="12">
        <f>'Raw Data'!L379</f>
        <v>3</v>
      </c>
      <c r="M379" s="12">
        <f>'Raw Data'!M379</f>
        <v>8</v>
      </c>
      <c r="N379">
        <f>'Raw Data'!N379</f>
        <v>14</v>
      </c>
    </row>
    <row r="380" spans="1:14" ht="30" x14ac:dyDescent="0.25">
      <c r="A380" s="11">
        <f>'Raw Data'!A380</f>
        <v>378</v>
      </c>
      <c r="B380" s="8" t="str">
        <f>TRIM(CLEAN('Raw Data'!B380))</f>
        <v>Pensive contemplation amid the ancient ruins of a forgotten civilization.</v>
      </c>
      <c r="C380" s="4" t="str">
        <f>TRIM(PROPER('Raw Data'!C380))</f>
        <v>Pensive</v>
      </c>
      <c r="D380" s="5">
        <f>'Raw Data'!D380</f>
        <v>45034.715277777781</v>
      </c>
      <c r="E380" s="4" t="str">
        <f>TRIM(SUBSTITUTE('Raw Data'!E380," "," "))</f>
        <v>RuinsExplorer</v>
      </c>
      <c r="F380" s="4" t="str">
        <f>TRIM(PROPER('Raw Data'!F380))</f>
        <v>Twitter</v>
      </c>
      <c r="G380" s="8" t="str">
        <f>TRIM(CLEAN('Raw Data'!G380))</f>
        <v>#Pensive #AncientCivilization</v>
      </c>
      <c r="H380" s="12">
        <f>'Raw Data'!H380</f>
        <v>18</v>
      </c>
      <c r="I380" s="12">
        <v>40</v>
      </c>
      <c r="J380" s="12" t="str">
        <f>TRIM(UPPER('Raw Data'!J380))</f>
        <v>GREECE</v>
      </c>
      <c r="K380" s="12">
        <f>'Raw Data'!K380</f>
        <v>2023</v>
      </c>
      <c r="L380" s="12">
        <f>'Raw Data'!L380</f>
        <v>4</v>
      </c>
      <c r="M380" s="12">
        <f>'Raw Data'!M380</f>
        <v>18</v>
      </c>
      <c r="N380">
        <f>'Raw Data'!N380</f>
        <v>17</v>
      </c>
    </row>
    <row r="381" spans="1:14" ht="30" x14ac:dyDescent="0.25">
      <c r="A381" s="11">
        <f>'Raw Data'!A381</f>
        <v>379</v>
      </c>
      <c r="B381" s="8" t="str">
        <f>TRIM(CLEAN('Raw Data'!B381))</f>
        <v>Embracing the thrill of speed on a rollercoaster's exhilarating twists.</v>
      </c>
      <c r="C381" s="4" t="str">
        <f>TRIM(PROPER('Raw Data'!C381))</f>
        <v>Thrill</v>
      </c>
      <c r="D381" s="5">
        <f>'Raw Data'!D381</f>
        <v>44037.53125</v>
      </c>
      <c r="E381" s="4" t="str">
        <f>TRIM(SUBSTITUTE('Raw Data'!E381," "," "))</f>
        <v>RollercoasterFan</v>
      </c>
      <c r="F381" s="4" t="str">
        <f>TRIM(PROPER('Raw Data'!F381))</f>
        <v>Facebook</v>
      </c>
      <c r="G381" s="8" t="str">
        <f>TRIM(CLEAN('Raw Data'!G381))</f>
        <v>#Thrill #RollercoasterAdventure</v>
      </c>
      <c r="H381" s="12">
        <f>'Raw Data'!H381</f>
        <v>22</v>
      </c>
      <c r="I381" s="12">
        <v>35</v>
      </c>
      <c r="J381" s="12" t="str">
        <f>TRIM(UPPER('Raw Data'!J381))</f>
        <v>GERMANY</v>
      </c>
      <c r="K381" s="12">
        <f>'Raw Data'!K381</f>
        <v>2020</v>
      </c>
      <c r="L381" s="12">
        <f>'Raw Data'!L381</f>
        <v>7</v>
      </c>
      <c r="M381" s="12">
        <f>'Raw Data'!M381</f>
        <v>25</v>
      </c>
      <c r="N381">
        <f>'Raw Data'!N381</f>
        <v>12</v>
      </c>
    </row>
    <row r="382" spans="1:14" ht="30" x14ac:dyDescent="0.25">
      <c r="A382" s="11">
        <f>'Raw Data'!A382</f>
        <v>380</v>
      </c>
      <c r="B382" s="8" t="str">
        <f>TRIM(CLEAN('Raw Data'!B382))</f>
        <v>Harmony resonates as musicians play a melody of unity and togetherness.</v>
      </c>
      <c r="C382" s="4" t="str">
        <f>TRIM(PROPER('Raw Data'!C382))</f>
        <v>Harmony</v>
      </c>
      <c r="D382" s="5">
        <f>'Raw Data'!D382</f>
        <v>43799.8125</v>
      </c>
      <c r="E382" s="4" t="str">
        <f>TRIM(SUBSTITUTE('Raw Data'!E382," "," "))</f>
        <v>MusicHarmonist</v>
      </c>
      <c r="F382" s="4" t="str">
        <f>TRIM(PROPER('Raw Data'!F382))</f>
        <v>Instagram</v>
      </c>
      <c r="G382" s="8" t="str">
        <f>TRIM(CLEAN('Raw Data'!G382))</f>
        <v>#Harmony #MusicalUnity</v>
      </c>
      <c r="H382" s="12">
        <f>'Raw Data'!H382</f>
        <v>35</v>
      </c>
      <c r="I382" s="12">
        <v>45</v>
      </c>
      <c r="J382" s="12" t="str">
        <f>TRIM(UPPER('Raw Data'!J382))</f>
        <v>SWEDEN</v>
      </c>
      <c r="K382" s="12">
        <f>'Raw Data'!K382</f>
        <v>2019</v>
      </c>
      <c r="L382" s="12">
        <f>'Raw Data'!L382</f>
        <v>11</v>
      </c>
      <c r="M382" s="12">
        <f>'Raw Data'!M382</f>
        <v>30</v>
      </c>
      <c r="N382">
        <f>'Raw Data'!N382</f>
        <v>19</v>
      </c>
    </row>
    <row r="383" spans="1:14" ht="30" x14ac:dyDescent="0.25">
      <c r="A383" s="11">
        <f>'Raw Data'!A383</f>
        <v>381</v>
      </c>
      <c r="B383" s="8" t="str">
        <f>TRIM(CLEAN('Raw Data'!B383))</f>
        <v>A burst of creativity in the quiet solitude of an artist's studio.</v>
      </c>
      <c r="C383" s="4" t="str">
        <f>TRIM(PROPER('Raw Data'!C383))</f>
        <v>Creativity</v>
      </c>
      <c r="D383" s="5">
        <f>'Raw Data'!D383</f>
        <v>42248.666666666664</v>
      </c>
      <c r="E383" s="4" t="str">
        <f>TRIM(SUBSTITUTE('Raw Data'!E383," "," "))</f>
        <v>StudioArtist</v>
      </c>
      <c r="F383" s="4" t="str">
        <f>TRIM(PROPER('Raw Data'!F383))</f>
        <v>Twitter</v>
      </c>
      <c r="G383" s="8" t="str">
        <f>TRIM(CLEAN('Raw Data'!G383))</f>
        <v>#Creativity #ArtistsHaven</v>
      </c>
      <c r="H383" s="12">
        <f>'Raw Data'!H383</f>
        <v>15</v>
      </c>
      <c r="I383" s="12">
        <v>70</v>
      </c>
      <c r="J383" s="12" t="str">
        <f>TRIM(UPPER('Raw Data'!J383))</f>
        <v>ITALY</v>
      </c>
      <c r="K383" s="12">
        <f>'Raw Data'!K383</f>
        <v>2015</v>
      </c>
      <c r="L383" s="12">
        <f>'Raw Data'!L383</f>
        <v>9</v>
      </c>
      <c r="M383" s="12">
        <f>'Raw Data'!M383</f>
        <v>1</v>
      </c>
      <c r="N383">
        <f>'Raw Data'!N383</f>
        <v>16</v>
      </c>
    </row>
    <row r="384" spans="1:14" ht="30" x14ac:dyDescent="0.25">
      <c r="A384" s="11">
        <f>'Raw Data'!A384</f>
        <v>382</v>
      </c>
      <c r="B384" s="8" t="str">
        <f>TRIM(CLEAN('Raw Data'!B384))</f>
        <v>Radiant joy akin to blooming flowers on a sun-kissed spring morning.</v>
      </c>
      <c r="C384" s="4" t="str">
        <f>TRIM(PROPER('Raw Data'!C384))</f>
        <v>Radiance</v>
      </c>
      <c r="D384" s="5">
        <f>'Raw Data'!D384</f>
        <v>44686.427083333336</v>
      </c>
      <c r="E384" s="4" t="str">
        <f>TRIM(SUBSTITUTE('Raw Data'!E384," "," "))</f>
        <v>SpringEnthusiast</v>
      </c>
      <c r="F384" s="4" t="str">
        <f>TRIM(PROPER('Raw Data'!F384))</f>
        <v>Facebook</v>
      </c>
      <c r="G384" s="8" t="str">
        <f>TRIM(CLEAN('Raw Data'!G384))</f>
        <v>#Radiance #SpringBlooms</v>
      </c>
      <c r="H384" s="12">
        <f>'Raw Data'!H384</f>
        <v>25</v>
      </c>
      <c r="I384" s="12">
        <v>30</v>
      </c>
      <c r="J384" s="12" t="str">
        <f>TRIM(UPPER('Raw Data'!J384))</f>
        <v>NETHERLANDS</v>
      </c>
      <c r="K384" s="12">
        <f>'Raw Data'!K384</f>
        <v>2022</v>
      </c>
      <c r="L384" s="12">
        <f>'Raw Data'!L384</f>
        <v>5</v>
      </c>
      <c r="M384" s="12">
        <f>'Raw Data'!M384</f>
        <v>5</v>
      </c>
      <c r="N384">
        <f>'Raw Data'!N384</f>
        <v>10</v>
      </c>
    </row>
    <row r="385" spans="1:14" ht="30" x14ac:dyDescent="0.25">
      <c r="A385" s="11">
        <f>'Raw Data'!A385</f>
        <v>383</v>
      </c>
      <c r="B385" s="8" t="str">
        <f>TRIM(CLEAN('Raw Data'!B385))</f>
        <v>A sense of wonder at the vastness of the cosmos on a stargazing night.</v>
      </c>
      <c r="C385" s="4" t="str">
        <f>TRIM(PROPER('Raw Data'!C385))</f>
        <v>Wonder</v>
      </c>
      <c r="D385" s="5">
        <f>'Raw Data'!D385</f>
        <v>43289.958333333336</v>
      </c>
      <c r="E385" s="4" t="str">
        <f>TRIM(SUBSTITUTE('Raw Data'!E385," "," "))</f>
        <v>CosmosExplorer</v>
      </c>
      <c r="F385" s="4" t="str">
        <f>TRIM(PROPER('Raw Data'!F385))</f>
        <v>Instagram</v>
      </c>
      <c r="G385" s="8" t="str">
        <f>TRIM(CLEAN('Raw Data'!G385))</f>
        <v>#Wonder #StargazingAdventure</v>
      </c>
      <c r="H385" s="12">
        <f>'Raw Data'!H385</f>
        <v>40</v>
      </c>
      <c r="I385" s="12">
        <v>50</v>
      </c>
      <c r="J385" s="12" t="str">
        <f>TRIM(UPPER('Raw Data'!J385))</f>
        <v>SOUTH AFRICA</v>
      </c>
      <c r="K385" s="12">
        <f>'Raw Data'!K385</f>
        <v>2018</v>
      </c>
      <c r="L385" s="12">
        <f>'Raw Data'!L385</f>
        <v>7</v>
      </c>
      <c r="M385" s="12">
        <f>'Raw Data'!M385</f>
        <v>8</v>
      </c>
      <c r="N385">
        <f>'Raw Data'!N385</f>
        <v>23</v>
      </c>
    </row>
    <row r="386" spans="1:14" ht="30" x14ac:dyDescent="0.25">
      <c r="A386" s="11">
        <f>'Raw Data'!A386</f>
        <v>384</v>
      </c>
      <c r="B386" s="8" t="str">
        <f>TRIM(CLEAN('Raw Data'!B386))</f>
        <v>Rejuvenated by the salty breeze and the sound of waves at the seaside.</v>
      </c>
      <c r="C386" s="4" t="str">
        <f>TRIM(PROPER('Raw Data'!C386))</f>
        <v>Rejuvenation</v>
      </c>
      <c r="D386" s="5">
        <f>'Raw Data'!D386</f>
        <v>44459.604166666664</v>
      </c>
      <c r="E386" s="4" t="str">
        <f>TRIM(SUBSTITUTE('Raw Data'!E386," "," "))</f>
        <v>SeaBreezeLover</v>
      </c>
      <c r="F386" s="4" t="str">
        <f>TRIM(PROPER('Raw Data'!F386))</f>
        <v>Twitter</v>
      </c>
      <c r="G386" s="8" t="str">
        <f>TRIM(CLEAN('Raw Data'!G386))</f>
        <v>#Rejuvenation #SeasideEscape</v>
      </c>
      <c r="H386" s="12">
        <f>'Raw Data'!H386</f>
        <v>18</v>
      </c>
      <c r="I386" s="12">
        <v>80</v>
      </c>
      <c r="J386" s="12" t="str">
        <f>TRIM(UPPER('Raw Data'!J386))</f>
        <v>SPAIN</v>
      </c>
      <c r="K386" s="12">
        <f>'Raw Data'!K386</f>
        <v>2021</v>
      </c>
      <c r="L386" s="12">
        <f>'Raw Data'!L386</f>
        <v>9</v>
      </c>
      <c r="M386" s="12">
        <f>'Raw Data'!M386</f>
        <v>20</v>
      </c>
      <c r="N386">
        <f>'Raw Data'!N386</f>
        <v>14</v>
      </c>
    </row>
    <row r="387" spans="1:14" ht="30" x14ac:dyDescent="0.25">
      <c r="A387" s="11">
        <f>'Raw Data'!A387</f>
        <v>385</v>
      </c>
      <c r="B387" s="8" t="str">
        <f>TRIM(CLEAN('Raw Data'!B387))</f>
        <v>Whispers of inspiration from the rustling leaves in a serene forest.</v>
      </c>
      <c r="C387" s="4" t="str">
        <f>TRIM(PROPER('Raw Data'!C387))</f>
        <v>Inspiration</v>
      </c>
      <c r="D387" s="5">
        <f>'Raw Data'!D387</f>
        <v>42689.489583333336</v>
      </c>
      <c r="E387" s="4" t="str">
        <f>TRIM(SUBSTITUTE('Raw Data'!E387," "," "))</f>
        <v>ForestDreamer</v>
      </c>
      <c r="F387" s="4" t="str">
        <f>TRIM(PROPER('Raw Data'!F387))</f>
        <v>Facebook</v>
      </c>
      <c r="G387" s="8" t="str">
        <f>TRIM(CLEAN('Raw Data'!G387))</f>
        <v>#Inspiration #ForestWhispers</v>
      </c>
      <c r="H387" s="12">
        <f>'Raw Data'!H387</f>
        <v>28</v>
      </c>
      <c r="I387" s="12">
        <v>35</v>
      </c>
      <c r="J387" s="12" t="str">
        <f>TRIM(UPPER('Raw Data'!J387))</f>
        <v>PORTUGAL</v>
      </c>
      <c r="K387" s="12">
        <f>'Raw Data'!K387</f>
        <v>2016</v>
      </c>
      <c r="L387" s="12">
        <f>'Raw Data'!L387</f>
        <v>11</v>
      </c>
      <c r="M387" s="12">
        <f>'Raw Data'!M387</f>
        <v>15</v>
      </c>
      <c r="N387">
        <f>'Raw Data'!N387</f>
        <v>11</v>
      </c>
    </row>
    <row r="388" spans="1:14" ht="30" x14ac:dyDescent="0.25">
      <c r="A388" s="11">
        <f>'Raw Data'!A388</f>
        <v>386</v>
      </c>
      <c r="B388" s="8" t="str">
        <f>TRIM(CLEAN('Raw Data'!B388))</f>
        <v>Savoring the warmth of a cup of cocoa on a chilly winter evening.</v>
      </c>
      <c r="C388" s="4" t="str">
        <f>TRIM(PROPER('Raw Data'!C388))</f>
        <v>Coziness</v>
      </c>
      <c r="D388" s="5">
        <f>'Raw Data'!D388</f>
        <v>43842.75</v>
      </c>
      <c r="E388" s="4" t="str">
        <f>TRIM(SUBSTITUTE('Raw Data'!E388," "," "))</f>
        <v>WinterWarmth</v>
      </c>
      <c r="F388" s="4" t="str">
        <f>TRIM(PROPER('Raw Data'!F388))</f>
        <v>Instagram</v>
      </c>
      <c r="G388" s="8" t="str">
        <f>TRIM(CLEAN('Raw Data'!G388))</f>
        <v>#Coziness #WarmWinterEvening</v>
      </c>
      <c r="H388" s="12">
        <f>'Raw Data'!H388</f>
        <v>30</v>
      </c>
      <c r="I388" s="12">
        <v>55</v>
      </c>
      <c r="J388" s="12" t="str">
        <f>TRIM(UPPER('Raw Data'!J388))</f>
        <v>SWITZERLAND</v>
      </c>
      <c r="K388" s="12">
        <f>'Raw Data'!K388</f>
        <v>2020</v>
      </c>
      <c r="L388" s="12">
        <f>'Raw Data'!L388</f>
        <v>1</v>
      </c>
      <c r="M388" s="12">
        <f>'Raw Data'!M388</f>
        <v>12</v>
      </c>
      <c r="N388">
        <f>'Raw Data'!N388</f>
        <v>18</v>
      </c>
    </row>
    <row r="389" spans="1:14" ht="30" x14ac:dyDescent="0.25">
      <c r="A389" s="11">
        <f>'Raw Data'!A389</f>
        <v>387</v>
      </c>
      <c r="B389" s="8" t="str">
        <f>TRIM(CLEAN('Raw Data'!B389))</f>
        <v>Heartfelt gratitude for the laughter shared during a family reunion.</v>
      </c>
      <c r="C389" s="4" t="str">
        <f>TRIM(PROPER('Raw Data'!C389))</f>
        <v>Gratitude</v>
      </c>
      <c r="D389" s="5">
        <f>'Raw Data'!D389</f>
        <v>43097.802083333336</v>
      </c>
      <c r="E389" s="4" t="str">
        <f>TRIM(SUBSTITUTE('Raw Data'!E389," "," "))</f>
        <v>FamilyGatherer</v>
      </c>
      <c r="F389" s="4" t="str">
        <f>TRIM(PROPER('Raw Data'!F389))</f>
        <v>Facebook</v>
      </c>
      <c r="G389" s="8" t="str">
        <f>TRIM(CLEAN('Raw Data'!G389))</f>
        <v>#Gratitude #FamilyLaughter</v>
      </c>
      <c r="H389" s="12">
        <f>'Raw Data'!H389</f>
        <v>22</v>
      </c>
      <c r="I389" s="12">
        <v>60</v>
      </c>
      <c r="J389" s="12" t="str">
        <f>TRIM(UPPER('Raw Data'!J389))</f>
        <v>AUSTRIA</v>
      </c>
      <c r="K389" s="12">
        <f>'Raw Data'!K389</f>
        <v>2017</v>
      </c>
      <c r="L389" s="12">
        <f>'Raw Data'!L389</f>
        <v>12</v>
      </c>
      <c r="M389" s="12">
        <f>'Raw Data'!M389</f>
        <v>28</v>
      </c>
      <c r="N389">
        <f>'Raw Data'!N389</f>
        <v>19</v>
      </c>
    </row>
    <row r="390" spans="1:14" ht="30" x14ac:dyDescent="0.25">
      <c r="A390" s="11">
        <f>'Raw Data'!A390</f>
        <v>388</v>
      </c>
      <c r="B390" s="8" t="str">
        <f>TRIM(CLEAN('Raw Data'!B390))</f>
        <v>Embarking on a culinary adventure, savoring exotic flavors around the world.</v>
      </c>
      <c r="C390" s="4" t="str">
        <f>TRIM(PROPER('Raw Data'!C390))</f>
        <v>Adventure</v>
      </c>
      <c r="D390" s="5">
        <f>'Raw Data'!D390</f>
        <v>43526.847222222219</v>
      </c>
      <c r="E390" s="4" t="str">
        <f>TRIM(SUBSTITUTE('Raw Data'!E390," "," "))</f>
        <v>CulinaryExplorer</v>
      </c>
      <c r="F390" s="4" t="str">
        <f>TRIM(PROPER('Raw Data'!F390))</f>
        <v>Twitter</v>
      </c>
      <c r="G390" s="8" t="str">
        <f>TRIM(CLEAN('Raw Data'!G390))</f>
        <v>#Adventure #CulinaryJourney</v>
      </c>
      <c r="H390" s="12">
        <f>'Raw Data'!H390</f>
        <v>35</v>
      </c>
      <c r="I390" s="12">
        <v>45</v>
      </c>
      <c r="J390" s="12" t="str">
        <f>TRIM(UPPER('Raw Data'!J390))</f>
        <v>BELGIUM</v>
      </c>
      <c r="K390" s="12">
        <f>'Raw Data'!K390</f>
        <v>2019</v>
      </c>
      <c r="L390" s="12">
        <f>'Raw Data'!L390</f>
        <v>3</v>
      </c>
      <c r="M390" s="12">
        <f>'Raw Data'!M390</f>
        <v>2</v>
      </c>
      <c r="N390">
        <f>'Raw Data'!N390</f>
        <v>20</v>
      </c>
    </row>
    <row r="391" spans="1:14" ht="30" x14ac:dyDescent="0.25">
      <c r="A391" s="11">
        <f>'Raw Data'!A391</f>
        <v>389</v>
      </c>
      <c r="B391" s="8" t="str">
        <f>TRIM(CLEAN('Raw Data'!B391))</f>
        <v>Euphoria floods in as the final puzzle piece clicks into place.</v>
      </c>
      <c r="C391" s="4" t="str">
        <f>TRIM(PROPER('Raw Data'!C391))</f>
        <v>Euphoria</v>
      </c>
      <c r="D391" s="5">
        <f>'Raw Data'!D391</f>
        <v>44720.645833333336</v>
      </c>
      <c r="E391" s="4" t="str">
        <f>TRIM(SUBSTITUTE('Raw Data'!E391," "," "))</f>
        <v>PuzzleSolver</v>
      </c>
      <c r="F391" s="4" t="str">
        <f>TRIM(PROPER('Raw Data'!F391))</f>
        <v>Instagram</v>
      </c>
      <c r="G391" s="8" t="str">
        <f>TRIM(CLEAN('Raw Data'!G391))</f>
        <v>#Euphoria #PuzzleCompletion</v>
      </c>
      <c r="H391" s="12">
        <f>'Raw Data'!H391</f>
        <v>20</v>
      </c>
      <c r="I391" s="12">
        <v>70</v>
      </c>
      <c r="J391" s="12" t="str">
        <f>TRIM(UPPER('Raw Data'!J391))</f>
        <v>DENMARK</v>
      </c>
      <c r="K391" s="12">
        <f>'Raw Data'!K391</f>
        <v>2022</v>
      </c>
      <c r="L391" s="12">
        <f>'Raw Data'!L391</f>
        <v>6</v>
      </c>
      <c r="M391" s="12">
        <f>'Raw Data'!M391</f>
        <v>8</v>
      </c>
      <c r="N391">
        <f>'Raw Data'!N391</f>
        <v>15</v>
      </c>
    </row>
    <row r="392" spans="1:14" ht="30" x14ac:dyDescent="0.25">
      <c r="A392" s="11">
        <f>'Raw Data'!A392</f>
        <v>390</v>
      </c>
      <c r="B392" s="8" t="str">
        <f>TRIM(CLEAN('Raw Data'!B392))</f>
        <v>Awe-inspired by the grandeur of an ancient cathedral's intricate architecture.</v>
      </c>
      <c r="C392" s="4" t="str">
        <f>TRIM(PROPER('Raw Data'!C392))</f>
        <v>Awe</v>
      </c>
      <c r="D392" s="5">
        <f>'Raw Data'!D392</f>
        <v>43330.614583333336</v>
      </c>
      <c r="E392" s="4" t="str">
        <f>TRIM(SUBSTITUTE('Raw Data'!E392," "," "))</f>
        <v>CathedralVisitor</v>
      </c>
      <c r="F392" s="4" t="str">
        <f>TRIM(PROPER('Raw Data'!F392))</f>
        <v>Facebook</v>
      </c>
      <c r="G392" s="8" t="str">
        <f>TRIM(CLEAN('Raw Data'!G392))</f>
        <v>#Awe #ArchitecturalGrandeur</v>
      </c>
      <c r="H392" s="12">
        <f>'Raw Data'!H392</f>
        <v>18</v>
      </c>
      <c r="I392" s="12">
        <v>40</v>
      </c>
      <c r="J392" s="12" t="str">
        <f>TRIM(UPPER('Raw Data'!J392))</f>
        <v>CZECH REPUBLIC</v>
      </c>
      <c r="K392" s="12">
        <f>'Raw Data'!K392</f>
        <v>2018</v>
      </c>
      <c r="L392" s="12">
        <f>'Raw Data'!L392</f>
        <v>8</v>
      </c>
      <c r="M392" s="12">
        <f>'Raw Data'!M392</f>
        <v>18</v>
      </c>
      <c r="N392">
        <f>'Raw Data'!N392</f>
        <v>14</v>
      </c>
    </row>
    <row r="393" spans="1:14" ht="30" x14ac:dyDescent="0.25">
      <c r="A393" s="11">
        <f>'Raw Data'!A393</f>
        <v>391</v>
      </c>
      <c r="B393" s="8" t="str">
        <f>TRIM(CLEAN('Raw Data'!B393))</f>
        <v>Captivated by the ethereal beauty of a field filled with fireflies.</v>
      </c>
      <c r="C393" s="4" t="str">
        <f>TRIM(PROPER('Raw Data'!C393))</f>
        <v>Enchantment</v>
      </c>
      <c r="D393" s="5">
        <f>'Raw Data'!D393</f>
        <v>44783.916666666664</v>
      </c>
      <c r="E393" s="4" t="str">
        <f>TRIM(SUBSTITUTE('Raw Data'!E393," "," "))</f>
        <v>NightSkyObserver</v>
      </c>
      <c r="F393" s="4" t="str">
        <f>TRIM(PROPER('Raw Data'!F393))</f>
        <v>Instagram</v>
      </c>
      <c r="G393" s="8" t="str">
        <f>TRIM(CLEAN('Raw Data'!G393))</f>
        <v>#Enchantment #FireflyField</v>
      </c>
      <c r="H393" s="12">
        <f>'Raw Data'!H393</f>
        <v>25</v>
      </c>
      <c r="I393" s="12">
        <v>35</v>
      </c>
      <c r="J393" s="12" t="str">
        <f>TRIM(UPPER('Raw Data'!J393))</f>
        <v>BRAZIL</v>
      </c>
      <c r="K393" s="12">
        <f>'Raw Data'!K393</f>
        <v>2022</v>
      </c>
      <c r="L393" s="12">
        <f>'Raw Data'!L393</f>
        <v>8</v>
      </c>
      <c r="M393" s="12">
        <f>'Raw Data'!M393</f>
        <v>10</v>
      </c>
      <c r="N393">
        <f>'Raw Data'!N393</f>
        <v>22</v>
      </c>
    </row>
    <row r="394" spans="1:14" ht="30" x14ac:dyDescent="0.25">
      <c r="A394" s="11">
        <f>'Raw Data'!A394</f>
        <v>392</v>
      </c>
      <c r="B394" s="8" t="str">
        <f>TRIM(CLEAN('Raw Data'!B394))</f>
        <v>Immersed in the enchanting melodies of a street musician's violin.</v>
      </c>
      <c r="C394" s="4" t="str">
        <f>TRIM(PROPER('Raw Data'!C394))</f>
        <v>Melodic</v>
      </c>
      <c r="D394" s="5">
        <f>'Raw Data'!D394</f>
        <v>43560.729166666664</v>
      </c>
      <c r="E394" s="4" t="str">
        <f>TRIM(SUBSTITUTE('Raw Data'!E394," "," "))</f>
        <v>MusicLover</v>
      </c>
      <c r="F394" s="4" t="str">
        <f>TRIM(PROPER('Raw Data'!F394))</f>
        <v>Twitter</v>
      </c>
      <c r="G394" s="8" t="str">
        <f>TRIM(CLEAN('Raw Data'!G394))</f>
        <v>#Melodic #StreetMusic</v>
      </c>
      <c r="H394" s="12">
        <f>'Raw Data'!H394</f>
        <v>18</v>
      </c>
      <c r="I394" s="12">
        <v>50</v>
      </c>
      <c r="J394" s="12" t="str">
        <f>TRIM(UPPER('Raw Data'!J394))</f>
        <v>FRANCE</v>
      </c>
      <c r="K394" s="12">
        <f>'Raw Data'!K394</f>
        <v>2019</v>
      </c>
      <c r="L394" s="12">
        <f>'Raw Data'!L394</f>
        <v>4</v>
      </c>
      <c r="M394" s="12">
        <f>'Raw Data'!M394</f>
        <v>5</v>
      </c>
      <c r="N394">
        <f>'Raw Data'!N394</f>
        <v>17</v>
      </c>
    </row>
    <row r="395" spans="1:14" ht="30" x14ac:dyDescent="0.25">
      <c r="A395" s="11">
        <f>'Raw Data'!A395</f>
        <v>393</v>
      </c>
      <c r="B395" s="8" t="str">
        <f>TRIM(CLEAN('Raw Data'!B395))</f>
        <v>Joyful laughter resonates through a lively summer carnival.</v>
      </c>
      <c r="C395" s="4" t="str">
        <f>TRIM(PROPER('Raw Data'!C395))</f>
        <v>Festivejoy</v>
      </c>
      <c r="D395" s="5">
        <f>'Raw Data'!D395</f>
        <v>44180.65625</v>
      </c>
      <c r="E395" s="4" t="str">
        <f>TRIM(SUBSTITUTE('Raw Data'!E395," "," "))</f>
        <v>CarnivalGoer</v>
      </c>
      <c r="F395" s="4" t="str">
        <f>TRIM(PROPER('Raw Data'!F395))</f>
        <v>Facebook</v>
      </c>
      <c r="G395" s="8" t="str">
        <f>TRIM(CLEAN('Raw Data'!G395))</f>
        <v>#FestiveJoy #SummerCarnival</v>
      </c>
      <c r="H395" s="12">
        <f>'Raw Data'!H395</f>
        <v>22</v>
      </c>
      <c r="I395" s="12">
        <v>35</v>
      </c>
      <c r="J395" s="12" t="str">
        <f>TRIM(UPPER('Raw Data'!J395))</f>
        <v>JAPAN</v>
      </c>
      <c r="K395" s="12">
        <f>'Raw Data'!K395</f>
        <v>2020</v>
      </c>
      <c r="L395" s="12">
        <f>'Raw Data'!L395</f>
        <v>12</v>
      </c>
      <c r="M395" s="12">
        <f>'Raw Data'!M395</f>
        <v>15</v>
      </c>
      <c r="N395">
        <f>'Raw Data'!N395</f>
        <v>15</v>
      </c>
    </row>
    <row r="396" spans="1:14" ht="30" x14ac:dyDescent="0.25">
      <c r="A396" s="11">
        <f>'Raw Data'!A396</f>
        <v>394</v>
      </c>
      <c r="B396" s="8" t="str">
        <f>TRIM(CLEAN('Raw Data'!B396))</f>
        <v>Exploring the universe within during a mindful meditation session.</v>
      </c>
      <c r="C396" s="4" t="str">
        <f>TRIM(PROPER('Raw Data'!C396))</f>
        <v>Innerjourney</v>
      </c>
      <c r="D396" s="5">
        <f>'Raw Data'!D396</f>
        <v>43028.34375</v>
      </c>
      <c r="E396" s="4" t="str">
        <f>TRIM(SUBSTITUTE('Raw Data'!E396," "," "))</f>
        <v>MindfulExplorer</v>
      </c>
      <c r="F396" s="4" t="str">
        <f>TRIM(PROPER('Raw Data'!F396))</f>
        <v>Instagram</v>
      </c>
      <c r="G396" s="8" t="str">
        <f>TRIM(CLEAN('Raw Data'!G396))</f>
        <v>#InnerJourney #MeditationBliss</v>
      </c>
      <c r="H396" s="12">
        <f>'Raw Data'!H396</f>
        <v>35</v>
      </c>
      <c r="I396" s="12">
        <v>45</v>
      </c>
      <c r="J396" s="12" t="str">
        <f>TRIM(UPPER('Raw Data'!J396))</f>
        <v>CANADA</v>
      </c>
      <c r="K396" s="12">
        <f>'Raw Data'!K396</f>
        <v>2017</v>
      </c>
      <c r="L396" s="12">
        <f>'Raw Data'!L396</f>
        <v>10</v>
      </c>
      <c r="M396" s="12">
        <f>'Raw Data'!M396</f>
        <v>20</v>
      </c>
      <c r="N396">
        <f>'Raw Data'!N396</f>
        <v>8</v>
      </c>
    </row>
    <row r="397" spans="1:14" x14ac:dyDescent="0.25">
      <c r="A397" s="11">
        <f>'Raw Data'!A397</f>
        <v>395</v>
      </c>
      <c r="B397" s="8" t="str">
        <f>TRIM(CLEAN('Raw Data'!B397))</f>
        <v>Soaring like a free spirit on the winds of a coastal cliff.</v>
      </c>
      <c r="C397" s="4" t="str">
        <f>TRIM(PROPER('Raw Data'!C397))</f>
        <v>Freedom</v>
      </c>
      <c r="D397" s="5">
        <f>'Raw Data'!D397</f>
        <v>44255.541666666664</v>
      </c>
      <c r="E397" s="4" t="str">
        <f>TRIM(SUBSTITUTE('Raw Data'!E397," "," "))</f>
        <v>CoastalExplorer</v>
      </c>
      <c r="F397" s="4" t="str">
        <f>TRIM(PROPER('Raw Data'!F397))</f>
        <v>Twitter</v>
      </c>
      <c r="G397" s="8" t="str">
        <f>TRIM(CLEAN('Raw Data'!G397))</f>
        <v>#Freedom #CoastalAdventure</v>
      </c>
      <c r="H397" s="12">
        <f>'Raw Data'!H397</f>
        <v>30</v>
      </c>
      <c r="I397" s="12">
        <v>70</v>
      </c>
      <c r="J397" s="12" t="str">
        <f>TRIM(UPPER('Raw Data'!J397))</f>
        <v>AUSTRALIA</v>
      </c>
      <c r="K397" s="12">
        <f>'Raw Data'!K397</f>
        <v>2021</v>
      </c>
      <c r="L397" s="12">
        <f>'Raw Data'!L397</f>
        <v>2</v>
      </c>
      <c r="M397" s="12">
        <f>'Raw Data'!M397</f>
        <v>28</v>
      </c>
      <c r="N397">
        <f>'Raw Data'!N397</f>
        <v>13</v>
      </c>
    </row>
    <row r="398" spans="1:14" ht="30" x14ac:dyDescent="0.25">
      <c r="A398" s="11">
        <f>'Raw Data'!A398</f>
        <v>396</v>
      </c>
      <c r="B398" s="8" t="str">
        <f>TRIM(CLEAN('Raw Data'!B398))</f>
        <v>Dazzled by the elegance of a masquerade ball's dazzling costumes.</v>
      </c>
      <c r="C398" s="4" t="str">
        <f>TRIM(PROPER('Raw Data'!C398))</f>
        <v>Dazzle</v>
      </c>
      <c r="D398" s="5">
        <f>'Raw Data'!D398</f>
        <v>43263.854166666664</v>
      </c>
      <c r="E398" s="4" t="str">
        <f>TRIM(SUBSTITUTE('Raw Data'!E398," "," "))</f>
        <v>MasqueradeAttendee</v>
      </c>
      <c r="F398" s="4" t="str">
        <f>TRIM(PROPER('Raw Data'!F398))</f>
        <v>Facebook</v>
      </c>
      <c r="G398" s="8" t="str">
        <f>TRIM(CLEAN('Raw Data'!G398))</f>
        <v>#Dazzle #MasqueradeElegance</v>
      </c>
      <c r="H398" s="12">
        <f>'Raw Data'!H398</f>
        <v>28</v>
      </c>
      <c r="I398" s="12">
        <v>60</v>
      </c>
      <c r="J398" s="12" t="str">
        <f>TRIM(UPPER('Raw Data'!J398))</f>
        <v>UK</v>
      </c>
      <c r="K398" s="12">
        <f>'Raw Data'!K398</f>
        <v>2018</v>
      </c>
      <c r="L398" s="12">
        <f>'Raw Data'!L398</f>
        <v>6</v>
      </c>
      <c r="M398" s="12">
        <f>'Raw Data'!M398</f>
        <v>12</v>
      </c>
      <c r="N398">
        <f>'Raw Data'!N398</f>
        <v>20</v>
      </c>
    </row>
    <row r="399" spans="1:14" x14ac:dyDescent="0.25">
      <c r="A399" s="11">
        <f>'Raw Data'!A399</f>
        <v>397</v>
      </c>
      <c r="B399" s="8" t="str">
        <f>TRIM(CLEAN('Raw Data'!B399))</f>
        <v>Whimsical delight in a world of whimsical fairy tales.</v>
      </c>
      <c r="C399" s="4" t="str">
        <f>TRIM(PROPER('Raw Data'!C399))</f>
        <v>Whimsy</v>
      </c>
      <c r="D399" s="5">
        <f>'Raw Data'!D399</f>
        <v>42437.597222222219</v>
      </c>
      <c r="E399" s="4" t="str">
        <f>TRIM(SUBSTITUTE('Raw Data'!E399," "," "))</f>
        <v>FairyTaleAdventurer</v>
      </c>
      <c r="F399" s="4" t="str">
        <f>TRIM(PROPER('Raw Data'!F399))</f>
        <v>Instagram</v>
      </c>
      <c r="G399" s="8" t="str">
        <f>TRIM(CLEAN('Raw Data'!G399))</f>
        <v>#Whimsy #FairyTaleMagic</v>
      </c>
      <c r="H399" s="12">
        <f>'Raw Data'!H399</f>
        <v>20</v>
      </c>
      <c r="I399" s="12">
        <v>55</v>
      </c>
      <c r="J399" s="12" t="str">
        <f>TRIM(UPPER('Raw Data'!J399))</f>
        <v>USA</v>
      </c>
      <c r="K399" s="12">
        <f>'Raw Data'!K399</f>
        <v>2016</v>
      </c>
      <c r="L399" s="12">
        <f>'Raw Data'!L399</f>
        <v>3</v>
      </c>
      <c r="M399" s="12">
        <f>'Raw Data'!M399</f>
        <v>8</v>
      </c>
      <c r="N399">
        <f>'Raw Data'!N399</f>
        <v>14</v>
      </c>
    </row>
    <row r="400" spans="1:14" ht="30" x14ac:dyDescent="0.25">
      <c r="A400" s="11">
        <f>'Raw Data'!A400</f>
        <v>398</v>
      </c>
      <c r="B400" s="8" t="str">
        <f>TRIM(CLEAN('Raw Data'!B400))</f>
        <v>Reflective contemplation amid the ruins of a forgotten era.</v>
      </c>
      <c r="C400" s="4" t="str">
        <f>TRIM(PROPER('Raw Data'!C400))</f>
        <v>Reflection</v>
      </c>
      <c r="D400" s="5">
        <f>'Raw Data'!D400</f>
        <v>45034.715277777781</v>
      </c>
      <c r="E400" s="4" t="str">
        <f>TRIM(SUBSTITUTE('Raw Data'!E400," "," "))</f>
        <v>RuinsExplorer</v>
      </c>
      <c r="F400" s="4" t="str">
        <f>TRIM(PROPER('Raw Data'!F400))</f>
        <v>Twitter</v>
      </c>
      <c r="G400" s="8" t="str">
        <f>TRIM(CLEAN('Raw Data'!G400))</f>
        <v>#Reflection #ForgottenEra</v>
      </c>
      <c r="H400" s="12">
        <f>'Raw Data'!H400</f>
        <v>18</v>
      </c>
      <c r="I400" s="12">
        <v>40</v>
      </c>
      <c r="J400" s="12" t="str">
        <f>TRIM(UPPER('Raw Data'!J400))</f>
        <v>GREECE</v>
      </c>
      <c r="K400" s="12">
        <f>'Raw Data'!K400</f>
        <v>2023</v>
      </c>
      <c r="L400" s="12">
        <f>'Raw Data'!L400</f>
        <v>4</v>
      </c>
      <c r="M400" s="12">
        <f>'Raw Data'!M400</f>
        <v>18</v>
      </c>
      <c r="N400">
        <f>'Raw Data'!N400</f>
        <v>17</v>
      </c>
    </row>
    <row r="401" spans="1:14" ht="30" x14ac:dyDescent="0.25">
      <c r="A401" s="11">
        <f>'Raw Data'!A401</f>
        <v>399</v>
      </c>
      <c r="B401" s="8" t="str">
        <f>TRIM(CLEAN('Raw Data'!B401))</f>
        <v>Riding the adrenaline rush on a rollercoaster's wild twists.</v>
      </c>
      <c r="C401" s="4" t="str">
        <f>TRIM(PROPER('Raw Data'!C401))</f>
        <v>Adrenaline</v>
      </c>
      <c r="D401" s="5">
        <f>'Raw Data'!D401</f>
        <v>44037.53125</v>
      </c>
      <c r="E401" s="4" t="str">
        <f>TRIM(SUBSTITUTE('Raw Data'!E401," "," "))</f>
        <v>ThrillSeeker</v>
      </c>
      <c r="F401" s="4" t="str">
        <f>TRIM(PROPER('Raw Data'!F401))</f>
        <v>Facebook</v>
      </c>
      <c r="G401" s="8" t="str">
        <f>TRIM(CLEAN('Raw Data'!G401))</f>
        <v>#Adrenaline #RollercoasterThrills</v>
      </c>
      <c r="H401" s="12">
        <f>'Raw Data'!H401</f>
        <v>22</v>
      </c>
      <c r="I401" s="12">
        <v>35</v>
      </c>
      <c r="J401" s="12" t="str">
        <f>TRIM(UPPER('Raw Data'!J401))</f>
        <v>GERMANY</v>
      </c>
      <c r="K401" s="12">
        <f>'Raw Data'!K401</f>
        <v>2020</v>
      </c>
      <c r="L401" s="12">
        <f>'Raw Data'!L401</f>
        <v>7</v>
      </c>
      <c r="M401" s="12">
        <f>'Raw Data'!M401</f>
        <v>25</v>
      </c>
      <c r="N401">
        <f>'Raw Data'!N401</f>
        <v>12</v>
      </c>
    </row>
    <row r="402" spans="1:14" ht="30" x14ac:dyDescent="0.25">
      <c r="A402" s="11">
        <f>'Raw Data'!A402</f>
        <v>400</v>
      </c>
      <c r="B402" s="8" t="str">
        <f>TRIM(CLEAN('Raw Data'!B402))</f>
        <v>Harmony resonates as musicians play a symphony of unity.</v>
      </c>
      <c r="C402" s="4" t="str">
        <f>TRIM(PROPER('Raw Data'!C402))</f>
        <v>Harmony</v>
      </c>
      <c r="D402" s="5">
        <f>'Raw Data'!D402</f>
        <v>43799.8125</v>
      </c>
      <c r="E402" s="4" t="str">
        <f>TRIM(SUBSTITUTE('Raw Data'!E402," "," "))</f>
        <v>MusicHarmonist</v>
      </c>
      <c r="F402" s="4" t="str">
        <f>TRIM(PROPER('Raw Data'!F402))</f>
        <v>Instagram</v>
      </c>
      <c r="G402" s="8" t="str">
        <f>TRIM(CLEAN('Raw Data'!G402))</f>
        <v>#Harmony #MusicalUnity</v>
      </c>
      <c r="H402" s="12">
        <f>'Raw Data'!H402</f>
        <v>35</v>
      </c>
      <c r="I402" s="12">
        <v>45</v>
      </c>
      <c r="J402" s="12" t="str">
        <f>TRIM(UPPER('Raw Data'!J402))</f>
        <v>SWEDEN</v>
      </c>
      <c r="K402" s="12">
        <f>'Raw Data'!K402</f>
        <v>2019</v>
      </c>
      <c r="L402" s="12">
        <f>'Raw Data'!L402</f>
        <v>11</v>
      </c>
      <c r="M402" s="12">
        <f>'Raw Data'!M402</f>
        <v>30</v>
      </c>
      <c r="N402">
        <f>'Raw Data'!N402</f>
        <v>19</v>
      </c>
    </row>
    <row r="403" spans="1:14" ht="30" x14ac:dyDescent="0.25">
      <c r="A403" s="11">
        <f>'Raw Data'!A403</f>
        <v>401</v>
      </c>
      <c r="B403" s="8" t="str">
        <f>TRIM(CLEAN('Raw Data'!B403))</f>
        <v>A burst of artistic creativity in the quietude of an artist's studio.</v>
      </c>
      <c r="C403" s="4" t="str">
        <f>TRIM(PROPER('Raw Data'!C403))</f>
        <v>Artisticburst</v>
      </c>
      <c r="D403" s="5">
        <f>'Raw Data'!D403</f>
        <v>42248.666666666664</v>
      </c>
      <c r="E403" s="4" t="str">
        <f>TRIM(SUBSTITUTE('Raw Data'!E403," "," "))</f>
        <v>StudioArtist</v>
      </c>
      <c r="F403" s="4" t="str">
        <f>TRIM(PROPER('Raw Data'!F403))</f>
        <v>Twitter</v>
      </c>
      <c r="G403" s="8" t="str">
        <f>TRIM(CLEAN('Raw Data'!G403))</f>
        <v>#ArtisticBurst #StudioCreativity</v>
      </c>
      <c r="H403" s="12">
        <f>'Raw Data'!H403</f>
        <v>15</v>
      </c>
      <c r="I403" s="12">
        <v>70</v>
      </c>
      <c r="J403" s="12" t="str">
        <f>TRIM(UPPER('Raw Data'!J403))</f>
        <v>ITALY</v>
      </c>
      <c r="K403" s="12">
        <f>'Raw Data'!K403</f>
        <v>2015</v>
      </c>
      <c r="L403" s="12">
        <f>'Raw Data'!L403</f>
        <v>9</v>
      </c>
      <c r="M403" s="12">
        <f>'Raw Data'!M403</f>
        <v>1</v>
      </c>
      <c r="N403">
        <f>'Raw Data'!N403</f>
        <v>16</v>
      </c>
    </row>
    <row r="404" spans="1:14" ht="30" x14ac:dyDescent="0.25">
      <c r="A404" s="11">
        <f>'Raw Data'!A404</f>
        <v>402</v>
      </c>
      <c r="B404" s="8" t="str">
        <f>TRIM(CLEAN('Raw Data'!B404))</f>
        <v>Radiant joy akin to blossoming flowers on a sunlit spring morning.</v>
      </c>
      <c r="C404" s="4" t="str">
        <f>TRIM(PROPER('Raw Data'!C404))</f>
        <v>Radiance</v>
      </c>
      <c r="D404" s="5">
        <f>'Raw Data'!D404</f>
        <v>44686.427083333336</v>
      </c>
      <c r="E404" s="4" t="str">
        <f>TRIM(SUBSTITUTE('Raw Data'!E404," "," "))</f>
        <v>SpringEnthusiast</v>
      </c>
      <c r="F404" s="4" t="str">
        <f>TRIM(PROPER('Raw Data'!F404))</f>
        <v>Facebook</v>
      </c>
      <c r="G404" s="8" t="str">
        <f>TRIM(CLEAN('Raw Data'!G404))</f>
        <v>#Radiance #SpringBlooms</v>
      </c>
      <c r="H404" s="12">
        <f>'Raw Data'!H404</f>
        <v>25</v>
      </c>
      <c r="I404" s="12">
        <v>30</v>
      </c>
      <c r="J404" s="12" t="str">
        <f>TRIM(UPPER('Raw Data'!J404))</f>
        <v>NETHERLANDS</v>
      </c>
      <c r="K404" s="12">
        <f>'Raw Data'!K404</f>
        <v>2022</v>
      </c>
      <c r="L404" s="12">
        <f>'Raw Data'!L404</f>
        <v>5</v>
      </c>
      <c r="M404" s="12">
        <f>'Raw Data'!M404</f>
        <v>5</v>
      </c>
      <c r="N404">
        <f>'Raw Data'!N404</f>
        <v>10</v>
      </c>
    </row>
    <row r="405" spans="1:14" ht="30" x14ac:dyDescent="0.25">
      <c r="A405" s="11">
        <f>'Raw Data'!A405</f>
        <v>403</v>
      </c>
      <c r="B405" s="8" t="str">
        <f>TRIM(CLEAN('Raw Data'!B405))</f>
        <v>Awe-inspired by the vastness of the cosmos on a stargazing night.</v>
      </c>
      <c r="C405" s="4" t="str">
        <f>TRIM(PROPER('Raw Data'!C405))</f>
        <v>Wonder</v>
      </c>
      <c r="D405" s="5">
        <f>'Raw Data'!D405</f>
        <v>43289.958333333336</v>
      </c>
      <c r="E405" s="4" t="str">
        <f>TRIM(SUBSTITUTE('Raw Data'!E405," "," "))</f>
        <v>CosmosExplorer</v>
      </c>
      <c r="F405" s="4" t="str">
        <f>TRIM(PROPER('Raw Data'!F405))</f>
        <v>Instagram</v>
      </c>
      <c r="G405" s="8" t="str">
        <f>TRIM(CLEAN('Raw Data'!G405))</f>
        <v>#Wonder #StargazingAdventure</v>
      </c>
      <c r="H405" s="12">
        <f>'Raw Data'!H405</f>
        <v>40</v>
      </c>
      <c r="I405" s="12">
        <v>50</v>
      </c>
      <c r="J405" s="12" t="str">
        <f>TRIM(UPPER('Raw Data'!J405))</f>
        <v>SOUTH AFRICA</v>
      </c>
      <c r="K405" s="12">
        <f>'Raw Data'!K405</f>
        <v>2018</v>
      </c>
      <c r="L405" s="12">
        <f>'Raw Data'!L405</f>
        <v>7</v>
      </c>
      <c r="M405" s="12">
        <f>'Raw Data'!M405</f>
        <v>8</v>
      </c>
      <c r="N405">
        <f>'Raw Data'!N405</f>
        <v>23</v>
      </c>
    </row>
    <row r="406" spans="1:14" ht="30" x14ac:dyDescent="0.25">
      <c r="A406" s="11">
        <f>'Raw Data'!A406</f>
        <v>404</v>
      </c>
      <c r="B406" s="8" t="str">
        <f>TRIM(CLEAN('Raw Data'!B406))</f>
        <v>Rejuvenated by the salty breeze and the sound of waves at the seaside.</v>
      </c>
      <c r="C406" s="4" t="str">
        <f>TRIM(PROPER('Raw Data'!C406))</f>
        <v>Rejuvenation</v>
      </c>
      <c r="D406" s="5">
        <f>'Raw Data'!D406</f>
        <v>44459.604166666664</v>
      </c>
      <c r="E406" s="4" t="str">
        <f>TRIM(SUBSTITUTE('Raw Data'!E406," "," "))</f>
        <v>SeaBreezeLover</v>
      </c>
      <c r="F406" s="4" t="str">
        <f>TRIM(PROPER('Raw Data'!F406))</f>
        <v>Twitter</v>
      </c>
      <c r="G406" s="8" t="str">
        <f>TRIM(CLEAN('Raw Data'!G406))</f>
        <v>#Rejuvenation #SeasideEscape</v>
      </c>
      <c r="H406" s="12">
        <f>'Raw Data'!H406</f>
        <v>18</v>
      </c>
      <c r="I406" s="12">
        <v>80</v>
      </c>
      <c r="J406" s="12" t="str">
        <f>TRIM(UPPER('Raw Data'!J406))</f>
        <v>SPAIN</v>
      </c>
      <c r="K406" s="12">
        <f>'Raw Data'!K406</f>
        <v>2021</v>
      </c>
      <c r="L406" s="12">
        <f>'Raw Data'!L406</f>
        <v>9</v>
      </c>
      <c r="M406" s="12">
        <f>'Raw Data'!M406</f>
        <v>20</v>
      </c>
      <c r="N406">
        <f>'Raw Data'!N406</f>
        <v>14</v>
      </c>
    </row>
    <row r="407" spans="1:14" ht="30" x14ac:dyDescent="0.25">
      <c r="A407" s="11">
        <f>'Raw Data'!A407</f>
        <v>405</v>
      </c>
      <c r="B407" s="8" t="str">
        <f>TRIM(CLEAN('Raw Data'!B407))</f>
        <v>Whispers of inspiration from the rustling leaves in a serene forest.</v>
      </c>
      <c r="C407" s="4" t="str">
        <f>TRIM(PROPER('Raw Data'!C407))</f>
        <v>Inspiration</v>
      </c>
      <c r="D407" s="5">
        <f>'Raw Data'!D407</f>
        <v>42689.489583333336</v>
      </c>
      <c r="E407" s="4" t="str">
        <f>TRIM(SUBSTITUTE('Raw Data'!E407," "," "))</f>
        <v>ForestDreamer</v>
      </c>
      <c r="F407" s="4" t="str">
        <f>TRIM(PROPER('Raw Data'!F407))</f>
        <v>Facebook</v>
      </c>
      <c r="G407" s="8" t="str">
        <f>TRIM(CLEAN('Raw Data'!G407))</f>
        <v>#Inspiration #ForestWhispers</v>
      </c>
      <c r="H407" s="12">
        <f>'Raw Data'!H407</f>
        <v>28</v>
      </c>
      <c r="I407" s="12">
        <v>35</v>
      </c>
      <c r="J407" s="12" t="str">
        <f>TRIM(UPPER('Raw Data'!J407))</f>
        <v>PORTUGAL</v>
      </c>
      <c r="K407" s="12">
        <f>'Raw Data'!K407</f>
        <v>2016</v>
      </c>
      <c r="L407" s="12">
        <f>'Raw Data'!L407</f>
        <v>11</v>
      </c>
      <c r="M407" s="12">
        <f>'Raw Data'!M407</f>
        <v>15</v>
      </c>
      <c r="N407">
        <f>'Raw Data'!N407</f>
        <v>11</v>
      </c>
    </row>
    <row r="408" spans="1:14" ht="30" x14ac:dyDescent="0.25">
      <c r="A408" s="11">
        <f>'Raw Data'!A408</f>
        <v>406</v>
      </c>
      <c r="B408" s="8" t="str">
        <f>TRIM(CLEAN('Raw Data'!B408))</f>
        <v>Savoring the warmth of a cup of cocoa on a chilly winter evening.</v>
      </c>
      <c r="C408" s="4" t="str">
        <f>TRIM(PROPER('Raw Data'!C408))</f>
        <v>Coziness</v>
      </c>
      <c r="D408" s="5">
        <f>'Raw Data'!D408</f>
        <v>43842.75</v>
      </c>
      <c r="E408" s="4" t="str">
        <f>TRIM(SUBSTITUTE('Raw Data'!E408," "," "))</f>
        <v>WinterWarmth</v>
      </c>
      <c r="F408" s="4" t="str">
        <f>TRIM(PROPER('Raw Data'!F408))</f>
        <v>Instagram</v>
      </c>
      <c r="G408" s="8" t="str">
        <f>TRIM(CLEAN('Raw Data'!G408))</f>
        <v>#Coziness #WarmWinterEvening</v>
      </c>
      <c r="H408" s="12">
        <f>'Raw Data'!H408</f>
        <v>30</v>
      </c>
      <c r="I408" s="12">
        <v>55</v>
      </c>
      <c r="J408" s="12" t="str">
        <f>TRIM(UPPER('Raw Data'!J408))</f>
        <v>SWITZERLAND</v>
      </c>
      <c r="K408" s="12">
        <f>'Raw Data'!K408</f>
        <v>2020</v>
      </c>
      <c r="L408" s="12">
        <f>'Raw Data'!L408</f>
        <v>1</v>
      </c>
      <c r="M408" s="12">
        <f>'Raw Data'!M408</f>
        <v>12</v>
      </c>
      <c r="N408">
        <f>'Raw Data'!N408</f>
        <v>18</v>
      </c>
    </row>
    <row r="409" spans="1:14" ht="30" x14ac:dyDescent="0.25">
      <c r="A409" s="11">
        <f>'Raw Data'!A409</f>
        <v>407</v>
      </c>
      <c r="B409" s="8" t="str">
        <f>TRIM(CLEAN('Raw Data'!B409))</f>
        <v>Heartfelt gratitude for the laughter shared during a family reunion.</v>
      </c>
      <c r="C409" s="4" t="str">
        <f>TRIM(PROPER('Raw Data'!C409))</f>
        <v>Gratitude</v>
      </c>
      <c r="D409" s="5">
        <f>'Raw Data'!D409</f>
        <v>43097.802083333336</v>
      </c>
      <c r="E409" s="4" t="str">
        <f>TRIM(SUBSTITUTE('Raw Data'!E409," "," "))</f>
        <v>FamilyGatherer</v>
      </c>
      <c r="F409" s="4" t="str">
        <f>TRIM(PROPER('Raw Data'!F409))</f>
        <v>Facebook</v>
      </c>
      <c r="G409" s="8" t="str">
        <f>TRIM(CLEAN('Raw Data'!G409))</f>
        <v>#Gratitude #FamilyLaughter</v>
      </c>
      <c r="H409" s="12">
        <f>'Raw Data'!H409</f>
        <v>22</v>
      </c>
      <c r="I409" s="12">
        <v>60</v>
      </c>
      <c r="J409" s="12" t="str">
        <f>TRIM(UPPER('Raw Data'!J409))</f>
        <v>AUSTRIA</v>
      </c>
      <c r="K409" s="12">
        <f>'Raw Data'!K409</f>
        <v>2017</v>
      </c>
      <c r="L409" s="12">
        <f>'Raw Data'!L409</f>
        <v>12</v>
      </c>
      <c r="M409" s="12">
        <f>'Raw Data'!M409</f>
        <v>28</v>
      </c>
      <c r="N409">
        <f>'Raw Data'!N409</f>
        <v>19</v>
      </c>
    </row>
    <row r="410" spans="1:14" ht="30" x14ac:dyDescent="0.25">
      <c r="A410" s="11">
        <f>'Raw Data'!A410</f>
        <v>408</v>
      </c>
      <c r="B410" s="8" t="str">
        <f>TRIM(CLEAN('Raw Data'!B410))</f>
        <v>Embarking on a culinary odyssey, savoring flavors around the world.</v>
      </c>
      <c r="C410" s="4" t="str">
        <f>TRIM(PROPER('Raw Data'!C410))</f>
        <v>Culinaryodyssey</v>
      </c>
      <c r="D410" s="5">
        <f>'Raw Data'!D410</f>
        <v>43526.847222222219</v>
      </c>
      <c r="E410" s="4" t="str">
        <f>TRIM(SUBSTITUTE('Raw Data'!E410," "," "))</f>
        <v>CulinaryExplorer</v>
      </c>
      <c r="F410" s="4" t="str">
        <f>TRIM(PROPER('Raw Data'!F410))</f>
        <v>Twitter</v>
      </c>
      <c r="G410" s="8" t="str">
        <f>TRIM(CLEAN('Raw Data'!G410))</f>
        <v>#CulinaryOdyssey #FlavorsAroundTheWorld</v>
      </c>
      <c r="H410" s="12">
        <f>'Raw Data'!H410</f>
        <v>35</v>
      </c>
      <c r="I410" s="12">
        <v>45</v>
      </c>
      <c r="J410" s="12" t="str">
        <f>TRIM(UPPER('Raw Data'!J410))</f>
        <v>BELGIUM</v>
      </c>
      <c r="K410" s="12">
        <f>'Raw Data'!K410</f>
        <v>2019</v>
      </c>
      <c r="L410" s="12">
        <f>'Raw Data'!L410</f>
        <v>3</v>
      </c>
      <c r="M410" s="12">
        <f>'Raw Data'!M410</f>
        <v>2</v>
      </c>
      <c r="N410">
        <f>'Raw Data'!N410</f>
        <v>20</v>
      </c>
    </row>
    <row r="411" spans="1:14" ht="30" x14ac:dyDescent="0.25">
      <c r="A411" s="11">
        <f>'Raw Data'!A411</f>
        <v>409</v>
      </c>
      <c r="B411" s="8" t="str">
        <f>TRIM(CLEAN('Raw Data'!B411))</f>
        <v>Euphoria floods in as the final puzzle piece fits perfectly.</v>
      </c>
      <c r="C411" s="4" t="str">
        <f>TRIM(PROPER('Raw Data'!C411))</f>
        <v>Euphoria</v>
      </c>
      <c r="D411" s="5">
        <f>'Raw Data'!D411</f>
        <v>44720.645833333336</v>
      </c>
      <c r="E411" s="4" t="str">
        <f>TRIM(SUBSTITUTE('Raw Data'!E411," "," "))</f>
        <v>PuzzleSolver</v>
      </c>
      <c r="F411" s="4" t="str">
        <f>TRIM(PROPER('Raw Data'!F411))</f>
        <v>Instagram</v>
      </c>
      <c r="G411" s="8" t="str">
        <f>TRIM(CLEAN('Raw Data'!G411))</f>
        <v>#Euphoria #PerfectPuzzle</v>
      </c>
      <c r="H411" s="12">
        <f>'Raw Data'!H411</f>
        <v>20</v>
      </c>
      <c r="I411" s="12">
        <v>70</v>
      </c>
      <c r="J411" s="12" t="str">
        <f>TRIM(UPPER('Raw Data'!J411))</f>
        <v>DENMARK</v>
      </c>
      <c r="K411" s="12">
        <f>'Raw Data'!K411</f>
        <v>2022</v>
      </c>
      <c r="L411" s="12">
        <f>'Raw Data'!L411</f>
        <v>6</v>
      </c>
      <c r="M411" s="12">
        <f>'Raw Data'!M411</f>
        <v>8</v>
      </c>
      <c r="N411">
        <f>'Raw Data'!N411</f>
        <v>15</v>
      </c>
    </row>
    <row r="412" spans="1:14" ht="30" x14ac:dyDescent="0.25">
      <c r="A412" s="11">
        <f>'Raw Data'!A412</f>
        <v>410</v>
      </c>
      <c r="B412" s="8" t="str">
        <f>TRIM(CLEAN('Raw Data'!B412))</f>
        <v>Awe-struck by the grandeur of an ancient cathedral's intricate architecture.</v>
      </c>
      <c r="C412" s="4" t="str">
        <f>TRIM(PROPER('Raw Data'!C412))</f>
        <v>Awe</v>
      </c>
      <c r="D412" s="5">
        <f>'Raw Data'!D412</f>
        <v>43330.614583333336</v>
      </c>
      <c r="E412" s="4" t="str">
        <f>TRIM(SUBSTITUTE('Raw Data'!E412," "," "))</f>
        <v>CathedralVisitor</v>
      </c>
      <c r="F412" s="4" t="str">
        <f>TRIM(PROPER('Raw Data'!F412))</f>
        <v>Facebook</v>
      </c>
      <c r="G412" s="8" t="str">
        <f>TRIM(CLEAN('Raw Data'!G412))</f>
        <v>#Awe #ArchitecturalGrandeur</v>
      </c>
      <c r="H412" s="12">
        <f>'Raw Data'!H412</f>
        <v>18</v>
      </c>
      <c r="I412" s="12">
        <v>40</v>
      </c>
      <c r="J412" s="12" t="str">
        <f>TRIM(UPPER('Raw Data'!J412))</f>
        <v>CZECH REPUBLIC</v>
      </c>
      <c r="K412" s="12">
        <f>'Raw Data'!K412</f>
        <v>2018</v>
      </c>
      <c r="L412" s="12">
        <f>'Raw Data'!L412</f>
        <v>8</v>
      </c>
      <c r="M412" s="12">
        <f>'Raw Data'!M412</f>
        <v>18</v>
      </c>
      <c r="N412">
        <f>'Raw Data'!N412</f>
        <v>14</v>
      </c>
    </row>
    <row r="413" spans="1:14" ht="30" x14ac:dyDescent="0.25">
      <c r="A413" s="11">
        <f>'Raw Data'!A413</f>
        <v>411</v>
      </c>
      <c r="B413" s="8" t="str">
        <f>TRIM(CLEAN('Raw Data'!B413))</f>
        <v>Curiosity awakened by the mysteries of an ancient archaeological site.</v>
      </c>
      <c r="C413" s="4" t="str">
        <f>TRIM(PROPER('Raw Data'!C413))</f>
        <v>Curiosity</v>
      </c>
      <c r="D413" s="5">
        <f>'Raw Data'!D413</f>
        <v>42316.416666666664</v>
      </c>
      <c r="E413" s="4" t="str">
        <f>TRIM(SUBSTITUTE('Raw Data'!E413," "," "))</f>
        <v>ArchaeologyEnthusiast</v>
      </c>
      <c r="F413" s="4" t="str">
        <f>TRIM(PROPER('Raw Data'!F413))</f>
        <v>Instagram</v>
      </c>
      <c r="G413" s="8" t="str">
        <f>TRIM(CLEAN('Raw Data'!G413))</f>
        <v>#Curiosity #AncientMysteries</v>
      </c>
      <c r="H413" s="12">
        <f>'Raw Data'!H413</f>
        <v>18</v>
      </c>
      <c r="I413" s="12">
        <v>35</v>
      </c>
      <c r="J413" s="12" t="str">
        <f>TRIM(UPPER('Raw Data'!J413))</f>
        <v>AUSTRALIA</v>
      </c>
      <c r="K413" s="12">
        <f>'Raw Data'!K413</f>
        <v>2015</v>
      </c>
      <c r="L413" s="12">
        <f>'Raw Data'!L413</f>
        <v>11</v>
      </c>
      <c r="M413" s="12">
        <f>'Raw Data'!M413</f>
        <v>8</v>
      </c>
      <c r="N413">
        <f>'Raw Data'!N413</f>
        <v>10</v>
      </c>
    </row>
    <row r="414" spans="1:14" ht="30" x14ac:dyDescent="0.25">
      <c r="A414" s="11">
        <f>'Raw Data'!A414</f>
        <v>412</v>
      </c>
      <c r="B414" s="8" t="str">
        <f>TRIM(CLEAN('Raw Data'!B414))</f>
        <v>Giddy with excitement as the first snowflakes dance from the sky.</v>
      </c>
      <c r="C414" s="4" t="str">
        <f>TRIM(PROPER('Raw Data'!C414))</f>
        <v>Excitement</v>
      </c>
      <c r="D414" s="5">
        <f>'Raw Data'!D414</f>
        <v>44167.729166666664</v>
      </c>
      <c r="E414" s="4" t="str">
        <f>TRIM(SUBSTITUTE('Raw Data'!E414," "," "))</f>
        <v>SnowfallEnthusiast</v>
      </c>
      <c r="F414" s="4" t="str">
        <f>TRIM(PROPER('Raw Data'!F414))</f>
        <v>Twitter</v>
      </c>
      <c r="G414" s="8" t="str">
        <f>TRIM(CLEAN('Raw Data'!G414))</f>
        <v>#Excitement #SnowfallMagic</v>
      </c>
      <c r="H414" s="12">
        <f>'Raw Data'!H414</f>
        <v>22</v>
      </c>
      <c r="I414" s="12">
        <v>35</v>
      </c>
      <c r="J414" s="12" t="str">
        <f>TRIM(UPPER('Raw Data'!J414))</f>
        <v>CANADA</v>
      </c>
      <c r="K414" s="12">
        <f>'Raw Data'!K414</f>
        <v>2020</v>
      </c>
      <c r="L414" s="12">
        <f>'Raw Data'!L414</f>
        <v>12</v>
      </c>
      <c r="M414" s="12">
        <f>'Raw Data'!M414</f>
        <v>2</v>
      </c>
      <c r="N414">
        <f>'Raw Data'!N414</f>
        <v>17</v>
      </c>
    </row>
    <row r="415" spans="1:14" ht="30" x14ac:dyDescent="0.25">
      <c r="A415" s="11">
        <f>'Raw Data'!A415</f>
        <v>413</v>
      </c>
      <c r="B415" s="8" t="str">
        <f>TRIM(CLEAN('Raw Data'!B415))</f>
        <v>Contentment envelops as the aroma of freshly baked bread fills the air.</v>
      </c>
      <c r="C415" s="4" t="str">
        <f>TRIM(PROPER('Raw Data'!C415))</f>
        <v>Contentment</v>
      </c>
      <c r="D415" s="5">
        <f>'Raw Data'!D415</f>
        <v>42896.510416666664</v>
      </c>
      <c r="E415" s="4" t="str">
        <f>TRIM(SUBSTITUTE('Raw Data'!E415," "," "))</f>
        <v>BreadLover</v>
      </c>
      <c r="F415" s="4" t="str">
        <f>TRIM(PROPER('Raw Data'!F415))</f>
        <v>Instagram</v>
      </c>
      <c r="G415" s="8" t="str">
        <f>TRIM(CLEAN('Raw Data'!G415))</f>
        <v>#Contentment #FreshBreadAroma</v>
      </c>
      <c r="H415" s="12">
        <f>'Raw Data'!H415</f>
        <v>28</v>
      </c>
      <c r="I415" s="12">
        <v>45</v>
      </c>
      <c r="J415" s="12" t="str">
        <f>TRIM(UPPER('Raw Data'!J415))</f>
        <v>FRANCE</v>
      </c>
      <c r="K415" s="12">
        <f>'Raw Data'!K415</f>
        <v>2017</v>
      </c>
      <c r="L415" s="12">
        <f>'Raw Data'!L415</f>
        <v>6</v>
      </c>
      <c r="M415" s="12">
        <f>'Raw Data'!M415</f>
        <v>10</v>
      </c>
      <c r="N415">
        <f>'Raw Data'!N415</f>
        <v>12</v>
      </c>
    </row>
    <row r="416" spans="1:14" ht="30" x14ac:dyDescent="0.25">
      <c r="A416" s="11">
        <f>'Raw Data'!A416</f>
        <v>414</v>
      </c>
      <c r="B416" s="8" t="str">
        <f>TRIM(CLEAN('Raw Data'!B416))</f>
        <v>Inspired by the resilience of a lone tree standing tall in a storm.</v>
      </c>
      <c r="C416" s="4" t="str">
        <f>TRIM(PROPER('Raw Data'!C416))</f>
        <v>Resilience</v>
      </c>
      <c r="D416" s="5">
        <f>'Raw Data'!D416</f>
        <v>44301.597222222219</v>
      </c>
      <c r="E416" s="4" t="str">
        <f>TRIM(SUBSTITUTE('Raw Data'!E416," "," "))</f>
        <v>NatureResilient</v>
      </c>
      <c r="F416" s="4" t="str">
        <f>TRIM(PROPER('Raw Data'!F416))</f>
        <v>Facebook</v>
      </c>
      <c r="G416" s="8" t="str">
        <f>TRIM(CLEAN('Raw Data'!G416))</f>
        <v>#Resilience #StandingTall</v>
      </c>
      <c r="H416" s="12">
        <f>'Raw Data'!H416</f>
        <v>35</v>
      </c>
      <c r="I416" s="12">
        <v>55</v>
      </c>
      <c r="J416" s="12" t="str">
        <f>TRIM(UPPER('Raw Data'!J416))</f>
        <v>USA</v>
      </c>
      <c r="K416" s="12">
        <f>'Raw Data'!K416</f>
        <v>2021</v>
      </c>
      <c r="L416" s="12">
        <f>'Raw Data'!L416</f>
        <v>4</v>
      </c>
      <c r="M416" s="12">
        <f>'Raw Data'!M416</f>
        <v>15</v>
      </c>
      <c r="N416">
        <f>'Raw Data'!N416</f>
        <v>14</v>
      </c>
    </row>
    <row r="417" spans="1:14" ht="30" x14ac:dyDescent="0.25">
      <c r="A417" s="11">
        <f>'Raw Data'!A417</f>
        <v>415</v>
      </c>
      <c r="B417" s="8" t="str">
        <f>TRIM(CLEAN('Raw Data'!B417))</f>
        <v>Lost in the pages of a captivating novel, transported to another world.</v>
      </c>
      <c r="C417" s="4" t="str">
        <f>TRIM(PROPER('Raw Data'!C417))</f>
        <v>Immersion</v>
      </c>
      <c r="D417" s="5">
        <f>'Raw Data'!D417</f>
        <v>43736.822916666664</v>
      </c>
      <c r="E417" s="4" t="str">
        <f>TRIM(SUBSTITUTE('Raw Data'!E417," "," "))</f>
        <v>Bookworm</v>
      </c>
      <c r="F417" s="4" t="str">
        <f>TRIM(PROPER('Raw Data'!F417))</f>
        <v>Twitter</v>
      </c>
      <c r="G417" s="8" t="str">
        <f>TRIM(CLEAN('Raw Data'!G417))</f>
        <v>#Immersion #CaptivatingNovel</v>
      </c>
      <c r="H417" s="12">
        <f>'Raw Data'!H417</f>
        <v>20</v>
      </c>
      <c r="I417" s="12">
        <v>70</v>
      </c>
      <c r="J417" s="12" t="str">
        <f>TRIM(UPPER('Raw Data'!J417))</f>
        <v>UK</v>
      </c>
      <c r="K417" s="12">
        <f>'Raw Data'!K417</f>
        <v>2019</v>
      </c>
      <c r="L417" s="12">
        <f>'Raw Data'!L417</f>
        <v>9</v>
      </c>
      <c r="M417" s="12">
        <f>'Raw Data'!M417</f>
        <v>28</v>
      </c>
      <c r="N417">
        <f>'Raw Data'!N417</f>
        <v>19</v>
      </c>
    </row>
    <row r="418" spans="1:14" ht="30" x14ac:dyDescent="0.25">
      <c r="A418" s="11">
        <f>'Raw Data'!A418</f>
        <v>416</v>
      </c>
      <c r="B418" s="8" t="str">
        <f>TRIM(CLEAN('Raw Data'!B418))</f>
        <v>Drenched in nostalgia while flipping through an old family photo album.</v>
      </c>
      <c r="C418" s="4" t="str">
        <f>TRIM(PROPER('Raw Data'!C418))</f>
        <v>Nostalgia</v>
      </c>
      <c r="D418" s="5">
        <f>'Raw Data'!D418</f>
        <v>42709.875</v>
      </c>
      <c r="E418" s="4" t="str">
        <f>TRIM(SUBSTITUTE('Raw Data'!E418," "," "))</f>
        <v>FamilyHistorian</v>
      </c>
      <c r="F418" s="4" t="str">
        <f>TRIM(PROPER('Raw Data'!F418))</f>
        <v>Instagram</v>
      </c>
      <c r="G418" s="8" t="str">
        <f>TRIM(CLEAN('Raw Data'!G418))</f>
        <v>#Nostalgia #FamilyPhotoAlbum</v>
      </c>
      <c r="H418" s="12">
        <f>'Raw Data'!H418</f>
        <v>25</v>
      </c>
      <c r="I418" s="12">
        <v>40</v>
      </c>
      <c r="J418" s="12" t="str">
        <f>TRIM(UPPER('Raw Data'!J418))</f>
        <v>INDIA</v>
      </c>
      <c r="K418" s="12">
        <f>'Raw Data'!K418</f>
        <v>2016</v>
      </c>
      <c r="L418" s="12">
        <f>'Raw Data'!L418</f>
        <v>12</v>
      </c>
      <c r="M418" s="12">
        <f>'Raw Data'!M418</f>
        <v>5</v>
      </c>
      <c r="N418">
        <f>'Raw Data'!N418</f>
        <v>21</v>
      </c>
    </row>
    <row r="419" spans="1:14" ht="30" x14ac:dyDescent="0.25">
      <c r="A419" s="11">
        <f>'Raw Data'!A419</f>
        <v>417</v>
      </c>
      <c r="B419" s="8" t="str">
        <f>TRIM(CLEAN('Raw Data'!B419))</f>
        <v>Spark of inspiration ignites like a shooting star in the night sky.</v>
      </c>
      <c r="C419" s="4" t="str">
        <f>TRIM(PROPER('Raw Data'!C419))</f>
        <v>Spark</v>
      </c>
      <c r="D419" s="5">
        <f>'Raw Data'!D419</f>
        <v>43141.979166666664</v>
      </c>
      <c r="E419" s="4" t="str">
        <f>TRIM(SUBSTITUTE('Raw Data'!E419," "," "))</f>
        <v>NightSkyWatcher</v>
      </c>
      <c r="F419" s="4" t="str">
        <f>TRIM(PROPER('Raw Data'!F419))</f>
        <v>Facebook</v>
      </c>
      <c r="G419" s="8" t="str">
        <f>TRIM(CLEAN('Raw Data'!G419))</f>
        <v>#Spark #InspirationIgnited</v>
      </c>
      <c r="H419" s="12">
        <f>'Raw Data'!H419</f>
        <v>30</v>
      </c>
      <c r="I419" s="12">
        <v>50</v>
      </c>
      <c r="J419" s="12" t="str">
        <f>TRIM(UPPER('Raw Data'!J419))</f>
        <v>AUSTRALIA</v>
      </c>
      <c r="K419" s="12">
        <f>'Raw Data'!K419</f>
        <v>2018</v>
      </c>
      <c r="L419" s="12">
        <f>'Raw Data'!L419</f>
        <v>2</v>
      </c>
      <c r="M419" s="12">
        <f>'Raw Data'!M419</f>
        <v>10</v>
      </c>
      <c r="N419">
        <f>'Raw Data'!N419</f>
        <v>23</v>
      </c>
    </row>
    <row r="420" spans="1:14" ht="30" x14ac:dyDescent="0.25">
      <c r="A420" s="11">
        <f>'Raw Data'!A420</f>
        <v>418</v>
      </c>
      <c r="B420" s="8" t="str">
        <f>TRIM(CLEAN('Raw Data'!B420))</f>
        <v>Imbued with gratitude for the simple pleasure of a warm cup of tea.</v>
      </c>
      <c r="C420" s="4" t="str">
        <f>TRIM(PROPER('Raw Data'!C420))</f>
        <v>Gratitude</v>
      </c>
      <c r="D420" s="5">
        <f>'Raw Data'!D420</f>
        <v>44972.354166666664</v>
      </c>
      <c r="E420" s="4" t="str">
        <f>TRIM(SUBSTITUTE('Raw Data'!E420," "," "))</f>
        <v>TeaEnthusiast</v>
      </c>
      <c r="F420" s="4" t="str">
        <f>TRIM(PROPER('Raw Data'!F420))</f>
        <v>Twitter</v>
      </c>
      <c r="G420" s="8" t="str">
        <f>TRIM(CLEAN('Raw Data'!G420))</f>
        <v>#Gratitude #WarmTea</v>
      </c>
      <c r="H420" s="12">
        <f>'Raw Data'!H420</f>
        <v>18</v>
      </c>
      <c r="I420" s="12">
        <v>60</v>
      </c>
      <c r="J420" s="12" t="str">
        <f>TRIM(UPPER('Raw Data'!J420))</f>
        <v>JAPAN</v>
      </c>
      <c r="K420" s="12">
        <f>'Raw Data'!K420</f>
        <v>2023</v>
      </c>
      <c r="L420" s="12">
        <f>'Raw Data'!L420</f>
        <v>2</v>
      </c>
      <c r="M420" s="12">
        <f>'Raw Data'!M420</f>
        <v>15</v>
      </c>
      <c r="N420">
        <f>'Raw Data'!N420</f>
        <v>8</v>
      </c>
    </row>
    <row r="421" spans="1:14" ht="30" x14ac:dyDescent="0.25">
      <c r="A421" s="11">
        <f>'Raw Data'!A421</f>
        <v>419</v>
      </c>
      <c r="B421" s="8" t="str">
        <f>TRIM(CLEAN('Raw Data'!B421))</f>
        <v>Marveling at the kaleidoscope of colors in a vibrant street market.</v>
      </c>
      <c r="C421" s="4" t="str">
        <f>TRIM(PROPER('Raw Data'!C421))</f>
        <v>Marvel</v>
      </c>
      <c r="D421" s="5">
        <f>'Raw Data'!D421</f>
        <v>42238.625</v>
      </c>
      <c r="E421" s="4" t="str">
        <f>TRIM(SUBSTITUTE('Raw Data'!E421," "," "))</f>
        <v>MarketExplorer</v>
      </c>
      <c r="F421" s="4" t="str">
        <f>TRIM(PROPER('Raw Data'!F421))</f>
        <v>Instagram</v>
      </c>
      <c r="G421" s="8" t="str">
        <f>TRIM(CLEAN('Raw Data'!G421))</f>
        <v>#Marvel #ColorfulStreetMarket</v>
      </c>
      <c r="H421" s="12">
        <f>'Raw Data'!H421</f>
        <v>22</v>
      </c>
      <c r="I421" s="12">
        <v>35</v>
      </c>
      <c r="J421" s="12" t="str">
        <f>TRIM(UPPER('Raw Data'!J421))</f>
        <v>BRAZIL</v>
      </c>
      <c r="K421" s="12">
        <f>'Raw Data'!K421</f>
        <v>2015</v>
      </c>
      <c r="L421" s="12">
        <f>'Raw Data'!L421</f>
        <v>8</v>
      </c>
      <c r="M421" s="12">
        <f>'Raw Data'!M421</f>
        <v>22</v>
      </c>
      <c r="N421">
        <f>'Raw Data'!N421</f>
        <v>15</v>
      </c>
    </row>
    <row r="422" spans="1:14" ht="30" x14ac:dyDescent="0.25">
      <c r="A422" s="11">
        <f>'Raw Data'!A422</f>
        <v>420</v>
      </c>
      <c r="B422" s="8" t="str">
        <f>TRIM(CLEAN('Raw Data'!B422))</f>
        <v>Awash with serenity as the sun sets over a tranquil lakeside retreat.</v>
      </c>
      <c r="C422" s="4" t="str">
        <f>TRIM(PROPER('Raw Data'!C422))</f>
        <v>Serenity</v>
      </c>
      <c r="D422" s="5">
        <f>'Raw Data'!D422</f>
        <v>44155.78125</v>
      </c>
      <c r="E422" s="4" t="str">
        <f>TRIM(SUBSTITUTE('Raw Data'!E422," "," "))</f>
        <v>LakesideRetreater</v>
      </c>
      <c r="F422" s="4" t="str">
        <f>TRIM(PROPER('Raw Data'!F422))</f>
        <v>Facebook</v>
      </c>
      <c r="G422" s="8" t="str">
        <f>TRIM(CLEAN('Raw Data'!G422))</f>
        <v>#Serenity #TranquilSunset</v>
      </c>
      <c r="H422" s="12">
        <f>'Raw Data'!H422</f>
        <v>28</v>
      </c>
      <c r="I422" s="12">
        <v>45</v>
      </c>
      <c r="J422" s="12" t="str">
        <f>TRIM(UPPER('Raw Data'!J422))</f>
        <v>GERMANY</v>
      </c>
      <c r="K422" s="12">
        <f>'Raw Data'!K422</f>
        <v>2020</v>
      </c>
      <c r="L422" s="12">
        <f>'Raw Data'!L422</f>
        <v>11</v>
      </c>
      <c r="M422" s="12">
        <f>'Raw Data'!M422</f>
        <v>20</v>
      </c>
      <c r="N422">
        <f>'Raw Data'!N422</f>
        <v>18</v>
      </c>
    </row>
    <row r="423" spans="1:14" x14ac:dyDescent="0.25">
      <c r="A423" s="11">
        <f>'Raw Data'!A423</f>
        <v>421</v>
      </c>
      <c r="B423" s="8" t="str">
        <f>TRIM(CLEAN('Raw Data'!B423))</f>
        <v>Drowning in sorrow as memories of lost love resurface.</v>
      </c>
      <c r="C423" s="4" t="str">
        <f>TRIM(PROPER('Raw Data'!C423))</f>
        <v>Heartbreak</v>
      </c>
      <c r="D423" s="5">
        <f>'Raw Data'!D423</f>
        <v>43682.875</v>
      </c>
      <c r="E423" s="4" t="str">
        <f>TRIM(SUBSTITUTE('Raw Data'!E423," "," "))</f>
        <v>LostInLove</v>
      </c>
      <c r="F423" s="4" t="str">
        <f>TRIM(PROPER('Raw Data'!F423))</f>
        <v>Instagram</v>
      </c>
      <c r="G423" s="8" t="str">
        <f>TRIM(CLEAN('Raw Data'!G423))</f>
        <v>#Heartbreak #LostLove</v>
      </c>
      <c r="H423" s="12">
        <f>'Raw Data'!H423</f>
        <v>15</v>
      </c>
      <c r="I423" s="12">
        <v>55</v>
      </c>
      <c r="J423" s="12" t="str">
        <f>TRIM(UPPER('Raw Data'!J423))</f>
        <v>USA</v>
      </c>
      <c r="K423" s="12">
        <f>'Raw Data'!K423</f>
        <v>2019</v>
      </c>
      <c r="L423" s="12">
        <f>'Raw Data'!L423</f>
        <v>8</v>
      </c>
      <c r="M423" s="12">
        <f>'Raw Data'!M423</f>
        <v>5</v>
      </c>
      <c r="N423">
        <f>'Raw Data'!N423</f>
        <v>21</v>
      </c>
    </row>
    <row r="424" spans="1:14" ht="30" x14ac:dyDescent="0.25">
      <c r="A424" s="11">
        <f>'Raw Data'!A424</f>
        <v>422</v>
      </c>
      <c r="B424" s="8" t="str">
        <f>TRIM(CLEAN('Raw Data'!B424))</f>
        <v>Numbness sets in as the weight of loneliness grows heavier.</v>
      </c>
      <c r="C424" s="4" t="str">
        <f>TRIM(PROPER('Raw Data'!C424))</f>
        <v>Loneliness</v>
      </c>
      <c r="D424" s="5">
        <f>'Raw Data'!D424</f>
        <v>44239.697916666664</v>
      </c>
      <c r="E424" s="4" t="str">
        <f>TRIM(SUBSTITUTE('Raw Data'!E424," "," "))</f>
        <v>SolitudeSeeker</v>
      </c>
      <c r="F424" s="4" t="str">
        <f>TRIM(PROPER('Raw Data'!F424))</f>
        <v>Twitter</v>
      </c>
      <c r="G424" s="8" t="str">
        <f>TRIM(CLEAN('Raw Data'!G424))</f>
        <v>#Loneliness #HeavyHeart</v>
      </c>
      <c r="H424" s="12">
        <f>'Raw Data'!H424</f>
        <v>18</v>
      </c>
      <c r="I424" s="12">
        <v>30</v>
      </c>
      <c r="J424" s="12" t="str">
        <f>TRIM(UPPER('Raw Data'!J424))</f>
        <v>CANADA</v>
      </c>
      <c r="K424" s="12">
        <f>'Raw Data'!K424</f>
        <v>2021</v>
      </c>
      <c r="L424" s="12">
        <f>'Raw Data'!L424</f>
        <v>2</v>
      </c>
      <c r="M424" s="12">
        <f>'Raw Data'!M424</f>
        <v>12</v>
      </c>
      <c r="N424">
        <f>'Raw Data'!N424</f>
        <v>16</v>
      </c>
    </row>
    <row r="425" spans="1:14" ht="30" x14ac:dyDescent="0.25">
      <c r="A425" s="11">
        <f>'Raw Data'!A425</f>
        <v>423</v>
      </c>
      <c r="B425" s="8" t="str">
        <f>TRIM(CLEAN('Raw Data'!B425))</f>
        <v>Tears fall like raindrops, mourning the end of a cherished friendship.</v>
      </c>
      <c r="C425" s="4" t="str">
        <f>TRIM(PROPER('Raw Data'!C425))</f>
        <v>Grief</v>
      </c>
      <c r="D425" s="5">
        <f>'Raw Data'!D425</f>
        <v>44163.597222222219</v>
      </c>
      <c r="E425" s="4" t="str">
        <f>TRIM(SUBSTITUTE('Raw Data'!E425," "," "))</f>
        <v>FriendshipsEnd</v>
      </c>
      <c r="F425" s="4" t="str">
        <f>TRIM(PROPER('Raw Data'!F425))</f>
        <v>Facebook</v>
      </c>
      <c r="G425" s="8" t="str">
        <f>TRIM(CLEAN('Raw Data'!G425))</f>
        <v>#Grief #LostFriendship</v>
      </c>
      <c r="H425" s="12">
        <f>'Raw Data'!H425</f>
        <v>22</v>
      </c>
      <c r="I425" s="12">
        <v>35</v>
      </c>
      <c r="J425" s="12" t="str">
        <f>TRIM(UPPER('Raw Data'!J425))</f>
        <v>UK</v>
      </c>
      <c r="K425" s="12">
        <f>'Raw Data'!K425</f>
        <v>2020</v>
      </c>
      <c r="L425" s="12">
        <f>'Raw Data'!L425</f>
        <v>11</v>
      </c>
      <c r="M425" s="12">
        <f>'Raw Data'!M425</f>
        <v>28</v>
      </c>
      <c r="N425">
        <f>'Raw Data'!N425</f>
        <v>14</v>
      </c>
    </row>
    <row r="426" spans="1:14" ht="30" x14ac:dyDescent="0.25">
      <c r="A426" s="11">
        <f>'Raw Data'!A426</f>
        <v>424</v>
      </c>
      <c r="B426" s="8" t="str">
        <f>TRIM(CLEAN('Raw Data'!B426))</f>
        <v>Despair clouds the mind, feeling adrift in an endless sea of darkness.</v>
      </c>
      <c r="C426" s="4" t="str">
        <f>TRIM(PROPER('Raw Data'!C426))</f>
        <v>Despair</v>
      </c>
      <c r="D426" s="5">
        <f>'Raw Data'!D426</f>
        <v>42505.9375</v>
      </c>
      <c r="E426" s="4" t="str">
        <f>TRIM(SUBSTITUTE('Raw Data'!E426," "," "))</f>
        <v>LostInDarkness</v>
      </c>
      <c r="F426" s="4" t="str">
        <f>TRIM(PROPER('Raw Data'!F426))</f>
        <v>Instagram</v>
      </c>
      <c r="G426" s="8" t="str">
        <f>TRIM(CLEAN('Raw Data'!G426))</f>
        <v>#Despair #EndlessDarkness</v>
      </c>
      <c r="H426" s="12">
        <f>'Raw Data'!H426</f>
        <v>28</v>
      </c>
      <c r="I426" s="12">
        <v>45</v>
      </c>
      <c r="J426" s="12" t="str">
        <f>TRIM(UPPER('Raw Data'!J426))</f>
        <v>AUSTRALIA</v>
      </c>
      <c r="K426" s="12">
        <f>'Raw Data'!K426</f>
        <v>2016</v>
      </c>
      <c r="L426" s="12">
        <f>'Raw Data'!L426</f>
        <v>5</v>
      </c>
      <c r="M426" s="12">
        <f>'Raw Data'!M426</f>
        <v>15</v>
      </c>
      <c r="N426">
        <f>'Raw Data'!N426</f>
        <v>22</v>
      </c>
    </row>
    <row r="427" spans="1:14" x14ac:dyDescent="0.25">
      <c r="A427" s="11">
        <f>'Raw Data'!A427</f>
        <v>425</v>
      </c>
      <c r="B427" s="8" t="str">
        <f>TRIM(CLEAN('Raw Data'!B427))</f>
        <v>Shattered by betrayal, trust crumbles like fragile glass.</v>
      </c>
      <c r="C427" s="4" t="str">
        <f>TRIM(PROPER('Raw Data'!C427))</f>
        <v>Betrayal</v>
      </c>
      <c r="D427" s="5">
        <f>'Raw Data'!D427</f>
        <v>43353.552083333336</v>
      </c>
      <c r="E427" s="4" t="str">
        <f>TRIM(SUBSTITUTE('Raw Data'!E427," "," "))</f>
        <v>BrokenTrust</v>
      </c>
      <c r="F427" s="4" t="str">
        <f>TRIM(PROPER('Raw Data'!F427))</f>
        <v>Twitter</v>
      </c>
      <c r="G427" s="8" t="str">
        <f>TRIM(CLEAN('Raw Data'!G427))</f>
        <v>#Betrayal #ShatteredTrust</v>
      </c>
      <c r="H427" s="12">
        <f>'Raw Data'!H427</f>
        <v>22</v>
      </c>
      <c r="I427" s="12">
        <v>55</v>
      </c>
      <c r="J427" s="12" t="str">
        <f>TRIM(UPPER('Raw Data'!J427))</f>
        <v>GERMANY</v>
      </c>
      <c r="K427" s="12">
        <f>'Raw Data'!K427</f>
        <v>2018</v>
      </c>
      <c r="L427" s="12">
        <f>'Raw Data'!L427</f>
        <v>9</v>
      </c>
      <c r="M427" s="12">
        <f>'Raw Data'!M427</f>
        <v>10</v>
      </c>
      <c r="N427">
        <f>'Raw Data'!N427</f>
        <v>13</v>
      </c>
    </row>
    <row r="428" spans="1:14" ht="30" x14ac:dyDescent="0.25">
      <c r="A428" s="11">
        <f>'Raw Data'!A428</f>
        <v>426</v>
      </c>
      <c r="B428" s="8" t="str">
        <f>TRIM(CLEAN('Raw Data'!B428))</f>
        <v>Aching heart, the symphony of pain plays in the silence of solitude.</v>
      </c>
      <c r="C428" s="4" t="str">
        <f>TRIM(PROPER('Raw Data'!C428))</f>
        <v>Suffering</v>
      </c>
      <c r="D428" s="5">
        <f>'Raw Data'!D428</f>
        <v>44640.8125</v>
      </c>
      <c r="E428" s="4" t="str">
        <f>TRIM(SUBSTITUTE('Raw Data'!E428," "," "))</f>
        <v>SilentSufferer</v>
      </c>
      <c r="F428" s="4" t="str">
        <f>TRIM(PROPER('Raw Data'!F428))</f>
        <v>Facebook</v>
      </c>
      <c r="G428" s="8" t="str">
        <f>TRIM(CLEAN('Raw Data'!G428))</f>
        <v>#Suffering #HeartacheSymphony</v>
      </c>
      <c r="H428" s="12">
        <f>'Raw Data'!H428</f>
        <v>25</v>
      </c>
      <c r="I428" s="12">
        <v>45</v>
      </c>
      <c r="J428" s="12" t="str">
        <f>TRIM(UPPER('Raw Data'!J428))</f>
        <v>BRAZIL</v>
      </c>
      <c r="K428" s="12">
        <f>'Raw Data'!K428</f>
        <v>2022</v>
      </c>
      <c r="L428" s="12">
        <f>'Raw Data'!L428</f>
        <v>3</v>
      </c>
      <c r="M428" s="12">
        <f>'Raw Data'!M428</f>
        <v>20</v>
      </c>
      <c r="N428">
        <f>'Raw Data'!N428</f>
        <v>19</v>
      </c>
    </row>
    <row r="429" spans="1:14" ht="30" x14ac:dyDescent="0.25">
      <c r="A429" s="11">
        <f>'Raw Data'!A429</f>
        <v>427</v>
      </c>
      <c r="B429" s="8" t="str">
        <f>TRIM(CLEAN('Raw Data'!B429))</f>
        <v>Emotional storm, a whirlwind of sadness engulfs every thought.</v>
      </c>
      <c r="C429" s="4" t="str">
        <f>TRIM(PROPER('Raw Data'!C429))</f>
        <v>Emotionalstorm</v>
      </c>
      <c r="D429" s="5">
        <f>'Raw Data'!D429</f>
        <v>42934.739583333336</v>
      </c>
      <c r="E429" s="4" t="str">
        <f>TRIM(SUBSTITUTE('Raw Data'!E429," "," "))</f>
        <v>StormyFeelings</v>
      </c>
      <c r="F429" s="4" t="str">
        <f>TRIM(PROPER('Raw Data'!F429))</f>
        <v>Instagram</v>
      </c>
      <c r="G429" s="8" t="str">
        <f>TRIM(CLEAN('Raw Data'!G429))</f>
        <v>#EmotionalStorm #SadnessWhirlwind</v>
      </c>
      <c r="H429" s="12">
        <f>'Raw Data'!H429</f>
        <v>30</v>
      </c>
      <c r="I429" s="12">
        <v>50</v>
      </c>
      <c r="J429" s="12" t="str">
        <f>TRIM(UPPER('Raw Data'!J429))</f>
        <v>INDIA</v>
      </c>
      <c r="K429" s="12">
        <f>'Raw Data'!K429</f>
        <v>2017</v>
      </c>
      <c r="L429" s="12">
        <f>'Raw Data'!L429</f>
        <v>7</v>
      </c>
      <c r="M429" s="12">
        <f>'Raw Data'!M429</f>
        <v>18</v>
      </c>
      <c r="N429">
        <f>'Raw Data'!N429</f>
        <v>17</v>
      </c>
    </row>
    <row r="430" spans="1:14" ht="30" x14ac:dyDescent="0.25">
      <c r="A430" s="11">
        <f>'Raw Data'!A430</f>
        <v>428</v>
      </c>
      <c r="B430" s="8" t="str">
        <f>TRIM(CLEAN('Raw Data'!B430))</f>
        <v>Haunted by regrets, the ghost of the past lingers relentlessly.</v>
      </c>
      <c r="C430" s="4" t="str">
        <f>TRIM(PROPER('Raw Data'!C430))</f>
        <v>Regret</v>
      </c>
      <c r="D430" s="5">
        <f>'Raw Data'!D430</f>
        <v>43449.416666666664</v>
      </c>
      <c r="E430" s="4" t="str">
        <f>TRIM(SUBSTITUTE('Raw Data'!E430," "," "))</f>
        <v>LingeringGhost</v>
      </c>
      <c r="F430" s="4" t="str">
        <f>TRIM(PROPER('Raw Data'!F430))</f>
        <v>Twitter</v>
      </c>
      <c r="G430" s="8" t="str">
        <f>TRIM(CLEAN('Raw Data'!G430))</f>
        <v>#Regret #HauntedPast</v>
      </c>
      <c r="H430" s="12">
        <f>'Raw Data'!H430</f>
        <v>18</v>
      </c>
      <c r="I430" s="12">
        <v>60</v>
      </c>
      <c r="J430" s="12" t="str">
        <f>TRIM(UPPER('Raw Data'!J430))</f>
        <v>FRANCE</v>
      </c>
      <c r="K430" s="12">
        <f>'Raw Data'!K430</f>
        <v>2018</v>
      </c>
      <c r="L430" s="12">
        <f>'Raw Data'!L430</f>
        <v>12</v>
      </c>
      <c r="M430" s="12">
        <f>'Raw Data'!M430</f>
        <v>15</v>
      </c>
      <c r="N430">
        <f>'Raw Data'!N430</f>
        <v>10</v>
      </c>
    </row>
    <row r="431" spans="1:14" ht="30" x14ac:dyDescent="0.25">
      <c r="A431" s="11">
        <f>'Raw Data'!A431</f>
        <v>429</v>
      </c>
      <c r="B431" s="8" t="str">
        <f>TRIM(CLEAN('Raw Data'!B431))</f>
        <v>Torn apart by grief, the echoes of loss reverberate through the soul.</v>
      </c>
      <c r="C431" s="4" t="str">
        <f>TRIM(PROPER('Raw Data'!C431))</f>
        <v>Grief</v>
      </c>
      <c r="D431" s="5">
        <f>'Raw Data'!D431</f>
        <v>42183.885416666664</v>
      </c>
      <c r="E431" s="4" t="str">
        <f>TRIM(SUBSTITUTE('Raw Data'!E431," "," "))</f>
        <v>EchoesOfLoss</v>
      </c>
      <c r="F431" s="4" t="str">
        <f>TRIM(PROPER('Raw Data'!F431))</f>
        <v>Facebook</v>
      </c>
      <c r="G431" s="8" t="str">
        <f>TRIM(CLEAN('Raw Data'!G431))</f>
        <v>#Grief #TornApart</v>
      </c>
      <c r="H431" s="12">
        <f>'Raw Data'!H431</f>
        <v>28</v>
      </c>
      <c r="I431" s="12">
        <v>35</v>
      </c>
      <c r="J431" s="12" t="str">
        <f>TRIM(UPPER('Raw Data'!J431))</f>
        <v>ITALY</v>
      </c>
      <c r="K431" s="12">
        <f>'Raw Data'!K431</f>
        <v>2015</v>
      </c>
      <c r="L431" s="12">
        <f>'Raw Data'!L431</f>
        <v>6</v>
      </c>
      <c r="M431" s="12">
        <f>'Raw Data'!M431</f>
        <v>28</v>
      </c>
      <c r="N431">
        <f>'Raw Data'!N431</f>
        <v>21</v>
      </c>
    </row>
    <row r="432" spans="1:14" ht="30" x14ac:dyDescent="0.25">
      <c r="A432" s="11">
        <f>'Raw Data'!A432</f>
        <v>430</v>
      </c>
      <c r="B432" s="8" t="str">
        <f>TRIM(CLEAN('Raw Data'!B432))</f>
        <v>Isolation deepens, an emotional winter where warmth is but a distant memory.</v>
      </c>
      <c r="C432" s="4" t="str">
        <f>TRIM(PROPER('Raw Data'!C432))</f>
        <v>Isolation</v>
      </c>
      <c r="D432" s="5">
        <f>'Raw Data'!D432</f>
        <v>43923.597222222219</v>
      </c>
      <c r="E432" s="4" t="str">
        <f>TRIM(SUBSTITUTE('Raw Data'!E432," "," "))</f>
        <v>WinterOfEmotions</v>
      </c>
      <c r="F432" s="4" t="str">
        <f>TRIM(PROPER('Raw Data'!F432))</f>
        <v>Instagram</v>
      </c>
      <c r="G432" s="8" t="str">
        <f>TRIM(CLEAN('Raw Data'!G432))</f>
        <v>#Isolation #EmotionalWinter</v>
      </c>
      <c r="H432" s="12">
        <f>'Raw Data'!H432</f>
        <v>35</v>
      </c>
      <c r="I432" s="12">
        <v>55</v>
      </c>
      <c r="J432" s="12" t="str">
        <f>TRIM(UPPER('Raw Data'!J432))</f>
        <v>JAPAN</v>
      </c>
      <c r="K432" s="12">
        <f>'Raw Data'!K432</f>
        <v>2020</v>
      </c>
      <c r="L432" s="12">
        <f>'Raw Data'!L432</f>
        <v>4</v>
      </c>
      <c r="M432" s="12">
        <f>'Raw Data'!M432</f>
        <v>2</v>
      </c>
      <c r="N432">
        <f>'Raw Data'!N432</f>
        <v>14</v>
      </c>
    </row>
    <row r="433" spans="1:14" ht="30" x14ac:dyDescent="0.25">
      <c r="A433" s="11">
        <f>'Raw Data'!A433</f>
        <v>431</v>
      </c>
      <c r="B433" s="8" t="str">
        <f>TRIM(CLEAN('Raw Data'!B433))</f>
        <v>Soul-crushing disappointment, hopes shattered like fragile glass.</v>
      </c>
      <c r="C433" s="4" t="str">
        <f>TRIM(PROPER('Raw Data'!C433))</f>
        <v>Disappointment</v>
      </c>
      <c r="D433" s="5">
        <f>'Raw Data'!D433</f>
        <v>43746.770833333336</v>
      </c>
      <c r="E433" s="4" t="str">
        <f>TRIM(SUBSTITUTE('Raw Data'!E433," "," "))</f>
        <v>ShatteredHopes</v>
      </c>
      <c r="F433" s="4" t="str">
        <f>TRIM(PROPER('Raw Data'!F433))</f>
        <v>Twitter</v>
      </c>
      <c r="G433" s="8" t="str">
        <f>TRIM(CLEAN('Raw Data'!G433))</f>
        <v>#Disappointment #CrushedHopes</v>
      </c>
      <c r="H433" s="12">
        <f>'Raw Data'!H433</f>
        <v>20</v>
      </c>
      <c r="I433" s="12">
        <v>70</v>
      </c>
      <c r="J433" s="12" t="str">
        <f>TRIM(UPPER('Raw Data'!J433))</f>
        <v>SPAIN</v>
      </c>
      <c r="K433" s="12">
        <f>'Raw Data'!K433</f>
        <v>2019</v>
      </c>
      <c r="L433" s="12">
        <f>'Raw Data'!L433</f>
        <v>10</v>
      </c>
      <c r="M433" s="12">
        <f>'Raw Data'!M433</f>
        <v>8</v>
      </c>
      <c r="N433">
        <f>'Raw Data'!N433</f>
        <v>18</v>
      </c>
    </row>
    <row r="434" spans="1:14" ht="30" x14ac:dyDescent="0.25">
      <c r="A434" s="11">
        <f>'Raw Data'!A434</f>
        <v>432</v>
      </c>
      <c r="B434" s="8" t="str">
        <f>TRIM(CLEAN('Raw Data'!B434))</f>
        <v>Painful echoes of a love once cherished, now lost in the abyss of time.</v>
      </c>
      <c r="C434" s="4" t="str">
        <f>TRIM(PROPER('Raw Data'!C434))</f>
        <v>Lostlove</v>
      </c>
      <c r="D434" s="5">
        <f>'Raw Data'!D434</f>
        <v>42696.40625</v>
      </c>
      <c r="E434" s="4" t="str">
        <f>TRIM(SUBSTITUTE('Raw Data'!E434," "," "))</f>
        <v>AbyssOfTime</v>
      </c>
      <c r="F434" s="4" t="str">
        <f>TRIM(PROPER('Raw Data'!F434))</f>
        <v>Facebook</v>
      </c>
      <c r="G434" s="8" t="str">
        <f>TRIM(CLEAN('Raw Data'!G434))</f>
        <v>#LostLove #PainfulEchoes</v>
      </c>
      <c r="H434" s="12">
        <f>'Raw Data'!H434</f>
        <v>22</v>
      </c>
      <c r="I434" s="12">
        <v>40</v>
      </c>
      <c r="J434" s="12" t="str">
        <f>TRIM(UPPER('Raw Data'!J434))</f>
        <v>NETHERLANDS</v>
      </c>
      <c r="K434" s="12">
        <f>'Raw Data'!K434</f>
        <v>2016</v>
      </c>
      <c r="L434" s="12">
        <f>'Raw Data'!L434</f>
        <v>11</v>
      </c>
      <c r="M434" s="12">
        <f>'Raw Data'!M434</f>
        <v>22</v>
      </c>
      <c r="N434">
        <f>'Raw Data'!N434</f>
        <v>9</v>
      </c>
    </row>
    <row r="435" spans="1:14" ht="30" x14ac:dyDescent="0.25">
      <c r="A435" s="11">
        <f>'Raw Data'!A435</f>
        <v>433</v>
      </c>
      <c r="B435" s="8" t="str">
        <f>TRIM(CLEAN('Raw Data'!B435))</f>
        <v>Heartache deepens, a solitary journey through the abyss of despair.</v>
      </c>
      <c r="C435" s="4" t="str">
        <f>TRIM(PROPER('Raw Data'!C435))</f>
        <v>Despair</v>
      </c>
      <c r="D435" s="5">
        <f>'Raw Data'!D435</f>
        <v>44791.916666666664</v>
      </c>
      <c r="E435" s="4" t="str">
        <f>TRIM(SUBSTITUTE('Raw Data'!E435," "," "))</f>
        <v>SolitaryDescent</v>
      </c>
      <c r="F435" s="4" t="str">
        <f>TRIM(PROPER('Raw Data'!F435))</f>
        <v>Instagram</v>
      </c>
      <c r="G435" s="8" t="str">
        <f>TRIM(CLEAN('Raw Data'!G435))</f>
        <v>#Despair #AbyssOfHeartache</v>
      </c>
      <c r="H435" s="12">
        <f>'Raw Data'!H435</f>
        <v>40</v>
      </c>
      <c r="I435" s="12">
        <v>45</v>
      </c>
      <c r="J435" s="12" t="str">
        <f>TRIM(UPPER('Raw Data'!J435))</f>
        <v>SOUTH AFRICA</v>
      </c>
      <c r="K435" s="12">
        <f>'Raw Data'!K435</f>
        <v>2022</v>
      </c>
      <c r="L435" s="12">
        <f>'Raw Data'!L435</f>
        <v>8</v>
      </c>
      <c r="M435" s="12">
        <f>'Raw Data'!M435</f>
        <v>18</v>
      </c>
      <c r="N435">
        <f>'Raw Data'!N435</f>
        <v>22</v>
      </c>
    </row>
    <row r="436" spans="1:14" ht="30" x14ac:dyDescent="0.25">
      <c r="A436" s="11">
        <f>'Raw Data'!A436</f>
        <v>434</v>
      </c>
      <c r="B436" s="8" t="str">
        <f>TRIM(CLEAN('Raw Data'!B436))</f>
        <v>Melancholy lingers, a bittersweet serenade in the quietude of solitude.</v>
      </c>
      <c r="C436" s="4" t="str">
        <f>TRIM(PROPER('Raw Data'!C436))</f>
        <v>Melancholy</v>
      </c>
      <c r="D436" s="5">
        <f>'Raw Data'!D436</f>
        <v>42806.979166666664</v>
      </c>
      <c r="E436" s="4" t="str">
        <f>TRIM(SUBSTITUTE('Raw Data'!E436," "," "))</f>
        <v>SerenadeOfSolitude</v>
      </c>
      <c r="F436" s="4" t="str">
        <f>TRIM(PROPER('Raw Data'!F436))</f>
        <v>Twitter</v>
      </c>
      <c r="G436" s="8" t="str">
        <f>TRIM(CLEAN('Raw Data'!G436))</f>
        <v>#Melancholy #QuietSerenade</v>
      </c>
      <c r="H436" s="12">
        <f>'Raw Data'!H436</f>
        <v>18</v>
      </c>
      <c r="I436" s="12">
        <v>80</v>
      </c>
      <c r="J436" s="12" t="str">
        <f>TRIM(UPPER('Raw Data'!J436))</f>
        <v>UK</v>
      </c>
      <c r="K436" s="12">
        <f>'Raw Data'!K436</f>
        <v>2017</v>
      </c>
      <c r="L436" s="12">
        <f>'Raw Data'!L436</f>
        <v>3</v>
      </c>
      <c r="M436" s="12">
        <f>'Raw Data'!M436</f>
        <v>12</v>
      </c>
      <c r="N436">
        <f>'Raw Data'!N436</f>
        <v>23</v>
      </c>
    </row>
    <row r="437" spans="1:14" ht="30" x14ac:dyDescent="0.25">
      <c r="A437" s="11">
        <f>'Raw Data'!A437</f>
        <v>435</v>
      </c>
      <c r="B437" s="8" t="str">
        <f>TRIM(CLEAN('Raw Data'!B437))</f>
        <v>Bitterness like a poison, seeping into every crevice of the wounded heart.</v>
      </c>
      <c r="C437" s="4" t="str">
        <f>TRIM(PROPER('Raw Data'!C437))</f>
        <v>Bitterness</v>
      </c>
      <c r="D437" s="5">
        <f>'Raw Data'!D437</f>
        <v>42353.677083333336</v>
      </c>
      <c r="E437" s="4" t="str">
        <f>TRIM(SUBSTITUTE('Raw Data'!E437," "," "))</f>
        <v>PoisonedHeart</v>
      </c>
      <c r="F437" s="4" t="str">
        <f>TRIM(PROPER('Raw Data'!F437))</f>
        <v>Facebook</v>
      </c>
      <c r="G437" s="8" t="str">
        <f>TRIM(CLEAN('Raw Data'!G437))</f>
        <v>#Bitterness #WoundedHeart</v>
      </c>
      <c r="H437" s="12">
        <f>'Raw Data'!H437</f>
        <v>25</v>
      </c>
      <c r="I437" s="12">
        <v>35</v>
      </c>
      <c r="J437" s="12" t="str">
        <f>TRIM(UPPER('Raw Data'!J437))</f>
        <v>AUSTRALIA</v>
      </c>
      <c r="K437" s="12">
        <f>'Raw Data'!K437</f>
        <v>2015</v>
      </c>
      <c r="L437" s="12">
        <f>'Raw Data'!L437</f>
        <v>12</v>
      </c>
      <c r="M437" s="12">
        <f>'Raw Data'!M437</f>
        <v>15</v>
      </c>
      <c r="N437">
        <f>'Raw Data'!N437</f>
        <v>16</v>
      </c>
    </row>
    <row r="438" spans="1:14" ht="30" x14ac:dyDescent="0.25">
      <c r="A438" s="11">
        <f>'Raw Data'!A438</f>
        <v>436</v>
      </c>
      <c r="B438" s="8" t="str">
        <f>TRIM(CLEAN('Raw Data'!B438))</f>
        <v>Emotional exhaustion, the weight of the world crushing weary shoulders.</v>
      </c>
      <c r="C438" s="4" t="str">
        <f>TRIM(PROPER('Raw Data'!C438))</f>
        <v>Exhaustion</v>
      </c>
      <c r="D438" s="5">
        <f>'Raw Data'!D438</f>
        <v>44444.5625</v>
      </c>
      <c r="E438" s="4" t="str">
        <f>TRIM(SUBSTITUTE('Raw Data'!E438," "," "))</f>
        <v>WearySoulCrushed</v>
      </c>
      <c r="F438" s="4" t="str">
        <f>TRIM(PROPER('Raw Data'!F438))</f>
        <v>Instagram</v>
      </c>
      <c r="G438" s="8" t="str">
        <f>TRIM(CLEAN('Raw Data'!G438))</f>
        <v>#Exhaustion #CrushedSpirit</v>
      </c>
      <c r="H438" s="12">
        <f>'Raw Data'!H438</f>
        <v>35</v>
      </c>
      <c r="I438" s="12">
        <v>50</v>
      </c>
      <c r="J438" s="12" t="str">
        <f>TRIM(UPPER('Raw Data'!J438))</f>
        <v>CANADA</v>
      </c>
      <c r="K438" s="12">
        <f>'Raw Data'!K438</f>
        <v>2021</v>
      </c>
      <c r="L438" s="12">
        <f>'Raw Data'!L438</f>
        <v>9</v>
      </c>
      <c r="M438" s="12">
        <f>'Raw Data'!M438</f>
        <v>5</v>
      </c>
      <c r="N438">
        <f>'Raw Data'!N438</f>
        <v>13</v>
      </c>
    </row>
    <row r="439" spans="1:14" ht="30" x14ac:dyDescent="0.25">
      <c r="A439" s="11">
        <f>'Raw Data'!A439</f>
        <v>437</v>
      </c>
      <c r="B439" s="8" t="str">
        <f>TRIM(CLEAN('Raw Data'!B439))</f>
        <v>Sorrowful echoes, a symphony of pain played by the strings of loss.</v>
      </c>
      <c r="C439" s="4" t="str">
        <f>TRIM(PROPER('Raw Data'!C439))</f>
        <v>Sorrow</v>
      </c>
      <c r="D439" s="5">
        <f>'Raw Data'!D439</f>
        <v>43242.864583333336</v>
      </c>
      <c r="E439" s="4" t="str">
        <f>TRIM(SUBSTITUTE('Raw Data'!E439," "," "))</f>
        <v>StringsOfSorrow</v>
      </c>
      <c r="F439" s="4" t="str">
        <f>TRIM(PROPER('Raw Data'!F439))</f>
        <v>Twitter</v>
      </c>
      <c r="G439" s="8" t="str">
        <f>TRIM(CLEAN('Raw Data'!G439))</f>
        <v>#Sorrow #SymphonyOfLoss</v>
      </c>
      <c r="H439" s="12">
        <f>'Raw Data'!H439</f>
        <v>18</v>
      </c>
      <c r="I439" s="12">
        <v>70</v>
      </c>
      <c r="J439" s="12" t="str">
        <f>TRIM(UPPER('Raw Data'!J439))</f>
        <v>GERMANY</v>
      </c>
      <c r="K439" s="12">
        <f>'Raw Data'!K439</f>
        <v>2018</v>
      </c>
      <c r="L439" s="12">
        <f>'Raw Data'!L439</f>
        <v>5</v>
      </c>
      <c r="M439" s="12">
        <f>'Raw Data'!M439</f>
        <v>22</v>
      </c>
      <c r="N439">
        <f>'Raw Data'!N439</f>
        <v>20</v>
      </c>
    </row>
    <row r="440" spans="1:14" ht="30" x14ac:dyDescent="0.25">
      <c r="A440" s="11">
        <f>'Raw Data'!A440</f>
        <v>438</v>
      </c>
      <c r="B440" s="8" t="str">
        <f>TRIM(CLEAN('Raw Data'!B440))</f>
        <v>Darkness descends, engulfing the soul in the shadows of despair.</v>
      </c>
      <c r="C440" s="4" t="str">
        <f>TRIM(PROPER('Raw Data'!C440))</f>
        <v>Darkness</v>
      </c>
      <c r="D440" s="5">
        <f>'Raw Data'!D440</f>
        <v>42561.763888888891</v>
      </c>
      <c r="E440" s="4" t="str">
        <f>TRIM(SUBSTITUTE('Raw Data'!E440," "," "))</f>
        <v>SoulInShadow</v>
      </c>
      <c r="F440" s="4" t="str">
        <f>TRIM(PROPER('Raw Data'!F440))</f>
        <v>Facebook</v>
      </c>
      <c r="G440" s="8" t="str">
        <f>TRIM(CLEAN('Raw Data'!G440))</f>
        <v>#Darkness #SoulEngulfed</v>
      </c>
      <c r="H440" s="12">
        <f>'Raw Data'!H440</f>
        <v>28</v>
      </c>
      <c r="I440" s="12">
        <v>35</v>
      </c>
      <c r="J440" s="12" t="str">
        <f>TRIM(UPPER('Raw Data'!J440))</f>
        <v>USA</v>
      </c>
      <c r="K440" s="12">
        <f>'Raw Data'!K440</f>
        <v>2016</v>
      </c>
      <c r="L440" s="12">
        <f>'Raw Data'!L440</f>
        <v>7</v>
      </c>
      <c r="M440" s="12">
        <f>'Raw Data'!M440</f>
        <v>10</v>
      </c>
      <c r="N440">
        <f>'Raw Data'!N440</f>
        <v>18</v>
      </c>
    </row>
    <row r="441" spans="1:14" ht="30" x14ac:dyDescent="0.25">
      <c r="A441" s="11">
        <f>'Raw Data'!A441</f>
        <v>439</v>
      </c>
      <c r="B441" s="8" t="str">
        <f>TRIM(CLEAN('Raw Data'!B441))</f>
        <v>Desperation whispers, the silent plea for a glimmer of hope in the abyss.</v>
      </c>
      <c r="C441" s="4" t="str">
        <f>TRIM(PROPER('Raw Data'!C441))</f>
        <v>Desperation</v>
      </c>
      <c r="D441" s="5">
        <f>'Raw Data'!D441</f>
        <v>43585.583333333336</v>
      </c>
      <c r="E441" s="4" t="str">
        <f>TRIM(SUBSTITUTE('Raw Data'!E441," "," "))</f>
        <v>WhisperedDespair</v>
      </c>
      <c r="F441" s="4" t="str">
        <f>TRIM(PROPER('Raw Data'!F441))</f>
        <v>Instagram</v>
      </c>
      <c r="G441" s="8" t="str">
        <f>TRIM(CLEAN('Raw Data'!G441))</f>
        <v>#Desperation #GlimmerOfHope</v>
      </c>
      <c r="H441" s="12">
        <f>'Raw Data'!H441</f>
        <v>22</v>
      </c>
      <c r="I441" s="12">
        <v>55</v>
      </c>
      <c r="J441" s="12" t="str">
        <f>TRIM(UPPER('Raw Data'!J441))</f>
        <v>FRANCE</v>
      </c>
      <c r="K441" s="12">
        <f>'Raw Data'!K441</f>
        <v>2019</v>
      </c>
      <c r="L441" s="12">
        <f>'Raw Data'!L441</f>
        <v>4</v>
      </c>
      <c r="M441" s="12">
        <f>'Raw Data'!M441</f>
        <v>30</v>
      </c>
      <c r="N441">
        <f>'Raw Data'!N441</f>
        <v>14</v>
      </c>
    </row>
    <row r="442" spans="1:14" ht="30" x14ac:dyDescent="0.25">
      <c r="A442" s="11">
        <f>'Raw Data'!A442</f>
        <v>440</v>
      </c>
      <c r="B442" s="8" t="str">
        <f>TRIM(CLEAN('Raw Data'!B442))</f>
        <v>Heart in ruins, the remnants of shattered dreams scattered in the wind.</v>
      </c>
      <c r="C442" s="4" t="str">
        <f>TRIM(PROPER('Raw Data'!C442))</f>
        <v>Ruins</v>
      </c>
      <c r="D442" s="5">
        <f>'Raw Data'!D442</f>
        <v>44569.479166666664</v>
      </c>
      <c r="E442" s="4" t="str">
        <f>TRIM(SUBSTITUTE('Raw Data'!E442," "," "))</f>
        <v>DreamsInWind</v>
      </c>
      <c r="F442" s="4" t="str">
        <f>TRIM(PROPER('Raw Data'!F442))</f>
        <v>Twitter</v>
      </c>
      <c r="G442" s="8" t="str">
        <f>TRIM(CLEAN('Raw Data'!G442))</f>
        <v>#Ruins #ShatteredDreams</v>
      </c>
      <c r="H442" s="12">
        <f>'Raw Data'!H442</f>
        <v>20</v>
      </c>
      <c r="I442" s="12">
        <v>45</v>
      </c>
      <c r="J442" s="12" t="str">
        <f>TRIM(UPPER('Raw Data'!J442))</f>
        <v>BRAZIL</v>
      </c>
      <c r="K442" s="12">
        <f>'Raw Data'!K442</f>
        <v>2022</v>
      </c>
      <c r="L442" s="12">
        <f>'Raw Data'!L442</f>
        <v>1</v>
      </c>
      <c r="M442" s="12">
        <f>'Raw Data'!M442</f>
        <v>8</v>
      </c>
      <c r="N442">
        <f>'Raw Data'!N442</f>
        <v>11</v>
      </c>
    </row>
    <row r="443" spans="1:14" ht="30" x14ac:dyDescent="0.25">
      <c r="A443" s="11">
        <f>'Raw Data'!A443</f>
        <v>441</v>
      </c>
      <c r="B443" s="8" t="str">
        <f>TRIM(CLEAN('Raw Data'!B443))</f>
        <v>Shattered by the echoes of a shattered dream, fragments of hope scattered.</v>
      </c>
      <c r="C443" s="4" t="str">
        <f>TRIM(PROPER('Raw Data'!C443))</f>
        <v>Desolation</v>
      </c>
      <c r="D443" s="5">
        <f>'Raw Data'!D443</f>
        <v>42988.802083333336</v>
      </c>
      <c r="E443" s="4" t="str">
        <f>TRIM(SUBSTITUTE('Raw Data'!E443," "," "))</f>
        <v>DreamEchoes</v>
      </c>
      <c r="F443" s="4" t="str">
        <f>TRIM(PROPER('Raw Data'!F443))</f>
        <v>Twitter</v>
      </c>
      <c r="G443" s="8" t="str">
        <f>TRIM(CLEAN('Raw Data'!G443))</f>
        <v>#Desolation #ScatteredHope</v>
      </c>
      <c r="H443" s="12">
        <f>'Raw Data'!H443</f>
        <v>20</v>
      </c>
      <c r="I443" s="12">
        <v>40</v>
      </c>
      <c r="J443" s="12" t="str">
        <f>TRIM(UPPER('Raw Data'!J443))</f>
        <v>AUSTRALIA</v>
      </c>
      <c r="K443" s="12">
        <f>'Raw Data'!K443</f>
        <v>2017</v>
      </c>
      <c r="L443" s="12">
        <f>'Raw Data'!L443</f>
        <v>9</v>
      </c>
      <c r="M443" s="12">
        <f>'Raw Data'!M443</f>
        <v>10</v>
      </c>
      <c r="N443">
        <f>'Raw Data'!N443</f>
        <v>19</v>
      </c>
    </row>
    <row r="444" spans="1:14" ht="30" x14ac:dyDescent="0.25">
      <c r="A444" s="11">
        <f>'Raw Data'!A444</f>
        <v>442</v>
      </c>
      <c r="B444" s="8" t="str">
        <f>TRIM(CLEAN('Raw Data'!B444))</f>
        <v>Avoiding the thorns of regret, walking barefoot on the path of remorse.</v>
      </c>
      <c r="C444" s="4" t="str">
        <f>TRIM(PROPER('Raw Data'!C444))</f>
        <v>Regret</v>
      </c>
      <c r="D444" s="5">
        <f>'Raw Data'!D444</f>
        <v>44669.479166666664</v>
      </c>
      <c r="E444" s="4" t="str">
        <f>TRIM(SUBSTITUTE('Raw Data'!E444," "," "))</f>
        <v>RemorseWalker</v>
      </c>
      <c r="F444" s="4" t="str">
        <f>TRIM(PROPER('Raw Data'!F444))</f>
        <v>Instagram</v>
      </c>
      <c r="G444" s="8" t="str">
        <f>TRIM(CLEAN('Raw Data'!G444))</f>
        <v>#Regret #PathOfRemorse</v>
      </c>
      <c r="H444" s="12">
        <f>'Raw Data'!H444</f>
        <v>25</v>
      </c>
      <c r="I444" s="12">
        <v>40</v>
      </c>
      <c r="J444" s="12" t="str">
        <f>TRIM(UPPER('Raw Data'!J444))</f>
        <v>CANADA</v>
      </c>
      <c r="K444" s="12">
        <f>'Raw Data'!K444</f>
        <v>2022</v>
      </c>
      <c r="L444" s="12">
        <f>'Raw Data'!L444</f>
        <v>4</v>
      </c>
      <c r="M444" s="12">
        <f>'Raw Data'!M444</f>
        <v>18</v>
      </c>
      <c r="N444">
        <f>'Raw Data'!N444</f>
        <v>11</v>
      </c>
    </row>
    <row r="445" spans="1:14" ht="30" x14ac:dyDescent="0.25">
      <c r="A445" s="11">
        <f>'Raw Data'!A445</f>
        <v>443</v>
      </c>
      <c r="B445" s="8" t="str">
        <f>TRIM(CLEAN('Raw Data'!B445))</f>
        <v>In the labyrinth of grief, the walls echo with the footsteps of lost joy.</v>
      </c>
      <c r="C445" s="4" t="str">
        <f>TRIM(PROPER('Raw Data'!C445))</f>
        <v>Grief</v>
      </c>
      <c r="D445" s="5">
        <f>'Raw Data'!D445</f>
        <v>43439.90625</v>
      </c>
      <c r="E445" s="4" t="str">
        <f>TRIM(SUBSTITUTE('Raw Data'!E445," "," "))</f>
        <v>JoyLabyrinth</v>
      </c>
      <c r="F445" s="4" t="str">
        <f>TRIM(PROPER('Raw Data'!F445))</f>
        <v>Facebook</v>
      </c>
      <c r="G445" s="8" t="str">
        <f>TRIM(CLEAN('Raw Data'!G445))</f>
        <v>#Grief #LostJoyFootsteps</v>
      </c>
      <c r="H445" s="12">
        <f>'Raw Data'!H445</f>
        <v>18</v>
      </c>
      <c r="I445" s="12">
        <v>50</v>
      </c>
      <c r="J445" s="12" t="str">
        <f>TRIM(UPPER('Raw Data'!J445))</f>
        <v>USA</v>
      </c>
      <c r="K445" s="12">
        <f>'Raw Data'!K445</f>
        <v>2018</v>
      </c>
      <c r="L445" s="12">
        <f>'Raw Data'!L445</f>
        <v>12</v>
      </c>
      <c r="M445" s="12">
        <f>'Raw Data'!M445</f>
        <v>5</v>
      </c>
      <c r="N445">
        <f>'Raw Data'!N445</f>
        <v>21</v>
      </c>
    </row>
    <row r="446" spans="1:14" ht="30" x14ac:dyDescent="0.25">
      <c r="A446" s="11">
        <f>'Raw Data'!A446</f>
        <v>444</v>
      </c>
      <c r="B446" s="8" t="str">
        <f>TRIM(CLEAN('Raw Data'!B446))</f>
        <v>A soul adrift in the sea of solitude, waves of loneliness crashing relentlessly.</v>
      </c>
      <c r="C446" s="4" t="str">
        <f>TRIM(PROPER('Raw Data'!C446))</f>
        <v>Loneliness</v>
      </c>
      <c r="D446" s="5">
        <f>'Raw Data'!D446</f>
        <v>42549.597222222219</v>
      </c>
      <c r="E446" s="4" t="str">
        <f>TRIM(SUBSTITUTE('Raw Data'!E446," "," "))</f>
        <v>SolitudeSeas</v>
      </c>
      <c r="F446" s="4" t="str">
        <f>TRIM(PROPER('Raw Data'!F446))</f>
        <v>Twitter</v>
      </c>
      <c r="G446" s="8" t="str">
        <f>TRIM(CLEAN('Raw Data'!G446))</f>
        <v>#Loneliness #CrashingWaves</v>
      </c>
      <c r="H446" s="12">
        <f>'Raw Data'!H446</f>
        <v>22</v>
      </c>
      <c r="I446" s="12">
        <v>35</v>
      </c>
      <c r="J446" s="12" t="str">
        <f>TRIM(UPPER('Raw Data'!J446))</f>
        <v>UK</v>
      </c>
      <c r="K446" s="12">
        <f>'Raw Data'!K446</f>
        <v>2016</v>
      </c>
      <c r="L446" s="12">
        <f>'Raw Data'!L446</f>
        <v>6</v>
      </c>
      <c r="M446" s="12">
        <f>'Raw Data'!M446</f>
        <v>28</v>
      </c>
      <c r="N446">
        <f>'Raw Data'!N446</f>
        <v>14</v>
      </c>
    </row>
    <row r="447" spans="1:14" ht="30" x14ac:dyDescent="0.25">
      <c r="A447" s="11">
        <f>'Raw Data'!A447</f>
        <v>445</v>
      </c>
      <c r="B447" s="8" t="str">
        <f>TRIM(CLEAN('Raw Data'!B447))</f>
        <v>The bitterness of betrayal, a taste that lingers, staining the palate of trust.</v>
      </c>
      <c r="C447" s="4" t="str">
        <f>TRIM(PROPER('Raw Data'!C447))</f>
        <v>Bitterness</v>
      </c>
      <c r="D447" s="5">
        <f>'Raw Data'!D447</f>
        <v>43760.708333333336</v>
      </c>
      <c r="E447" s="4" t="str">
        <f>TRIM(SUBSTITUTE('Raw Data'!E447," "," "))</f>
        <v>PalateStainer</v>
      </c>
      <c r="F447" s="4" t="str">
        <f>TRIM(PROPER('Raw Data'!F447))</f>
        <v>Instagram</v>
      </c>
      <c r="G447" s="8" t="str">
        <f>TRIM(CLEAN('Raw Data'!G447))</f>
        <v>#Bitterness #StainedTrust</v>
      </c>
      <c r="H447" s="12">
        <f>'Raw Data'!H447</f>
        <v>15</v>
      </c>
      <c r="I447" s="12">
        <v>45</v>
      </c>
      <c r="J447" s="12" t="str">
        <f>TRIM(UPPER('Raw Data'!J447))</f>
        <v>GERMANY</v>
      </c>
      <c r="K447" s="12">
        <f>'Raw Data'!K447</f>
        <v>2019</v>
      </c>
      <c r="L447" s="12">
        <f>'Raw Data'!L447</f>
        <v>10</v>
      </c>
      <c r="M447" s="12">
        <f>'Raw Data'!M447</f>
        <v>22</v>
      </c>
      <c r="N447">
        <f>'Raw Data'!N447</f>
        <v>17</v>
      </c>
    </row>
    <row r="448" spans="1:14" ht="30" x14ac:dyDescent="0.25">
      <c r="A448" s="11">
        <f>'Raw Data'!A448</f>
        <v>446</v>
      </c>
      <c r="B448" s="8" t="str">
        <f>TRIM(CLEAN('Raw Data'!B448))</f>
        <v>In the ruins of hope, echoes of shattered dreams whisper tales of loss.</v>
      </c>
      <c r="C448" s="4" t="str">
        <f>TRIM(PROPER('Raw Data'!C448))</f>
        <v>Desolation</v>
      </c>
      <c r="D448" s="5">
        <f>'Raw Data'!D448</f>
        <v>44270.947916666664</v>
      </c>
      <c r="E448" s="4" t="str">
        <f>TRIM(SUBSTITUTE('Raw Data'!E448," "," "))</f>
        <v>HopeRuins</v>
      </c>
      <c r="F448" s="4" t="str">
        <f>TRIM(PROPER('Raw Data'!F448))</f>
        <v>Facebook</v>
      </c>
      <c r="G448" s="8" t="str">
        <f>TRIM(CLEAN('Raw Data'!G448))</f>
        <v>#Desolation #WhisperedLoss</v>
      </c>
      <c r="H448" s="12">
        <f>'Raw Data'!H448</f>
        <v>28</v>
      </c>
      <c r="I448" s="12">
        <v>30</v>
      </c>
      <c r="J448" s="12" t="str">
        <f>TRIM(UPPER('Raw Data'!J448))</f>
        <v>BRAZIL</v>
      </c>
      <c r="K448" s="12">
        <f>'Raw Data'!K448</f>
        <v>2021</v>
      </c>
      <c r="L448" s="12">
        <f>'Raw Data'!L448</f>
        <v>3</v>
      </c>
      <c r="M448" s="12">
        <f>'Raw Data'!M448</f>
        <v>15</v>
      </c>
      <c r="N448">
        <f>'Raw Data'!N448</f>
        <v>22</v>
      </c>
    </row>
    <row r="449" spans="1:14" ht="30" x14ac:dyDescent="0.25">
      <c r="A449" s="11">
        <f>'Raw Data'!A449</f>
        <v>447</v>
      </c>
      <c r="B449" s="8" t="str">
        <f>TRIM(CLEAN('Raw Data'!B449))</f>
        <v>Sinking like a stone in the ocean of heartbreak, each ripple a sigh of despair.</v>
      </c>
      <c r="C449" s="4" t="str">
        <f>TRIM(PROPER('Raw Data'!C449))</f>
        <v>Heartbreak</v>
      </c>
      <c r="D449" s="5">
        <f>'Raw Data'!D449</f>
        <v>42957.8125</v>
      </c>
      <c r="E449" s="4" t="str">
        <f>TRIM(SUBSTITUTE('Raw Data'!E449," "," "))</f>
        <v>OceanSinker</v>
      </c>
      <c r="F449" s="4" t="str">
        <f>TRIM(PROPER('Raw Data'!F449))</f>
        <v>Twitter</v>
      </c>
      <c r="G449" s="8" t="str">
        <f>TRIM(CLEAN('Raw Data'!G449))</f>
        <v>#Heartbreak #RippleOfDespair</v>
      </c>
      <c r="H449" s="12">
        <f>'Raw Data'!H449</f>
        <v>22</v>
      </c>
      <c r="I449" s="12">
        <v>55</v>
      </c>
      <c r="J449" s="12" t="str">
        <f>TRIM(UPPER('Raw Data'!J449))</f>
        <v>FRANCE</v>
      </c>
      <c r="K449" s="12">
        <f>'Raw Data'!K449</f>
        <v>2017</v>
      </c>
      <c r="L449" s="12">
        <f>'Raw Data'!L449</f>
        <v>8</v>
      </c>
      <c r="M449" s="12">
        <f>'Raw Data'!M449</f>
        <v>10</v>
      </c>
      <c r="N449">
        <f>'Raw Data'!N449</f>
        <v>19</v>
      </c>
    </row>
    <row r="450" spans="1:14" ht="30" x14ac:dyDescent="0.25">
      <c r="A450" s="11">
        <f>'Raw Data'!A450</f>
        <v>448</v>
      </c>
      <c r="B450" s="8" t="str">
        <f>TRIM(CLEAN('Raw Data'!B450))</f>
        <v>Tears, the ink staining the pages of a journal, a testament to silent grief.</v>
      </c>
      <c r="C450" s="4" t="str">
        <f>TRIM(PROPER('Raw Data'!C450))</f>
        <v>Grief</v>
      </c>
      <c r="D450" s="5">
        <f>'Raw Data'!D450</f>
        <v>44954.604166666664</v>
      </c>
      <c r="E450" s="4" t="str">
        <f>TRIM(SUBSTITUTE('Raw Data'!E450," "," "))</f>
        <v>InkJournalist</v>
      </c>
      <c r="F450" s="4" t="str">
        <f>TRIM(PROPER('Raw Data'!F450))</f>
        <v>Instagram</v>
      </c>
      <c r="G450" s="8" t="str">
        <f>TRIM(CLEAN('Raw Data'!G450))</f>
        <v>#Grief #SilentTears</v>
      </c>
      <c r="H450" s="12">
        <f>'Raw Data'!H450</f>
        <v>30</v>
      </c>
      <c r="I450" s="12">
        <v>45</v>
      </c>
      <c r="J450" s="12" t="str">
        <f>TRIM(UPPER('Raw Data'!J450))</f>
        <v>INDIA</v>
      </c>
      <c r="K450" s="12">
        <f>'Raw Data'!K450</f>
        <v>2023</v>
      </c>
      <c r="L450" s="12">
        <f>'Raw Data'!L450</f>
        <v>1</v>
      </c>
      <c r="M450" s="12">
        <f>'Raw Data'!M450</f>
        <v>28</v>
      </c>
      <c r="N450">
        <f>'Raw Data'!N450</f>
        <v>14</v>
      </c>
    </row>
    <row r="451" spans="1:14" ht="30" x14ac:dyDescent="0.25">
      <c r="A451" s="11">
        <f>'Raw Data'!A451</f>
        <v>449</v>
      </c>
      <c r="B451" s="8" t="str">
        <f>TRIM(CLEAN('Raw Data'!B451))</f>
        <v>In the wasteland of lost trust, the echoes of broken promises reverberate.</v>
      </c>
      <c r="C451" s="4" t="str">
        <f>TRIM(PROPER('Raw Data'!C451))</f>
        <v>Betrayal</v>
      </c>
      <c r="D451" s="5">
        <f>'Raw Data'!D451</f>
        <v>42716.416666666664</v>
      </c>
      <c r="E451" s="4" t="str">
        <f>TRIM(SUBSTITUTE('Raw Data'!E451," "," "))</f>
        <v>TrustWasteland</v>
      </c>
      <c r="F451" s="4" t="str">
        <f>TRIM(PROPER('Raw Data'!F451))</f>
        <v>Facebook</v>
      </c>
      <c r="G451" s="8" t="str">
        <f>TRIM(CLEAN('Raw Data'!G451))</f>
        <v>#Betrayal #ReverberatingPromises</v>
      </c>
      <c r="H451" s="12">
        <f>'Raw Data'!H451</f>
        <v>25</v>
      </c>
      <c r="I451" s="12">
        <v>60</v>
      </c>
      <c r="J451" s="12" t="str">
        <f>TRIM(UPPER('Raw Data'!J451))</f>
        <v>ITALY</v>
      </c>
      <c r="K451" s="12">
        <f>'Raw Data'!K451</f>
        <v>2016</v>
      </c>
      <c r="L451" s="12">
        <f>'Raw Data'!L451</f>
        <v>12</v>
      </c>
      <c r="M451" s="12">
        <f>'Raw Data'!M451</f>
        <v>12</v>
      </c>
      <c r="N451">
        <f>'Raw Data'!N451</f>
        <v>10</v>
      </c>
    </row>
    <row r="452" spans="1:14" ht="30" x14ac:dyDescent="0.25">
      <c r="A452" s="11">
        <f>'Raw Data'!A452</f>
        <v>450</v>
      </c>
      <c r="B452" s="8" t="str">
        <f>TRIM(CLEAN('Raw Data'!B452))</f>
        <v>Avoiding the shards of shattered dreams, walking the tightrope of resilience.</v>
      </c>
      <c r="C452" s="4" t="str">
        <f>TRIM(PROPER('Raw Data'!C452))</f>
        <v>Resilience</v>
      </c>
      <c r="D452" s="5">
        <f>'Raw Data'!D452</f>
        <v>44030.635416666664</v>
      </c>
      <c r="E452" s="4" t="str">
        <f>TRIM(SUBSTITUTE('Raw Data'!E452," "," "))</f>
        <v>DreamTightrope</v>
      </c>
      <c r="F452" s="4" t="str">
        <f>TRIM(PROPER('Raw Data'!F452))</f>
        <v>Twitter</v>
      </c>
      <c r="G452" s="8" t="str">
        <f>TRIM(CLEAN('Raw Data'!G452))</f>
        <v>#Resilience #TightropeWalk</v>
      </c>
      <c r="H452" s="12">
        <f>'Raw Data'!H452</f>
        <v>35</v>
      </c>
      <c r="I452" s="12">
        <v>50</v>
      </c>
      <c r="J452" s="12" t="str">
        <f>TRIM(UPPER('Raw Data'!J452))</f>
        <v>JAPAN</v>
      </c>
      <c r="K452" s="12">
        <f>'Raw Data'!K452</f>
        <v>2020</v>
      </c>
      <c r="L452" s="12">
        <f>'Raw Data'!L452</f>
        <v>7</v>
      </c>
      <c r="M452" s="12">
        <f>'Raw Data'!M452</f>
        <v>18</v>
      </c>
      <c r="N452">
        <f>'Raw Data'!N452</f>
        <v>15</v>
      </c>
    </row>
    <row r="453" spans="1:14" ht="30" x14ac:dyDescent="0.25">
      <c r="A453" s="11">
        <f>'Raw Data'!A453</f>
        <v>451</v>
      </c>
      <c r="B453" s="8" t="str">
        <f>TRIM(CLEAN('Raw Data'!B453))</f>
        <v>Suffocating in the silence of solitude, where echoes of laughter once thrived.</v>
      </c>
      <c r="C453" s="4" t="str">
        <f>TRIM(PROPER('Raw Data'!C453))</f>
        <v>Isolation</v>
      </c>
      <c r="D453" s="5">
        <f>'Raw Data'!D453</f>
        <v>44701.854166666664</v>
      </c>
      <c r="E453" s="4" t="str">
        <f>TRIM(SUBSTITUTE('Raw Data'!E453," "," "))</f>
        <v>EchoedLaughter</v>
      </c>
      <c r="F453" s="4" t="str">
        <f>TRIM(PROPER('Raw Data'!F453))</f>
        <v>Instagram</v>
      </c>
      <c r="G453" s="8" t="str">
        <f>TRIM(CLEAN('Raw Data'!G453))</f>
        <v>#Isolation #SilentSolitude</v>
      </c>
      <c r="H453" s="12">
        <f>'Raw Data'!H453</f>
        <v>30</v>
      </c>
      <c r="I453" s="12">
        <v>70</v>
      </c>
      <c r="J453" s="12" t="str">
        <f>TRIM(UPPER('Raw Data'!J453))</f>
        <v>SOUTH AFRICA</v>
      </c>
      <c r="K453" s="12">
        <f>'Raw Data'!K453</f>
        <v>2022</v>
      </c>
      <c r="L453" s="12">
        <f>'Raw Data'!L453</f>
        <v>5</v>
      </c>
      <c r="M453" s="12">
        <f>'Raw Data'!M453</f>
        <v>20</v>
      </c>
      <c r="N453">
        <f>'Raw Data'!N453</f>
        <v>20</v>
      </c>
    </row>
    <row r="454" spans="1:14" ht="30" x14ac:dyDescent="0.25">
      <c r="A454" s="11">
        <f>'Raw Data'!A454</f>
        <v>452</v>
      </c>
      <c r="B454" s="8" t="str">
        <f>TRIM(CLEAN('Raw Data'!B454))</f>
        <v>Haunted by the specter of lost possibilities, a ghost that refuses to fade away.</v>
      </c>
      <c r="C454" s="4" t="str">
        <f>TRIM(PROPER('Raw Data'!C454))</f>
        <v>Regret</v>
      </c>
      <c r="D454" s="5">
        <f>'Raw Data'!D454</f>
        <v>43777.614583333336</v>
      </c>
      <c r="E454" s="4" t="str">
        <f>TRIM(SUBSTITUTE('Raw Data'!E454," "," "))</f>
        <v>PossibilityGhost</v>
      </c>
      <c r="F454" s="4" t="str">
        <f>TRIM(PROPER('Raw Data'!F454))</f>
        <v>Twitter</v>
      </c>
      <c r="G454" s="8" t="str">
        <f>TRIM(CLEAN('Raw Data'!G454))</f>
        <v>#Regret #FadingPossibilities</v>
      </c>
      <c r="H454" s="12">
        <f>'Raw Data'!H454</f>
        <v>18</v>
      </c>
      <c r="I454" s="12">
        <v>60</v>
      </c>
      <c r="J454" s="12" t="str">
        <f>TRIM(UPPER('Raw Data'!J454))</f>
        <v>SPAIN</v>
      </c>
      <c r="K454" s="12">
        <f>'Raw Data'!K454</f>
        <v>2019</v>
      </c>
      <c r="L454" s="12">
        <f>'Raw Data'!L454</f>
        <v>11</v>
      </c>
      <c r="M454" s="12">
        <f>'Raw Data'!M454</f>
        <v>8</v>
      </c>
      <c r="N454">
        <f>'Raw Data'!N454</f>
        <v>14</v>
      </c>
    </row>
    <row r="455" spans="1:14" ht="30" x14ac:dyDescent="0.25">
      <c r="A455" s="11">
        <f>'Raw Data'!A455</f>
        <v>453</v>
      </c>
      <c r="B455" s="8" t="str">
        <f>TRIM(CLEAN('Raw Data'!B455))</f>
        <v>In the labyrinth of despair, the echoes of a broken heart reverberate endlessly.</v>
      </c>
      <c r="C455" s="4" t="str">
        <f>TRIM(PROPER('Raw Data'!C455))</f>
        <v>Despair</v>
      </c>
      <c r="D455" s="5">
        <f>'Raw Data'!D455</f>
        <v>42822.916666666664</v>
      </c>
      <c r="E455" s="4" t="str">
        <f>TRIM(SUBSTITUTE('Raw Data'!E455," "," "))</f>
        <v>EndlessLabyrinth</v>
      </c>
      <c r="F455" s="4" t="str">
        <f>TRIM(PROPER('Raw Data'!F455))</f>
        <v>Facebook</v>
      </c>
      <c r="G455" s="8" t="str">
        <f>TRIM(CLEAN('Raw Data'!G455))</f>
        <v>#Despair #EndlessReverberation</v>
      </c>
      <c r="H455" s="12">
        <f>'Raw Data'!H455</f>
        <v>28</v>
      </c>
      <c r="I455" s="12">
        <v>35</v>
      </c>
      <c r="J455" s="12" t="str">
        <f>TRIM(UPPER('Raw Data'!J455))</f>
        <v>AUSTRALIA</v>
      </c>
      <c r="K455" s="12">
        <f>'Raw Data'!K455</f>
        <v>2017</v>
      </c>
      <c r="L455" s="12">
        <f>'Raw Data'!L455</f>
        <v>3</v>
      </c>
      <c r="M455" s="12">
        <f>'Raw Data'!M455</f>
        <v>28</v>
      </c>
      <c r="N455">
        <f>'Raw Data'!N455</f>
        <v>22</v>
      </c>
    </row>
    <row r="456" spans="1:14" ht="30" x14ac:dyDescent="0.25">
      <c r="A456" s="11">
        <f>'Raw Data'!A456</f>
        <v>454</v>
      </c>
      <c r="B456" s="8" t="str">
        <f>TRIM(CLEAN('Raw Data'!B456))</f>
        <v>Sinking like autumn leaves in the river of sorrow, carried away by the current.</v>
      </c>
      <c r="C456" s="4" t="str">
        <f>TRIM(PROPER('Raw Data'!C456))</f>
        <v>Sorrow</v>
      </c>
      <c r="D456" s="5">
        <f>'Raw Data'!D456</f>
        <v>44089.760416666664</v>
      </c>
      <c r="E456" s="4" t="str">
        <f>TRIM(SUBSTITUTE('Raw Data'!E456," "," "))</f>
        <v>RiverOfSorrow</v>
      </c>
      <c r="F456" s="4" t="str">
        <f>TRIM(PROPER('Raw Data'!F456))</f>
        <v>Instagram</v>
      </c>
      <c r="G456" s="8" t="str">
        <f>TRIM(CLEAN('Raw Data'!G456))</f>
        <v>#Sorrow #AutumnLeaves</v>
      </c>
      <c r="H456" s="12">
        <f>'Raw Data'!H456</f>
        <v>22</v>
      </c>
      <c r="I456" s="12">
        <v>55</v>
      </c>
      <c r="J456" s="12" t="str">
        <f>TRIM(UPPER('Raw Data'!J456))</f>
        <v>CANADA</v>
      </c>
      <c r="K456" s="12">
        <f>'Raw Data'!K456</f>
        <v>2020</v>
      </c>
      <c r="L456" s="12">
        <f>'Raw Data'!L456</f>
        <v>9</v>
      </c>
      <c r="M456" s="12">
        <f>'Raw Data'!M456</f>
        <v>15</v>
      </c>
      <c r="N456">
        <f>'Raw Data'!N456</f>
        <v>18</v>
      </c>
    </row>
    <row r="457" spans="1:14" ht="30" x14ac:dyDescent="0.25">
      <c r="A457" s="11">
        <f>'Raw Data'!A457</f>
        <v>455</v>
      </c>
      <c r="B457" s="8" t="str">
        <f>TRIM(CLEAN('Raw Data'!B457))</f>
        <v>In the garden of broken dreams, petals fall, a silent testimony to shattered hopes.</v>
      </c>
      <c r="C457" s="4" t="str">
        <f>TRIM(PROPER('Raw Data'!C457))</f>
        <v>Desolation</v>
      </c>
      <c r="D457" s="5">
        <f>'Raw Data'!D457</f>
        <v>43261.5625</v>
      </c>
      <c r="E457" s="4" t="str">
        <f>TRIM(SUBSTITUTE('Raw Data'!E457," "," "))</f>
        <v>DreamGardener</v>
      </c>
      <c r="F457" s="4" t="str">
        <f>TRIM(PROPER('Raw Data'!F457))</f>
        <v>Twitter</v>
      </c>
      <c r="G457" s="8" t="str">
        <f>TRIM(CLEAN('Raw Data'!G457))</f>
        <v>#Desolation #ShatteredHopes</v>
      </c>
      <c r="H457" s="12">
        <f>'Raw Data'!H457</f>
        <v>20</v>
      </c>
      <c r="I457" s="12">
        <v>45</v>
      </c>
      <c r="J457" s="12" t="str">
        <f>TRIM(UPPER('Raw Data'!J457))</f>
        <v>UK</v>
      </c>
      <c r="K457" s="12">
        <f>'Raw Data'!K457</f>
        <v>2018</v>
      </c>
      <c r="L457" s="12">
        <f>'Raw Data'!L457</f>
        <v>6</v>
      </c>
      <c r="M457" s="12">
        <f>'Raw Data'!M457</f>
        <v>10</v>
      </c>
      <c r="N457">
        <f>'Raw Data'!N457</f>
        <v>13</v>
      </c>
    </row>
    <row r="458" spans="1:14" ht="30" x14ac:dyDescent="0.25">
      <c r="A458" s="11">
        <f>'Raw Data'!A458</f>
        <v>456</v>
      </c>
      <c r="B458" s="8" t="str">
        <f>TRIM(CLEAN('Raw Data'!B458))</f>
        <v>Tears, the currency of grief, spent in the marketplace of lost love and longing.</v>
      </c>
      <c r="C458" s="4" t="str">
        <f>TRIM(PROPER('Raw Data'!C458))</f>
        <v>Grief</v>
      </c>
      <c r="D458" s="5">
        <f>'Raw Data'!D458</f>
        <v>42726.90625</v>
      </c>
      <c r="E458" s="4" t="str">
        <f>TRIM(SUBSTITUTE('Raw Data'!E458," "," "))</f>
        <v>CurrencyOfTears</v>
      </c>
      <c r="F458" s="4" t="str">
        <f>TRIM(PROPER('Raw Data'!F458))</f>
        <v>Facebook</v>
      </c>
      <c r="G458" s="8" t="str">
        <f>TRIM(CLEAN('Raw Data'!G458))</f>
        <v>#Grief #LostLoveLonging</v>
      </c>
      <c r="H458" s="12">
        <f>'Raw Data'!H458</f>
        <v>25</v>
      </c>
      <c r="I458" s="12">
        <v>40</v>
      </c>
      <c r="J458" s="12" t="str">
        <f>TRIM(UPPER('Raw Data'!J458))</f>
        <v>USA</v>
      </c>
      <c r="K458" s="12">
        <f>'Raw Data'!K458</f>
        <v>2016</v>
      </c>
      <c r="L458" s="12">
        <f>'Raw Data'!L458</f>
        <v>12</v>
      </c>
      <c r="M458" s="12">
        <f>'Raw Data'!M458</f>
        <v>22</v>
      </c>
      <c r="N458">
        <f>'Raw Data'!N458</f>
        <v>21</v>
      </c>
    </row>
    <row r="459" spans="1:14" ht="30" x14ac:dyDescent="0.25">
      <c r="A459" s="11">
        <f>'Raw Data'!A459</f>
        <v>457</v>
      </c>
      <c r="B459" s="8" t="str">
        <f>TRIM(CLEAN('Raw Data'!B459))</f>
        <v>Wandering in the maze of betrayal, the walls closing in with every wrong turn.</v>
      </c>
      <c r="C459" s="4" t="str">
        <f>TRIM(PROPER('Raw Data'!C459))</f>
        <v>Betrayal</v>
      </c>
      <c r="D459" s="5">
        <f>'Raw Data'!D459</f>
        <v>44201.680555555555</v>
      </c>
      <c r="E459" s="4" t="str">
        <f>TRIM(SUBSTITUTE('Raw Data'!E459," "," "))</f>
        <v>MazeWanderer</v>
      </c>
      <c r="F459" s="4" t="str">
        <f>TRIM(PROPER('Raw Data'!F459))</f>
        <v>Instagram</v>
      </c>
      <c r="G459" s="8" t="str">
        <f>TRIM(CLEAN('Raw Data'!G459))</f>
        <v>#Betrayal #ClosingWalls</v>
      </c>
      <c r="H459" s="12">
        <f>'Raw Data'!H459</f>
        <v>15</v>
      </c>
      <c r="I459" s="12">
        <v>50</v>
      </c>
      <c r="J459" s="12" t="str">
        <f>TRIM(UPPER('Raw Data'!J459))</f>
        <v>GERMANY</v>
      </c>
      <c r="K459" s="12">
        <f>'Raw Data'!K459</f>
        <v>2021</v>
      </c>
      <c r="L459" s="12">
        <f>'Raw Data'!L459</f>
        <v>1</v>
      </c>
      <c r="M459" s="12">
        <f>'Raw Data'!M459</f>
        <v>5</v>
      </c>
      <c r="N459">
        <f>'Raw Data'!N459</f>
        <v>16</v>
      </c>
    </row>
    <row r="460" spans="1:14" ht="30" x14ac:dyDescent="0.25">
      <c r="A460" s="11">
        <f>'Raw Data'!A460</f>
        <v>458</v>
      </c>
      <c r="B460" s="8" t="str">
        <f>TRIM(CLEAN('Raw Data'!B460))</f>
        <v>A soul weathered by the storm of heartbreak, seeking refuge in the calm after.</v>
      </c>
      <c r="C460" s="4" t="str">
        <f>TRIM(PROPER('Raw Data'!C460))</f>
        <v>Heartbreak</v>
      </c>
      <c r="D460" s="5">
        <f>'Raw Data'!D460</f>
        <v>43573.458333333336</v>
      </c>
      <c r="E460" s="4" t="str">
        <f>TRIM(SUBSTITUTE('Raw Data'!E460," "," "))</f>
        <v>StormSeeker</v>
      </c>
      <c r="F460" s="4" t="str">
        <f>TRIM(PROPER('Raw Data'!F460))</f>
        <v>Twitter</v>
      </c>
      <c r="G460" s="8" t="str">
        <f>TRIM(CLEAN('Raw Data'!G460))</f>
        <v>#Heartbreak #CalmAfterStorm</v>
      </c>
      <c r="H460" s="12">
        <f>'Raw Data'!H460</f>
        <v>22</v>
      </c>
      <c r="I460" s="12">
        <v>30</v>
      </c>
      <c r="J460" s="12" t="str">
        <f>TRIM(UPPER('Raw Data'!J460))</f>
        <v>BRAZIL</v>
      </c>
      <c r="K460" s="12">
        <f>'Raw Data'!K460</f>
        <v>2019</v>
      </c>
      <c r="L460" s="12">
        <f>'Raw Data'!L460</f>
        <v>4</v>
      </c>
      <c r="M460" s="12">
        <f>'Raw Data'!M460</f>
        <v>18</v>
      </c>
      <c r="N460">
        <f>'Raw Data'!N460</f>
        <v>11</v>
      </c>
    </row>
    <row r="461" spans="1:14" ht="30" x14ac:dyDescent="0.25">
      <c r="A461" s="11">
        <f>'Raw Data'!A461</f>
        <v>459</v>
      </c>
      <c r="B461" s="8" t="str">
        <f>TRIM(CLEAN('Raw Data'!B461))</f>
        <v>In the tapestry of despair, threads of hope unravel, leaving a portrait of sorrow.</v>
      </c>
      <c r="C461" s="4" t="str">
        <f>TRIM(PROPER('Raw Data'!C461))</f>
        <v>Despair</v>
      </c>
      <c r="D461" s="5">
        <f>'Raw Data'!D461</f>
        <v>42975.8125</v>
      </c>
      <c r="E461" s="4" t="str">
        <f>TRIM(SUBSTITUTE('Raw Data'!E461," "," "))</f>
        <v>TapestrySorrow</v>
      </c>
      <c r="F461" s="4" t="str">
        <f>TRIM(PROPER('Raw Data'!F461))</f>
        <v>Facebook</v>
      </c>
      <c r="G461" s="8" t="str">
        <f>TRIM(CLEAN('Raw Data'!G461))</f>
        <v>#Despair #UnraveledHope</v>
      </c>
      <c r="H461" s="12">
        <f>'Raw Data'!H461</f>
        <v>18</v>
      </c>
      <c r="I461" s="12">
        <v>45</v>
      </c>
      <c r="J461" s="12" t="str">
        <f>TRIM(UPPER('Raw Data'!J461))</f>
        <v>INDIA</v>
      </c>
      <c r="K461" s="12">
        <f>'Raw Data'!K461</f>
        <v>2017</v>
      </c>
      <c r="L461" s="12">
        <f>'Raw Data'!L461</f>
        <v>8</v>
      </c>
      <c r="M461" s="12">
        <f>'Raw Data'!M461</f>
        <v>28</v>
      </c>
      <c r="N461">
        <f>'Raw Data'!N461</f>
        <v>19</v>
      </c>
    </row>
    <row r="462" spans="1:14" ht="30" x14ac:dyDescent="0.25">
      <c r="A462" s="11">
        <f>'Raw Data'!A462</f>
        <v>460</v>
      </c>
      <c r="B462" s="8" t="str">
        <f>TRIM(CLEAN('Raw Data'!B462))</f>
        <v>Like a withered rose in the garden of love, petals fall, a silent surrender to time.</v>
      </c>
      <c r="C462" s="4" t="str">
        <f>TRIM(PROPER('Raw Data'!C462))</f>
        <v>Loss</v>
      </c>
      <c r="D462" s="5">
        <f>'Raw Data'!D462</f>
        <v>44967.604166666664</v>
      </c>
      <c r="E462" s="4" t="str">
        <f>TRIM(SUBSTITUTE('Raw Data'!E462," "," "))</f>
        <v>WitheredRose</v>
      </c>
      <c r="F462" s="4" t="str">
        <f>TRIM(PROPER('Raw Data'!F462))</f>
        <v>Instagram</v>
      </c>
      <c r="G462" s="8" t="str">
        <f>TRIM(CLEAN('Raw Data'!G462))</f>
        <v>#Loss #SilentSurrender</v>
      </c>
      <c r="H462" s="12">
        <f>'Raw Data'!H462</f>
        <v>28</v>
      </c>
      <c r="I462" s="12">
        <v>35</v>
      </c>
      <c r="J462" s="12" t="str">
        <f>TRIM(UPPER('Raw Data'!J462))</f>
        <v>FRANCE</v>
      </c>
      <c r="K462" s="12">
        <f>'Raw Data'!K462</f>
        <v>2023</v>
      </c>
      <c r="L462" s="12">
        <f>'Raw Data'!L462</f>
        <v>2</v>
      </c>
      <c r="M462" s="12">
        <f>'Raw Data'!M462</f>
        <v>10</v>
      </c>
      <c r="N462">
        <f>'Raw Data'!N462</f>
        <v>14</v>
      </c>
    </row>
    <row r="463" spans="1:14" ht="30" x14ac:dyDescent="0.25">
      <c r="A463" s="11">
        <f>'Raw Data'!A463</f>
        <v>461</v>
      </c>
      <c r="B463" s="8" t="str">
        <f>TRIM(CLEAN('Raw Data'!B463))</f>
        <v>In the void of heartache, echoes of a love song play, each note a pang of longing.</v>
      </c>
      <c r="C463" s="4" t="str">
        <f>TRIM(PROPER('Raw Data'!C463))</f>
        <v>Heartache</v>
      </c>
      <c r="D463" s="5">
        <f>'Raw Data'!D463</f>
        <v>44752.927083333336</v>
      </c>
      <c r="E463" s="4" t="str">
        <f>TRIM(SUBSTITUTE('Raw Data'!E463," "," "))</f>
        <v>LoveSongEcho</v>
      </c>
      <c r="F463" s="4" t="str">
        <f>TRIM(PROPER('Raw Data'!F463))</f>
        <v>Instagram</v>
      </c>
      <c r="G463" s="8" t="str">
        <f>TRIM(CLEAN('Raw Data'!G463))</f>
        <v>#Heartache #LoveSongLonging</v>
      </c>
      <c r="H463" s="12">
        <f>'Raw Data'!H463</f>
        <v>30</v>
      </c>
      <c r="I463" s="12">
        <v>55</v>
      </c>
      <c r="J463" s="12" t="str">
        <f>TRIM(UPPER('Raw Data'!J463))</f>
        <v>JAPAN</v>
      </c>
      <c r="K463" s="12">
        <f>'Raw Data'!K463</f>
        <v>2022</v>
      </c>
      <c r="L463" s="12">
        <f>'Raw Data'!L463</f>
        <v>7</v>
      </c>
      <c r="M463" s="12">
        <f>'Raw Data'!M463</f>
        <v>10</v>
      </c>
      <c r="N463">
        <f>'Raw Data'!N463</f>
        <v>22</v>
      </c>
    </row>
    <row r="464" spans="1:14" ht="30" x14ac:dyDescent="0.25">
      <c r="A464" s="11">
        <f>'Raw Data'!A464</f>
        <v>462</v>
      </c>
      <c r="B464" s="8" t="str">
        <f>TRIM(CLEAN('Raw Data'!B464))</f>
        <v>Nostalgia, a bittersweet dance in the moonlit ballroom of cherished memories.</v>
      </c>
      <c r="C464" s="4" t="str">
        <f>TRIM(PROPER('Raw Data'!C464))</f>
        <v>Nostalgia</v>
      </c>
      <c r="D464" s="5">
        <f>'Raw Data'!D464</f>
        <v>43600.895833333336</v>
      </c>
      <c r="E464" s="4" t="str">
        <f>TRIM(SUBSTITUTE('Raw Data'!E464," "," "))</f>
        <v>MoonlitMemories</v>
      </c>
      <c r="F464" s="4" t="str">
        <f>TRIM(PROPER('Raw Data'!F464))</f>
        <v>Twitter</v>
      </c>
      <c r="G464" s="8" t="str">
        <f>TRIM(CLEAN('Raw Data'!G464))</f>
        <v>#Nostalgia #CherishedMemories</v>
      </c>
      <c r="H464" s="12">
        <f>'Raw Data'!H464</f>
        <v>18</v>
      </c>
      <c r="I464" s="12">
        <v>60</v>
      </c>
      <c r="J464" s="12" t="str">
        <f>TRIM(UPPER('Raw Data'!J464))</f>
        <v>ITALY</v>
      </c>
      <c r="K464" s="12">
        <f>'Raw Data'!K464</f>
        <v>2019</v>
      </c>
      <c r="L464" s="12">
        <f>'Raw Data'!L464</f>
        <v>5</v>
      </c>
      <c r="M464" s="12">
        <f>'Raw Data'!M464</f>
        <v>15</v>
      </c>
      <c r="N464">
        <f>'Raw Data'!N464</f>
        <v>21</v>
      </c>
    </row>
    <row r="465" spans="1:14" ht="30" x14ac:dyDescent="0.25">
      <c r="A465" s="11">
        <f>'Raw Data'!A465</f>
        <v>463</v>
      </c>
      <c r="B465" s="8" t="str">
        <f>TRIM(CLEAN('Raw Data'!B465))</f>
        <v>In the symphony of grief, each tear is a note, composing a melancholic melody.</v>
      </c>
      <c r="C465" s="4" t="str">
        <f>TRIM(PROPER('Raw Data'!C465))</f>
        <v>Grief</v>
      </c>
      <c r="D465" s="5">
        <f>'Raw Data'!D465</f>
        <v>43432.583333333336</v>
      </c>
      <c r="E465" s="4" t="str">
        <f>TRIM(SUBSTITUTE('Raw Data'!E465," "," "))</f>
        <v>SymphonyOfTears</v>
      </c>
      <c r="F465" s="4" t="str">
        <f>TRIM(PROPER('Raw Data'!F465))</f>
        <v>Facebook</v>
      </c>
      <c r="G465" s="8" t="str">
        <f>TRIM(CLEAN('Raw Data'!G465))</f>
        <v>#Grief #MelancholicMelody</v>
      </c>
      <c r="H465" s="12">
        <f>'Raw Data'!H465</f>
        <v>22</v>
      </c>
      <c r="I465" s="12">
        <v>35</v>
      </c>
      <c r="J465" s="12" t="str">
        <f>TRIM(UPPER('Raw Data'!J465))</f>
        <v>GERMANY</v>
      </c>
      <c r="K465" s="12">
        <f>'Raw Data'!K465</f>
        <v>2018</v>
      </c>
      <c r="L465" s="12">
        <f>'Raw Data'!L465</f>
        <v>11</v>
      </c>
      <c r="M465" s="12">
        <f>'Raw Data'!M465</f>
        <v>28</v>
      </c>
      <c r="N465">
        <f>'Raw Data'!N465</f>
        <v>14</v>
      </c>
    </row>
    <row r="466" spans="1:14" ht="30" x14ac:dyDescent="0.25">
      <c r="A466" s="11">
        <f>'Raw Data'!A466</f>
        <v>464</v>
      </c>
      <c r="B466" s="8" t="str">
        <f>TRIM(CLEAN('Raw Data'!B466))</f>
        <v>Betrayal, a venomous serpent slithering through the garden of trust, poisoning roots.</v>
      </c>
      <c r="C466" s="4" t="str">
        <f>TRIM(PROPER('Raw Data'!C466))</f>
        <v>Betrayal</v>
      </c>
      <c r="D466" s="5">
        <f>'Raw Data'!D466</f>
        <v>44257.739583333336</v>
      </c>
      <c r="E466" s="4" t="str">
        <f>TRIM(SUBSTITUTE('Raw Data'!E466," "," "))</f>
        <v>VenomousGarden</v>
      </c>
      <c r="F466" s="4" t="str">
        <f>TRIM(PROPER('Raw Data'!F466))</f>
        <v>Instagram</v>
      </c>
      <c r="G466" s="8" t="str">
        <f>TRIM(CLEAN('Raw Data'!G466))</f>
        <v>#Betrayal #PoisonedTrust</v>
      </c>
      <c r="H466" s="12">
        <f>'Raw Data'!H466</f>
        <v>25</v>
      </c>
      <c r="I466" s="12">
        <v>45</v>
      </c>
      <c r="J466" s="12" t="str">
        <f>TRIM(UPPER('Raw Data'!J466))</f>
        <v>CANADA</v>
      </c>
      <c r="K466" s="12">
        <f>'Raw Data'!K466</f>
        <v>2021</v>
      </c>
      <c r="L466" s="12">
        <f>'Raw Data'!L466</f>
        <v>3</v>
      </c>
      <c r="M466" s="12">
        <f>'Raw Data'!M466</f>
        <v>2</v>
      </c>
      <c r="N466">
        <f>'Raw Data'!N466</f>
        <v>17</v>
      </c>
    </row>
    <row r="467" spans="1:14" ht="30" x14ac:dyDescent="0.25">
      <c r="A467" s="11">
        <f>'Raw Data'!A467</f>
        <v>465</v>
      </c>
      <c r="B467" s="8" t="str">
        <f>TRIM(CLEAN('Raw Data'!B467))</f>
        <v>Sinking in the quicksand of despair, the harder you fight, the deeper you descend.</v>
      </c>
      <c r="C467" s="4" t="str">
        <f>TRIM(PROPER('Raw Data'!C467))</f>
        <v>Despair</v>
      </c>
      <c r="D467" s="5">
        <f>'Raw Data'!D467</f>
        <v>42661.8125</v>
      </c>
      <c r="E467" s="4" t="str">
        <f>TRIM(SUBSTITUTE('Raw Data'!E467," "," "))</f>
        <v>QuicksandFighter</v>
      </c>
      <c r="F467" s="4" t="str">
        <f>TRIM(PROPER('Raw Data'!F467))</f>
        <v>Twitter</v>
      </c>
      <c r="G467" s="8" t="str">
        <f>TRIM(CLEAN('Raw Data'!G467))</f>
        <v>#Despair #DeepDescent</v>
      </c>
      <c r="H467" s="12">
        <f>'Raw Data'!H467</f>
        <v>20</v>
      </c>
      <c r="I467" s="12">
        <v>50</v>
      </c>
      <c r="J467" s="12" t="str">
        <f>TRIM(UPPER('Raw Data'!J467))</f>
        <v>USA</v>
      </c>
      <c r="K467" s="12">
        <f>'Raw Data'!K467</f>
        <v>2016</v>
      </c>
      <c r="L467" s="12">
        <f>'Raw Data'!L467</f>
        <v>10</v>
      </c>
      <c r="M467" s="12">
        <f>'Raw Data'!M467</f>
        <v>18</v>
      </c>
      <c r="N467">
        <f>'Raw Data'!N467</f>
        <v>19</v>
      </c>
    </row>
    <row r="468" spans="1:14" ht="30" x14ac:dyDescent="0.25">
      <c r="A468" s="11">
        <f>'Raw Data'!A468</f>
        <v>466</v>
      </c>
      <c r="B468" s="8" t="str">
        <f>TRIM(CLEAN('Raw Data'!B468))</f>
        <v>Wandering through the cemetery of lost dreams, tombstones marking untold sorrows.</v>
      </c>
      <c r="C468" s="4" t="str">
        <f>TRIM(PROPER('Raw Data'!C468))</f>
        <v>Desolation</v>
      </c>
      <c r="D468" s="5">
        <f>'Raw Data'!D468</f>
        <v>44058.520833333336</v>
      </c>
      <c r="E468" s="4" t="str">
        <f>TRIM(SUBSTITUTE('Raw Data'!E468," "," "))</f>
        <v>DreamCemetery</v>
      </c>
      <c r="F468" s="4" t="str">
        <f>TRIM(PROPER('Raw Data'!F468))</f>
        <v>Facebook</v>
      </c>
      <c r="G468" s="8" t="str">
        <f>TRIM(CLEAN('Raw Data'!G468))</f>
        <v>#Desolation #UntoldSorrows</v>
      </c>
      <c r="H468" s="12">
        <f>'Raw Data'!H468</f>
        <v>28</v>
      </c>
      <c r="I468" s="12">
        <v>40</v>
      </c>
      <c r="J468" s="12" t="str">
        <f>TRIM(UPPER('Raw Data'!J468))</f>
        <v>FRANCE</v>
      </c>
      <c r="K468" s="12">
        <f>'Raw Data'!K468</f>
        <v>2020</v>
      </c>
      <c r="L468" s="12">
        <f>'Raw Data'!L468</f>
        <v>8</v>
      </c>
      <c r="M468" s="12">
        <f>'Raw Data'!M468</f>
        <v>15</v>
      </c>
      <c r="N468">
        <f>'Raw Data'!N468</f>
        <v>12</v>
      </c>
    </row>
    <row r="469" spans="1:14" ht="30" x14ac:dyDescent="0.25">
      <c r="A469" s="11">
        <f>'Raw Data'!A469</f>
        <v>467</v>
      </c>
      <c r="B469" s="8" t="str">
        <f>TRIM(CLEAN('Raw Data'!B469))</f>
        <v>Swept away by the river of regret, the currents of the past refusing to release.</v>
      </c>
      <c r="C469" s="4" t="str">
        <f>TRIM(PROPER('Raw Data'!C469))</f>
        <v>Regret</v>
      </c>
      <c r="D469" s="5">
        <f>'Raw Data'!D469</f>
        <v>42853.680555555555</v>
      </c>
      <c r="E469" s="4" t="str">
        <f>TRIM(SUBSTITUTE('Raw Data'!E469," "," "))</f>
        <v>RegretRiver</v>
      </c>
      <c r="F469" s="4" t="str">
        <f>TRIM(PROPER('Raw Data'!F469))</f>
        <v>Instagram</v>
      </c>
      <c r="G469" s="8" t="str">
        <f>TRIM(CLEAN('Raw Data'!G469))</f>
        <v>#Regret #PastCurrents</v>
      </c>
      <c r="H469" s="12">
        <f>'Raw Data'!H469</f>
        <v>18</v>
      </c>
      <c r="I469" s="12">
        <v>55</v>
      </c>
      <c r="J469" s="12" t="str">
        <f>TRIM(UPPER('Raw Data'!J469))</f>
        <v>UK</v>
      </c>
      <c r="K469" s="12">
        <f>'Raw Data'!K469</f>
        <v>2017</v>
      </c>
      <c r="L469" s="12">
        <f>'Raw Data'!L469</f>
        <v>4</v>
      </c>
      <c r="M469" s="12">
        <f>'Raw Data'!M469</f>
        <v>28</v>
      </c>
      <c r="N469">
        <f>'Raw Data'!N469</f>
        <v>16</v>
      </c>
    </row>
    <row r="470" spans="1:14" ht="30" x14ac:dyDescent="0.25">
      <c r="A470" s="11">
        <f>'Raw Data'!A470</f>
        <v>468</v>
      </c>
      <c r="B470" s="8" t="str">
        <f>TRIM(CLEAN('Raw Data'!B470))</f>
        <v>Whispers of lost love linger in the attic of the heart, forgotten but not erased.</v>
      </c>
      <c r="C470" s="4" t="str">
        <f>TRIM(PROPER('Raw Data'!C470))</f>
        <v>Loss</v>
      </c>
      <c r="D470" s="5">
        <f>'Raw Data'!D470</f>
        <v>43718.875</v>
      </c>
      <c r="E470" s="4" t="str">
        <f>TRIM(SUBSTITUTE('Raw Data'!E470," "," "))</f>
        <v>HeartAttic</v>
      </c>
      <c r="F470" s="4" t="str">
        <f>TRIM(PROPER('Raw Data'!F470))</f>
        <v>Twitter</v>
      </c>
      <c r="G470" s="8" t="str">
        <f>TRIM(CLEAN('Raw Data'!G470))</f>
        <v>#Loss #ForgottenLove</v>
      </c>
      <c r="H470" s="12">
        <f>'Raw Data'!H470</f>
        <v>22</v>
      </c>
      <c r="I470" s="12">
        <v>35</v>
      </c>
      <c r="J470" s="12" t="str">
        <f>TRIM(UPPER('Raw Data'!J470))</f>
        <v>AUSTRALIA</v>
      </c>
      <c r="K470" s="12">
        <f>'Raw Data'!K470</f>
        <v>2019</v>
      </c>
      <c r="L470" s="12">
        <f>'Raw Data'!L470</f>
        <v>9</v>
      </c>
      <c r="M470" s="12">
        <f>'Raw Data'!M470</f>
        <v>10</v>
      </c>
      <c r="N470">
        <f>'Raw Data'!N470</f>
        <v>21</v>
      </c>
    </row>
    <row r="471" spans="1:14" ht="30" x14ac:dyDescent="0.25">
      <c r="A471" s="11">
        <f>'Raw Data'!A471</f>
        <v>469</v>
      </c>
      <c r="B471" s="8" t="str">
        <f>TRIM(CLEAN('Raw Data'!B471))</f>
        <v>In the gallery of broken promises, each shattered vow framed, a painful exhibition.</v>
      </c>
      <c r="C471" s="4" t="str">
        <f>TRIM(PROPER('Raw Data'!C471))</f>
        <v>Betrayal</v>
      </c>
      <c r="D471" s="5">
        <f>'Raw Data'!D471</f>
        <v>44589.572916666664</v>
      </c>
      <c r="E471" s="4" t="str">
        <f>TRIM(SUBSTITUTE('Raw Data'!E471," "," "))</f>
        <v>PromiseGallery</v>
      </c>
      <c r="F471" s="4" t="str">
        <f>TRIM(PROPER('Raw Data'!F471))</f>
        <v>Facebook</v>
      </c>
      <c r="G471" s="8" t="str">
        <f>TRIM(CLEAN('Raw Data'!G471))</f>
        <v>#Betrayal #ShatteredVows</v>
      </c>
      <c r="H471" s="12">
        <f>'Raw Data'!H471</f>
        <v>15</v>
      </c>
      <c r="I471" s="12">
        <v>45</v>
      </c>
      <c r="J471" s="12" t="str">
        <f>TRIM(UPPER('Raw Data'!J471))</f>
        <v>BRAZIL</v>
      </c>
      <c r="K471" s="12">
        <f>'Raw Data'!K471</f>
        <v>2022</v>
      </c>
      <c r="L471" s="12">
        <f>'Raw Data'!L471</f>
        <v>1</v>
      </c>
      <c r="M471" s="12">
        <f>'Raw Data'!M471</f>
        <v>28</v>
      </c>
      <c r="N471">
        <f>'Raw Data'!N471</f>
        <v>13</v>
      </c>
    </row>
    <row r="472" spans="1:14" ht="30" x14ac:dyDescent="0.25">
      <c r="A472" s="11">
        <f>'Raw Data'!A472</f>
        <v>470</v>
      </c>
      <c r="B472" s="8" t="str">
        <f>TRIM(CLEAN('Raw Data'!B472))</f>
        <v>The echoes of solitude, a silent conversation between a soul and its shadows.</v>
      </c>
      <c r="C472" s="4" t="str">
        <f>TRIM(PROPER('Raw Data'!C472))</f>
        <v>Solitude</v>
      </c>
      <c r="D472" s="5">
        <f>'Raw Data'!D472</f>
        <v>42536.9375</v>
      </c>
      <c r="E472" s="4" t="str">
        <f>TRIM(SUBSTITUTE('Raw Data'!E472," "," "))</f>
        <v>EchoedConversation</v>
      </c>
      <c r="F472" s="4" t="str">
        <f>TRIM(PROPER('Raw Data'!F472))</f>
        <v>Instagram</v>
      </c>
      <c r="G472" s="8" t="str">
        <f>TRIM(CLEAN('Raw Data'!G472))</f>
        <v>#Solitude #ShadowConversation</v>
      </c>
      <c r="H472" s="12">
        <f>'Raw Data'!H472</f>
        <v>30</v>
      </c>
      <c r="I472" s="12">
        <v>30</v>
      </c>
      <c r="J472" s="12" t="str">
        <f>TRIM(UPPER('Raw Data'!J472))</f>
        <v>SPAIN</v>
      </c>
      <c r="K472" s="12">
        <f>'Raw Data'!K472</f>
        <v>2016</v>
      </c>
      <c r="L472" s="12">
        <f>'Raw Data'!L472</f>
        <v>6</v>
      </c>
      <c r="M472" s="12">
        <f>'Raw Data'!M472</f>
        <v>15</v>
      </c>
      <c r="N472">
        <f>'Raw Data'!N472</f>
        <v>22</v>
      </c>
    </row>
    <row r="473" spans="1:14" ht="30" x14ac:dyDescent="0.25">
      <c r="A473" s="11">
        <f>'Raw Data'!A473</f>
        <v>471</v>
      </c>
      <c r="B473" s="8" t="str">
        <f>TRIM(CLEAN('Raw Data'!B473))</f>
        <v>Dancing on sunshine, each step a celebration of the joy found in simple moments.</v>
      </c>
      <c r="C473" s="4" t="str">
        <f>TRIM(PROPER('Raw Data'!C473))</f>
        <v>Joy</v>
      </c>
      <c r="D473" s="5">
        <f>'Raw Data'!D473</f>
        <v>44428.65625</v>
      </c>
      <c r="E473" s="4" t="str">
        <f>TRIM(SUBSTITUTE('Raw Data'!E473," "," "))</f>
        <v>SunshineDancer</v>
      </c>
      <c r="F473" s="4" t="str">
        <f>TRIM(PROPER('Raw Data'!F473))</f>
        <v>Instagram</v>
      </c>
      <c r="G473" s="8" t="str">
        <f>TRIM(CLEAN('Raw Data'!G473))</f>
        <v>#Joy #SimpleMoments</v>
      </c>
      <c r="H473" s="12">
        <f>'Raw Data'!H473</f>
        <v>40</v>
      </c>
      <c r="I473" s="12">
        <v>60</v>
      </c>
      <c r="J473" s="12" t="str">
        <f>TRIM(UPPER('Raw Data'!J473))</f>
        <v>USA</v>
      </c>
      <c r="K473" s="12">
        <f>'Raw Data'!K473</f>
        <v>2021</v>
      </c>
      <c r="L473" s="12">
        <f>'Raw Data'!L473</f>
        <v>8</v>
      </c>
      <c r="M473" s="12">
        <f>'Raw Data'!M473</f>
        <v>20</v>
      </c>
      <c r="N473">
        <f>'Raw Data'!N473</f>
        <v>15</v>
      </c>
    </row>
    <row r="474" spans="1:14" ht="30" x14ac:dyDescent="0.25">
      <c r="A474" s="11">
        <f>'Raw Data'!A474</f>
        <v>472</v>
      </c>
      <c r="B474" s="8" t="str">
        <f>TRIM(CLEAN('Raw Data'!B474))</f>
        <v>Laughter echoes in the air, a chorus of happiness that lifts the spirit higher.</v>
      </c>
      <c r="C474" s="4" t="str">
        <f>TRIM(PROPER('Raw Data'!C474))</f>
        <v>Happiness</v>
      </c>
      <c r="D474" s="5">
        <f>'Raw Data'!D474</f>
        <v>43202.770833333336</v>
      </c>
      <c r="E474" s="4" t="str">
        <f>TRIM(SUBSTITUTE('Raw Data'!E474," "," "))</f>
        <v>EchoedLaughter</v>
      </c>
      <c r="F474" s="4" t="str">
        <f>TRIM(PROPER('Raw Data'!F474))</f>
        <v>Twitter</v>
      </c>
      <c r="G474" s="8" t="str">
        <f>TRIM(CLEAN('Raw Data'!G474))</f>
        <v>#Happiness #SpiritLifter</v>
      </c>
      <c r="H474" s="12">
        <f>'Raw Data'!H474</f>
        <v>35</v>
      </c>
      <c r="I474" s="12">
        <v>80</v>
      </c>
      <c r="J474" s="12" t="str">
        <f>TRIM(UPPER('Raw Data'!J474))</f>
        <v>CANADA</v>
      </c>
      <c r="K474" s="12">
        <f>'Raw Data'!K474</f>
        <v>2018</v>
      </c>
      <c r="L474" s="12">
        <f>'Raw Data'!L474</f>
        <v>4</v>
      </c>
      <c r="M474" s="12">
        <f>'Raw Data'!M474</f>
        <v>12</v>
      </c>
      <c r="N474">
        <f>'Raw Data'!N474</f>
        <v>18</v>
      </c>
    </row>
    <row r="475" spans="1:14" ht="30" x14ac:dyDescent="0.25">
      <c r="A475" s="11">
        <f>'Raw Data'!A475</f>
        <v>473</v>
      </c>
      <c r="B475" s="8" t="str">
        <f>TRIM(CLEAN('Raw Data'!B475))</f>
        <v>In the garden of contentment, each bloom whispers tales of inner peace and joy.</v>
      </c>
      <c r="C475" s="4" t="str">
        <f>TRIM(PROPER('Raw Data'!C475))</f>
        <v>Contentment</v>
      </c>
      <c r="D475" s="5">
        <f>'Raw Data'!D475</f>
        <v>44607.513888888891</v>
      </c>
      <c r="E475" s="4" t="str">
        <f>TRIM(SUBSTITUTE('Raw Data'!E475," "," "))</f>
        <v>GardenOfJoy</v>
      </c>
      <c r="F475" s="4" t="str">
        <f>TRIM(PROPER('Raw Data'!F475))</f>
        <v>Facebook</v>
      </c>
      <c r="G475" s="8" t="str">
        <f>TRIM(CLEAN('Raw Data'!G475))</f>
        <v>#Contentment #InnerPeace</v>
      </c>
      <c r="H475" s="12">
        <f>'Raw Data'!H475</f>
        <v>25</v>
      </c>
      <c r="I475" s="12">
        <v>70</v>
      </c>
      <c r="J475" s="12" t="str">
        <f>TRIM(UPPER('Raw Data'!J475))</f>
        <v>UK</v>
      </c>
      <c r="K475" s="12">
        <f>'Raw Data'!K475</f>
        <v>2022</v>
      </c>
      <c r="L475" s="12">
        <f>'Raw Data'!L475</f>
        <v>2</v>
      </c>
      <c r="M475" s="12">
        <f>'Raw Data'!M475</f>
        <v>15</v>
      </c>
      <c r="N475">
        <f>'Raw Data'!N475</f>
        <v>12</v>
      </c>
    </row>
    <row r="476" spans="1:14" ht="30" x14ac:dyDescent="0.25">
      <c r="A476" s="11">
        <f>'Raw Data'!A476</f>
        <v>474</v>
      </c>
      <c r="B476" s="8" t="str">
        <f>TRIM(CLEAN('Raw Data'!B476))</f>
        <v>Chasing dreams under the vibrant sky, a journey fueled by hope and enthusiasm.</v>
      </c>
      <c r="C476" s="4" t="str">
        <f>TRIM(PROPER('Raw Data'!C476))</f>
        <v>Enthusiasm</v>
      </c>
      <c r="D476" s="5">
        <f>'Raw Data'!D476</f>
        <v>43766.59375</v>
      </c>
      <c r="E476" s="4" t="str">
        <f>TRIM(SUBSTITUTE('Raw Data'!E476," "," "))</f>
        <v>DreamChaser</v>
      </c>
      <c r="F476" s="4" t="str">
        <f>TRIM(PROPER('Raw Data'!F476))</f>
        <v>Instagram</v>
      </c>
      <c r="G476" s="8" t="str">
        <f>TRIM(CLEAN('Raw Data'!G476))</f>
        <v>#Enthusiasm #HopefulJourney</v>
      </c>
      <c r="H476" s="12">
        <f>'Raw Data'!H476</f>
        <v>30</v>
      </c>
      <c r="I476" s="12">
        <v>50</v>
      </c>
      <c r="J476" s="12" t="str">
        <f>TRIM(UPPER('Raw Data'!J476))</f>
        <v>AUSTRALIA</v>
      </c>
      <c r="K476" s="12">
        <f>'Raw Data'!K476</f>
        <v>2019</v>
      </c>
      <c r="L476" s="12">
        <f>'Raw Data'!L476</f>
        <v>10</v>
      </c>
      <c r="M476" s="12">
        <f>'Raw Data'!M476</f>
        <v>28</v>
      </c>
      <c r="N476">
        <f>'Raw Data'!N476</f>
        <v>14</v>
      </c>
    </row>
    <row r="477" spans="1:14" ht="30" x14ac:dyDescent="0.25">
      <c r="A477" s="11">
        <f>'Raw Data'!A477</f>
        <v>475</v>
      </c>
      <c r="B477" s="8" t="str">
        <f>TRIM(CLEAN('Raw Data'!B477))</f>
        <v>Serenading the stars with a heart full of gratitude, a melody of thankfulness.</v>
      </c>
      <c r="C477" s="4" t="str">
        <f>TRIM(PROPER('Raw Data'!C477))</f>
        <v>Gratitude</v>
      </c>
      <c r="D477" s="5">
        <f>'Raw Data'!D477</f>
        <v>43091.875</v>
      </c>
      <c r="E477" s="4" t="str">
        <f>TRIM(SUBSTITUTE('Raw Data'!E477," "," "))</f>
        <v>StarSerenader</v>
      </c>
      <c r="F477" s="4" t="str">
        <f>TRIM(PROPER('Raw Data'!F477))</f>
        <v>Twitter</v>
      </c>
      <c r="G477" s="8" t="str">
        <f>TRIM(CLEAN('Raw Data'!G477))</f>
        <v>#Gratitude #ThankfulMelody</v>
      </c>
      <c r="H477" s="12">
        <f>'Raw Data'!H477</f>
        <v>22</v>
      </c>
      <c r="I477" s="12">
        <v>60</v>
      </c>
      <c r="J477" s="12" t="str">
        <f>TRIM(UPPER('Raw Data'!J477))</f>
        <v>INDIA</v>
      </c>
      <c r="K477" s="12">
        <f>'Raw Data'!K477</f>
        <v>2017</v>
      </c>
      <c r="L477" s="12">
        <f>'Raw Data'!L477</f>
        <v>12</v>
      </c>
      <c r="M477" s="12">
        <f>'Raw Data'!M477</f>
        <v>22</v>
      </c>
      <c r="N477">
        <f>'Raw Data'!N477</f>
        <v>21</v>
      </c>
    </row>
    <row r="478" spans="1:14" ht="30" x14ac:dyDescent="0.25">
      <c r="A478" s="11">
        <f>'Raw Data'!A478</f>
        <v>476</v>
      </c>
      <c r="B478" s="8" t="str">
        <f>TRIM(CLEAN('Raw Data'!B478))</f>
        <v>Basking in the glow of accomplishment, each milestone a stepping stone to happiness.</v>
      </c>
      <c r="C478" s="4" t="str">
        <f>TRIM(PROPER('Raw Data'!C478))</f>
        <v>Accomplishment</v>
      </c>
      <c r="D478" s="5">
        <f>'Raw Data'!D478</f>
        <v>43992.729166666664</v>
      </c>
      <c r="E478" s="4" t="str">
        <f>TRIM(SUBSTITUTE('Raw Data'!E478," "," "))</f>
        <v>GlowAchiever</v>
      </c>
      <c r="F478" s="4" t="str">
        <f>TRIM(PROPER('Raw Data'!F478))</f>
        <v>Facebook</v>
      </c>
      <c r="G478" s="8" t="str">
        <f>TRIM(CLEAN('Raw Data'!G478))</f>
        <v>#Accomplishment #HappinessMilestone</v>
      </c>
      <c r="H478" s="12">
        <f>'Raw Data'!H478</f>
        <v>28</v>
      </c>
      <c r="I478" s="12">
        <v>45</v>
      </c>
      <c r="J478" s="12" t="str">
        <f>TRIM(UPPER('Raw Data'!J478))</f>
        <v>GERMANY</v>
      </c>
      <c r="K478" s="12">
        <f>'Raw Data'!K478</f>
        <v>2020</v>
      </c>
      <c r="L478" s="12">
        <f>'Raw Data'!L478</f>
        <v>6</v>
      </c>
      <c r="M478" s="12">
        <f>'Raw Data'!M478</f>
        <v>10</v>
      </c>
      <c r="N478">
        <f>'Raw Data'!N478</f>
        <v>17</v>
      </c>
    </row>
    <row r="479" spans="1:14" ht="30" x14ac:dyDescent="0.25">
      <c r="A479" s="11">
        <f>'Raw Data'!A479</f>
        <v>477</v>
      </c>
      <c r="B479" s="8" t="str">
        <f>TRIM(CLEAN('Raw Data'!B479))</f>
        <v>In the dance of positivity, every step is a rhythm, uplifting the soul in harmony.</v>
      </c>
      <c r="C479" s="4" t="str">
        <f>TRIM(PROPER('Raw Data'!C479))</f>
        <v>Positivity</v>
      </c>
      <c r="D479" s="5">
        <f>'Raw Data'!D479</f>
        <v>42631.822916666664</v>
      </c>
      <c r="E479" s="4" t="str">
        <f>TRIM(SUBSTITUTE('Raw Data'!E479," "," "))</f>
        <v>DanceHarmony</v>
      </c>
      <c r="F479" s="4" t="str">
        <f>TRIM(PROPER('Raw Data'!F479))</f>
        <v>Instagram</v>
      </c>
      <c r="G479" s="8" t="str">
        <f>TRIM(CLEAN('Raw Data'!G479))</f>
        <v>#Positivity #SoulUpliftment</v>
      </c>
      <c r="H479" s="12">
        <f>'Raw Data'!H479</f>
        <v>18</v>
      </c>
      <c r="I479" s="12">
        <v>55</v>
      </c>
      <c r="J479" s="12" t="str">
        <f>TRIM(UPPER('Raw Data'!J479))</f>
        <v>FRANCE</v>
      </c>
      <c r="K479" s="12">
        <f>'Raw Data'!K479</f>
        <v>2016</v>
      </c>
      <c r="L479" s="12">
        <f>'Raw Data'!L479</f>
        <v>9</v>
      </c>
      <c r="M479" s="12">
        <f>'Raw Data'!M479</f>
        <v>18</v>
      </c>
      <c r="N479">
        <f>'Raw Data'!N479</f>
        <v>19</v>
      </c>
    </row>
    <row r="480" spans="1:14" ht="30" x14ac:dyDescent="0.25">
      <c r="A480" s="11">
        <f>'Raw Data'!A480</f>
        <v>478</v>
      </c>
      <c r="B480" s="8" t="str">
        <f>TRIM(CLEAN('Raw Data'!B480))</f>
        <v>Overflowing with joy, a cup of laughter shared with friends, a moment cherished.</v>
      </c>
      <c r="C480" s="4" t="str">
        <f>TRIM(PROPER('Raw Data'!C480))</f>
        <v>Joy</v>
      </c>
      <c r="D480" s="5">
        <f>'Raw Data'!D480</f>
        <v>44995.604166666664</v>
      </c>
      <c r="E480" s="4" t="str">
        <f>TRIM(SUBSTITUTE('Raw Data'!E480," "," "))</f>
        <v>LaughterCup</v>
      </c>
      <c r="F480" s="4" t="str">
        <f>TRIM(PROPER('Raw Data'!F480))</f>
        <v>Twitter</v>
      </c>
      <c r="G480" s="8" t="str">
        <f>TRIM(CLEAN('Raw Data'!G480))</f>
        <v>#Joy #CherishedMoment</v>
      </c>
      <c r="H480" s="12">
        <f>'Raw Data'!H480</f>
        <v>20</v>
      </c>
      <c r="I480" s="12">
        <v>35</v>
      </c>
      <c r="J480" s="12" t="str">
        <f>TRIM(UPPER('Raw Data'!J480))</f>
        <v>JAPAN</v>
      </c>
      <c r="K480" s="12">
        <f>'Raw Data'!K480</f>
        <v>2023</v>
      </c>
      <c r="L480" s="12">
        <f>'Raw Data'!L480</f>
        <v>3</v>
      </c>
      <c r="M480" s="12">
        <f>'Raw Data'!M480</f>
        <v>10</v>
      </c>
      <c r="N480">
        <f>'Raw Data'!N480</f>
        <v>14</v>
      </c>
    </row>
    <row r="481" spans="1:14" ht="30" x14ac:dyDescent="0.25">
      <c r="A481" s="11">
        <f>'Raw Data'!A481</f>
        <v>479</v>
      </c>
      <c r="B481" s="8" t="str">
        <f>TRIM(CLEAN('Raw Data'!B481))</f>
        <v>Draped in the warmth of kindness, a quilt of compassion stitched with love.</v>
      </c>
      <c r="C481" s="4" t="str">
        <f>TRIM(PROPER('Raw Data'!C481))</f>
        <v>Kindness</v>
      </c>
      <c r="D481" s="5">
        <f>'Raw Data'!D481</f>
        <v>43590.510416666664</v>
      </c>
      <c r="E481" s="4" t="str">
        <f>TRIM(SUBSTITUTE('Raw Data'!E481," "," "))</f>
        <v>QuiltedCompassion</v>
      </c>
      <c r="F481" s="4" t="str">
        <f>TRIM(PROPER('Raw Data'!F481))</f>
        <v>Facebook</v>
      </c>
      <c r="G481" s="8" t="str">
        <f>TRIM(CLEAN('Raw Data'!G481))</f>
        <v>#Kindness #LoveStitches</v>
      </c>
      <c r="H481" s="12">
        <f>'Raw Data'!H481</f>
        <v>25</v>
      </c>
      <c r="I481" s="12">
        <v>40</v>
      </c>
      <c r="J481" s="12" t="str">
        <f>TRIM(UPPER('Raw Data'!J481))</f>
        <v>BRAZIL</v>
      </c>
      <c r="K481" s="12">
        <f>'Raw Data'!K481</f>
        <v>2019</v>
      </c>
      <c r="L481" s="12">
        <f>'Raw Data'!L481</f>
        <v>5</v>
      </c>
      <c r="M481" s="12">
        <f>'Raw Data'!M481</f>
        <v>5</v>
      </c>
      <c r="N481">
        <f>'Raw Data'!N481</f>
        <v>12</v>
      </c>
    </row>
    <row r="482" spans="1:14" ht="30" x14ac:dyDescent="0.25">
      <c r="A482" s="11">
        <f>'Raw Data'!A482</f>
        <v>480</v>
      </c>
      <c r="B482" s="8" t="str">
        <f>TRIM(CLEAN('Raw Data'!B482))</f>
        <v>In the garden of friendships, each bloom a testament to the beauty of camaraderie.</v>
      </c>
      <c r="C482" s="4" t="str">
        <f>TRIM(PROPER('Raw Data'!C482))</f>
        <v>Friendship</v>
      </c>
      <c r="D482" s="5">
        <f>'Raw Data'!D482</f>
        <v>43340.666666666664</v>
      </c>
      <c r="E482" s="4" t="str">
        <f>TRIM(SUBSTITUTE('Raw Data'!E482," "," "))</f>
        <v>FriendshipGarden</v>
      </c>
      <c r="F482" s="4" t="str">
        <f>TRIM(PROPER('Raw Data'!F482))</f>
        <v>Instagram</v>
      </c>
      <c r="G482" s="8" t="str">
        <f>TRIM(CLEAN('Raw Data'!G482))</f>
        <v>#Friendship #CamaraderieBlooms</v>
      </c>
      <c r="H482" s="12">
        <f>'Raw Data'!H482</f>
        <v>30</v>
      </c>
      <c r="I482" s="12">
        <v>50</v>
      </c>
      <c r="J482" s="12" t="str">
        <f>TRIM(UPPER('Raw Data'!J482))</f>
        <v>SOUTH AFRICA</v>
      </c>
      <c r="K482" s="12">
        <f>'Raw Data'!K482</f>
        <v>2018</v>
      </c>
      <c r="L482" s="12">
        <f>'Raw Data'!L482</f>
        <v>8</v>
      </c>
      <c r="M482" s="12">
        <f>'Raw Data'!M482</f>
        <v>28</v>
      </c>
      <c r="N482">
        <f>'Raw Data'!N482</f>
        <v>16</v>
      </c>
    </row>
    <row r="483" spans="1:14" ht="30" x14ac:dyDescent="0.25">
      <c r="A483" s="11">
        <f>'Raw Data'!A483</f>
        <v>481</v>
      </c>
      <c r="B483" s="8" t="str">
        <f>TRIM(CLEAN('Raw Data'!B483))</f>
        <v>In the embrace of love, each heartbeat is a melody, dancing to the rhythm of affection.</v>
      </c>
      <c r="C483" s="4" t="str">
        <f>TRIM(PROPER('Raw Data'!C483))</f>
        <v>Love</v>
      </c>
      <c r="D483" s="5">
        <f>'Raw Data'!D483</f>
        <v>44880.864583333336</v>
      </c>
      <c r="E483" s="4" t="str">
        <f>TRIM(SUBSTITUTE('Raw Data'!E483," "," "))</f>
        <v>MelodyOfLove</v>
      </c>
      <c r="F483" s="4" t="str">
        <f>TRIM(PROPER('Raw Data'!F483))</f>
        <v>Twitter</v>
      </c>
      <c r="G483" s="8" t="str">
        <f>TRIM(CLEAN('Raw Data'!G483))</f>
        <v>#Love #RhythmOfAffection</v>
      </c>
      <c r="H483" s="12">
        <f>'Raw Data'!H483</f>
        <v>35</v>
      </c>
      <c r="I483" s="12">
        <v>60</v>
      </c>
      <c r="J483" s="12" t="str">
        <f>TRIM(UPPER('Raw Data'!J483))</f>
        <v>USA</v>
      </c>
      <c r="K483" s="12">
        <f>'Raw Data'!K483</f>
        <v>2022</v>
      </c>
      <c r="L483" s="12">
        <f>'Raw Data'!L483</f>
        <v>11</v>
      </c>
      <c r="M483" s="12">
        <f>'Raw Data'!M483</f>
        <v>15</v>
      </c>
      <c r="N483">
        <f>'Raw Data'!N483</f>
        <v>20</v>
      </c>
    </row>
    <row r="484" spans="1:14" ht="30" x14ac:dyDescent="0.25">
      <c r="A484" s="11">
        <f>'Raw Data'!A484</f>
        <v>482</v>
      </c>
      <c r="B484" s="8" t="str">
        <f>TRIM(CLEAN('Raw Data'!B484))</f>
        <v>Surrounded by the colors of joy, a canvas painted with laughter and endless smiles.</v>
      </c>
      <c r="C484" s="4" t="str">
        <f>TRIM(PROPER('Raw Data'!C484))</f>
        <v>Joy</v>
      </c>
      <c r="D484" s="5">
        <f>'Raw Data'!D484</f>
        <v>43648.708333333336</v>
      </c>
      <c r="E484" s="4" t="str">
        <f>TRIM(SUBSTITUTE('Raw Data'!E484," "," "))</f>
        <v>ColorfulLaughter</v>
      </c>
      <c r="F484" s="4" t="str">
        <f>TRIM(PROPER('Raw Data'!F484))</f>
        <v>Instagram</v>
      </c>
      <c r="G484" s="8" t="str">
        <f>TRIM(CLEAN('Raw Data'!G484))</f>
        <v>#Joy #EndlessSmiles</v>
      </c>
      <c r="H484" s="12">
        <f>'Raw Data'!H484</f>
        <v>40</v>
      </c>
      <c r="I484" s="12">
        <v>70</v>
      </c>
      <c r="J484" s="12" t="str">
        <f>TRIM(UPPER('Raw Data'!J484))</f>
        <v>CANADA</v>
      </c>
      <c r="K484" s="12">
        <f>'Raw Data'!K484</f>
        <v>2019</v>
      </c>
      <c r="L484" s="12">
        <f>'Raw Data'!L484</f>
        <v>7</v>
      </c>
      <c r="M484" s="12">
        <f>'Raw Data'!M484</f>
        <v>2</v>
      </c>
      <c r="N484">
        <f>'Raw Data'!N484</f>
        <v>17</v>
      </c>
    </row>
    <row r="485" spans="1:14" ht="30" x14ac:dyDescent="0.25">
      <c r="A485" s="11">
        <f>'Raw Data'!A485</f>
        <v>483</v>
      </c>
      <c r="B485" s="8" t="str">
        <f>TRIM(CLEAN('Raw Data'!B485))</f>
        <v>In the symphony of excitement, each note is a burst of energy, igniting the soul with fervor.</v>
      </c>
      <c r="C485" s="4" t="str">
        <f>TRIM(PROPER('Raw Data'!C485))</f>
        <v>Excitement</v>
      </c>
      <c r="D485" s="5">
        <f>'Raw Data'!D485</f>
        <v>44304.597222222219</v>
      </c>
      <c r="E485" s="4" t="str">
        <f>TRIM(SUBSTITUTE('Raw Data'!E485," "," "))</f>
        <v>SymphonyFervor</v>
      </c>
      <c r="F485" s="4" t="str">
        <f>TRIM(PROPER('Raw Data'!F485))</f>
        <v>Facebook</v>
      </c>
      <c r="G485" s="8" t="str">
        <f>TRIM(CLEAN('Raw Data'!G485))</f>
        <v>#Excitement #IgnitedSoul</v>
      </c>
      <c r="H485" s="12">
        <f>'Raw Data'!H485</f>
        <v>30</v>
      </c>
      <c r="I485" s="12">
        <v>80</v>
      </c>
      <c r="J485" s="12" t="str">
        <f>TRIM(UPPER('Raw Data'!J485))</f>
        <v>UK</v>
      </c>
      <c r="K485" s="12">
        <f>'Raw Data'!K485</f>
        <v>2021</v>
      </c>
      <c r="L485" s="12">
        <f>'Raw Data'!L485</f>
        <v>4</v>
      </c>
      <c r="M485" s="12">
        <f>'Raw Data'!M485</f>
        <v>18</v>
      </c>
      <c r="N485">
        <f>'Raw Data'!N485</f>
        <v>14</v>
      </c>
    </row>
    <row r="486" spans="1:14" ht="30" x14ac:dyDescent="0.25">
      <c r="A486" s="11">
        <f>'Raw Data'!A486</f>
        <v>484</v>
      </c>
      <c r="B486" s="8" t="str">
        <f>TRIM(CLEAN('Raw Data'!B486))</f>
        <v>A surprise gift, wrapped in anticipation, unfolds a moment of delight and wonder.</v>
      </c>
      <c r="C486" s="4" t="str">
        <f>TRIM(PROPER('Raw Data'!C486))</f>
        <v>Surprise</v>
      </c>
      <c r="D486" s="5">
        <f>'Raw Data'!D486</f>
        <v>44962.8125</v>
      </c>
      <c r="E486" s="4" t="str">
        <f>TRIM(SUBSTITUTE('Raw Data'!E486," "," "))</f>
        <v>WrappedDelight</v>
      </c>
      <c r="F486" s="4" t="str">
        <f>TRIM(PROPER('Raw Data'!F486))</f>
        <v>Twitter</v>
      </c>
      <c r="G486" s="8" t="str">
        <f>TRIM(CLEAN('Raw Data'!G486))</f>
        <v>#Surprise #WonderfulMoment</v>
      </c>
      <c r="H486" s="12">
        <f>'Raw Data'!H486</f>
        <v>25</v>
      </c>
      <c r="I486" s="12">
        <v>60</v>
      </c>
      <c r="J486" s="12" t="str">
        <f>TRIM(UPPER('Raw Data'!J486))</f>
        <v>AUSTRALIA</v>
      </c>
      <c r="K486" s="12">
        <f>'Raw Data'!K486</f>
        <v>2023</v>
      </c>
      <c r="L486" s="12">
        <f>'Raw Data'!L486</f>
        <v>2</v>
      </c>
      <c r="M486" s="12">
        <f>'Raw Data'!M486</f>
        <v>5</v>
      </c>
      <c r="N486">
        <f>'Raw Data'!N486</f>
        <v>19</v>
      </c>
    </row>
    <row r="487" spans="1:14" ht="30" x14ac:dyDescent="0.25">
      <c r="A487" s="11">
        <f>'Raw Data'!A487</f>
        <v>485</v>
      </c>
      <c r="B487" s="8" t="str">
        <f>TRIM(CLEAN('Raw Data'!B487))</f>
        <v>Lost in the maze of curiosity, each twist and turn unveils the treasures of discovery.</v>
      </c>
      <c r="C487" s="4" t="str">
        <f>TRIM(PROPER('Raw Data'!C487))</f>
        <v>Curiosity</v>
      </c>
      <c r="D487" s="5">
        <f>'Raw Data'!D487</f>
        <v>43365.53125</v>
      </c>
      <c r="E487" s="4" t="str">
        <f>TRIM(SUBSTITUTE('Raw Data'!E487," "," "))</f>
        <v>MazeDiscovery</v>
      </c>
      <c r="F487" s="4" t="str">
        <f>TRIM(PROPER('Raw Data'!F487))</f>
        <v>Instagram</v>
      </c>
      <c r="G487" s="8" t="str">
        <f>TRIM(CLEAN('Raw Data'!G487))</f>
        <v>#Curiosity #TreasuresOfDiscovery</v>
      </c>
      <c r="H487" s="12">
        <f>'Raw Data'!H487</f>
        <v>22</v>
      </c>
      <c r="I487" s="12">
        <v>50</v>
      </c>
      <c r="J487" s="12" t="str">
        <f>TRIM(UPPER('Raw Data'!J487))</f>
        <v>INDIA</v>
      </c>
      <c r="K487" s="12">
        <f>'Raw Data'!K487</f>
        <v>2018</v>
      </c>
      <c r="L487" s="12">
        <f>'Raw Data'!L487</f>
        <v>9</v>
      </c>
      <c r="M487" s="12">
        <f>'Raw Data'!M487</f>
        <v>22</v>
      </c>
      <c r="N487">
        <f>'Raw Data'!N487</f>
        <v>12</v>
      </c>
    </row>
    <row r="488" spans="1:14" ht="30" x14ac:dyDescent="0.25">
      <c r="A488" s="11">
        <f>'Raw Data'!A488</f>
        <v>486</v>
      </c>
      <c r="B488" s="8" t="str">
        <f>TRIM(CLEAN('Raw Data'!B488))</f>
        <v>Floating on clouds of gratitude, each raindrop a blessing, a shower of thankfulness.</v>
      </c>
      <c r="C488" s="4" t="str">
        <f>TRIM(PROPER('Raw Data'!C488))</f>
        <v>Gratitude</v>
      </c>
      <c r="D488" s="5">
        <f>'Raw Data'!D488</f>
        <v>42714.885416666664</v>
      </c>
      <c r="E488" s="4" t="str">
        <f>TRIM(SUBSTITUTE('Raw Data'!E488," "," "))</f>
        <v>CloudsOfBlessings</v>
      </c>
      <c r="F488" s="4" t="str">
        <f>TRIM(PROPER('Raw Data'!F488))</f>
        <v>Facebook</v>
      </c>
      <c r="G488" s="8" t="str">
        <f>TRIM(CLEAN('Raw Data'!G488))</f>
        <v>#Gratitude #ShowerOfThankfulness</v>
      </c>
      <c r="H488" s="12">
        <f>'Raw Data'!H488</f>
        <v>28</v>
      </c>
      <c r="I488" s="12">
        <v>45</v>
      </c>
      <c r="J488" s="12" t="str">
        <f>TRIM(UPPER('Raw Data'!J488))</f>
        <v>GERMANY</v>
      </c>
      <c r="K488" s="12">
        <f>'Raw Data'!K488</f>
        <v>2016</v>
      </c>
      <c r="L488" s="12">
        <f>'Raw Data'!L488</f>
        <v>12</v>
      </c>
      <c r="M488" s="12">
        <f>'Raw Data'!M488</f>
        <v>10</v>
      </c>
      <c r="N488">
        <f>'Raw Data'!N488</f>
        <v>21</v>
      </c>
    </row>
    <row r="489" spans="1:14" ht="30" x14ac:dyDescent="0.25">
      <c r="A489" s="11">
        <f>'Raw Data'!A489</f>
        <v>487</v>
      </c>
      <c r="B489" s="8" t="str">
        <f>TRIM(CLEAN('Raw Data'!B489))</f>
        <v>Like a comet of inspiration, streaking through the sky of creativity, leaving trails of brilliance.</v>
      </c>
      <c r="C489" s="4" t="str">
        <f>TRIM(PROPER('Raw Data'!C489))</f>
        <v>Inspiration</v>
      </c>
      <c r="D489" s="5">
        <f>'Raw Data'!D489</f>
        <v>43979.666666666664</v>
      </c>
      <c r="E489" s="4" t="str">
        <f>TRIM(SUBSTITUTE('Raw Data'!E489," "," "))</f>
        <v>CometCreativity</v>
      </c>
      <c r="F489" s="4" t="str">
        <f>TRIM(PROPER('Raw Data'!F489))</f>
        <v>Twitter</v>
      </c>
      <c r="G489" s="8" t="str">
        <f>TRIM(CLEAN('Raw Data'!G489))</f>
        <v>#Inspiration #BrilliantTrails</v>
      </c>
      <c r="H489" s="12">
        <f>'Raw Data'!H489</f>
        <v>18</v>
      </c>
      <c r="I489" s="12">
        <v>55</v>
      </c>
      <c r="J489" s="12" t="str">
        <f>TRIM(UPPER('Raw Data'!J489))</f>
        <v>FRANCE</v>
      </c>
      <c r="K489" s="12">
        <f>'Raw Data'!K489</f>
        <v>2020</v>
      </c>
      <c r="L489" s="12">
        <f>'Raw Data'!L489</f>
        <v>5</v>
      </c>
      <c r="M489" s="12">
        <f>'Raw Data'!M489</f>
        <v>28</v>
      </c>
      <c r="N489">
        <f>'Raw Data'!N489</f>
        <v>16</v>
      </c>
    </row>
    <row r="490" spans="1:14" ht="30" x14ac:dyDescent="0.25">
      <c r="A490" s="11">
        <f>'Raw Data'!A490</f>
        <v>488</v>
      </c>
      <c r="B490" s="8" t="str">
        <f>TRIM(CLEAN('Raw Data'!B490))</f>
        <v>In the celebration of success, fireworks of accomplishment light up the night sky of triumph.</v>
      </c>
      <c r="C490" s="4" t="str">
        <f>TRIM(PROPER('Raw Data'!C490))</f>
        <v>Success</v>
      </c>
      <c r="D490" s="5">
        <f>'Raw Data'!D490</f>
        <v>43054.9375</v>
      </c>
      <c r="E490" s="4" t="str">
        <f>TRIM(SUBSTITUTE('Raw Data'!E490," "," "))</f>
        <v>FireworksTriumph</v>
      </c>
      <c r="F490" s="4" t="str">
        <f>TRIM(PROPER('Raw Data'!F490))</f>
        <v>Instagram</v>
      </c>
      <c r="G490" s="8" t="str">
        <f>TRIM(CLEAN('Raw Data'!G490))</f>
        <v>#Success #NightSkyTriumph</v>
      </c>
      <c r="H490" s="12">
        <f>'Raw Data'!H490</f>
        <v>22</v>
      </c>
      <c r="I490" s="12">
        <v>35</v>
      </c>
      <c r="J490" s="12" t="str">
        <f>TRIM(UPPER('Raw Data'!J490))</f>
        <v>JAPAN</v>
      </c>
      <c r="K490" s="12">
        <f>'Raw Data'!K490</f>
        <v>2017</v>
      </c>
      <c r="L490" s="12">
        <f>'Raw Data'!L490</f>
        <v>11</v>
      </c>
      <c r="M490" s="12">
        <f>'Raw Data'!M490</f>
        <v>15</v>
      </c>
      <c r="N490">
        <f>'Raw Data'!N490</f>
        <v>22</v>
      </c>
    </row>
    <row r="491" spans="1:14" ht="30" x14ac:dyDescent="0.25">
      <c r="A491" s="11">
        <f>'Raw Data'!A491</f>
        <v>489</v>
      </c>
      <c r="B491" s="8" t="str">
        <f>TRIM(CLEAN('Raw Data'!B491))</f>
        <v>A symphony of laughter, each note a key to unlocking the door of boundless happiness.</v>
      </c>
      <c r="C491" s="4" t="str">
        <f>TRIM(PROPER('Raw Data'!C491))</f>
        <v>Happiness</v>
      </c>
      <c r="D491" s="5">
        <f>'Raw Data'!D491</f>
        <v>44410.791666666664</v>
      </c>
      <c r="E491" s="4" t="str">
        <f>TRIM(SUBSTITUTE('Raw Data'!E491," "," "))</f>
        <v>LaughterSymphony</v>
      </c>
      <c r="F491" s="4" t="str">
        <f>TRIM(PROPER('Raw Data'!F491))</f>
        <v>Facebook</v>
      </c>
      <c r="G491" s="8" t="str">
        <f>TRIM(CLEAN('Raw Data'!G491))</f>
        <v>#Happiness #BoundlessLaughter</v>
      </c>
      <c r="H491" s="12">
        <f>'Raw Data'!H491</f>
        <v>30</v>
      </c>
      <c r="I491" s="12">
        <v>45</v>
      </c>
      <c r="J491" s="12" t="str">
        <f>TRIM(UPPER('Raw Data'!J491))</f>
        <v>BRAZIL</v>
      </c>
      <c r="K491" s="12">
        <f>'Raw Data'!K491</f>
        <v>2021</v>
      </c>
      <c r="L491" s="12">
        <f>'Raw Data'!L491</f>
        <v>8</v>
      </c>
      <c r="M491" s="12">
        <f>'Raw Data'!M491</f>
        <v>2</v>
      </c>
      <c r="N491">
        <f>'Raw Data'!N491</f>
        <v>19</v>
      </c>
    </row>
    <row r="492" spans="1:14" ht="30" x14ac:dyDescent="0.25">
      <c r="A492" s="11">
        <f>'Raw Data'!A492</f>
        <v>490</v>
      </c>
      <c r="B492" s="8" t="str">
        <f>TRIM(CLEAN('Raw Data'!B492))</f>
        <v>In the carnival of emotions, the rollercoaster of thrill sends the heart on a wild ride.</v>
      </c>
      <c r="C492" s="4" t="str">
        <f>TRIM(PROPER('Raw Data'!C492))</f>
        <v>Thrill</v>
      </c>
      <c r="D492" s="5">
        <f>'Raw Data'!D492</f>
        <v>43552.645833333336</v>
      </c>
      <c r="E492" s="4" t="str">
        <f>TRIM(SUBSTITUTE('Raw Data'!E492," "," "))</f>
        <v>EmotionCarnival</v>
      </c>
      <c r="F492" s="4" t="str">
        <f>TRIM(PROPER('Raw Data'!F492))</f>
        <v>Instagram</v>
      </c>
      <c r="G492" s="8" t="str">
        <f>TRIM(CLEAN('Raw Data'!G492))</f>
        <v>#Thrill #WildHeartRide</v>
      </c>
      <c r="H492" s="12">
        <f>'Raw Data'!H492</f>
        <v>35</v>
      </c>
      <c r="I492" s="12">
        <v>60</v>
      </c>
      <c r="J492" s="12" t="str">
        <f>TRIM(UPPER('Raw Data'!J492))</f>
        <v>SOUTH AFRICA</v>
      </c>
      <c r="K492" s="12">
        <f>'Raw Data'!K492</f>
        <v>2019</v>
      </c>
      <c r="L492" s="12">
        <f>'Raw Data'!L492</f>
        <v>3</v>
      </c>
      <c r="M492" s="12">
        <f>'Raw Data'!M492</f>
        <v>28</v>
      </c>
      <c r="N492">
        <f>'Raw Data'!N492</f>
        <v>15</v>
      </c>
    </row>
    <row r="493" spans="1:14" ht="30" x14ac:dyDescent="0.25">
      <c r="A493" s="11">
        <f>'Raw Data'!A493</f>
        <v>491</v>
      </c>
      <c r="B493" s="8" t="str">
        <f>TRIM(CLEAN('Raw Data'!B493))</f>
        <v>Standing before the grandeur of the Eiffel Tower, a moment to reflect on the beauty of Parisian dreams.</v>
      </c>
      <c r="C493" s="4" t="str">
        <f>TRIM(PROPER('Raw Data'!C493))</f>
        <v>Reflection</v>
      </c>
      <c r="D493" s="5">
        <f>'Raw Data'!D493</f>
        <v>43232.729166666664</v>
      </c>
      <c r="E493" s="4" t="str">
        <f>TRIM(SUBSTITUTE('Raw Data'!E493," "," "))</f>
        <v>ParisDreamer</v>
      </c>
      <c r="F493" s="4" t="str">
        <f>TRIM(PROPER('Raw Data'!F493))</f>
        <v>Twitter</v>
      </c>
      <c r="G493" s="8" t="str">
        <f>TRIM(CLEAN('Raw Data'!G493))</f>
        <v>#Reflection #ParisianDreams</v>
      </c>
      <c r="H493" s="12">
        <f>'Raw Data'!H493</f>
        <v>28</v>
      </c>
      <c r="I493" s="12">
        <v>70</v>
      </c>
      <c r="J493" s="12" t="str">
        <f>TRIM(UPPER('Raw Data'!J493))</f>
        <v>FRANCE</v>
      </c>
      <c r="K493" s="12">
        <f>'Raw Data'!K493</f>
        <v>2018</v>
      </c>
      <c r="L493" s="12">
        <f>'Raw Data'!L493</f>
        <v>5</v>
      </c>
      <c r="M493" s="12">
        <f>'Raw Data'!M493</f>
        <v>12</v>
      </c>
      <c r="N493">
        <f>'Raw Data'!N493</f>
        <v>17</v>
      </c>
    </row>
    <row r="494" spans="1:14" ht="30" x14ac:dyDescent="0.25">
      <c r="A494" s="11">
        <f>'Raw Data'!A494</f>
        <v>492</v>
      </c>
      <c r="B494" s="8" t="str">
        <f>TRIM(CLEAN('Raw Data'!B494))</f>
        <v>Lost in the enchantment of Disneyland, each ride a journey into the realm of childhood fantasies.</v>
      </c>
      <c r="C494" s="4" t="str">
        <f>TRIM(PROPER('Raw Data'!C494))</f>
        <v>Enchantment</v>
      </c>
      <c r="D494" s="5">
        <f>'Raw Data'!D494</f>
        <v>44832.65625</v>
      </c>
      <c r="E494" s="4" t="str">
        <f>TRIM(SUBSTITUTE('Raw Data'!E494," "," "))</f>
        <v>DisneylandExplorer</v>
      </c>
      <c r="F494" s="4" t="str">
        <f>TRIM(PROPER('Raw Data'!F494))</f>
        <v>Instagram</v>
      </c>
      <c r="G494" s="8" t="str">
        <f>TRIM(CLEAN('Raw Data'!G494))</f>
        <v>#Enchantment #ChildhoodFantasies</v>
      </c>
      <c r="H494" s="12">
        <f>'Raw Data'!H494</f>
        <v>30</v>
      </c>
      <c r="I494" s="12">
        <v>55</v>
      </c>
      <c r="J494" s="12" t="str">
        <f>TRIM(UPPER('Raw Data'!J494))</f>
        <v>USA</v>
      </c>
      <c r="K494" s="12">
        <f>'Raw Data'!K494</f>
        <v>2022</v>
      </c>
      <c r="L494" s="12">
        <f>'Raw Data'!L494</f>
        <v>9</v>
      </c>
      <c r="M494" s="12">
        <f>'Raw Data'!M494</f>
        <v>28</v>
      </c>
      <c r="N494">
        <f>'Raw Data'!N494</f>
        <v>15</v>
      </c>
    </row>
    <row r="495" spans="1:14" ht="30" x14ac:dyDescent="0.25">
      <c r="A495" s="11">
        <f>'Raw Data'!A495</f>
        <v>493</v>
      </c>
      <c r="B495" s="8" t="str">
        <f>TRIM(CLEAN('Raw Data'!B495))</f>
        <v>Exploring the wonders of Ferrari World, the roar of engines creating a symphony of speed.</v>
      </c>
      <c r="C495" s="4" t="str">
        <f>TRIM(PROPER('Raw Data'!C495))</f>
        <v>Excitement</v>
      </c>
      <c r="D495" s="5">
        <f>'Raw Data'!D495</f>
        <v>43779.583333333336</v>
      </c>
      <c r="E495" s="4" t="str">
        <f>TRIM(SUBSTITUTE('Raw Data'!E495," "," "))</f>
        <v>FerrariSpeedster</v>
      </c>
      <c r="F495" s="4" t="str">
        <f>TRIM(PROPER('Raw Data'!F495))</f>
        <v>Facebook</v>
      </c>
      <c r="G495" s="8" t="str">
        <f>TRIM(CLEAN('Raw Data'!G495))</f>
        <v>#Excitement #SymphonyOfSpeed</v>
      </c>
      <c r="H495" s="12">
        <f>'Raw Data'!H495</f>
        <v>22</v>
      </c>
      <c r="I495" s="12">
        <v>60</v>
      </c>
      <c r="J495" s="12" t="str">
        <f>TRIM(UPPER('Raw Data'!J495))</f>
        <v>ITALY</v>
      </c>
      <c r="K495" s="12">
        <f>'Raw Data'!K495</f>
        <v>2019</v>
      </c>
      <c r="L495" s="12">
        <f>'Raw Data'!L495</f>
        <v>11</v>
      </c>
      <c r="M495" s="12">
        <f>'Raw Data'!M495</f>
        <v>10</v>
      </c>
      <c r="N495">
        <f>'Raw Data'!N495</f>
        <v>14</v>
      </c>
    </row>
    <row r="496" spans="1:14" ht="30" x14ac:dyDescent="0.25">
      <c r="A496" s="11">
        <f>'Raw Data'!A496</f>
        <v>494</v>
      </c>
      <c r="B496" s="8" t="str">
        <f>TRIM(CLEAN('Raw Data'!B496))</f>
        <v>Amidst the tulip fields of Keukenhof, a tapestry of colors that paints the soul with springtime joy.</v>
      </c>
      <c r="C496" s="4" t="str">
        <f>TRIM(PROPER('Raw Data'!C496))</f>
        <v>Joy</v>
      </c>
      <c r="D496" s="5">
        <f>'Raw Data'!D496</f>
        <v>44288.763888888891</v>
      </c>
      <c r="E496" s="4" t="str">
        <f>TRIM(SUBSTITUTE('Raw Data'!E496," "," "))</f>
        <v>KeukenhofAdventurer</v>
      </c>
      <c r="F496" s="4" t="str">
        <f>TRIM(PROPER('Raw Data'!F496))</f>
        <v>Instagram</v>
      </c>
      <c r="G496" s="8" t="str">
        <f>TRIM(CLEAN('Raw Data'!G496))</f>
        <v>#Joy #SpringtimeColors</v>
      </c>
      <c r="H496" s="12">
        <f>'Raw Data'!H496</f>
        <v>35</v>
      </c>
      <c r="I496" s="12">
        <v>45</v>
      </c>
      <c r="J496" s="12" t="str">
        <f>TRIM(UPPER('Raw Data'!J496))</f>
        <v>NETHERLANDS</v>
      </c>
      <c r="K496" s="12">
        <f>'Raw Data'!K496</f>
        <v>2021</v>
      </c>
      <c r="L496" s="12">
        <f>'Raw Data'!L496</f>
        <v>4</v>
      </c>
      <c r="M496" s="12">
        <f>'Raw Data'!M496</f>
        <v>2</v>
      </c>
      <c r="N496">
        <f>'Raw Data'!N496</f>
        <v>18</v>
      </c>
    </row>
    <row r="497" spans="1:14" ht="30" x14ac:dyDescent="0.25">
      <c r="A497" s="11">
        <f>'Raw Data'!A497</f>
        <v>495</v>
      </c>
      <c r="B497" s="8" t="str">
        <f>TRIM(CLEAN('Raw Data'!B497))</f>
        <v>Wandering through the historical streets of Kyoto, each step a journey into the heart of Japan's traditions.</v>
      </c>
      <c r="C497" s="4" t="str">
        <f>TRIM(PROPER('Raw Data'!C497))</f>
        <v>Exploration</v>
      </c>
      <c r="D497" s="5">
        <f>'Raw Data'!D497</f>
        <v>42969.895833333336</v>
      </c>
      <c r="E497" s="4" t="str">
        <f>TRIM(SUBSTITUTE('Raw Data'!E497," "," "))</f>
        <v>KyotoAdventurer</v>
      </c>
      <c r="F497" s="4" t="str">
        <f>TRIM(PROPER('Raw Data'!F497))</f>
        <v>Twitter</v>
      </c>
      <c r="G497" s="8" t="str">
        <f>TRIM(CLEAN('Raw Data'!G497))</f>
        <v>#Exploration #JapaneseTraditions</v>
      </c>
      <c r="H497" s="12">
        <f>'Raw Data'!H497</f>
        <v>18</v>
      </c>
      <c r="I497" s="12">
        <v>70</v>
      </c>
      <c r="J497" s="12" t="str">
        <f>TRIM(UPPER('Raw Data'!J497))</f>
        <v>JAPAN</v>
      </c>
      <c r="K497" s="12">
        <f>'Raw Data'!K497</f>
        <v>2017</v>
      </c>
      <c r="L497" s="12">
        <f>'Raw Data'!L497</f>
        <v>8</v>
      </c>
      <c r="M497" s="12">
        <f>'Raw Data'!M497</f>
        <v>22</v>
      </c>
      <c r="N497">
        <f>'Raw Data'!N497</f>
        <v>21</v>
      </c>
    </row>
    <row r="498" spans="1:14" ht="30" x14ac:dyDescent="0.25">
      <c r="A498" s="11">
        <f>'Raw Data'!A498</f>
        <v>496</v>
      </c>
      <c r="B498" s="8" t="str">
        <f>TRIM(CLEAN('Raw Data'!B498))</f>
        <v>In the embrace of the Grand Canyon, nature's masterpiece, a moment to marvel at Earth's grandeur.</v>
      </c>
      <c r="C498" s="4" t="str">
        <f>TRIM(PROPER('Raw Data'!C498))</f>
        <v>Awe</v>
      </c>
      <c r="D498" s="5">
        <f>'Raw Data'!D498</f>
        <v>43997.697916666664</v>
      </c>
      <c r="E498" s="4" t="str">
        <f>TRIM(SUBSTITUTE('Raw Data'!E498," "," "))</f>
        <v>CanyonMarveler</v>
      </c>
      <c r="F498" s="4" t="str">
        <f>TRIM(PROPER('Raw Data'!F498))</f>
        <v>Instagram</v>
      </c>
      <c r="G498" s="8" t="str">
        <f>TRIM(CLEAN('Raw Data'!G498))</f>
        <v>#Awe #EarthsGrandeur</v>
      </c>
      <c r="H498" s="12">
        <f>'Raw Data'!H498</f>
        <v>25</v>
      </c>
      <c r="I498" s="12">
        <v>35</v>
      </c>
      <c r="J498" s="12" t="str">
        <f>TRIM(UPPER('Raw Data'!J498))</f>
        <v>USA</v>
      </c>
      <c r="K498" s="12">
        <f>'Raw Data'!K498</f>
        <v>2020</v>
      </c>
      <c r="L498" s="12">
        <f>'Raw Data'!L498</f>
        <v>6</v>
      </c>
      <c r="M498" s="12">
        <f>'Raw Data'!M498</f>
        <v>15</v>
      </c>
      <c r="N498">
        <f>'Raw Data'!N498</f>
        <v>16</v>
      </c>
    </row>
    <row r="499" spans="1:14" ht="30" x14ac:dyDescent="0.25">
      <c r="A499" s="11">
        <f>'Raw Data'!A499</f>
        <v>497</v>
      </c>
      <c r="B499" s="8" t="str">
        <f>TRIM(CLEAN('Raw Data'!B499))</f>
        <v>Journeying through the serenity of Santorini, where each sunset paints the sky with hues of tranquility.</v>
      </c>
      <c r="C499" s="4" t="str">
        <f>TRIM(PROPER('Raw Data'!C499))</f>
        <v>Serenity</v>
      </c>
      <c r="D499" s="5">
        <f>'Raw Data'!D499</f>
        <v>42623.802083333336</v>
      </c>
      <c r="E499" s="4" t="str">
        <f>TRIM(SUBSTITUTE('Raw Data'!E499," "," "))</f>
        <v>SantoriniTraveler</v>
      </c>
      <c r="F499" s="4" t="str">
        <f>TRIM(PROPER('Raw Data'!F499))</f>
        <v>Facebook</v>
      </c>
      <c r="G499" s="8" t="str">
        <f>TRIM(CLEAN('Raw Data'!G499))</f>
        <v>#Serenity #SunsetHues</v>
      </c>
      <c r="H499" s="12">
        <f>'Raw Data'!H499</f>
        <v>22</v>
      </c>
      <c r="I499" s="12">
        <v>50</v>
      </c>
      <c r="J499" s="12" t="str">
        <f>TRIM(UPPER('Raw Data'!J499))</f>
        <v>GREECE</v>
      </c>
      <c r="K499" s="12">
        <f>'Raw Data'!K499</f>
        <v>2016</v>
      </c>
      <c r="L499" s="12">
        <f>'Raw Data'!L499</f>
        <v>9</v>
      </c>
      <c r="M499" s="12">
        <f>'Raw Data'!M499</f>
        <v>10</v>
      </c>
      <c r="N499">
        <f>'Raw Data'!N499</f>
        <v>19</v>
      </c>
    </row>
    <row r="500" spans="1:14" ht="30" x14ac:dyDescent="0.25">
      <c r="A500" s="11">
        <f>'Raw Data'!A500</f>
        <v>498</v>
      </c>
      <c r="B500" s="8" t="str">
        <f>TRIM(CLEAN('Raw Data'!B500))</f>
        <v>Amazed by the architectural marvels of Petra, each stone telling tales of an ancient civilization.</v>
      </c>
      <c r="C500" s="4" t="str">
        <f>TRIM(PROPER('Raw Data'!C500))</f>
        <v>Amazement</v>
      </c>
      <c r="D500" s="5">
        <f>'Raw Data'!D500</f>
        <v>44954.541666666664</v>
      </c>
      <c r="E500" s="4" t="str">
        <f>TRIM(SUBSTITUTE('Raw Data'!E500," "," "))</f>
        <v>PetraExplorer</v>
      </c>
      <c r="F500" s="4" t="str">
        <f>TRIM(PROPER('Raw Data'!F500))</f>
        <v>Twitter</v>
      </c>
      <c r="G500" s="8" t="str">
        <f>TRIM(CLEAN('Raw Data'!G500))</f>
        <v>#Amazement #AncientTales</v>
      </c>
      <c r="H500" s="12">
        <f>'Raw Data'!H500</f>
        <v>30</v>
      </c>
      <c r="I500" s="12">
        <v>45</v>
      </c>
      <c r="J500" s="12" t="str">
        <f>TRIM(UPPER('Raw Data'!J500))</f>
        <v>JORDAN</v>
      </c>
      <c r="K500" s="12">
        <f>'Raw Data'!K500</f>
        <v>2023</v>
      </c>
      <c r="L500" s="12">
        <f>'Raw Data'!L500</f>
        <v>1</v>
      </c>
      <c r="M500" s="12">
        <f>'Raw Data'!M500</f>
        <v>28</v>
      </c>
      <c r="N500">
        <f>'Raw Data'!N500</f>
        <v>13</v>
      </c>
    </row>
    <row r="501" spans="1:14" ht="30" x14ac:dyDescent="0.25">
      <c r="A501" s="11">
        <f>'Raw Data'!A501</f>
        <v>499</v>
      </c>
      <c r="B501" s="8" t="str">
        <f>TRIM(CLEAN('Raw Data'!B501))</f>
        <v>Embarking on a gondola ride in Venice, each canal reflecting the romance of this timeless city.</v>
      </c>
      <c r="C501" s="4" t="str">
        <f>TRIM(PROPER('Raw Data'!C501))</f>
        <v>Romance</v>
      </c>
      <c r="D501" s="5">
        <f>'Raw Data'!D501</f>
        <v>43573.6875</v>
      </c>
      <c r="E501" s="4" t="str">
        <f>TRIM(SUBSTITUTE('Raw Data'!E501," "," "))</f>
        <v>VeniceRomantic</v>
      </c>
      <c r="F501" s="4" t="str">
        <f>TRIM(PROPER('Raw Data'!F501))</f>
        <v>Instagram</v>
      </c>
      <c r="G501" s="8" t="str">
        <f>TRIM(CLEAN('Raw Data'!G501))</f>
        <v>#Romance #TimelessCity</v>
      </c>
      <c r="H501" s="12">
        <f>'Raw Data'!H501</f>
        <v>20</v>
      </c>
      <c r="I501" s="12">
        <v>60</v>
      </c>
      <c r="J501" s="12" t="str">
        <f>TRIM(UPPER('Raw Data'!J501))</f>
        <v>ITALY</v>
      </c>
      <c r="K501" s="12">
        <f>'Raw Data'!K501</f>
        <v>2019</v>
      </c>
      <c r="L501" s="12">
        <f>'Raw Data'!L501</f>
        <v>4</v>
      </c>
      <c r="M501" s="12">
        <f>'Raw Data'!M501</f>
        <v>18</v>
      </c>
      <c r="N501">
        <f>'Raw Data'!N501</f>
        <v>16</v>
      </c>
    </row>
    <row r="502" spans="1:14" ht="45" x14ac:dyDescent="0.25">
      <c r="A502" s="11">
        <f>'Raw Data'!A502</f>
        <v>500</v>
      </c>
      <c r="B502" s="8" t="str">
        <f>TRIM(CLEAN('Raw Data'!B502))</f>
        <v>At the summit of Machu Picchu, a breathtaking panorama that whispers the secrets of ancient civilizations.</v>
      </c>
      <c r="C502" s="4" t="str">
        <f>TRIM(PROPER('Raw Data'!C502))</f>
        <v>Awe</v>
      </c>
      <c r="D502" s="5">
        <f>'Raw Data'!D502</f>
        <v>43044.916666666664</v>
      </c>
      <c r="E502" s="4" t="str">
        <f>TRIM(SUBSTITUTE('Raw Data'!E502," "," "))</f>
        <v>MachuPicchuAdventurer</v>
      </c>
      <c r="F502" s="4" t="str">
        <f>TRIM(PROPER('Raw Data'!F502))</f>
        <v>Facebook</v>
      </c>
      <c r="G502" s="8" t="str">
        <f>TRIM(CLEAN('Raw Data'!G502))</f>
        <v>#Awe #AncientCivilizations</v>
      </c>
      <c r="H502" s="12">
        <f>'Raw Data'!H502</f>
        <v>28</v>
      </c>
      <c r="I502" s="12">
        <v>40</v>
      </c>
      <c r="J502" s="12" t="str">
        <f>TRIM(UPPER('Raw Data'!J502))</f>
        <v>PERU</v>
      </c>
      <c r="K502" s="12">
        <f>'Raw Data'!K502</f>
        <v>2017</v>
      </c>
      <c r="L502" s="12">
        <f>'Raw Data'!L502</f>
        <v>11</v>
      </c>
      <c r="M502" s="12">
        <f>'Raw Data'!M502</f>
        <v>5</v>
      </c>
      <c r="N502">
        <f>'Raw Data'!N502</f>
        <v>22</v>
      </c>
    </row>
    <row r="503" spans="1:14" ht="30" x14ac:dyDescent="0.25">
      <c r="A503" s="11">
        <f>'Raw Data'!A503</f>
        <v>501</v>
      </c>
      <c r="B503" s="8" t="str">
        <f>TRIM(CLEAN('Raw Data'!B503))</f>
        <v>In the heart of New York City, Times Square dazzles with lights, a vibrant spectacle of urban energy.</v>
      </c>
      <c r="C503" s="4" t="str">
        <f>TRIM(PROPER('Raw Data'!C503))</f>
        <v>Excitement</v>
      </c>
      <c r="D503" s="5">
        <f>'Raw Data'!D503</f>
        <v>44762.90625</v>
      </c>
      <c r="E503" s="4" t="str">
        <f>TRIM(SUBSTITUTE('Raw Data'!E503," "," "))</f>
        <v>TimesSquareExplorer</v>
      </c>
      <c r="F503" s="4" t="str">
        <f>TRIM(PROPER('Raw Data'!F503))</f>
        <v>Instagram</v>
      </c>
      <c r="G503" s="8" t="str">
        <f>TRIM(CLEAN('Raw Data'!G503))</f>
        <v>#Excitement #UrbanEnergy</v>
      </c>
      <c r="H503" s="12">
        <f>'Raw Data'!H503</f>
        <v>35</v>
      </c>
      <c r="I503" s="12">
        <v>55</v>
      </c>
      <c r="J503" s="12" t="str">
        <f>TRIM(UPPER('Raw Data'!J503))</f>
        <v>USA</v>
      </c>
      <c r="K503" s="12">
        <f>'Raw Data'!K503</f>
        <v>2022</v>
      </c>
      <c r="L503" s="12">
        <f>'Raw Data'!L503</f>
        <v>7</v>
      </c>
      <c r="M503" s="12">
        <f>'Raw Data'!M503</f>
        <v>20</v>
      </c>
      <c r="N503">
        <f>'Raw Data'!N503</f>
        <v>21</v>
      </c>
    </row>
    <row r="504" spans="1:14" ht="30" x14ac:dyDescent="0.25">
      <c r="A504" s="11">
        <f>'Raw Data'!A504</f>
        <v>502</v>
      </c>
      <c r="B504" s="8" t="str">
        <f>TRIM(CLEAN('Raw Data'!B504))</f>
        <v>Captivated by the historical charm of the Colosseum, each stone echoing tales of gladiator valor.</v>
      </c>
      <c r="C504" s="4" t="str">
        <f>TRIM(PROPER('Raw Data'!C504))</f>
        <v>Captivation</v>
      </c>
      <c r="D504" s="5">
        <f>'Raw Data'!D504</f>
        <v>43174.729166666664</v>
      </c>
      <c r="E504" s="4" t="str">
        <f>TRIM(SUBSTITUTE('Raw Data'!E504," "," "))</f>
        <v>ColosseumAdventurer</v>
      </c>
      <c r="F504" s="4" t="str">
        <f>TRIM(PROPER('Raw Data'!F504))</f>
        <v>Twitter</v>
      </c>
      <c r="G504" s="8" t="str">
        <f>TRIM(CLEAN('Raw Data'!G504))</f>
        <v>#Captivation #GladiatorTales</v>
      </c>
      <c r="H504" s="12">
        <f>'Raw Data'!H504</f>
        <v>25</v>
      </c>
      <c r="I504" s="12">
        <v>70</v>
      </c>
      <c r="J504" s="12" t="str">
        <f>TRIM(UPPER('Raw Data'!J504))</f>
        <v>ITALY</v>
      </c>
      <c r="K504" s="12">
        <f>'Raw Data'!K504</f>
        <v>2018</v>
      </c>
      <c r="L504" s="12">
        <f>'Raw Data'!L504</f>
        <v>3</v>
      </c>
      <c r="M504" s="12">
        <f>'Raw Data'!M504</f>
        <v>15</v>
      </c>
      <c r="N504">
        <f>'Raw Data'!N504</f>
        <v>17</v>
      </c>
    </row>
    <row r="505" spans="1:14" ht="30" x14ac:dyDescent="0.25">
      <c r="A505" s="11">
        <f>'Raw Data'!A505</f>
        <v>503</v>
      </c>
      <c r="B505" s="8" t="str">
        <f>TRIM(CLEAN('Raw Data'!B505))</f>
        <v>Sailing the azure waters of the Maldives, each wave a whisper of serenity in paradise.</v>
      </c>
      <c r="C505" s="4" t="str">
        <f>TRIM(PROPER('Raw Data'!C505))</f>
        <v>Serenity</v>
      </c>
      <c r="D505" s="5">
        <f>'Raw Data'!D505</f>
        <v>43766.59375</v>
      </c>
      <c r="E505" s="4" t="str">
        <f>TRIM(SUBSTITUTE('Raw Data'!E505," "," "))</f>
        <v>MaldivesSailor</v>
      </c>
      <c r="F505" s="4" t="str">
        <f>TRIM(PROPER('Raw Data'!F505))</f>
        <v>Facebook</v>
      </c>
      <c r="G505" s="8" t="str">
        <f>TRIM(CLEAN('Raw Data'!G505))</f>
        <v>#Serenity #ParadiseWhispers</v>
      </c>
      <c r="H505" s="12">
        <f>'Raw Data'!H505</f>
        <v>22</v>
      </c>
      <c r="I505" s="12">
        <v>50</v>
      </c>
      <c r="J505" s="12" t="str">
        <f>TRIM(UPPER('Raw Data'!J505))</f>
        <v>MALDIVES</v>
      </c>
      <c r="K505" s="12">
        <f>'Raw Data'!K505</f>
        <v>2019</v>
      </c>
      <c r="L505" s="12">
        <f>'Raw Data'!L505</f>
        <v>10</v>
      </c>
      <c r="M505" s="12">
        <f>'Raw Data'!M505</f>
        <v>28</v>
      </c>
      <c r="N505">
        <f>'Raw Data'!N505</f>
        <v>14</v>
      </c>
    </row>
    <row r="506" spans="1:14" ht="30" x14ac:dyDescent="0.25">
      <c r="A506" s="11">
        <f>'Raw Data'!A506</f>
        <v>504</v>
      </c>
      <c r="B506" s="8" t="str">
        <f>TRIM(CLEAN('Raw Data'!B506))</f>
        <v>In the midst of the Amazon rainforest, a symphony of wildlife creates an orchestra of nature's wonders.</v>
      </c>
      <c r="C506" s="4" t="str">
        <f>TRIM(PROPER('Raw Data'!C506))</f>
        <v>Wonder</v>
      </c>
      <c r="D506" s="5">
        <f>'Raw Data'!D506</f>
        <v>44357.666666666664</v>
      </c>
      <c r="E506" s="4" t="str">
        <f>TRIM(SUBSTITUTE('Raw Data'!E506," "," "))</f>
        <v>AmazonExplorer</v>
      </c>
      <c r="F506" s="4" t="str">
        <f>TRIM(PROPER('Raw Data'!F506))</f>
        <v>Instagram</v>
      </c>
      <c r="G506" s="8" t="str">
        <f>TRIM(CLEAN('Raw Data'!G506))</f>
        <v>#Wonder #NatureOrchestra</v>
      </c>
      <c r="H506" s="12">
        <f>'Raw Data'!H506</f>
        <v>30</v>
      </c>
      <c r="I506" s="12">
        <v>45</v>
      </c>
      <c r="J506" s="12" t="str">
        <f>TRIM(UPPER('Raw Data'!J506))</f>
        <v>BRAZIL</v>
      </c>
      <c r="K506" s="12">
        <f>'Raw Data'!K506</f>
        <v>2021</v>
      </c>
      <c r="L506" s="12">
        <f>'Raw Data'!L506</f>
        <v>6</v>
      </c>
      <c r="M506" s="12">
        <f>'Raw Data'!M506</f>
        <v>10</v>
      </c>
      <c r="N506">
        <f>'Raw Data'!N506</f>
        <v>16</v>
      </c>
    </row>
    <row r="507" spans="1:14" ht="30" x14ac:dyDescent="0.25">
      <c r="A507" s="11">
        <f>'Raw Data'!A507</f>
        <v>505</v>
      </c>
      <c r="B507" s="8" t="str">
        <f>TRIM(CLEAN('Raw Data'!B507))</f>
        <v>Walking the Great Wall of China, each step a testament to ancient engineering marvels.</v>
      </c>
      <c r="C507" s="4" t="str">
        <f>TRIM(PROPER('Raw Data'!C507))</f>
        <v>Awe</v>
      </c>
      <c r="D507" s="5">
        <f>'Raw Data'!D507</f>
        <v>42965.8125</v>
      </c>
      <c r="E507" s="4" t="str">
        <f>TRIM(SUBSTITUTE('Raw Data'!E507," "," "))</f>
        <v>GreatWallWalker</v>
      </c>
      <c r="F507" s="4" t="str">
        <f>TRIM(PROPER('Raw Data'!F507))</f>
        <v>Twitter</v>
      </c>
      <c r="G507" s="8" t="str">
        <f>TRIM(CLEAN('Raw Data'!G507))</f>
        <v>#Awe #EngineeringMarvels</v>
      </c>
      <c r="H507" s="12">
        <f>'Raw Data'!H507</f>
        <v>18</v>
      </c>
      <c r="I507" s="12">
        <v>60</v>
      </c>
      <c r="J507" s="12" t="str">
        <f>TRIM(UPPER('Raw Data'!J507))</f>
        <v>CHINA</v>
      </c>
      <c r="K507" s="12">
        <f>'Raw Data'!K507</f>
        <v>2017</v>
      </c>
      <c r="L507" s="12">
        <f>'Raw Data'!L507</f>
        <v>8</v>
      </c>
      <c r="M507" s="12">
        <f>'Raw Data'!M507</f>
        <v>18</v>
      </c>
      <c r="N507">
        <f>'Raw Data'!N507</f>
        <v>19</v>
      </c>
    </row>
    <row r="508" spans="1:14" ht="30" x14ac:dyDescent="0.25">
      <c r="A508" s="11">
        <f>'Raw Data'!A508</f>
        <v>506</v>
      </c>
      <c r="B508" s="8" t="str">
        <f>TRIM(CLEAN('Raw Data'!B508))</f>
        <v>At the summit of Mount Fuji, a breathtaking sunrise that paints the sky with hues of accomplishment.</v>
      </c>
      <c r="C508" s="4" t="str">
        <f>TRIM(PROPER('Raw Data'!C508))</f>
        <v>Accomplishment</v>
      </c>
      <c r="D508" s="5">
        <f>'Raw Data'!D508</f>
        <v>43936.229166666664</v>
      </c>
      <c r="E508" s="4" t="str">
        <f>TRIM(SUBSTITUTE('Raw Data'!E508," "," "))</f>
        <v>FujiSummitAchiever</v>
      </c>
      <c r="F508" s="4" t="str">
        <f>TRIM(PROPER('Raw Data'!F508))</f>
        <v>Facebook</v>
      </c>
      <c r="G508" s="8" t="str">
        <f>TRIM(CLEAN('Raw Data'!G508))</f>
        <v>#Accomplishment #SunriseHues</v>
      </c>
      <c r="H508" s="12">
        <f>'Raw Data'!H508</f>
        <v>28</v>
      </c>
      <c r="I508" s="12">
        <v>35</v>
      </c>
      <c r="J508" s="12" t="str">
        <f>TRIM(UPPER('Raw Data'!J508))</f>
        <v>JAPAN</v>
      </c>
      <c r="K508" s="12">
        <f>'Raw Data'!K508</f>
        <v>2020</v>
      </c>
      <c r="L508" s="12">
        <f>'Raw Data'!L508</f>
        <v>4</v>
      </c>
      <c r="M508" s="12">
        <f>'Raw Data'!M508</f>
        <v>15</v>
      </c>
      <c r="N508">
        <f>'Raw Data'!N508</f>
        <v>5</v>
      </c>
    </row>
    <row r="509" spans="1:14" ht="30" x14ac:dyDescent="0.25">
      <c r="A509" s="11">
        <f>'Raw Data'!A509</f>
        <v>507</v>
      </c>
      <c r="B509" s="8" t="str">
        <f>TRIM(CLEAN('Raw Data'!B509))</f>
        <v>Exploring the ancient ruins of Angkor Wat, each stone whispering stories of Khmer civilization.</v>
      </c>
      <c r="C509" s="4" t="str">
        <f>TRIM(PROPER('Raw Data'!C509))</f>
        <v>Exploration</v>
      </c>
      <c r="D509" s="5">
        <f>'Raw Data'!D509</f>
        <v>42696.541666666664</v>
      </c>
      <c r="E509" s="4" t="str">
        <f>TRIM(SUBSTITUTE('Raw Data'!E509," "," "))</f>
        <v>AngkorWatAdventurer</v>
      </c>
      <c r="F509" s="4" t="str">
        <f>TRIM(PROPER('Raw Data'!F509))</f>
        <v>Instagram</v>
      </c>
      <c r="G509" s="8" t="str">
        <f>TRIM(CLEAN('Raw Data'!G509))</f>
        <v>#Exploration #KhmerStories</v>
      </c>
      <c r="H509" s="12">
        <f>'Raw Data'!H509</f>
        <v>20</v>
      </c>
      <c r="I509" s="12">
        <v>55</v>
      </c>
      <c r="J509" s="12" t="str">
        <f>TRIM(UPPER('Raw Data'!J509))</f>
        <v>CAMBODIA</v>
      </c>
      <c r="K509" s="12">
        <f>'Raw Data'!K509</f>
        <v>2016</v>
      </c>
      <c r="L509" s="12">
        <f>'Raw Data'!L509</f>
        <v>11</v>
      </c>
      <c r="M509" s="12">
        <f>'Raw Data'!M509</f>
        <v>22</v>
      </c>
      <c r="N509">
        <f>'Raw Data'!N509</f>
        <v>13</v>
      </c>
    </row>
    <row r="510" spans="1:14" ht="30" x14ac:dyDescent="0.25">
      <c r="A510" s="11">
        <f>'Raw Data'!A510</f>
        <v>508</v>
      </c>
      <c r="B510" s="8" t="str">
        <f>TRIM(CLEAN('Raw Data'!B510))</f>
        <v>Skiing down the slopes of the Swiss Alps, each turn a dance with the majesty of snow-capped peaks.</v>
      </c>
      <c r="C510" s="4" t="str">
        <f>TRIM(PROPER('Raw Data'!C510))</f>
        <v>Adventure</v>
      </c>
      <c r="D510" s="5">
        <f>'Raw Data'!D510</f>
        <v>43475.614583333336</v>
      </c>
      <c r="E510" s="4" t="str">
        <f>TRIM(SUBSTITUTE('Raw Data'!E510," "," "))</f>
        <v>AlpsSkiAdventurer</v>
      </c>
      <c r="F510" s="4" t="str">
        <f>TRIM(PROPER('Raw Data'!F510))</f>
        <v>Twitter</v>
      </c>
      <c r="G510" s="8" t="str">
        <f>TRIM(CLEAN('Raw Data'!G510))</f>
        <v>#Adventure #SnowPeakDance</v>
      </c>
      <c r="H510" s="12">
        <f>'Raw Data'!H510</f>
        <v>22</v>
      </c>
      <c r="I510" s="12">
        <v>40</v>
      </c>
      <c r="J510" s="12" t="str">
        <f>TRIM(UPPER('Raw Data'!J510))</f>
        <v>SWITZERLAND</v>
      </c>
      <c r="K510" s="12">
        <f>'Raw Data'!K510</f>
        <v>2019</v>
      </c>
      <c r="L510" s="12">
        <f>'Raw Data'!L510</f>
        <v>1</v>
      </c>
      <c r="M510" s="12">
        <f>'Raw Data'!M510</f>
        <v>10</v>
      </c>
      <c r="N510">
        <f>'Raw Data'!N510</f>
        <v>14</v>
      </c>
    </row>
    <row r="511" spans="1:14" ht="30" x14ac:dyDescent="0.25">
      <c r="A511" s="11">
        <f>'Raw Data'!A511</f>
        <v>509</v>
      </c>
      <c r="B511" s="8" t="str">
        <f>TRIM(CLEAN('Raw Data'!B511))</f>
        <v>In the tranquility of Kyoto's bamboo forest, whispers of ancient Zen wisdom echo through the groves.</v>
      </c>
      <c r="C511" s="4" t="str">
        <f>TRIM(PROPER('Raw Data'!C511))</f>
        <v>Tranquility</v>
      </c>
      <c r="D511" s="5">
        <f>'Raw Data'!D511</f>
        <v>44985.680555555555</v>
      </c>
      <c r="E511" s="4" t="str">
        <f>TRIM(SUBSTITUTE('Raw Data'!E511," "," "))</f>
        <v>KyotoBambooSeeker</v>
      </c>
      <c r="F511" s="4" t="str">
        <f>TRIM(PROPER('Raw Data'!F511))</f>
        <v>Facebook</v>
      </c>
      <c r="G511" s="8" t="str">
        <f>TRIM(CLEAN('Raw Data'!G511))</f>
        <v>#Tranquility #ZenWisdom</v>
      </c>
      <c r="H511" s="12">
        <f>'Raw Data'!H511</f>
        <v>25</v>
      </c>
      <c r="I511" s="12">
        <v>45</v>
      </c>
      <c r="J511" s="12" t="str">
        <f>TRIM(UPPER('Raw Data'!J511))</f>
        <v>JAPAN</v>
      </c>
      <c r="K511" s="12">
        <f>'Raw Data'!K511</f>
        <v>2023</v>
      </c>
      <c r="L511" s="12">
        <f>'Raw Data'!L511</f>
        <v>2</v>
      </c>
      <c r="M511" s="12">
        <f>'Raw Data'!M511</f>
        <v>28</v>
      </c>
      <c r="N511">
        <f>'Raw Data'!N511</f>
        <v>16</v>
      </c>
    </row>
    <row r="512" spans="1:14" ht="30" x14ac:dyDescent="0.25">
      <c r="A512" s="11">
        <f>'Raw Data'!A512</f>
        <v>510</v>
      </c>
      <c r="B512" s="8" t="str">
        <f>TRIM(CLEAN('Raw Data'!B512))</f>
        <v>Cruising the fjords of Norway, each icy landscape a breathtaking masterpiece of nature's grandeur.</v>
      </c>
      <c r="C512" s="4" t="str">
        <f>TRIM(PROPER('Raw Data'!C512))</f>
        <v>Grandeur</v>
      </c>
      <c r="D512" s="5">
        <f>'Raw Data'!D512</f>
        <v>43248.770833333336</v>
      </c>
      <c r="E512" s="4" t="str">
        <f>TRIM(SUBSTITUTE('Raw Data'!E512," "," "))</f>
        <v>NorwayFjordExplorer</v>
      </c>
      <c r="F512" s="4" t="str">
        <f>TRIM(PROPER('Raw Data'!F512))</f>
        <v>Instagram</v>
      </c>
      <c r="G512" s="8" t="str">
        <f>TRIM(CLEAN('Raw Data'!G512))</f>
        <v>#Grandeur #IcyMasterpiece</v>
      </c>
      <c r="H512" s="12">
        <f>'Raw Data'!H512</f>
        <v>22</v>
      </c>
      <c r="I512" s="12">
        <v>50</v>
      </c>
      <c r="J512" s="12" t="str">
        <f>TRIM(UPPER('Raw Data'!J512))</f>
        <v>NORWAY</v>
      </c>
      <c r="K512" s="12">
        <f>'Raw Data'!K512</f>
        <v>2018</v>
      </c>
      <c r="L512" s="12">
        <f>'Raw Data'!L512</f>
        <v>5</v>
      </c>
      <c r="M512" s="12">
        <f>'Raw Data'!M512</f>
        <v>28</v>
      </c>
      <c r="N512">
        <f>'Raw Data'!N512</f>
        <v>18</v>
      </c>
    </row>
    <row r="513" spans="1:14" ht="45" x14ac:dyDescent="0.25">
      <c r="A513" s="11">
        <f>'Raw Data'!A513</f>
        <v>511</v>
      </c>
      <c r="B513" s="8" t="str">
        <f>TRIM(CLEAN('Raw Data'!B513))</f>
        <v>At the front row of Adele's concert, each note of 'Someone Like You' resonates with soul-stirring emotion.</v>
      </c>
      <c r="C513" s="4" t="str">
        <f>TRIM(PROPER('Raw Data'!C513))</f>
        <v>Emotion</v>
      </c>
      <c r="D513" s="5">
        <f>'Raw Data'!D513</f>
        <v>44819.833333333336</v>
      </c>
      <c r="E513" s="4" t="str">
        <f>TRIM(SUBSTITUTE('Raw Data'!E513," "," "))</f>
        <v>AdeleConcertGoer</v>
      </c>
      <c r="F513" s="4" t="str">
        <f>TRIM(PROPER('Raw Data'!F513))</f>
        <v>Instagram</v>
      </c>
      <c r="G513" s="8" t="str">
        <f>TRIM(CLEAN('Raw Data'!G513))</f>
        <v>#Emotion #AdeleConcert</v>
      </c>
      <c r="H513" s="12">
        <f>'Raw Data'!H513</f>
        <v>40</v>
      </c>
      <c r="I513" s="12">
        <v>45</v>
      </c>
      <c r="J513" s="12" t="str">
        <f>TRIM(UPPER('Raw Data'!J513))</f>
        <v>USA</v>
      </c>
      <c r="K513" s="12">
        <f>'Raw Data'!K513</f>
        <v>2022</v>
      </c>
      <c r="L513" s="12">
        <f>'Raw Data'!L513</f>
        <v>9</v>
      </c>
      <c r="M513" s="12">
        <f>'Raw Data'!M513</f>
        <v>15</v>
      </c>
      <c r="N513">
        <f>'Raw Data'!N513</f>
        <v>20</v>
      </c>
    </row>
    <row r="514" spans="1:14" ht="30" x14ac:dyDescent="0.25">
      <c r="A514" s="11">
        <f>'Raw Data'!A514</f>
        <v>512</v>
      </c>
      <c r="B514" s="8" t="str">
        <f>TRIM(CLEAN('Raw Data'!B514))</f>
        <v>Dancing under the stars at Beyoncé's live show, feeling the power of 'Single Ladies' in every move.</v>
      </c>
      <c r="C514" s="4" t="str">
        <f>TRIM(PROPER('Raw Data'!C514))</f>
        <v>Energy</v>
      </c>
      <c r="D514" s="5">
        <f>'Raw Data'!D514</f>
        <v>43674.895833333336</v>
      </c>
      <c r="E514" s="4" t="str">
        <f>TRIM(SUBSTITUTE('Raw Data'!E514," "," "))</f>
        <v>BeyonceDancer</v>
      </c>
      <c r="F514" s="4" t="str">
        <f>TRIM(PROPER('Raw Data'!F514))</f>
        <v>Twitter</v>
      </c>
      <c r="G514" s="8" t="str">
        <f>TRIM(CLEAN('Raw Data'!G514))</f>
        <v>#Energy #BeyonceConcert</v>
      </c>
      <c r="H514" s="12">
        <f>'Raw Data'!H514</f>
        <v>35</v>
      </c>
      <c r="I514" s="12">
        <v>80</v>
      </c>
      <c r="J514" s="12" t="str">
        <f>TRIM(UPPER('Raw Data'!J514))</f>
        <v>USA</v>
      </c>
      <c r="K514" s="12">
        <f>'Raw Data'!K514</f>
        <v>2019</v>
      </c>
      <c r="L514" s="12">
        <f>'Raw Data'!L514</f>
        <v>7</v>
      </c>
      <c r="M514" s="12">
        <f>'Raw Data'!M514</f>
        <v>28</v>
      </c>
      <c r="N514">
        <f>'Raw Data'!N514</f>
        <v>21</v>
      </c>
    </row>
    <row r="515" spans="1:14" ht="30" x14ac:dyDescent="0.25">
      <c r="A515" s="11">
        <f>'Raw Data'!A515</f>
        <v>513</v>
      </c>
      <c r="B515" s="8" t="str">
        <f>TRIM(CLEAN('Raw Data'!B515))</f>
        <v>In the crowd of a Taylor Swift concert, the lyrics of 'Love Story' create an enchanting fairy tale.</v>
      </c>
      <c r="C515" s="4" t="str">
        <f>TRIM(PROPER('Raw Data'!C515))</f>
        <v>Enchantment</v>
      </c>
      <c r="D515" s="5">
        <f>'Raw Data'!D515</f>
        <v>44326.822916666664</v>
      </c>
      <c r="E515" s="4" t="str">
        <f>TRIM(SUBSTITUTE('Raw Data'!E515," "," "))</f>
        <v>SwiftieDreamer</v>
      </c>
      <c r="F515" s="4" t="str">
        <f>TRIM(PROPER('Raw Data'!F515))</f>
        <v>Facebook</v>
      </c>
      <c r="G515" s="8" t="str">
        <f>TRIM(CLEAN('Raw Data'!G515))</f>
        <v>#Enchantment #TaylorSwift</v>
      </c>
      <c r="H515" s="12">
        <f>'Raw Data'!H515</f>
        <v>30</v>
      </c>
      <c r="I515" s="12">
        <v>70</v>
      </c>
      <c r="J515" s="12" t="str">
        <f>TRIM(UPPER('Raw Data'!J515))</f>
        <v>USA</v>
      </c>
      <c r="K515" s="12">
        <f>'Raw Data'!K515</f>
        <v>2021</v>
      </c>
      <c r="L515" s="12">
        <f>'Raw Data'!L515</f>
        <v>5</v>
      </c>
      <c r="M515" s="12">
        <f>'Raw Data'!M515</f>
        <v>10</v>
      </c>
      <c r="N515">
        <f>'Raw Data'!N515</f>
        <v>19</v>
      </c>
    </row>
    <row r="516" spans="1:14" ht="30" x14ac:dyDescent="0.25">
      <c r="A516" s="11">
        <f>'Raw Data'!A516</f>
        <v>514</v>
      </c>
      <c r="B516" s="8" t="str">
        <f>TRIM(CLEAN('Raw Data'!B516))</f>
        <v>Rocking out to the guitar solos at a Queen tribute concert, a journey back in time with Freddie's spirit.</v>
      </c>
      <c r="C516" s="4" t="str">
        <f>TRIM(PROPER('Raw Data'!C516))</f>
        <v>Nostalgia</v>
      </c>
      <c r="D516" s="5">
        <f>'Raw Data'!D516</f>
        <v>43436.927083333336</v>
      </c>
      <c r="E516" s="4" t="str">
        <f>TRIM(SUBSTITUTE('Raw Data'!E516," "," "))</f>
        <v>QueenTributeFan</v>
      </c>
      <c r="F516" s="4" t="str">
        <f>TRIM(PROPER('Raw Data'!F516))</f>
        <v>Instagram</v>
      </c>
      <c r="G516" s="8" t="str">
        <f>TRIM(CLEAN('Raw Data'!G516))</f>
        <v>#Nostalgia #QueenTribute</v>
      </c>
      <c r="H516" s="12">
        <f>'Raw Data'!H516</f>
        <v>22</v>
      </c>
      <c r="I516" s="12">
        <v>60</v>
      </c>
      <c r="J516" s="12" t="str">
        <f>TRIM(UPPER('Raw Data'!J516))</f>
        <v>UK</v>
      </c>
      <c r="K516" s="12">
        <f>'Raw Data'!K516</f>
        <v>2018</v>
      </c>
      <c r="L516" s="12">
        <f>'Raw Data'!L516</f>
        <v>12</v>
      </c>
      <c r="M516" s="12">
        <f>'Raw Data'!M516</f>
        <v>2</v>
      </c>
      <c r="N516">
        <f>'Raw Data'!N516</f>
        <v>22</v>
      </c>
    </row>
    <row r="517" spans="1:14" ht="30" x14ac:dyDescent="0.25">
      <c r="A517" s="11">
        <f>'Raw Data'!A517</f>
        <v>515</v>
      </c>
      <c r="B517" s="8" t="str">
        <f>TRIM(CLEAN('Raw Data'!B517))</f>
        <v>Swaying to Ed Sheeran's acoustic melodies, a serene evening filled with 'Perfect' moments.</v>
      </c>
      <c r="C517" s="4" t="str">
        <f>TRIM(PROPER('Raw Data'!C517))</f>
        <v>Serenity</v>
      </c>
      <c r="D517" s="5">
        <f>'Raw Data'!D517</f>
        <v>44061.791666666664</v>
      </c>
      <c r="E517" s="4" t="str">
        <f>TRIM(SUBSTITUTE('Raw Data'!E517," "," "))</f>
        <v>SheeranMelodyLover</v>
      </c>
      <c r="F517" s="4" t="str">
        <f>TRIM(PROPER('Raw Data'!F517))</f>
        <v>Twitter</v>
      </c>
      <c r="G517" s="8" t="str">
        <f>TRIM(CLEAN('Raw Data'!G517))</f>
        <v>#Serenity #EdSheeranConcert</v>
      </c>
      <c r="H517" s="12">
        <f>'Raw Data'!H517</f>
        <v>18</v>
      </c>
      <c r="I517" s="12">
        <v>45</v>
      </c>
      <c r="J517" s="12" t="str">
        <f>TRIM(UPPER('Raw Data'!J517))</f>
        <v>UK</v>
      </c>
      <c r="K517" s="12">
        <f>'Raw Data'!K517</f>
        <v>2020</v>
      </c>
      <c r="L517" s="12">
        <f>'Raw Data'!L517</f>
        <v>8</v>
      </c>
      <c r="M517" s="12">
        <f>'Raw Data'!M517</f>
        <v>18</v>
      </c>
      <c r="N517">
        <f>'Raw Data'!N517</f>
        <v>19</v>
      </c>
    </row>
    <row r="518" spans="1:14" ht="30" x14ac:dyDescent="0.25">
      <c r="A518" s="11">
        <f>'Raw Data'!A518</f>
        <v>516</v>
      </c>
      <c r="B518" s="8" t="str">
        <f>TRIM(CLEAN('Raw Data'!B518))</f>
        <v>Immersed in the pulsating beats of a Bruno Mars concert, where 'Uptown Funk' becomes a city of joy.</v>
      </c>
      <c r="C518" s="4" t="str">
        <f>TRIM(PROPER('Raw Data'!C518))</f>
        <v>Joy</v>
      </c>
      <c r="D518" s="5">
        <f>'Raw Data'!D518</f>
        <v>42822.854166666664</v>
      </c>
      <c r="E518" s="4" t="str">
        <f>TRIM(SUBSTITUTE('Raw Data'!E518," "," "))</f>
        <v>MarsJoyExplorer</v>
      </c>
      <c r="F518" s="4" t="str">
        <f>TRIM(PROPER('Raw Data'!F518))</f>
        <v>Facebook</v>
      </c>
      <c r="G518" s="8" t="str">
        <f>TRIM(CLEAN('Raw Data'!G518))</f>
        <v>#Joy #BrunoMars</v>
      </c>
      <c r="H518" s="12">
        <f>'Raw Data'!H518</f>
        <v>28</v>
      </c>
      <c r="I518" s="12">
        <v>35</v>
      </c>
      <c r="J518" s="12" t="str">
        <f>TRIM(UPPER('Raw Data'!J518))</f>
        <v>USA</v>
      </c>
      <c r="K518" s="12">
        <f>'Raw Data'!K518</f>
        <v>2017</v>
      </c>
      <c r="L518" s="12">
        <f>'Raw Data'!L518</f>
        <v>3</v>
      </c>
      <c r="M518" s="12">
        <f>'Raw Data'!M518</f>
        <v>28</v>
      </c>
      <c r="N518">
        <f>'Raw Data'!N518</f>
        <v>20</v>
      </c>
    </row>
    <row r="519" spans="1:14" ht="30" x14ac:dyDescent="0.25">
      <c r="A519" s="11">
        <f>'Raw Data'!A519</f>
        <v>517</v>
      </c>
      <c r="B519" s="8" t="str">
        <f>TRIM(CLEAN('Raw Data'!B519))</f>
        <v>At a Michael Jackson tribute show, moonwalking through the hits, a celebration of the King of Pop.</v>
      </c>
      <c r="C519" s="4" t="str">
        <f>TRIM(PROPER('Raw Data'!C519))</f>
        <v>Celebration</v>
      </c>
      <c r="D519" s="5">
        <f>'Raw Data'!D519</f>
        <v>44576.885416666664</v>
      </c>
      <c r="E519" s="4" t="str">
        <f>TRIM(SUBSTITUTE('Raw Data'!E519," "," "))</f>
        <v>MJTributeDancer</v>
      </c>
      <c r="F519" s="4" t="str">
        <f>TRIM(PROPER('Raw Data'!F519))</f>
        <v>Instagram</v>
      </c>
      <c r="G519" s="8" t="str">
        <f>TRIM(CLEAN('Raw Data'!G519))</f>
        <v>#Celebration #MJTribute</v>
      </c>
      <c r="H519" s="12">
        <f>'Raw Data'!H519</f>
        <v>25</v>
      </c>
      <c r="I519" s="12">
        <v>55</v>
      </c>
      <c r="J519" s="12" t="str">
        <f>TRIM(UPPER('Raw Data'!J519))</f>
        <v>USA</v>
      </c>
      <c r="K519" s="12">
        <f>'Raw Data'!K519</f>
        <v>2022</v>
      </c>
      <c r="L519" s="12">
        <f>'Raw Data'!L519</f>
        <v>1</v>
      </c>
      <c r="M519" s="12">
        <f>'Raw Data'!M519</f>
        <v>15</v>
      </c>
      <c r="N519">
        <f>'Raw Data'!N519</f>
        <v>21</v>
      </c>
    </row>
    <row r="520" spans="1:14" ht="30" x14ac:dyDescent="0.25">
      <c r="A520" s="11">
        <f>'Raw Data'!A520</f>
        <v>518</v>
      </c>
      <c r="B520" s="8" t="str">
        <f>TRIM(CLEAN('Raw Data'!B520))</f>
        <v>Swinging to the rhythms of a Frank Sinatra tribute, feeling the timeless charm of 'Fly Me to the Moon'.</v>
      </c>
      <c r="C520" s="4" t="str">
        <f>TRIM(PROPER('Raw Data'!C520))</f>
        <v>Charm</v>
      </c>
      <c r="D520" s="5">
        <f>'Raw Data'!D520</f>
        <v>43626.78125</v>
      </c>
      <c r="E520" s="4" t="str">
        <f>TRIM(SUBSTITUTE('Raw Data'!E520," "," "))</f>
        <v>SinatraCharmListener</v>
      </c>
      <c r="F520" s="4" t="str">
        <f>TRIM(PROPER('Raw Data'!F520))</f>
        <v>Twitter</v>
      </c>
      <c r="G520" s="8" t="str">
        <f>TRIM(CLEAN('Raw Data'!G520))</f>
        <v>#Charm #SinatraTribute</v>
      </c>
      <c r="H520" s="12">
        <f>'Raw Data'!H520</f>
        <v>22</v>
      </c>
      <c r="I520" s="12">
        <v>50</v>
      </c>
      <c r="J520" s="12" t="str">
        <f>TRIM(UPPER('Raw Data'!J520))</f>
        <v>USA</v>
      </c>
      <c r="K520" s="12">
        <f>'Raw Data'!K520</f>
        <v>2019</v>
      </c>
      <c r="L520" s="12">
        <f>'Raw Data'!L520</f>
        <v>6</v>
      </c>
      <c r="M520" s="12">
        <f>'Raw Data'!M520</f>
        <v>10</v>
      </c>
      <c r="N520">
        <f>'Raw Data'!N520</f>
        <v>18</v>
      </c>
    </row>
    <row r="521" spans="1:14" ht="30" x14ac:dyDescent="0.25">
      <c r="A521" s="11">
        <f>'Raw Data'!A521</f>
        <v>519</v>
      </c>
      <c r="B521" s="8" t="str">
        <f>TRIM(CLEAN('Raw Data'!B521))</f>
        <v>In the mosh pit of a Metallica concert, the thunderous chords create a symphony of headbanging ecstasy.</v>
      </c>
      <c r="C521" s="4" t="str">
        <f>TRIM(PROPER('Raw Data'!C521))</f>
        <v>Ecstasy</v>
      </c>
      <c r="D521" s="5">
        <f>'Raw Data'!D521</f>
        <v>45005.9375</v>
      </c>
      <c r="E521" s="4" t="str">
        <f>TRIM(SUBSTITUTE('Raw Data'!E521," "," "))</f>
        <v>MetallicaMoshWarrior</v>
      </c>
      <c r="F521" s="4" t="str">
        <f>TRIM(PROPER('Raw Data'!F521))</f>
        <v>Facebook</v>
      </c>
      <c r="G521" s="8" t="str">
        <f>TRIM(CLEAN('Raw Data'!G521))</f>
        <v>#Ecstasy #MetallicaConcert</v>
      </c>
      <c r="H521" s="12">
        <f>'Raw Data'!H521</f>
        <v>35</v>
      </c>
      <c r="I521" s="12">
        <v>45</v>
      </c>
      <c r="J521" s="12" t="str">
        <f>TRIM(UPPER('Raw Data'!J521))</f>
        <v>USA</v>
      </c>
      <c r="K521" s="12">
        <f>'Raw Data'!K521</f>
        <v>2023</v>
      </c>
      <c r="L521" s="12">
        <f>'Raw Data'!L521</f>
        <v>3</v>
      </c>
      <c r="M521" s="12">
        <f>'Raw Data'!M521</f>
        <v>20</v>
      </c>
      <c r="N521">
        <f>'Raw Data'!N521</f>
        <v>22</v>
      </c>
    </row>
    <row r="522" spans="1:14" ht="30" x14ac:dyDescent="0.25">
      <c r="A522" s="11">
        <f>'Raw Data'!A522</f>
        <v>520</v>
      </c>
      <c r="B522" s="8" t="str">
        <f>TRIM(CLEAN('Raw Data'!B522))</f>
        <v>Experiencing the magic of a Coldplay concert, where 'Fix You' becomes a beacon of hope in the night.</v>
      </c>
      <c r="C522" s="4" t="str">
        <f>TRIM(PROPER('Raw Data'!C522))</f>
        <v>Hope</v>
      </c>
      <c r="D522" s="5">
        <f>'Raw Data'!D522</f>
        <v>42702.791666666664</v>
      </c>
      <c r="E522" s="4" t="str">
        <f>TRIM(SUBSTITUTE('Raw Data'!E522," "," "))</f>
        <v>ColdplayHopeSeeker</v>
      </c>
      <c r="F522" s="4" t="str">
        <f>TRIM(PROPER('Raw Data'!F522))</f>
        <v>Instagram</v>
      </c>
      <c r="G522" s="8" t="str">
        <f>TRIM(CLEAN('Raw Data'!G522))</f>
        <v>#Hope #ColdplayMagic</v>
      </c>
      <c r="H522" s="12">
        <f>'Raw Data'!H522</f>
        <v>30</v>
      </c>
      <c r="I522" s="12">
        <v>70</v>
      </c>
      <c r="J522" s="12" t="str">
        <f>TRIM(UPPER('Raw Data'!J522))</f>
        <v>UK</v>
      </c>
      <c r="K522" s="12">
        <f>'Raw Data'!K522</f>
        <v>2016</v>
      </c>
      <c r="L522" s="12">
        <f>'Raw Data'!L522</f>
        <v>11</v>
      </c>
      <c r="M522" s="12">
        <f>'Raw Data'!M522</f>
        <v>28</v>
      </c>
      <c r="N522">
        <f>'Raw Data'!N522</f>
        <v>19</v>
      </c>
    </row>
    <row r="523" spans="1:14" ht="30" x14ac:dyDescent="0.25">
      <c r="A523" s="11">
        <f>'Raw Data'!A523</f>
        <v>521</v>
      </c>
      <c r="B523" s="8" t="str">
        <f>TRIM(CLEAN('Raw Data'!B523))</f>
        <v>At a Justin Bieber concert, the infectious beats of 'Baby' create a dance floor of unbridled enthusiasm.</v>
      </c>
      <c r="C523" s="4" t="str">
        <f>TRIM(PROPER('Raw Data'!C523))</f>
        <v>Enthusiasm</v>
      </c>
      <c r="D523" s="5">
        <f>'Raw Data'!D523</f>
        <v>43317.833333333336</v>
      </c>
      <c r="E523" s="4" t="str">
        <f>TRIM(SUBSTITUTE('Raw Data'!E523," "," "))</f>
        <v>BieberDanceEnthusiast</v>
      </c>
      <c r="F523" s="4" t="str">
        <f>TRIM(PROPER('Raw Data'!F523))</f>
        <v>Instagram</v>
      </c>
      <c r="G523" s="8" t="str">
        <f>TRIM(CLEAN('Raw Data'!G523))</f>
        <v>#Enthusiasm #JustinBieber</v>
      </c>
      <c r="H523" s="12">
        <f>'Raw Data'!H523</f>
        <v>40</v>
      </c>
      <c r="I523" s="12">
        <v>60</v>
      </c>
      <c r="J523" s="12" t="str">
        <f>TRIM(UPPER('Raw Data'!J523))</f>
        <v>CANADA</v>
      </c>
      <c r="K523" s="12">
        <f>'Raw Data'!K523</f>
        <v>2018</v>
      </c>
      <c r="L523" s="12">
        <f>'Raw Data'!L523</f>
        <v>8</v>
      </c>
      <c r="M523" s="12">
        <f>'Raw Data'!M523</f>
        <v>5</v>
      </c>
      <c r="N523">
        <f>'Raw Data'!N523</f>
        <v>20</v>
      </c>
    </row>
    <row r="524" spans="1:14" ht="30" x14ac:dyDescent="0.25">
      <c r="A524" s="11">
        <f>'Raw Data'!A524</f>
        <v>522</v>
      </c>
      <c r="B524" s="8" t="str">
        <f>TRIM(CLEAN('Raw Data'!B524))</f>
        <v>In the spotlight at a Lady Gaga show, each costume change is a metamorphosis of creativity and artistry.</v>
      </c>
      <c r="C524" s="4" t="str">
        <f>TRIM(PROPER('Raw Data'!C524))</f>
        <v>Creativity</v>
      </c>
      <c r="D524" s="5">
        <f>'Raw Data'!D524</f>
        <v>44301.895833333336</v>
      </c>
      <c r="E524" s="4" t="str">
        <f>TRIM(SUBSTITUTE('Raw Data'!E524," "," "))</f>
        <v>GagaArtisticChameleon</v>
      </c>
      <c r="F524" s="4" t="str">
        <f>TRIM(PROPER('Raw Data'!F524))</f>
        <v>Twitter</v>
      </c>
      <c r="G524" s="8" t="str">
        <f>TRIM(CLEAN('Raw Data'!G524))</f>
        <v>#Creativity #LadyGaga</v>
      </c>
      <c r="H524" s="12">
        <f>'Raw Data'!H524</f>
        <v>35</v>
      </c>
      <c r="I524" s="12">
        <v>80</v>
      </c>
      <c r="J524" s="12" t="str">
        <f>TRIM(UPPER('Raw Data'!J524))</f>
        <v>USA</v>
      </c>
      <c r="K524" s="12">
        <f>'Raw Data'!K524</f>
        <v>2021</v>
      </c>
      <c r="L524" s="12">
        <f>'Raw Data'!L524</f>
        <v>4</v>
      </c>
      <c r="M524" s="12">
        <f>'Raw Data'!M524</f>
        <v>15</v>
      </c>
      <c r="N524">
        <f>'Raw Data'!N524</f>
        <v>21</v>
      </c>
    </row>
    <row r="525" spans="1:14" ht="30" x14ac:dyDescent="0.25">
      <c r="A525" s="11">
        <f>'Raw Data'!A525</f>
        <v>523</v>
      </c>
      <c r="B525" s="8" t="str">
        <f>TRIM(CLEAN('Raw Data'!B525))</f>
        <v>Immersed in the soulful melodies of Adele, tears flow freely, moved by the emotion of 'Hello'.</v>
      </c>
      <c r="C525" s="4" t="str">
        <f>TRIM(PROPER('Raw Data'!C525))</f>
        <v>Emotion</v>
      </c>
      <c r="D525" s="5">
        <f>'Raw Data'!D525</f>
        <v>43797.822916666664</v>
      </c>
      <c r="E525" s="4" t="str">
        <f>TRIM(SUBSTITUTE('Raw Data'!E525," "," "))</f>
        <v>AdeleMelodyTearjerker</v>
      </c>
      <c r="F525" s="4" t="str">
        <f>TRIM(PROPER('Raw Data'!F525))</f>
        <v>Facebook</v>
      </c>
      <c r="G525" s="8" t="str">
        <f>TRIM(CLEAN('Raw Data'!G525))</f>
        <v>#Emotion #AdeleMelodies</v>
      </c>
      <c r="H525" s="12">
        <f>'Raw Data'!H525</f>
        <v>30</v>
      </c>
      <c r="I525" s="12">
        <v>70</v>
      </c>
      <c r="J525" s="12" t="str">
        <f>TRIM(UPPER('Raw Data'!J525))</f>
        <v>UK</v>
      </c>
      <c r="K525" s="12">
        <f>'Raw Data'!K525</f>
        <v>2019</v>
      </c>
      <c r="L525" s="12">
        <f>'Raw Data'!L525</f>
        <v>11</v>
      </c>
      <c r="M525" s="12">
        <f>'Raw Data'!M525</f>
        <v>28</v>
      </c>
      <c r="N525">
        <f>'Raw Data'!N525</f>
        <v>19</v>
      </c>
    </row>
    <row r="526" spans="1:14" ht="30" x14ac:dyDescent="0.25">
      <c r="A526" s="11">
        <f>'Raw Data'!A526</f>
        <v>524</v>
      </c>
      <c r="B526" s="8" t="str">
        <f>TRIM(CLEAN('Raw Data'!B526))</f>
        <v>Drenched in confetti at a Katy Perry concert, a kaleidoscope of colors igniting the night sky.</v>
      </c>
      <c r="C526" s="4" t="str">
        <f>TRIM(PROPER('Raw Data'!C526))</f>
        <v>Colorful</v>
      </c>
      <c r="D526" s="5">
        <f>'Raw Data'!D526</f>
        <v>44004.916666666664</v>
      </c>
      <c r="E526" s="4" t="str">
        <f>TRIM(SUBSTITUTE('Raw Data'!E526," "," "))</f>
        <v>KatyPerryColorExplosion</v>
      </c>
      <c r="F526" s="4" t="str">
        <f>TRIM(PROPER('Raw Data'!F526))</f>
        <v>Instagram</v>
      </c>
      <c r="G526" s="8" t="str">
        <f>TRIM(CLEAN('Raw Data'!G526))</f>
        <v>#Colorful #KatyPerry</v>
      </c>
      <c r="H526" s="12">
        <f>'Raw Data'!H526</f>
        <v>22</v>
      </c>
      <c r="I526" s="12">
        <v>60</v>
      </c>
      <c r="J526" s="12" t="str">
        <f>TRIM(UPPER('Raw Data'!J526))</f>
        <v>USA</v>
      </c>
      <c r="K526" s="12">
        <f>'Raw Data'!K526</f>
        <v>2020</v>
      </c>
      <c r="L526" s="12">
        <f>'Raw Data'!L526</f>
        <v>6</v>
      </c>
      <c r="M526" s="12">
        <f>'Raw Data'!M526</f>
        <v>22</v>
      </c>
      <c r="N526">
        <f>'Raw Data'!N526</f>
        <v>22</v>
      </c>
    </row>
    <row r="527" spans="1:14" ht="30" x14ac:dyDescent="0.25">
      <c r="A527" s="11">
        <f>'Raw Data'!A527</f>
        <v>525</v>
      </c>
      <c r="B527" s="8" t="str">
        <f>TRIM(CLEAN('Raw Data'!B527))</f>
        <v>In the audience of a Jay-Z performance, the lyrics of 'Empire State of Mind' become an anthem of pride.</v>
      </c>
      <c r="C527" s="4" t="str">
        <f>TRIM(PROPER('Raw Data'!C527))</f>
        <v>Pride</v>
      </c>
      <c r="D527" s="5">
        <f>'Raw Data'!D527</f>
        <v>42988.84375</v>
      </c>
      <c r="E527" s="4" t="str">
        <f>TRIM(SUBSTITUTE('Raw Data'!E527," "," "))</f>
        <v>JayZEmpireListener</v>
      </c>
      <c r="F527" s="4" t="str">
        <f>TRIM(PROPER('Raw Data'!F527))</f>
        <v>Twitter</v>
      </c>
      <c r="G527" s="8" t="str">
        <f>TRIM(CLEAN('Raw Data'!G527))</f>
        <v>#Pride #JayZAnthem</v>
      </c>
      <c r="H527" s="12">
        <f>'Raw Data'!H527</f>
        <v>18</v>
      </c>
      <c r="I527" s="12">
        <v>45</v>
      </c>
      <c r="J527" s="12" t="str">
        <f>TRIM(UPPER('Raw Data'!J527))</f>
        <v>USA</v>
      </c>
      <c r="K527" s="12">
        <f>'Raw Data'!K527</f>
        <v>2017</v>
      </c>
      <c r="L527" s="12">
        <f>'Raw Data'!L527</f>
        <v>9</v>
      </c>
      <c r="M527" s="12">
        <f>'Raw Data'!M527</f>
        <v>10</v>
      </c>
      <c r="N527">
        <f>'Raw Data'!N527</f>
        <v>20</v>
      </c>
    </row>
    <row r="528" spans="1:14" ht="30" x14ac:dyDescent="0.25">
      <c r="A528" s="11">
        <f>'Raw Data'!A528</f>
        <v>526</v>
      </c>
      <c r="B528" s="8" t="str">
        <f>TRIM(CLEAN('Raw Data'!B528))</f>
        <v>Dancing to Shakira's rhythmic beats, hips swaying to the hypnotic charm of 'Hips Don't Lie'.</v>
      </c>
      <c r="C528" s="4" t="str">
        <f>TRIM(PROPER('Raw Data'!C528))</f>
        <v>Hypnotic</v>
      </c>
      <c r="D528" s="5">
        <f>'Raw Data'!D528</f>
        <v>44620.885416666664</v>
      </c>
      <c r="E528" s="4" t="str">
        <f>TRIM(SUBSTITUTE('Raw Data'!E528," "," "))</f>
        <v>ShakiraHipsDancer</v>
      </c>
      <c r="F528" s="4" t="str">
        <f>TRIM(PROPER('Raw Data'!F528))</f>
        <v>Facebook</v>
      </c>
      <c r="G528" s="8" t="str">
        <f>TRIM(CLEAN('Raw Data'!G528))</f>
        <v>#Hypnotic #ShakiraRhythms</v>
      </c>
      <c r="H528" s="12">
        <f>'Raw Data'!H528</f>
        <v>28</v>
      </c>
      <c r="I528" s="12">
        <v>35</v>
      </c>
      <c r="J528" s="12" t="str">
        <f>TRIM(UPPER('Raw Data'!J528))</f>
        <v>COLOMBIA</v>
      </c>
      <c r="K528" s="12">
        <f>'Raw Data'!K528</f>
        <v>2022</v>
      </c>
      <c r="L528" s="12">
        <f>'Raw Data'!L528</f>
        <v>2</v>
      </c>
      <c r="M528" s="12">
        <f>'Raw Data'!M528</f>
        <v>28</v>
      </c>
      <c r="N528">
        <f>'Raw Data'!N528</f>
        <v>21</v>
      </c>
    </row>
    <row r="529" spans="1:14" ht="30" x14ac:dyDescent="0.25">
      <c r="A529" s="11">
        <f>'Raw Data'!A529</f>
        <v>527</v>
      </c>
      <c r="B529" s="8" t="str">
        <f>TRIM(CLEAN('Raw Data'!B529))</f>
        <v>At a U2 concert, the anthemic chords of 'With or Without You' create a timeless moment of connection.</v>
      </c>
      <c r="C529" s="4" t="str">
        <f>TRIM(PROPER('Raw Data'!C529))</f>
        <v>Connection</v>
      </c>
      <c r="D529" s="5">
        <f>'Raw Data'!D529</f>
        <v>42505.8125</v>
      </c>
      <c r="E529" s="4" t="str">
        <f>TRIM(SUBSTITUTE('Raw Data'!E529," "," "))</f>
        <v>U2ConnectionSeeker</v>
      </c>
      <c r="F529" s="4" t="str">
        <f>TRIM(PROPER('Raw Data'!F529))</f>
        <v>Instagram</v>
      </c>
      <c r="G529" s="8" t="str">
        <f>TRIM(CLEAN('Raw Data'!G529))</f>
        <v>#Connection #U2Anthem</v>
      </c>
      <c r="H529" s="12">
        <f>'Raw Data'!H529</f>
        <v>25</v>
      </c>
      <c r="I529" s="12">
        <v>55</v>
      </c>
      <c r="J529" s="12" t="str">
        <f>TRIM(UPPER('Raw Data'!J529))</f>
        <v>IRELAND</v>
      </c>
      <c r="K529" s="12">
        <f>'Raw Data'!K529</f>
        <v>2016</v>
      </c>
      <c r="L529" s="12">
        <f>'Raw Data'!L529</f>
        <v>5</v>
      </c>
      <c r="M529" s="12">
        <f>'Raw Data'!M529</f>
        <v>15</v>
      </c>
      <c r="N529">
        <f>'Raw Data'!N529</f>
        <v>19</v>
      </c>
    </row>
    <row r="530" spans="1:14" ht="30" x14ac:dyDescent="0.25">
      <c r="A530" s="11">
        <f>'Raw Data'!A530</f>
        <v>528</v>
      </c>
      <c r="B530" s="8" t="str">
        <f>TRIM(CLEAN('Raw Data'!B530))</f>
        <v>Rocking out at a Guns N' Roses show, the iconic riffs of 'Sweet Child o' Mine' echoing in the night.</v>
      </c>
      <c r="C530" s="4" t="str">
        <f>TRIM(PROPER('Raw Data'!C530))</f>
        <v>Iconic</v>
      </c>
      <c r="D530" s="5">
        <f>'Raw Data'!D530</f>
        <v>43444.9375</v>
      </c>
      <c r="E530" s="4" t="str">
        <f>TRIM(SUBSTITUTE('Raw Data'!E530," "," "))</f>
        <v>GunsNRosesRiffRockstar</v>
      </c>
      <c r="F530" s="4" t="str">
        <f>TRIM(PROPER('Raw Data'!F530))</f>
        <v>Twitter</v>
      </c>
      <c r="G530" s="8" t="str">
        <f>TRIM(CLEAN('Raw Data'!G530))</f>
        <v>#Iconic #GNRConcert</v>
      </c>
      <c r="H530" s="12">
        <f>'Raw Data'!H530</f>
        <v>22</v>
      </c>
      <c r="I530" s="12">
        <v>50</v>
      </c>
      <c r="J530" s="12" t="str">
        <f>TRIM(UPPER('Raw Data'!J530))</f>
        <v>USA</v>
      </c>
      <c r="K530" s="12">
        <f>'Raw Data'!K530</f>
        <v>2018</v>
      </c>
      <c r="L530" s="12">
        <f>'Raw Data'!L530</f>
        <v>12</v>
      </c>
      <c r="M530" s="12">
        <f>'Raw Data'!M530</f>
        <v>10</v>
      </c>
      <c r="N530">
        <f>'Raw Data'!N530</f>
        <v>22</v>
      </c>
    </row>
    <row r="531" spans="1:14" ht="30" x14ac:dyDescent="0.25">
      <c r="A531" s="11">
        <f>'Raw Data'!A531</f>
        <v>529</v>
      </c>
      <c r="B531" s="8" t="str">
        <f>TRIM(CLEAN('Raw Data'!B531))</f>
        <v>In the crowd of an Ariana Grande concert, the high notes of 'Into You' create a euphoric symphony.</v>
      </c>
      <c r="C531" s="4" t="str">
        <f>TRIM(PROPER('Raw Data'!C531))</f>
        <v>Euphoria</v>
      </c>
      <c r="D531" s="5">
        <f>'Raw Data'!D531</f>
        <v>44948.833333333336</v>
      </c>
      <c r="E531" s="4" t="str">
        <f>TRIM(SUBSTITUTE('Raw Data'!E531," "," "))</f>
        <v>ArianaEuphoriaChaser</v>
      </c>
      <c r="F531" s="4" t="str">
        <f>TRIM(PROPER('Raw Data'!F531))</f>
        <v>Facebook</v>
      </c>
      <c r="G531" s="8" t="str">
        <f>TRIM(CLEAN('Raw Data'!G531))</f>
        <v>#Euphoria #ArianaGrande</v>
      </c>
      <c r="H531" s="12">
        <f>'Raw Data'!H531</f>
        <v>35</v>
      </c>
      <c r="I531" s="12">
        <v>45</v>
      </c>
      <c r="J531" s="12" t="str">
        <f>TRIM(UPPER('Raw Data'!J531))</f>
        <v>USA</v>
      </c>
      <c r="K531" s="12">
        <f>'Raw Data'!K531</f>
        <v>2023</v>
      </c>
      <c r="L531" s="12">
        <f>'Raw Data'!L531</f>
        <v>1</v>
      </c>
      <c r="M531" s="12">
        <f>'Raw Data'!M531</f>
        <v>22</v>
      </c>
      <c r="N531">
        <f>'Raw Data'!N531</f>
        <v>20</v>
      </c>
    </row>
    <row r="532" spans="1:14" ht="30" x14ac:dyDescent="0.25">
      <c r="A532" s="11">
        <f>'Raw Data'!A532</f>
        <v>530</v>
      </c>
      <c r="B532" s="8" t="str">
        <f>TRIM(CLEAN('Raw Data'!B532))</f>
        <v>Swaying to the reggae vibes of Bob Marley's tribute concert, each chord a journey to Jamaica's soul.</v>
      </c>
      <c r="C532" s="4" t="str">
        <f>TRIM(PROPER('Raw Data'!C532))</f>
        <v>Journey</v>
      </c>
      <c r="D532" s="5">
        <f>'Raw Data'!D532</f>
        <v>43895.78125</v>
      </c>
      <c r="E532" s="4" t="str">
        <f>TRIM(SUBSTITUTE('Raw Data'!E532," "," "))</f>
        <v>MarleyReggaeTraveler</v>
      </c>
      <c r="F532" s="4" t="str">
        <f>TRIM(PROPER('Raw Data'!F532))</f>
        <v>Instagram</v>
      </c>
      <c r="G532" s="8" t="str">
        <f>TRIM(CLEAN('Raw Data'!G532))</f>
        <v>#Journey #BobMarleyTribute</v>
      </c>
      <c r="H532" s="12">
        <f>'Raw Data'!H532</f>
        <v>30</v>
      </c>
      <c r="I532" s="12">
        <v>70</v>
      </c>
      <c r="J532" s="12" t="str">
        <f>TRIM(UPPER('Raw Data'!J532))</f>
        <v>JAMAICA</v>
      </c>
      <c r="K532" s="12">
        <f>'Raw Data'!K532</f>
        <v>2020</v>
      </c>
      <c r="L532" s="12">
        <f>'Raw Data'!L532</f>
        <v>3</v>
      </c>
      <c r="M532" s="12">
        <f>'Raw Data'!M532</f>
        <v>5</v>
      </c>
      <c r="N532">
        <f>'Raw Data'!N532</f>
        <v>18</v>
      </c>
    </row>
    <row r="533" spans="1:14" ht="45" x14ac:dyDescent="0.25">
      <c r="A533" s="11">
        <f>'Raw Data'!A533</f>
        <v>531</v>
      </c>
      <c r="B533" s="8" t="str">
        <f>TRIM(CLEAN('Raw Data'!B533))</f>
        <v>Captivated by the spellbinding plot twists, the audience applauds, experiencing a rollercoaster of emotions at the movie premiere.</v>
      </c>
      <c r="C533" s="4" t="str">
        <f>TRIM(PROPER('Raw Data'!C533))</f>
        <v>Excitement</v>
      </c>
      <c r="D533" s="5">
        <f>'Raw Data'!D533</f>
        <v>43385.833333333336</v>
      </c>
      <c r="E533" s="4" t="str">
        <f>TRIM(SUBSTITUTE('Raw Data'!E533," "," "))</f>
        <v>MovieEnthusiastPremiereAttendee</v>
      </c>
      <c r="F533" s="4" t="str">
        <f>TRIM(PROPER('Raw Data'!F533))</f>
        <v>Twitter</v>
      </c>
      <c r="G533" s="8" t="str">
        <f>TRIM(CLEAN('Raw Data'!G533))</f>
        <v>#Excitement #MoviePremiereThrills</v>
      </c>
      <c r="H533" s="12">
        <f>'Raw Data'!H533</f>
        <v>40</v>
      </c>
      <c r="I533" s="12">
        <v>60</v>
      </c>
      <c r="J533" s="12" t="str">
        <f>TRIM(UPPER('Raw Data'!J533))</f>
        <v>USA</v>
      </c>
      <c r="K533" s="12">
        <f>'Raw Data'!K533</f>
        <v>2018</v>
      </c>
      <c r="L533" s="12">
        <f>'Raw Data'!L533</f>
        <v>10</v>
      </c>
      <c r="M533" s="12">
        <f>'Raw Data'!M533</f>
        <v>12</v>
      </c>
      <c r="N533">
        <f>'Raw Data'!N533</f>
        <v>20</v>
      </c>
    </row>
    <row r="534" spans="1:14" ht="45" x14ac:dyDescent="0.25">
      <c r="A534" s="11">
        <f>'Raw Data'!A534</f>
        <v>532</v>
      </c>
      <c r="B534" s="8" t="str">
        <f>TRIM(CLEAN('Raw Data'!B534))</f>
        <v>As the credits roll, a profound sense of nostalgia washes over, reminiscent of cherished moments in classic films.</v>
      </c>
      <c r="C534" s="4" t="str">
        <f>TRIM(PROPER('Raw Data'!C534))</f>
        <v>Nostalgia</v>
      </c>
      <c r="D534" s="5">
        <f>'Raw Data'!D534</f>
        <v>43641.927083333336</v>
      </c>
      <c r="E534" s="4" t="str">
        <f>TRIM(SUBSTITUTE('Raw Data'!E534," "," "))</f>
        <v>FilmLoverNostalgiaSeeker</v>
      </c>
      <c r="F534" s="4" t="str">
        <f>TRIM(PROPER('Raw Data'!F534))</f>
        <v>Instagram</v>
      </c>
      <c r="G534" s="8" t="str">
        <f>TRIM(CLEAN('Raw Data'!G534))</f>
        <v>#Nostalgia #ClassicFilmMoments</v>
      </c>
      <c r="H534" s="12">
        <f>'Raw Data'!H534</f>
        <v>35</v>
      </c>
      <c r="I534" s="12">
        <v>80</v>
      </c>
      <c r="J534" s="12" t="str">
        <f>TRIM(UPPER('Raw Data'!J534))</f>
        <v>UK</v>
      </c>
      <c r="K534" s="12">
        <f>'Raw Data'!K534</f>
        <v>2019</v>
      </c>
      <c r="L534" s="12">
        <f>'Raw Data'!L534</f>
        <v>6</v>
      </c>
      <c r="M534" s="12">
        <f>'Raw Data'!M534</f>
        <v>25</v>
      </c>
      <c r="N534">
        <f>'Raw Data'!N534</f>
        <v>22</v>
      </c>
    </row>
    <row r="535" spans="1:14" ht="45" x14ac:dyDescent="0.25">
      <c r="A535" s="11">
        <f>'Raw Data'!A535</f>
        <v>533</v>
      </c>
      <c r="B535" s="8" t="str">
        <f>TRIM(CLEAN('Raw Data'!B535))</f>
        <v>Streaming the latest web series, the viewer is engrossed in the characters' journey, feeling a sense of connection and empathy.</v>
      </c>
      <c r="C535" s="4" t="str">
        <f>TRIM(PROPER('Raw Data'!C535))</f>
        <v>Engagement</v>
      </c>
      <c r="D535" s="5">
        <f>'Raw Data'!D535</f>
        <v>44020.8125</v>
      </c>
      <c r="E535" s="4" t="str">
        <f>TRIM(SUBSTITUTE('Raw Data'!E535," "," "))</f>
        <v>WebSeriesViewerCharacterConnection</v>
      </c>
      <c r="F535" s="4" t="str">
        <f>TRIM(PROPER('Raw Data'!F535))</f>
        <v>Facebook</v>
      </c>
      <c r="G535" s="8" t="str">
        <f>TRIM(CLEAN('Raw Data'!G535))</f>
        <v>#Engagement #WebSeriesJourney</v>
      </c>
      <c r="H535" s="12">
        <f>'Raw Data'!H535</f>
        <v>30</v>
      </c>
      <c r="I535" s="12">
        <v>70</v>
      </c>
      <c r="J535" s="12" t="str">
        <f>TRIM(UPPER('Raw Data'!J535))</f>
        <v>CANADA</v>
      </c>
      <c r="K535" s="12">
        <f>'Raw Data'!K535</f>
        <v>2020</v>
      </c>
      <c r="L535" s="12">
        <f>'Raw Data'!L535</f>
        <v>7</v>
      </c>
      <c r="M535" s="12">
        <f>'Raw Data'!M535</f>
        <v>8</v>
      </c>
      <c r="N535">
        <f>'Raw Data'!N535</f>
        <v>19</v>
      </c>
    </row>
    <row r="536" spans="1:14" ht="45" x14ac:dyDescent="0.25">
      <c r="A536" s="11">
        <f>'Raw Data'!A536</f>
        <v>534</v>
      </c>
      <c r="B536" s="8" t="str">
        <f>TRIM(CLEAN('Raw Data'!B536))</f>
        <v>At the film festival, the indie filmmaker's creation receives a standing ovation, evoking pride and a sense of accomplishment.</v>
      </c>
      <c r="C536" s="4" t="str">
        <f>TRIM(PROPER('Raw Data'!C536))</f>
        <v>Pride</v>
      </c>
      <c r="D536" s="5">
        <f>'Raw Data'!D536</f>
        <v>42996.90625</v>
      </c>
      <c r="E536" s="4" t="str">
        <f>TRIM(SUBSTITUTE('Raw Data'!E536," "," "))</f>
        <v>IndieFilmmakerFestivalSuccess</v>
      </c>
      <c r="F536" s="4" t="str">
        <f>TRIM(PROPER('Raw Data'!F536))</f>
        <v>Twitter</v>
      </c>
      <c r="G536" s="8" t="str">
        <f>TRIM(CLEAN('Raw Data'!G536))</f>
        <v>#Pride #IndieFilmSuccess</v>
      </c>
      <c r="H536" s="12">
        <f>'Raw Data'!H536</f>
        <v>22</v>
      </c>
      <c r="I536" s="12">
        <v>60</v>
      </c>
      <c r="J536" s="12" t="str">
        <f>TRIM(UPPER('Raw Data'!J536))</f>
        <v>AUSTRALIA</v>
      </c>
      <c r="K536" s="12">
        <f>'Raw Data'!K536</f>
        <v>2017</v>
      </c>
      <c r="L536" s="12">
        <f>'Raw Data'!L536</f>
        <v>9</v>
      </c>
      <c r="M536" s="12">
        <f>'Raw Data'!M536</f>
        <v>18</v>
      </c>
      <c r="N536">
        <f>'Raw Data'!N536</f>
        <v>21</v>
      </c>
    </row>
    <row r="537" spans="1:14" ht="45" x14ac:dyDescent="0.25">
      <c r="A537" s="11">
        <f>'Raw Data'!A537</f>
        <v>535</v>
      </c>
      <c r="B537" s="8" t="str">
        <f>TRIM(CLEAN('Raw Data'!B537))</f>
        <v>Watching a heartwarming family drama, tears flow freely as the characters overcome challenges, leaving the viewer with a warm glow.</v>
      </c>
      <c r="C537" s="4" t="str">
        <f>TRIM(PROPER('Raw Data'!C537))</f>
        <v>Touched</v>
      </c>
      <c r="D537" s="5">
        <f>'Raw Data'!D537</f>
        <v>44211.75</v>
      </c>
      <c r="E537" s="4" t="str">
        <f>TRIM(SUBSTITUTE('Raw Data'!E537," "," "))</f>
        <v>DramaEnthusiastHeartwarmingMoments</v>
      </c>
      <c r="F537" s="4" t="str">
        <f>TRIM(PROPER('Raw Data'!F537))</f>
        <v>Instagram</v>
      </c>
      <c r="G537" s="8" t="str">
        <f>TRIM(CLEAN('Raw Data'!G537))</f>
        <v>#Touched #FamilyDramaMoments</v>
      </c>
      <c r="H537" s="12">
        <f>'Raw Data'!H537</f>
        <v>28</v>
      </c>
      <c r="I537" s="12">
        <v>45</v>
      </c>
      <c r="J537" s="12" t="str">
        <f>TRIM(UPPER('Raw Data'!J537))</f>
        <v>INDIA</v>
      </c>
      <c r="K537" s="12">
        <f>'Raw Data'!K537</f>
        <v>2021</v>
      </c>
      <c r="L537" s="12">
        <f>'Raw Data'!L537</f>
        <v>1</v>
      </c>
      <c r="M537" s="12">
        <f>'Raw Data'!M537</f>
        <v>15</v>
      </c>
      <c r="N537">
        <f>'Raw Data'!N537</f>
        <v>18</v>
      </c>
    </row>
    <row r="538" spans="1:14" ht="45" x14ac:dyDescent="0.25">
      <c r="A538" s="11">
        <f>'Raw Data'!A538</f>
        <v>536</v>
      </c>
      <c r="B538" s="8" t="str">
        <f>TRIM(CLEAN('Raw Data'!B538))</f>
        <v>At the Oscars, the actor graciously accepts an award, radiating joy and gratitude for the recognition of their outstanding performance.</v>
      </c>
      <c r="C538" s="4" t="str">
        <f>TRIM(PROPER('Raw Data'!C538))</f>
        <v>Gratitude</v>
      </c>
      <c r="D538" s="5">
        <f>'Raw Data'!D538</f>
        <v>42428.854166666664</v>
      </c>
      <c r="E538" s="4" t="str">
        <f>TRIM(SUBSTITUTE('Raw Data'!E538," "," "))</f>
        <v>AwardWinningActorOscarsRecipient</v>
      </c>
      <c r="F538" s="4" t="str">
        <f>TRIM(PROPER('Raw Data'!F538))</f>
        <v>Facebook</v>
      </c>
      <c r="G538" s="8" t="str">
        <f>TRIM(CLEAN('Raw Data'!G538))</f>
        <v>#Gratitude #OscarWinningMoment</v>
      </c>
      <c r="H538" s="12">
        <f>'Raw Data'!H538</f>
        <v>18</v>
      </c>
      <c r="I538" s="12">
        <v>55</v>
      </c>
      <c r="J538" s="12" t="str">
        <f>TRIM(UPPER('Raw Data'!J538))</f>
        <v>USA</v>
      </c>
      <c r="K538" s="12">
        <f>'Raw Data'!K538</f>
        <v>2016</v>
      </c>
      <c r="L538" s="12">
        <f>'Raw Data'!L538</f>
        <v>2</v>
      </c>
      <c r="M538" s="12">
        <f>'Raw Data'!M538</f>
        <v>28</v>
      </c>
      <c r="N538">
        <f>'Raw Data'!N538</f>
        <v>20</v>
      </c>
    </row>
    <row r="539" spans="1:14" ht="45" x14ac:dyDescent="0.25">
      <c r="A539" s="11">
        <f>'Raw Data'!A539</f>
        <v>537</v>
      </c>
      <c r="B539" s="8" t="str">
        <f>TRIM(CLEAN('Raw Data'!B539))</f>
        <v>Discovering a hidden gem in the world of documentaries, the viewer is enlightened and inspired, feeling a renewed sense of curiosity.</v>
      </c>
      <c r="C539" s="4" t="str">
        <f>TRIM(PROPER('Raw Data'!C539))</f>
        <v>Inspiration</v>
      </c>
      <c r="D539" s="5">
        <f>'Raw Data'!D539</f>
        <v>44671.729166666664</v>
      </c>
      <c r="E539" s="4" t="str">
        <f>TRIM(SUBSTITUTE('Raw Data'!E539," "," "))</f>
        <v>DocumentaryEnthusiastHiddenGemFinder</v>
      </c>
      <c r="F539" s="4" t="str">
        <f>TRIM(PROPER('Raw Data'!F539))</f>
        <v>Twitter</v>
      </c>
      <c r="G539" s="8" t="str">
        <f>TRIM(CLEAN('Raw Data'!G539))</f>
        <v>#Inspiration #HiddenGemDiscovery</v>
      </c>
      <c r="H539" s="12">
        <f>'Raw Data'!H539</f>
        <v>22</v>
      </c>
      <c r="I539" s="12">
        <v>35</v>
      </c>
      <c r="J539" s="12" t="str">
        <f>TRIM(UPPER('Raw Data'!J539))</f>
        <v>FRANCE</v>
      </c>
      <c r="K539" s="12">
        <f>'Raw Data'!K539</f>
        <v>2022</v>
      </c>
      <c r="L539" s="12">
        <f>'Raw Data'!L539</f>
        <v>4</v>
      </c>
      <c r="M539" s="12">
        <f>'Raw Data'!M539</f>
        <v>20</v>
      </c>
      <c r="N539">
        <f>'Raw Data'!N539</f>
        <v>17</v>
      </c>
    </row>
    <row r="540" spans="1:14" ht="45" x14ac:dyDescent="0.25">
      <c r="A540" s="11">
        <f>'Raw Data'!A540</f>
        <v>538</v>
      </c>
      <c r="B540" s="8" t="str">
        <f>TRIM(CLEAN('Raw Data'!B540))</f>
        <v>As the movie credits roll, the viewer experiences a mix of awe and contemplation, pondering the deeper meanings woven into the storyline.</v>
      </c>
      <c r="C540" s="4" t="str">
        <f>TRIM(PROPER('Raw Data'!C540))</f>
        <v>Contemplation</v>
      </c>
      <c r="D540" s="5">
        <f>'Raw Data'!D540</f>
        <v>43774.885416666664</v>
      </c>
      <c r="E540" s="4" t="str">
        <f>TRIM(SUBSTITUTE('Raw Data'!E540," "," "))</f>
        <v>FilmBuffContemplativeViewer</v>
      </c>
      <c r="F540" s="4" t="str">
        <f>TRIM(PROPER('Raw Data'!F540))</f>
        <v>Instagram</v>
      </c>
      <c r="G540" s="8" t="str">
        <f>TRIM(CLEAN('Raw Data'!G540))</f>
        <v>#Contemplation #DeepMeanings</v>
      </c>
      <c r="H540" s="12">
        <f>'Raw Data'!H540</f>
        <v>28</v>
      </c>
      <c r="I540" s="12">
        <v>45</v>
      </c>
      <c r="J540" s="12" t="str">
        <f>TRIM(UPPER('Raw Data'!J540))</f>
        <v>GERMANY</v>
      </c>
      <c r="K540" s="12">
        <f>'Raw Data'!K540</f>
        <v>2019</v>
      </c>
      <c r="L540" s="12">
        <f>'Raw Data'!L540</f>
        <v>11</v>
      </c>
      <c r="M540" s="12">
        <f>'Raw Data'!M540</f>
        <v>5</v>
      </c>
      <c r="N540">
        <f>'Raw Data'!N540</f>
        <v>21</v>
      </c>
    </row>
    <row r="541" spans="1:14" ht="45" x14ac:dyDescent="0.25">
      <c r="A541" s="11">
        <f>'Raw Data'!A541</f>
        <v>539</v>
      </c>
      <c r="B541" s="8" t="str">
        <f>TRIM(CLEAN('Raw Data'!B541))</f>
        <v>Binge-watching a thrilling crime series, the suspense keeps the viewer on the edge of their seat, creating a rush of adrenaline.</v>
      </c>
      <c r="C541" s="4" t="str">
        <f>TRIM(PROPER('Raw Data'!C541))</f>
        <v>Suspense</v>
      </c>
      <c r="D541" s="5">
        <f>'Raw Data'!D541</f>
        <v>42197.916666666664</v>
      </c>
      <c r="E541" s="4" t="str">
        <f>TRIM(SUBSTITUTE('Raw Data'!E541," "," "))</f>
        <v>CrimeSeriesEnthusiastThrillSeeker</v>
      </c>
      <c r="F541" s="4" t="str">
        <f>TRIM(PROPER('Raw Data'!F541))</f>
        <v>Facebook</v>
      </c>
      <c r="G541" s="8" t="str">
        <f>TRIM(CLEAN('Raw Data'!G541))</f>
        <v>#Suspense #CrimeSeriesThrills</v>
      </c>
      <c r="H541" s="12">
        <f>'Raw Data'!H541</f>
        <v>35</v>
      </c>
      <c r="I541" s="12">
        <v>55</v>
      </c>
      <c r="J541" s="12" t="str">
        <f>TRIM(UPPER('Raw Data'!J541))</f>
        <v>JAPAN</v>
      </c>
      <c r="K541" s="12">
        <f>'Raw Data'!K541</f>
        <v>2015</v>
      </c>
      <c r="L541" s="12">
        <f>'Raw Data'!L541</f>
        <v>7</v>
      </c>
      <c r="M541" s="12">
        <f>'Raw Data'!M541</f>
        <v>12</v>
      </c>
      <c r="N541">
        <f>'Raw Data'!N541</f>
        <v>22</v>
      </c>
    </row>
    <row r="542" spans="1:14" ht="45" x14ac:dyDescent="0.25">
      <c r="A542" s="11">
        <f>'Raw Data'!A542</f>
        <v>540</v>
      </c>
      <c r="B542" s="8" t="str">
        <f>TRIM(CLEAN('Raw Data'!B542))</f>
        <v>As the closing scene unfolds, a sense of satisfaction washes over, completing the cinematic journey with a profound and fulfilling ending.</v>
      </c>
      <c r="C542" s="4" t="str">
        <f>TRIM(PROPER('Raw Data'!C542))</f>
        <v>Satisfaction</v>
      </c>
      <c r="D542" s="5">
        <f>'Raw Data'!D542</f>
        <v>44084.822916666664</v>
      </c>
      <c r="E542" s="4" t="str">
        <f>TRIM(SUBSTITUTE('Raw Data'!E542," "," "))</f>
        <v>FilmCriticSatisfactionSeeker</v>
      </c>
      <c r="F542" s="4" t="str">
        <f>TRIM(PROPER('Raw Data'!F542))</f>
        <v>Twitter</v>
      </c>
      <c r="G542" s="8" t="str">
        <f>TRIM(CLEAN('Raw Data'!G542))</f>
        <v>#Satisfaction #FulfillingEnding</v>
      </c>
      <c r="H542" s="12">
        <f>'Raw Data'!H542</f>
        <v>22</v>
      </c>
      <c r="I542" s="12">
        <v>70</v>
      </c>
      <c r="J542" s="12" t="str">
        <f>TRIM(UPPER('Raw Data'!J542))</f>
        <v>BRAZIL</v>
      </c>
      <c r="K542" s="12">
        <f>'Raw Data'!K542</f>
        <v>2020</v>
      </c>
      <c r="L542" s="12">
        <f>'Raw Data'!L542</f>
        <v>9</v>
      </c>
      <c r="M542" s="12">
        <f>'Raw Data'!M542</f>
        <v>10</v>
      </c>
      <c r="N542">
        <f>'Raw Data'!N542</f>
        <v>19</v>
      </c>
    </row>
    <row r="543" spans="1:14" ht="45" x14ac:dyDescent="0.25">
      <c r="A543" s="11">
        <f>'Raw Data'!A543</f>
        <v>541</v>
      </c>
      <c r="B543" s="8" t="str">
        <f>TRIM(CLEAN('Raw Data'!B543))</f>
        <v>Celebrating a historic victory in the World Cup, the nation erupts in joy, united by the triumph of their football team.</v>
      </c>
      <c r="C543" s="4" t="str">
        <f>TRIM(PROPER('Raw Data'!C543))</f>
        <v>Joy</v>
      </c>
      <c r="D543" s="5">
        <f>'Raw Data'!D543</f>
        <v>43296.895833333336</v>
      </c>
      <c r="E543" s="4" t="str">
        <f>TRIM(SUBSTITUTE('Raw Data'!E543," "," "))</f>
        <v>FootballFanWorldCupCelebration</v>
      </c>
      <c r="F543" s="4" t="str">
        <f>TRIM(PROPER('Raw Data'!F543))</f>
        <v>Instagram</v>
      </c>
      <c r="G543" s="8" t="str">
        <f>TRIM(CLEAN('Raw Data'!G543))</f>
        <v>#Joy #WorldCupTriumph</v>
      </c>
      <c r="H543" s="12">
        <f>'Raw Data'!H543</f>
        <v>40</v>
      </c>
      <c r="I543" s="12">
        <v>45</v>
      </c>
      <c r="J543" s="12" t="str">
        <f>TRIM(UPPER('Raw Data'!J543))</f>
        <v>BRAZIL</v>
      </c>
      <c r="K543" s="12">
        <f>'Raw Data'!K543</f>
        <v>2018</v>
      </c>
      <c r="L543" s="12">
        <f>'Raw Data'!L543</f>
        <v>7</v>
      </c>
      <c r="M543" s="12">
        <f>'Raw Data'!M543</f>
        <v>15</v>
      </c>
      <c r="N543">
        <f>'Raw Data'!N543</f>
        <v>21</v>
      </c>
    </row>
    <row r="544" spans="1:14" ht="45" x14ac:dyDescent="0.25">
      <c r="A544" s="11">
        <f>'Raw Data'!A544</f>
        <v>542</v>
      </c>
      <c r="B544" s="8" t="str">
        <f>TRIM(CLEAN('Raw Data'!B544))</f>
        <v>At the Olympics, the athlete's perseverance shines through, earning a gold medal and inspiring a generation with their remarkable achievement.</v>
      </c>
      <c r="C544" s="4" t="str">
        <f>TRIM(PROPER('Raw Data'!C544))</f>
        <v>Inspiration</v>
      </c>
      <c r="D544" s="5">
        <f>'Raw Data'!D544</f>
        <v>44051.822916666664</v>
      </c>
      <c r="E544" s="4" t="str">
        <f>TRIM(SUBSTITUTE('Raw Data'!E544," "," "))</f>
        <v>OlympicsEnthusiastGoldMedalWinner</v>
      </c>
      <c r="F544" s="4" t="str">
        <f>TRIM(PROPER('Raw Data'!F544))</f>
        <v>Twitter</v>
      </c>
      <c r="G544" s="8" t="str">
        <f>TRIM(CLEAN('Raw Data'!G544))</f>
        <v>#Inspiration #OlympicAchievement</v>
      </c>
      <c r="H544" s="12">
        <f>'Raw Data'!H544</f>
        <v>35</v>
      </c>
      <c r="I544" s="12">
        <v>80</v>
      </c>
      <c r="J544" s="12" t="str">
        <f>TRIM(UPPER('Raw Data'!J544))</f>
        <v>USA</v>
      </c>
      <c r="K544" s="12">
        <f>'Raw Data'!K544</f>
        <v>2020</v>
      </c>
      <c r="L544" s="12">
        <f>'Raw Data'!L544</f>
        <v>8</v>
      </c>
      <c r="M544" s="12">
        <f>'Raw Data'!M544</f>
        <v>8</v>
      </c>
      <c r="N544">
        <f>'Raw Data'!N544</f>
        <v>19</v>
      </c>
    </row>
    <row r="545" spans="1:14" ht="45" x14ac:dyDescent="0.25">
      <c r="A545" s="11">
        <f>'Raw Data'!A545</f>
        <v>543</v>
      </c>
      <c r="B545" s="8" t="str">
        <f>TRIM(CLEAN('Raw Data'!B545))</f>
        <v>In the cricket championship, a nail-biting finish leaves fans on the edge of their seats, experiencing a rollercoaster of emotions.</v>
      </c>
      <c r="C545" s="4" t="str">
        <f>TRIM(PROPER('Raw Data'!C545))</f>
        <v>Excitement</v>
      </c>
      <c r="D545" s="5">
        <f>'Raw Data'!D545</f>
        <v>43641.927083333336</v>
      </c>
      <c r="E545" s="4" t="str">
        <f>TRIM(SUBSTITUTE('Raw Data'!E545," "," "))</f>
        <v>CricketFanChampionshipThrills</v>
      </c>
      <c r="F545" s="4" t="str">
        <f>TRIM(PROPER('Raw Data'!F545))</f>
        <v>Facebook</v>
      </c>
      <c r="G545" s="8" t="str">
        <f>TRIM(CLEAN('Raw Data'!G545))</f>
        <v>#Excitement #CricketChampionship</v>
      </c>
      <c r="H545" s="12">
        <f>'Raw Data'!H545</f>
        <v>30</v>
      </c>
      <c r="I545" s="12">
        <v>70</v>
      </c>
      <c r="J545" s="12" t="str">
        <f>TRIM(UPPER('Raw Data'!J545))</f>
        <v>INDIA</v>
      </c>
      <c r="K545" s="12">
        <f>'Raw Data'!K545</f>
        <v>2019</v>
      </c>
      <c r="L545" s="12">
        <f>'Raw Data'!L545</f>
        <v>6</v>
      </c>
      <c r="M545" s="12">
        <f>'Raw Data'!M545</f>
        <v>25</v>
      </c>
      <c r="N545">
        <f>'Raw Data'!N545</f>
        <v>22</v>
      </c>
    </row>
    <row r="546" spans="1:14" ht="45" x14ac:dyDescent="0.25">
      <c r="A546" s="11">
        <f>'Raw Data'!A546</f>
        <v>544</v>
      </c>
      <c r="B546" s="8" t="str">
        <f>TRIM(CLEAN('Raw Data'!B546))</f>
        <v>Witnessing a record-breaking marathon, spectators are filled with awe and admiration for the endurance and dedication of the runners.</v>
      </c>
      <c r="C546" s="4" t="str">
        <f>TRIM(PROPER('Raw Data'!C546))</f>
        <v>Admiration</v>
      </c>
      <c r="D546" s="5">
        <f>'Raw Data'!D546</f>
        <v>44507.729166666664</v>
      </c>
      <c r="E546" s="4" t="str">
        <f>TRIM(SUBSTITUTE('Raw Data'!E546," "," "))</f>
        <v>MarathonSpectatorRecordBreaking</v>
      </c>
      <c r="F546" s="4" t="str">
        <f>TRIM(PROPER('Raw Data'!F546))</f>
        <v>Instagram</v>
      </c>
      <c r="G546" s="8" t="str">
        <f>TRIM(CLEAN('Raw Data'!G546))</f>
        <v>#Admiration #MarathonRecords</v>
      </c>
      <c r="H546" s="12">
        <f>'Raw Data'!H546</f>
        <v>22</v>
      </c>
      <c r="I546" s="12">
        <v>60</v>
      </c>
      <c r="J546" s="12" t="str">
        <f>TRIM(UPPER('Raw Data'!J546))</f>
        <v>KENYA</v>
      </c>
      <c r="K546" s="12">
        <f>'Raw Data'!K546</f>
        <v>2021</v>
      </c>
      <c r="L546" s="12">
        <f>'Raw Data'!L546</f>
        <v>11</v>
      </c>
      <c r="M546" s="12">
        <f>'Raw Data'!M546</f>
        <v>7</v>
      </c>
      <c r="N546">
        <f>'Raw Data'!N546</f>
        <v>17</v>
      </c>
    </row>
    <row r="547" spans="1:14" ht="45" x14ac:dyDescent="0.25">
      <c r="A547" s="11">
        <f>'Raw Data'!A547</f>
        <v>545</v>
      </c>
      <c r="B547" s="8" t="str">
        <f>TRIM(CLEAN('Raw Data'!B547))</f>
        <v>In the tennis grand slam, a fierce rivalry unfolds, captivating fans with a display of skill and sportsmanship on the world stage.</v>
      </c>
      <c r="C547" s="4" t="str">
        <f>TRIM(PROPER('Raw Data'!C547))</f>
        <v>Captivation</v>
      </c>
      <c r="D547" s="5">
        <f>'Raw Data'!D547</f>
        <v>42988.84375</v>
      </c>
      <c r="E547" s="4" t="str">
        <f>TRIM(SUBSTITUTE('Raw Data'!E547," "," "))</f>
        <v>TennisEnthusiastGrandSlamDrama</v>
      </c>
      <c r="F547" s="4" t="str">
        <f>TRIM(PROPER('Raw Data'!F547))</f>
        <v>Twitter</v>
      </c>
      <c r="G547" s="8" t="str">
        <f>TRIM(CLEAN('Raw Data'!G547))</f>
        <v>#Captivation #TennisRivalry</v>
      </c>
      <c r="H547" s="12">
        <f>'Raw Data'!H547</f>
        <v>28</v>
      </c>
      <c r="I547" s="12">
        <v>45</v>
      </c>
      <c r="J547" s="12" t="str">
        <f>TRIM(UPPER('Raw Data'!J547))</f>
        <v>UK</v>
      </c>
      <c r="K547" s="12">
        <f>'Raw Data'!K547</f>
        <v>2017</v>
      </c>
      <c r="L547" s="12">
        <f>'Raw Data'!L547</f>
        <v>9</v>
      </c>
      <c r="M547" s="12">
        <f>'Raw Data'!M547</f>
        <v>10</v>
      </c>
      <c r="N547">
        <f>'Raw Data'!N547</f>
        <v>20</v>
      </c>
    </row>
    <row r="548" spans="1:14" ht="45" x14ac:dyDescent="0.25">
      <c r="A548" s="11">
        <f>'Raw Data'!A548</f>
        <v>546</v>
      </c>
      <c r="B548" s="8" t="str">
        <f>TRIM(CLEAN('Raw Data'!B548))</f>
        <v>Cheering for the underdog in the basketball finals, the crowd erupts in applause as the team defies odds to claim the championship title.</v>
      </c>
      <c r="C548" s="4" t="str">
        <f>TRIM(PROPER('Raw Data'!C548))</f>
        <v>Triumph</v>
      </c>
      <c r="D548" s="5">
        <f>'Raw Data'!D548</f>
        <v>44732.875</v>
      </c>
      <c r="E548" s="4" t="str">
        <f>TRIM(SUBSTITUTE('Raw Data'!E548," "," "))</f>
        <v>BasketballFanUnderdogTriumph</v>
      </c>
      <c r="F548" s="4" t="str">
        <f>TRIM(PROPER('Raw Data'!F548))</f>
        <v>Facebook</v>
      </c>
      <c r="G548" s="8" t="str">
        <f>TRIM(CLEAN('Raw Data'!G548))</f>
        <v>#Triumph #BasketballFinals</v>
      </c>
      <c r="H548" s="12">
        <f>'Raw Data'!H548</f>
        <v>18</v>
      </c>
      <c r="I548" s="12">
        <v>55</v>
      </c>
      <c r="J548" s="12" t="str">
        <f>TRIM(UPPER('Raw Data'!J548))</f>
        <v>USA</v>
      </c>
      <c r="K548" s="12">
        <f>'Raw Data'!K548</f>
        <v>2022</v>
      </c>
      <c r="L548" s="12">
        <f>'Raw Data'!L548</f>
        <v>6</v>
      </c>
      <c r="M548" s="12">
        <f>'Raw Data'!M548</f>
        <v>20</v>
      </c>
      <c r="N548">
        <f>'Raw Data'!N548</f>
        <v>21</v>
      </c>
    </row>
    <row r="549" spans="1:14" ht="45" x14ac:dyDescent="0.25">
      <c r="A549" s="11">
        <f>'Raw Data'!A549</f>
        <v>547</v>
      </c>
      <c r="B549" s="8" t="str">
        <f>TRIM(CLEAN('Raw Data'!B549))</f>
        <v>At the golf tournament, the golfer's precision and focus lead to a stunning victory, leaving spectators in awe of their exceptional skill.</v>
      </c>
      <c r="C549" s="4" t="str">
        <f>TRIM(PROPER('Raw Data'!C549))</f>
        <v>Awe</v>
      </c>
      <c r="D549" s="5">
        <f>'Raw Data'!D549</f>
        <v>42470.770833333336</v>
      </c>
      <c r="E549" s="4" t="str">
        <f>TRIM(SUBSTITUTE('Raw Data'!E549," "," "))</f>
        <v>GolfEnthusiastPrecisionVictory</v>
      </c>
      <c r="F549" s="4" t="str">
        <f>TRIM(PROPER('Raw Data'!F549))</f>
        <v>Instagram</v>
      </c>
      <c r="G549" s="8" t="str">
        <f>TRIM(CLEAN('Raw Data'!G549))</f>
        <v>#Awe #GolfVictory</v>
      </c>
      <c r="H549" s="12">
        <f>'Raw Data'!H549</f>
        <v>22</v>
      </c>
      <c r="I549" s="12">
        <v>35</v>
      </c>
      <c r="J549" s="12" t="str">
        <f>TRIM(UPPER('Raw Data'!J549))</f>
        <v>SCOTLAND</v>
      </c>
      <c r="K549" s="12">
        <f>'Raw Data'!K549</f>
        <v>2016</v>
      </c>
      <c r="L549" s="12">
        <f>'Raw Data'!L549</f>
        <v>4</v>
      </c>
      <c r="M549" s="12">
        <f>'Raw Data'!M549</f>
        <v>10</v>
      </c>
      <c r="N549">
        <f>'Raw Data'!N549</f>
        <v>18</v>
      </c>
    </row>
    <row r="550" spans="1:14" ht="45" x14ac:dyDescent="0.25">
      <c r="A550" s="11">
        <f>'Raw Data'!A550</f>
        <v>548</v>
      </c>
      <c r="B550" s="8" t="str">
        <f>TRIM(CLEAN('Raw Data'!B550))</f>
        <v>Experiencing the thrill of a high-speed Formula 1 race, fans are on the edge of their seats as drivers compete for the championship.</v>
      </c>
      <c r="C550" s="4" t="str">
        <f>TRIM(PROPER('Raw Data'!C550))</f>
        <v>Thrill</v>
      </c>
      <c r="D550" s="5">
        <f>'Raw Data'!D550</f>
        <v>43793.822916666664</v>
      </c>
      <c r="E550" s="4" t="str">
        <f>TRIM(SUBSTITUTE('Raw Data'!E550," "," "))</f>
        <v>F1FanHighSpeedRaceExcitement</v>
      </c>
      <c r="F550" s="4" t="str">
        <f>TRIM(PROPER('Raw Data'!F550))</f>
        <v>Twitter</v>
      </c>
      <c r="G550" s="8" t="str">
        <f>TRIM(CLEAN('Raw Data'!G550))</f>
        <v>#Thrill #Formula1Championship</v>
      </c>
      <c r="H550" s="12">
        <f>'Raw Data'!H550</f>
        <v>28</v>
      </c>
      <c r="I550" s="12">
        <v>45</v>
      </c>
      <c r="J550" s="12" t="str">
        <f>TRIM(UPPER('Raw Data'!J550))</f>
        <v>GERMANY</v>
      </c>
      <c r="K550" s="12">
        <f>'Raw Data'!K550</f>
        <v>2019</v>
      </c>
      <c r="L550" s="12">
        <f>'Raw Data'!L550</f>
        <v>11</v>
      </c>
      <c r="M550" s="12">
        <f>'Raw Data'!M550</f>
        <v>24</v>
      </c>
      <c r="N550">
        <f>'Raw Data'!N550</f>
        <v>19</v>
      </c>
    </row>
    <row r="551" spans="1:14" ht="45" x14ac:dyDescent="0.25">
      <c r="A551" s="11">
        <f>'Raw Data'!A551</f>
        <v>549</v>
      </c>
      <c r="B551" s="8" t="str">
        <f>TRIM(CLEAN('Raw Data'!B551))</f>
        <v>In the cycling world championship, the climber conquers challenging terrains, symbolizing determination and achievement against all odds.</v>
      </c>
      <c r="C551" s="4" t="str">
        <f>TRIM(PROPER('Raw Data'!C551))</f>
        <v>Determination</v>
      </c>
      <c r="D551" s="5">
        <f>'Raw Data'!D551</f>
        <v>42275.9375</v>
      </c>
      <c r="E551" s="4" t="str">
        <f>TRIM(SUBSTITUTE('Raw Data'!E551," "," "))</f>
        <v>CyclingEnthusiastWorldChampion</v>
      </c>
      <c r="F551" s="4" t="str">
        <f>TRIM(PROPER('Raw Data'!F551))</f>
        <v>Facebook</v>
      </c>
      <c r="G551" s="8" t="str">
        <f>TRIM(CLEAN('Raw Data'!G551))</f>
        <v>#Determination #CyclingChampion</v>
      </c>
      <c r="H551" s="12">
        <f>'Raw Data'!H551</f>
        <v>35</v>
      </c>
      <c r="I551" s="12">
        <v>55</v>
      </c>
      <c r="J551" s="12" t="str">
        <f>TRIM(UPPER('Raw Data'!J551))</f>
        <v>ITALY</v>
      </c>
      <c r="K551" s="12">
        <f>'Raw Data'!K551</f>
        <v>2015</v>
      </c>
      <c r="L551" s="12">
        <f>'Raw Data'!L551</f>
        <v>9</v>
      </c>
      <c r="M551" s="12">
        <f>'Raw Data'!M551</f>
        <v>28</v>
      </c>
      <c r="N551">
        <f>'Raw Data'!N551</f>
        <v>22</v>
      </c>
    </row>
    <row r="552" spans="1:14" ht="45" x14ac:dyDescent="0.25">
      <c r="A552" s="11">
        <f>'Raw Data'!A552</f>
        <v>550</v>
      </c>
      <c r="B552" s="8" t="str">
        <f>TRIM(CLEAN('Raw Data'!B552))</f>
        <v>Witnessing a heartwarming comeback in the hockey finals, fans share tears of joy as the team secures a historic victory after adversity.</v>
      </c>
      <c r="C552" s="4" t="str">
        <f>TRIM(PROPER('Raw Data'!C552))</f>
        <v>Heartwarming</v>
      </c>
      <c r="D552" s="5">
        <f>'Raw Data'!D552</f>
        <v>44177.833333333336</v>
      </c>
      <c r="E552" s="4" t="str">
        <f>TRIM(SUBSTITUTE('Raw Data'!E552," "," "))</f>
        <v>HockeyFanComebackVictory</v>
      </c>
      <c r="F552" s="4" t="str">
        <f>TRIM(PROPER('Raw Data'!F552))</f>
        <v>Instagram</v>
      </c>
      <c r="G552" s="8" t="str">
        <f>TRIM(CLEAN('Raw Data'!G552))</f>
        <v>#Heartwarming #HockeyFinalsComeback</v>
      </c>
      <c r="H552" s="12">
        <f>'Raw Data'!H552</f>
        <v>22</v>
      </c>
      <c r="I552" s="12">
        <v>70</v>
      </c>
      <c r="J552" s="12" t="str">
        <f>TRIM(UPPER('Raw Data'!J552))</f>
        <v>CANADA</v>
      </c>
      <c r="K552" s="12">
        <f>'Raw Data'!K552</f>
        <v>2020</v>
      </c>
      <c r="L552" s="12">
        <f>'Raw Data'!L552</f>
        <v>12</v>
      </c>
      <c r="M552" s="12">
        <f>'Raw Data'!M552</f>
        <v>12</v>
      </c>
      <c r="N552">
        <f>'Raw Data'!N552</f>
        <v>20</v>
      </c>
    </row>
    <row r="553" spans="1:14" ht="45" x14ac:dyDescent="0.25">
      <c r="A553" s="11">
        <f>'Raw Data'!A553</f>
        <v>551</v>
      </c>
      <c r="B553" s="8" t="str">
        <f>TRIM(CLEAN('Raw Data'!B553))</f>
        <v>After a series of defeats, the soccer team faces disappointment, struggling to find the silver lining in a challenging season.</v>
      </c>
      <c r="C553" s="4" t="str">
        <f>TRIM(PROPER('Raw Data'!C553))</f>
        <v>Disappointment</v>
      </c>
      <c r="D553" s="5">
        <f>'Raw Data'!D553</f>
        <v>43771.78125</v>
      </c>
      <c r="E553" s="4" t="str">
        <f>TRIM(SUBSTITUTE('Raw Data'!E553," "," "))</f>
        <v>SoccerFanTeamDefeats</v>
      </c>
      <c r="F553" s="4" t="str">
        <f>TRIM(PROPER('Raw Data'!F553))</f>
        <v>Twitter</v>
      </c>
      <c r="G553" s="8" t="str">
        <f>TRIM(CLEAN('Raw Data'!G553))</f>
        <v>#Disappointment #SoccerDefeats</v>
      </c>
      <c r="H553" s="12">
        <f>'Raw Data'!H553</f>
        <v>40</v>
      </c>
      <c r="I553" s="12">
        <v>45</v>
      </c>
      <c r="J553" s="12" t="str">
        <f>TRIM(UPPER('Raw Data'!J553))</f>
        <v>BRAZIL</v>
      </c>
      <c r="K553" s="12">
        <f>'Raw Data'!K553</f>
        <v>2019</v>
      </c>
      <c r="L553" s="12">
        <f>'Raw Data'!L553</f>
        <v>11</v>
      </c>
      <c r="M553" s="12">
        <f>'Raw Data'!M553</f>
        <v>2</v>
      </c>
      <c r="N553">
        <f>'Raw Data'!N553</f>
        <v>18</v>
      </c>
    </row>
    <row r="554" spans="1:14" ht="45" x14ac:dyDescent="0.25">
      <c r="A554" s="11">
        <f>'Raw Data'!A554</f>
        <v>552</v>
      </c>
      <c r="B554" s="8" t="str">
        <f>TRIM(CLEAN('Raw Data'!B554))</f>
        <v>In the tennis tournament, a highly anticipated player experiences a setback, leaving fans in shock and questioning the unforeseen turn of events.</v>
      </c>
      <c r="C554" s="4" t="str">
        <f>TRIM(PROPER('Raw Data'!C554))</f>
        <v>Frustration</v>
      </c>
      <c r="D554" s="5">
        <f>'Raw Data'!D554</f>
        <v>43291.885416666664</v>
      </c>
      <c r="E554" s="4" t="str">
        <f>TRIM(SUBSTITUTE('Raw Data'!E554," "," "))</f>
        <v>TennisEnthusiastUnexpectedSetback</v>
      </c>
      <c r="F554" s="4" t="str">
        <f>TRIM(PROPER('Raw Data'!F554))</f>
        <v>Instagram</v>
      </c>
      <c r="G554" s="8" t="str">
        <f>TRIM(CLEAN('Raw Data'!G554))</f>
        <v>#Frustration #TennisSetback</v>
      </c>
      <c r="H554" s="12">
        <f>'Raw Data'!H554</f>
        <v>35</v>
      </c>
      <c r="I554" s="12">
        <v>80</v>
      </c>
      <c r="J554" s="12" t="str">
        <f>TRIM(UPPER('Raw Data'!J554))</f>
        <v>USA</v>
      </c>
      <c r="K554" s="12">
        <f>'Raw Data'!K554</f>
        <v>2018</v>
      </c>
      <c r="L554" s="12">
        <f>'Raw Data'!L554</f>
        <v>7</v>
      </c>
      <c r="M554" s="12">
        <f>'Raw Data'!M554</f>
        <v>10</v>
      </c>
      <c r="N554">
        <f>'Raw Data'!N554</f>
        <v>21</v>
      </c>
    </row>
    <row r="555" spans="1:14" ht="45" x14ac:dyDescent="0.25">
      <c r="A555" s="11">
        <f>'Raw Data'!A555</f>
        <v>553</v>
      </c>
      <c r="B555" s="8" t="str">
        <f>TRIM(CLEAN('Raw Data'!B555))</f>
        <v>Facing a defeat in the championship, the boxer reflects on the challenges, vowing to return stronger and more determined in the next bout.</v>
      </c>
      <c r="C555" s="4" t="str">
        <f>TRIM(PROPER('Raw Data'!C555))</f>
        <v>Reflection</v>
      </c>
      <c r="D555" s="5">
        <f>'Raw Data'!D555</f>
        <v>44092.8125</v>
      </c>
      <c r="E555" s="4" t="str">
        <f>TRIM(SUBSTITUTE('Raw Data'!E555," "," "))</f>
        <v>BoxingFanChampionshipDefeat</v>
      </c>
      <c r="F555" s="4" t="str">
        <f>TRIM(PROPER('Raw Data'!F555))</f>
        <v>Facebook</v>
      </c>
      <c r="G555" s="8" t="str">
        <f>TRIM(CLEAN('Raw Data'!G555))</f>
        <v>#Reflection #BoxingDefeat</v>
      </c>
      <c r="H555" s="12">
        <f>'Raw Data'!H555</f>
        <v>30</v>
      </c>
      <c r="I555" s="12">
        <v>70</v>
      </c>
      <c r="J555" s="12" t="str">
        <f>TRIM(UPPER('Raw Data'!J555))</f>
        <v>UK</v>
      </c>
      <c r="K555" s="12">
        <f>'Raw Data'!K555</f>
        <v>2020</v>
      </c>
      <c r="L555" s="12">
        <f>'Raw Data'!L555</f>
        <v>9</v>
      </c>
      <c r="M555" s="12">
        <f>'Raw Data'!M555</f>
        <v>18</v>
      </c>
      <c r="N555">
        <f>'Raw Data'!N555</f>
        <v>19</v>
      </c>
    </row>
    <row r="556" spans="1:14" ht="45" x14ac:dyDescent="0.25">
      <c r="A556" s="11">
        <f>'Raw Data'!A556</f>
        <v>554</v>
      </c>
      <c r="B556" s="8" t="str">
        <f>TRIM(CLEAN('Raw Data'!B556))</f>
        <v>In the midst of a cycling race, a tire blowout leads to frustration for the cyclist, who valiantly tries to overcome the unexpected obstacle.</v>
      </c>
      <c r="C556" s="4" t="str">
        <f>TRIM(PROPER('Raw Data'!C556))</f>
        <v>Obstacle</v>
      </c>
      <c r="D556" s="5">
        <f>'Raw Data'!D556</f>
        <v>42870.916666666664</v>
      </c>
      <c r="E556" s="4" t="str">
        <f>TRIM(SUBSTITUTE('Raw Data'!E556," "," "))</f>
        <v>CyclingEnthusiastTireBlowout</v>
      </c>
      <c r="F556" s="4" t="str">
        <f>TRIM(PROPER('Raw Data'!F556))</f>
        <v>Twitter</v>
      </c>
      <c r="G556" s="8" t="str">
        <f>TRIM(CLEAN('Raw Data'!G556))</f>
        <v>#Obstacle #CyclingFrustration</v>
      </c>
      <c r="H556" s="12">
        <f>'Raw Data'!H556</f>
        <v>22</v>
      </c>
      <c r="I556" s="12">
        <v>60</v>
      </c>
      <c r="J556" s="12" t="str">
        <f>TRIM(UPPER('Raw Data'!J556))</f>
        <v>FRANCE</v>
      </c>
      <c r="K556" s="12">
        <f>'Raw Data'!K556</f>
        <v>2017</v>
      </c>
      <c r="L556" s="12">
        <f>'Raw Data'!L556</f>
        <v>5</v>
      </c>
      <c r="M556" s="12">
        <f>'Raw Data'!M556</f>
        <v>15</v>
      </c>
      <c r="N556">
        <f>'Raw Data'!N556</f>
        <v>22</v>
      </c>
    </row>
    <row r="557" spans="1:14" ht="45" x14ac:dyDescent="0.25">
      <c r="A557" s="11">
        <f>'Raw Data'!A557</f>
        <v>555</v>
      </c>
      <c r="B557" s="8" t="str">
        <f>TRIM(CLEAN('Raw Data'!B557))</f>
        <v>The gymnast's unexpected fall during a routine sparks a wave of sympathy from the audience, highlighting the vulnerability of sports.</v>
      </c>
      <c r="C557" s="4" t="str">
        <f>TRIM(PROPER('Raw Data'!C557))</f>
        <v>Sympathy</v>
      </c>
      <c r="D557" s="5">
        <f>'Raw Data'!D557</f>
        <v>44291.84375</v>
      </c>
      <c r="E557" s="4" t="str">
        <f>TRIM(SUBSTITUTE('Raw Data'!E557," "," "))</f>
        <v>GymnasticsFanRoutineFall</v>
      </c>
      <c r="F557" s="4" t="str">
        <f>TRIM(PROPER('Raw Data'!F557))</f>
        <v>Instagram</v>
      </c>
      <c r="G557" s="8" t="str">
        <f>TRIM(CLEAN('Raw Data'!G557))</f>
        <v>#Sympathy #GymnasticsFall</v>
      </c>
      <c r="H557" s="12">
        <f>'Raw Data'!H557</f>
        <v>28</v>
      </c>
      <c r="I557" s="12">
        <v>45</v>
      </c>
      <c r="J557" s="12" t="str">
        <f>TRIM(UPPER('Raw Data'!J557))</f>
        <v>JAPAN</v>
      </c>
      <c r="K557" s="12">
        <f>'Raw Data'!K557</f>
        <v>2021</v>
      </c>
      <c r="L557" s="12">
        <f>'Raw Data'!L557</f>
        <v>4</v>
      </c>
      <c r="M557" s="12">
        <f>'Raw Data'!M557</f>
        <v>5</v>
      </c>
      <c r="N557">
        <f>'Raw Data'!N557</f>
        <v>20</v>
      </c>
    </row>
    <row r="558" spans="1:14" ht="45" x14ac:dyDescent="0.25">
      <c r="A558" s="11">
        <f>'Raw Data'!A558</f>
        <v>556</v>
      </c>
      <c r="B558" s="8" t="str">
        <f>TRIM(CLEAN('Raw Data'!B558))</f>
        <v>In the golf tournament, a missed crucial putt results in defeat, causing the golfer to reflect on the pressure of high-stakes competition.</v>
      </c>
      <c r="C558" s="4" t="str">
        <f>TRIM(PROPER('Raw Data'!C558))</f>
        <v>Pressure</v>
      </c>
      <c r="D558" s="5">
        <f>'Raw Data'!D558</f>
        <v>42602.770833333336</v>
      </c>
      <c r="E558" s="4" t="str">
        <f>TRIM(SUBSTITUTE('Raw Data'!E558," "," "))</f>
        <v>GolfEnthusiastMissedPutt</v>
      </c>
      <c r="F558" s="4" t="str">
        <f>TRIM(PROPER('Raw Data'!F558))</f>
        <v>Facebook</v>
      </c>
      <c r="G558" s="8" t="str">
        <f>TRIM(CLEAN('Raw Data'!G558))</f>
        <v>#Pressure #GolfDefeat</v>
      </c>
      <c r="H558" s="12">
        <f>'Raw Data'!H558</f>
        <v>18</v>
      </c>
      <c r="I558" s="12">
        <v>55</v>
      </c>
      <c r="J558" s="12" t="str">
        <f>TRIM(UPPER('Raw Data'!J558))</f>
        <v>USA</v>
      </c>
      <c r="K558" s="12">
        <f>'Raw Data'!K558</f>
        <v>2016</v>
      </c>
      <c r="L558" s="12">
        <f>'Raw Data'!L558</f>
        <v>8</v>
      </c>
      <c r="M558" s="12">
        <f>'Raw Data'!M558</f>
        <v>20</v>
      </c>
      <c r="N558">
        <f>'Raw Data'!N558</f>
        <v>18</v>
      </c>
    </row>
    <row r="559" spans="1:14" ht="45" x14ac:dyDescent="0.25">
      <c r="A559" s="11">
        <f>'Raw Data'!A559</f>
        <v>557</v>
      </c>
      <c r="B559" s="8" t="str">
        <f>TRIM(CLEAN('Raw Data'!B559))</f>
        <v>Experiencing a series of losses in the basketball season, the team grapples with frustration, determined to turn the tide with renewed effort.</v>
      </c>
      <c r="C559" s="4" t="str">
        <f>TRIM(PROPER('Raw Data'!C559))</f>
        <v>Renewed Effort</v>
      </c>
      <c r="D559" s="5">
        <f>'Raw Data'!D559</f>
        <v>43508.822916666664</v>
      </c>
      <c r="E559" s="4" t="str">
        <f>TRIM(SUBSTITUTE('Raw Data'!E559," "," "))</f>
        <v>BasketballFanTeamLosses</v>
      </c>
      <c r="F559" s="4" t="str">
        <f>TRIM(PROPER('Raw Data'!F559))</f>
        <v>Twitter</v>
      </c>
      <c r="G559" s="8" t="str">
        <f>TRIM(CLEAN('Raw Data'!G559))</f>
        <v>#RenewedEffort #BasketballStruggles</v>
      </c>
      <c r="H559" s="12">
        <f>'Raw Data'!H559</f>
        <v>22</v>
      </c>
      <c r="I559" s="12">
        <v>35</v>
      </c>
      <c r="J559" s="12" t="str">
        <f>TRIM(UPPER('Raw Data'!J559))</f>
        <v>CANADA</v>
      </c>
      <c r="K559" s="12">
        <f>'Raw Data'!K559</f>
        <v>2019</v>
      </c>
      <c r="L559" s="12">
        <f>'Raw Data'!L559</f>
        <v>2</v>
      </c>
      <c r="M559" s="12">
        <f>'Raw Data'!M559</f>
        <v>12</v>
      </c>
      <c r="N559">
        <f>'Raw Data'!N559</f>
        <v>19</v>
      </c>
    </row>
    <row r="560" spans="1:14" ht="45" x14ac:dyDescent="0.25">
      <c r="A560" s="11">
        <f>'Raw Data'!A560</f>
        <v>558</v>
      </c>
      <c r="B560" s="8" t="str">
        <f>TRIM(CLEAN('Raw Data'!B560))</f>
        <v>Despite meticulous training, the swimmer faces disappointment as a split-second miscalculation costs them the lead in a crucial race.</v>
      </c>
      <c r="C560" s="4" t="str">
        <f>TRIM(PROPER('Raw Data'!C560))</f>
        <v>Miscalculation</v>
      </c>
      <c r="D560" s="5">
        <f>'Raw Data'!D560</f>
        <v>42183.833333333336</v>
      </c>
      <c r="E560" s="4" t="str">
        <f>TRIM(SUBSTITUTE('Raw Data'!E560," "," "))</f>
        <v>SwimmingEnthusiastRaceSetback</v>
      </c>
      <c r="F560" s="4" t="str">
        <f>TRIM(PROPER('Raw Data'!F560))</f>
        <v>Instagram</v>
      </c>
      <c r="G560" s="8" t="str">
        <f>TRIM(CLEAN('Raw Data'!G560))</f>
        <v>#Miscalculation #SwimmingDisappointment</v>
      </c>
      <c r="H560" s="12">
        <f>'Raw Data'!H560</f>
        <v>28</v>
      </c>
      <c r="I560" s="12">
        <v>45</v>
      </c>
      <c r="J560" s="12" t="str">
        <f>TRIM(UPPER('Raw Data'!J560))</f>
        <v>AUSTRALIA</v>
      </c>
      <c r="K560" s="12">
        <f>'Raw Data'!K560</f>
        <v>2015</v>
      </c>
      <c r="L560" s="12">
        <f>'Raw Data'!L560</f>
        <v>6</v>
      </c>
      <c r="M560" s="12">
        <f>'Raw Data'!M560</f>
        <v>28</v>
      </c>
      <c r="N560">
        <f>'Raw Data'!N560</f>
        <v>20</v>
      </c>
    </row>
    <row r="561" spans="1:14" ht="45" x14ac:dyDescent="0.25">
      <c r="A561" s="11">
        <f>'Raw Data'!A561</f>
        <v>559</v>
      </c>
      <c r="B561" s="8" t="str">
        <f>TRIM(CLEAN('Raw Data'!B561))</f>
        <v>The weightlifter's failed attempt at a personal record results in frustration, highlighting the challenging nature of pushing physical limits.</v>
      </c>
      <c r="C561" s="4" t="str">
        <f>TRIM(PROPER('Raw Data'!C561))</f>
        <v>Challenge</v>
      </c>
      <c r="D561" s="5">
        <f>'Raw Data'!D561</f>
        <v>44569.895833333336</v>
      </c>
      <c r="E561" s="4" t="str">
        <f>TRIM(SUBSTITUTE('Raw Data'!E561," "," "))</f>
        <v>WeightliftingFanFailedRecord</v>
      </c>
      <c r="F561" s="4" t="str">
        <f>TRIM(PROPER('Raw Data'!F561))</f>
        <v>Facebook</v>
      </c>
      <c r="G561" s="8" t="str">
        <f>TRIM(CLEAN('Raw Data'!G561))</f>
        <v>#Challenge #WeightliftingFailure</v>
      </c>
      <c r="H561" s="12">
        <f>'Raw Data'!H561</f>
        <v>35</v>
      </c>
      <c r="I561" s="12">
        <v>55</v>
      </c>
      <c r="J561" s="12" t="str">
        <f>TRIM(UPPER('Raw Data'!J561))</f>
        <v>GERMANY</v>
      </c>
      <c r="K561" s="12">
        <f>'Raw Data'!K561</f>
        <v>2022</v>
      </c>
      <c r="L561" s="12">
        <f>'Raw Data'!L561</f>
        <v>1</v>
      </c>
      <c r="M561" s="12">
        <f>'Raw Data'!M561</f>
        <v>8</v>
      </c>
      <c r="N561">
        <f>'Raw Data'!N561</f>
        <v>21</v>
      </c>
    </row>
    <row r="562" spans="1:14" ht="45" x14ac:dyDescent="0.25">
      <c r="A562" s="11">
        <f>'Raw Data'!A562</f>
        <v>560</v>
      </c>
      <c r="B562" s="8" t="str">
        <f>TRIM(CLEAN('Raw Data'!B562))</f>
        <v>In the midst of a soccer match, an unexpected own goal creates a moment of despair for the player, as teammates console and encourage them.</v>
      </c>
      <c r="C562" s="4" t="str">
        <f>TRIM(PROPER('Raw Data'!C562))</f>
        <v>Despair</v>
      </c>
      <c r="D562" s="5">
        <f>'Raw Data'!D562</f>
        <v>43449.84375</v>
      </c>
      <c r="E562" s="4" t="str">
        <f>TRIM(SUBSTITUTE('Raw Data'!E562," "," "))</f>
        <v>SoccerPlayerOwnGoalMoment</v>
      </c>
      <c r="F562" s="4" t="str">
        <f>TRIM(PROPER('Raw Data'!F562))</f>
        <v>Twitter</v>
      </c>
      <c r="G562" s="8" t="str">
        <f>TRIM(CLEAN('Raw Data'!G562))</f>
        <v>#Despair #OwnGoal</v>
      </c>
      <c r="H562" s="12">
        <f>'Raw Data'!H562</f>
        <v>22</v>
      </c>
      <c r="I562" s="12">
        <v>70</v>
      </c>
      <c r="J562" s="12" t="str">
        <f>TRIM(UPPER('Raw Data'!J562))</f>
        <v>SPAIN</v>
      </c>
      <c r="K562" s="12">
        <f>'Raw Data'!K562</f>
        <v>2018</v>
      </c>
      <c r="L562" s="12">
        <f>'Raw Data'!L562</f>
        <v>12</v>
      </c>
      <c r="M562" s="12">
        <f>'Raw Data'!M562</f>
        <v>15</v>
      </c>
      <c r="N562">
        <f>'Raw Data'!N562</f>
        <v>20</v>
      </c>
    </row>
    <row r="563" spans="1:14" ht="45" x14ac:dyDescent="0.25">
      <c r="A563" s="11">
        <f>'Raw Data'!A563</f>
        <v>561</v>
      </c>
      <c r="B563" s="8" t="str">
        <f>TRIM(CLEAN('Raw Data'!B563))</f>
        <v>In the serene beauty of a sunset, nature unfolds a canvas of colors, evoking a sense of tranquility and wonder.</v>
      </c>
      <c r="C563" s="4" t="str">
        <f>TRIM(PROPER('Raw Data'!C563))</f>
        <v>Tranquility</v>
      </c>
      <c r="D563" s="5">
        <f>'Raw Data'!D563</f>
        <v>44387.791666666664</v>
      </c>
      <c r="E563" s="4" t="str">
        <f>TRIM(SUBSTITUTE('Raw Data'!E563," "," "))</f>
        <v>NatureEnthusiastSunsetWonder</v>
      </c>
      <c r="F563" s="4" t="str">
        <f>TRIM(PROPER('Raw Data'!F563))</f>
        <v>Instagram</v>
      </c>
      <c r="G563" s="8" t="str">
        <f>TRIM(CLEAN('Raw Data'!G563))</f>
        <v>#Tranquility #SunsetBeauty</v>
      </c>
      <c r="H563" s="12">
        <f>'Raw Data'!H563</f>
        <v>40</v>
      </c>
      <c r="I563" s="12">
        <v>45</v>
      </c>
      <c r="J563" s="12" t="str">
        <f>TRIM(UPPER('Raw Data'!J563))</f>
        <v>CANADA</v>
      </c>
      <c r="K563" s="12">
        <f>'Raw Data'!K563</f>
        <v>2021</v>
      </c>
      <c r="L563" s="12">
        <f>'Raw Data'!L563</f>
        <v>7</v>
      </c>
      <c r="M563" s="12">
        <f>'Raw Data'!M563</f>
        <v>10</v>
      </c>
      <c r="N563">
        <f>'Raw Data'!N563</f>
        <v>19</v>
      </c>
    </row>
    <row r="564" spans="1:14" ht="45" x14ac:dyDescent="0.25">
      <c r="A564" s="11">
        <f>'Raw Data'!A564</f>
        <v>562</v>
      </c>
      <c r="B564" s="8" t="str">
        <f>TRIM(CLEAN('Raw Data'!B564))</f>
        <v>Embarking on a spontaneous road trip, the traveler discovers hidden gems, creating memories that will be cherished for a lifetime.</v>
      </c>
      <c r="C564" s="4" t="str">
        <f>TRIM(PROPER('Raw Data'!C564))</f>
        <v>Adventure</v>
      </c>
      <c r="D564" s="5">
        <f>'Raw Data'!D564</f>
        <v>43736.854166666664</v>
      </c>
      <c r="E564" s="4" t="str">
        <f>TRIM(SUBSTITUTE('Raw Data'!E564," "," "))</f>
        <v>TravelEnthusiastRoadTripDiscovery</v>
      </c>
      <c r="F564" s="4" t="str">
        <f>TRIM(PROPER('Raw Data'!F564))</f>
        <v>Twitter</v>
      </c>
      <c r="G564" s="8" t="str">
        <f>TRIM(CLEAN('Raw Data'!G564))</f>
        <v>#Adventure #RoadTripMemories</v>
      </c>
      <c r="H564" s="12">
        <f>'Raw Data'!H564</f>
        <v>35</v>
      </c>
      <c r="I564" s="12">
        <v>80</v>
      </c>
      <c r="J564" s="12" t="str">
        <f>TRIM(UPPER('Raw Data'!J564))</f>
        <v>USA</v>
      </c>
      <c r="K564" s="12">
        <f>'Raw Data'!K564</f>
        <v>2019</v>
      </c>
      <c r="L564" s="12">
        <f>'Raw Data'!L564</f>
        <v>9</v>
      </c>
      <c r="M564" s="12">
        <f>'Raw Data'!M564</f>
        <v>28</v>
      </c>
      <c r="N564">
        <f>'Raw Data'!N564</f>
        <v>20</v>
      </c>
    </row>
    <row r="565" spans="1:14" ht="45" x14ac:dyDescent="0.25">
      <c r="A565" s="11">
        <f>'Raw Data'!A565</f>
        <v>563</v>
      </c>
      <c r="B565" s="8" t="str">
        <f>TRIM(CLEAN('Raw Data'!B565))</f>
        <v>Amidst the bustling city, a quiet café becomes a sanctuary for reflection, where a cup of coffee brings solace to the wandering mind.</v>
      </c>
      <c r="C565" s="4" t="str">
        <f>TRIM(PROPER('Raw Data'!C565))</f>
        <v>Solace</v>
      </c>
      <c r="D565" s="5">
        <f>'Raw Data'!D565</f>
        <v>44635.78125</v>
      </c>
      <c r="E565" s="4" t="str">
        <f>TRIM(SUBSTITUTE('Raw Data'!E565," "," "))</f>
        <v>UrbanExplorerCafeSolitude</v>
      </c>
      <c r="F565" s="4" t="str">
        <f>TRIM(PROPER('Raw Data'!F565))</f>
        <v>Facebook</v>
      </c>
      <c r="G565" s="8" t="str">
        <f>TRIM(CLEAN('Raw Data'!G565))</f>
        <v>#Solace #CafeReflection</v>
      </c>
      <c r="H565" s="12">
        <f>'Raw Data'!H565</f>
        <v>30</v>
      </c>
      <c r="I565" s="12">
        <v>70</v>
      </c>
      <c r="J565" s="12" t="str">
        <f>TRIM(UPPER('Raw Data'!J565))</f>
        <v>FRANCE</v>
      </c>
      <c r="K565" s="12">
        <f>'Raw Data'!K565</f>
        <v>2022</v>
      </c>
      <c r="L565" s="12">
        <f>'Raw Data'!L565</f>
        <v>3</v>
      </c>
      <c r="M565" s="12">
        <f>'Raw Data'!M565</f>
        <v>15</v>
      </c>
      <c r="N565">
        <f>'Raw Data'!N565</f>
        <v>18</v>
      </c>
    </row>
    <row r="566" spans="1:14" ht="45" x14ac:dyDescent="0.25">
      <c r="A566" s="11">
        <f>'Raw Data'!A566</f>
        <v>564</v>
      </c>
      <c r="B566" s="8" t="str">
        <f>TRIM(CLEAN('Raw Data'!B566))</f>
        <v>Exploring the vibrant street art of a cultural neighborhood, each mural tells a story, infusing the city with creativity and expression.</v>
      </c>
      <c r="C566" s="4" t="str">
        <f>TRIM(PROPER('Raw Data'!C566))</f>
        <v>Creativity</v>
      </c>
      <c r="D566" s="5">
        <f>'Raw Data'!D566</f>
        <v>43044.885416666664</v>
      </c>
      <c r="E566" s="4" t="str">
        <f>TRIM(SUBSTITUTE('Raw Data'!E566," "," "))</f>
        <v>ArtEnthusiastStreetArtExploration</v>
      </c>
      <c r="F566" s="4" t="str">
        <f>TRIM(PROPER('Raw Data'!F566))</f>
        <v>Instagram</v>
      </c>
      <c r="G566" s="8" t="str">
        <f>TRIM(CLEAN('Raw Data'!G566))</f>
        <v>#Creativity #StreetArtVibes</v>
      </c>
      <c r="H566" s="12">
        <f>'Raw Data'!H566</f>
        <v>22</v>
      </c>
      <c r="I566" s="12">
        <v>60</v>
      </c>
      <c r="J566" s="12" t="str">
        <f>TRIM(UPPER('Raw Data'!J566))</f>
        <v>BRAZIL</v>
      </c>
      <c r="K566" s="12">
        <f>'Raw Data'!K566</f>
        <v>2017</v>
      </c>
      <c r="L566" s="12">
        <f>'Raw Data'!L566</f>
        <v>11</v>
      </c>
      <c r="M566" s="12">
        <f>'Raw Data'!M566</f>
        <v>5</v>
      </c>
      <c r="N566">
        <f>'Raw Data'!N566</f>
        <v>21</v>
      </c>
    </row>
    <row r="567" spans="1:14" ht="45" x14ac:dyDescent="0.25">
      <c r="A567" s="11">
        <f>'Raw Data'!A567</f>
        <v>565</v>
      </c>
      <c r="B567" s="8" t="str">
        <f>TRIM(CLEAN('Raw Data'!B567))</f>
        <v>In the world of science, a breakthrough discovery unfolds, pushing the boundaries of knowledge and opening new frontiers of exploration.</v>
      </c>
      <c r="C567" s="4" t="str">
        <f>TRIM(PROPER('Raw Data'!C567))</f>
        <v>Breakthrough</v>
      </c>
      <c r="D567" s="5">
        <f>'Raw Data'!D567</f>
        <v>43971.6875</v>
      </c>
      <c r="E567" s="4" t="str">
        <f>TRIM(SUBSTITUTE('Raw Data'!E567," "," "))</f>
        <v>ScienceEnthusiastDiscoveryMoment</v>
      </c>
      <c r="F567" s="4" t="str">
        <f>TRIM(PROPER('Raw Data'!F567))</f>
        <v>Twitter</v>
      </c>
      <c r="G567" s="8" t="str">
        <f>TRIM(CLEAN('Raw Data'!G567))</f>
        <v>#Breakthrough #ScientificDiscovery</v>
      </c>
      <c r="H567" s="12">
        <f>'Raw Data'!H567</f>
        <v>28</v>
      </c>
      <c r="I567" s="12">
        <v>45</v>
      </c>
      <c r="J567" s="12" t="str">
        <f>TRIM(UPPER('Raw Data'!J567))</f>
        <v>GERMANY</v>
      </c>
      <c r="K567" s="12">
        <f>'Raw Data'!K567</f>
        <v>2020</v>
      </c>
      <c r="L567" s="12">
        <f>'Raw Data'!L567</f>
        <v>5</v>
      </c>
      <c r="M567" s="12">
        <f>'Raw Data'!M567</f>
        <v>20</v>
      </c>
      <c r="N567">
        <f>'Raw Data'!N567</f>
        <v>16</v>
      </c>
    </row>
    <row r="568" spans="1:14" ht="45" x14ac:dyDescent="0.25">
      <c r="A568" s="11">
        <f>'Raw Data'!A568</f>
        <v>566</v>
      </c>
      <c r="B568" s="8" t="str">
        <f>TRIM(CLEAN('Raw Data'!B568))</f>
        <v>Connecting with the melody of a live orchestra, the music enthusiast experiences a symphony that resonates deep within the soul.</v>
      </c>
      <c r="C568" s="4" t="str">
        <f>TRIM(PROPER('Raw Data'!C568))</f>
        <v>Harmony</v>
      </c>
      <c r="D568" s="5">
        <f>'Raw Data'!D568</f>
        <v>42604.822916666664</v>
      </c>
      <c r="E568" s="4" t="str">
        <f>TRIM(SUBSTITUTE('Raw Data'!E568," "," "))</f>
        <v>MusicLoverLiveOrchestraExperience</v>
      </c>
      <c r="F568" s="4" t="str">
        <f>TRIM(PROPER('Raw Data'!F568))</f>
        <v>Facebook</v>
      </c>
      <c r="G568" s="8" t="str">
        <f>TRIM(CLEAN('Raw Data'!G568))</f>
        <v>#Harmony #OrchestraMelody</v>
      </c>
      <c r="H568" s="12">
        <f>'Raw Data'!H568</f>
        <v>18</v>
      </c>
      <c r="I568" s="12">
        <v>55</v>
      </c>
      <c r="J568" s="12" t="str">
        <f>TRIM(UPPER('Raw Data'!J568))</f>
        <v>UK</v>
      </c>
      <c r="K568" s="12">
        <f>'Raw Data'!K568</f>
        <v>2016</v>
      </c>
      <c r="L568" s="12">
        <f>'Raw Data'!L568</f>
        <v>8</v>
      </c>
      <c r="M568" s="12">
        <f>'Raw Data'!M568</f>
        <v>22</v>
      </c>
      <c r="N568">
        <f>'Raw Data'!N568</f>
        <v>19</v>
      </c>
    </row>
    <row r="569" spans="1:14" ht="45" x14ac:dyDescent="0.25">
      <c r="A569" s="11">
        <f>'Raw Data'!A569</f>
        <v>567</v>
      </c>
      <c r="B569" s="8" t="str">
        <f>TRIM(CLEAN('Raw Data'!B569))</f>
        <v>Embracing the aroma of freshly baked bread, the home chef finds joy in the art of baking, creating delicious memories for loved ones.</v>
      </c>
      <c r="C569" s="4" t="str">
        <f>TRIM(PROPER('Raw Data'!C569))</f>
        <v>Joy In Baking</v>
      </c>
      <c r="D569" s="5">
        <f>'Raw Data'!D569</f>
        <v>45026.71875</v>
      </c>
      <c r="E569" s="4" t="str">
        <f>TRIM(SUBSTITUTE('Raw Data'!E569," "," "))</f>
        <v>HomeBakerDeliciousMemories</v>
      </c>
      <c r="F569" s="4" t="str">
        <f>TRIM(PROPER('Raw Data'!F569))</f>
        <v>Instagram</v>
      </c>
      <c r="G569" s="8" t="str">
        <f>TRIM(CLEAN('Raw Data'!G569))</f>
        <v>#JoyInBaking #HomemadeDelights</v>
      </c>
      <c r="H569" s="12">
        <f>'Raw Data'!H569</f>
        <v>22</v>
      </c>
      <c r="I569" s="12">
        <v>35</v>
      </c>
      <c r="J569" s="12" t="str">
        <f>TRIM(UPPER('Raw Data'!J569))</f>
        <v>INDIA</v>
      </c>
      <c r="K569" s="12">
        <f>'Raw Data'!K569</f>
        <v>2023</v>
      </c>
      <c r="L569" s="12">
        <f>'Raw Data'!L569</f>
        <v>4</v>
      </c>
      <c r="M569" s="12">
        <f>'Raw Data'!M569</f>
        <v>10</v>
      </c>
      <c r="N569">
        <f>'Raw Data'!N569</f>
        <v>17</v>
      </c>
    </row>
    <row r="570" spans="1:14" ht="45" x14ac:dyDescent="0.25">
      <c r="A570" s="11">
        <f>'Raw Data'!A570</f>
        <v>568</v>
      </c>
      <c r="B570" s="8" t="str">
        <f>TRIM(CLEAN('Raw Data'!B570))</f>
        <v>Wandering through a historical museum, the history enthusiast becomes immersed in the tales of the past, envisioning bygone eras.</v>
      </c>
      <c r="C570" s="4" t="str">
        <f>TRIM(PROPER('Raw Data'!C570))</f>
        <v>Envisioning History</v>
      </c>
      <c r="D570" s="5">
        <f>'Raw Data'!D570</f>
        <v>42356.75</v>
      </c>
      <c r="E570" s="4" t="str">
        <f>TRIM(SUBSTITUTE('Raw Data'!E570," "," "))</f>
        <v>HistoryBuffMuseumExploration</v>
      </c>
      <c r="F570" s="4" t="str">
        <f>TRIM(PROPER('Raw Data'!F570))</f>
        <v>Twitter</v>
      </c>
      <c r="G570" s="8" t="str">
        <f>TRIM(CLEAN('Raw Data'!G570))</f>
        <v>#EnvisioningHistory #MuseumTales</v>
      </c>
      <c r="H570" s="12">
        <f>'Raw Data'!H570</f>
        <v>28</v>
      </c>
      <c r="I570" s="12">
        <v>45</v>
      </c>
      <c r="J570" s="12" t="str">
        <f>TRIM(UPPER('Raw Data'!J570))</f>
        <v>ITALY</v>
      </c>
      <c r="K570" s="12">
        <f>'Raw Data'!K570</f>
        <v>2015</v>
      </c>
      <c r="L570" s="12">
        <f>'Raw Data'!L570</f>
        <v>12</v>
      </c>
      <c r="M570" s="12">
        <f>'Raw Data'!M570</f>
        <v>18</v>
      </c>
      <c r="N570">
        <f>'Raw Data'!N570</f>
        <v>18</v>
      </c>
    </row>
    <row r="571" spans="1:14" ht="45" x14ac:dyDescent="0.25">
      <c r="A571" s="11">
        <f>'Raw Data'!A571</f>
        <v>569</v>
      </c>
      <c r="B571" s="8" t="str">
        <f>TRIM(CLEAN('Raw Data'!B571))</f>
        <v>In the realm of literature, a captivating novel transports the reader to distant lands, weaving a tapestry of imagination and escape.</v>
      </c>
      <c r="C571" s="4" t="str">
        <f>TRIM(PROPER('Raw Data'!C571))</f>
        <v>Imagination</v>
      </c>
      <c r="D571" s="5">
        <f>'Raw Data'!D571</f>
        <v>44477.854166666664</v>
      </c>
      <c r="E571" s="4" t="str">
        <f>TRIM(SUBSTITUTE('Raw Data'!E571," "," "))</f>
        <v>BookwormCaptivatingNovelEscape</v>
      </c>
      <c r="F571" s="4" t="str">
        <f>TRIM(PROPER('Raw Data'!F571))</f>
        <v>Facebook</v>
      </c>
      <c r="G571" s="8" t="str">
        <f>TRIM(CLEAN('Raw Data'!G571))</f>
        <v>#Imagination #LiteraryEscape</v>
      </c>
      <c r="H571" s="12">
        <f>'Raw Data'!H571</f>
        <v>35</v>
      </c>
      <c r="I571" s="12">
        <v>55</v>
      </c>
      <c r="J571" s="12" t="str">
        <f>TRIM(UPPER('Raw Data'!J571))</f>
        <v>JAPAN</v>
      </c>
      <c r="K571" s="12">
        <f>'Raw Data'!K571</f>
        <v>2021</v>
      </c>
      <c r="L571" s="12">
        <f>'Raw Data'!L571</f>
        <v>10</v>
      </c>
      <c r="M571" s="12">
        <f>'Raw Data'!M571</f>
        <v>8</v>
      </c>
      <c r="N571">
        <f>'Raw Data'!N571</f>
        <v>20</v>
      </c>
    </row>
    <row r="572" spans="1:14" ht="45" x14ac:dyDescent="0.25">
      <c r="A572" s="11">
        <f>'Raw Data'!A572</f>
        <v>570</v>
      </c>
      <c r="B572" s="8" t="str">
        <f>TRIM(CLEAN('Raw Data'!B572))</f>
        <v>Capturing the essence of a bustling market, the photographer freezes moments in time, each frame telling a unique and vibrant story.</v>
      </c>
      <c r="C572" s="4" t="str">
        <f>TRIM(PROPER('Raw Data'!C572))</f>
        <v>Vibrancy</v>
      </c>
      <c r="D572" s="5">
        <f>'Raw Data'!D572</f>
        <v>43546.90625</v>
      </c>
      <c r="E572" s="4" t="str">
        <f>TRIM(SUBSTITUTE('Raw Data'!E572," "," "))</f>
        <v>PhotographyEnthusiastMarketMoments</v>
      </c>
      <c r="F572" s="4" t="str">
        <f>TRIM(PROPER('Raw Data'!F572))</f>
        <v>Instagram</v>
      </c>
      <c r="G572" s="8" t="str">
        <f>TRIM(CLEAN('Raw Data'!G572))</f>
        <v>#Vibrancy #MarketStories</v>
      </c>
      <c r="H572" s="12">
        <f>'Raw Data'!H572</f>
        <v>22</v>
      </c>
      <c r="I572" s="12">
        <v>70</v>
      </c>
      <c r="J572" s="12" t="str">
        <f>TRIM(UPPER('Raw Data'!J572))</f>
        <v>AUSTRALIA</v>
      </c>
      <c r="K572" s="12">
        <f>'Raw Data'!K572</f>
        <v>2019</v>
      </c>
      <c r="L572" s="12">
        <f>'Raw Data'!L572</f>
        <v>3</v>
      </c>
      <c r="M572" s="12">
        <f>'Raw Data'!M572</f>
        <v>22</v>
      </c>
      <c r="N572">
        <f>'Raw Data'!N572</f>
        <v>21</v>
      </c>
    </row>
    <row r="573" spans="1:14" ht="45" x14ac:dyDescent="0.25">
      <c r="A573" s="11">
        <f>'Raw Data'!A573</f>
        <v>571</v>
      </c>
      <c r="B573" s="8" t="str">
        <f>TRIM(CLEAN('Raw Data'!B573))</f>
        <v>Underneath the city lights, the dancer expresses emotions through graceful movements, creating a mesmerizing performance under the night sky.</v>
      </c>
      <c r="C573" s="4" t="str">
        <f>TRIM(PROPER('Raw Data'!C573))</f>
        <v>Mesmerizing</v>
      </c>
      <c r="D573" s="5">
        <f>'Raw Data'!D573</f>
        <v>43266.916666666664</v>
      </c>
      <c r="E573" s="4" t="str">
        <f>TRIM(SUBSTITUTE('Raw Data'!E573," "," "))</f>
        <v>DanceEnthusiastCityNightPerformance</v>
      </c>
      <c r="F573" s="4" t="str">
        <f>TRIM(PROPER('Raw Data'!F573))</f>
        <v>Twitter</v>
      </c>
      <c r="G573" s="8" t="str">
        <f>TRIM(CLEAN('Raw Data'!G573))</f>
        <v>#Mesmerizing #NightDancePerformance</v>
      </c>
      <c r="H573" s="12">
        <f>'Raw Data'!H573</f>
        <v>40</v>
      </c>
      <c r="I573" s="12">
        <v>45</v>
      </c>
      <c r="J573" s="12" t="str">
        <f>TRIM(UPPER('Raw Data'!J573))</f>
        <v>USA</v>
      </c>
      <c r="K573" s="12">
        <f>'Raw Data'!K573</f>
        <v>2018</v>
      </c>
      <c r="L573" s="12">
        <f>'Raw Data'!L573</f>
        <v>6</v>
      </c>
      <c r="M573" s="12">
        <f>'Raw Data'!M573</f>
        <v>15</v>
      </c>
      <c r="N573">
        <f>'Raw Data'!N573</f>
        <v>22</v>
      </c>
    </row>
    <row r="574" spans="1:14" ht="45" x14ac:dyDescent="0.25">
      <c r="A574" s="11">
        <f>'Raw Data'!A574</f>
        <v>572</v>
      </c>
      <c r="B574" s="8" t="str">
        <f>TRIM(CLEAN('Raw Data'!B574))</f>
        <v>In the heart of a bustling market, the street food connoisseur indulges in a culinary adventure, savoring diverse flavors and aromas.</v>
      </c>
      <c r="C574" s="4" t="str">
        <f>TRIM(PROPER('Raw Data'!C574))</f>
        <v>Culinary Adventure</v>
      </c>
      <c r="D574" s="5">
        <f>'Raw Data'!D574</f>
        <v>43705.8125</v>
      </c>
      <c r="E574" s="4" t="str">
        <f>TRIM(SUBSTITUTE('Raw Data'!E574," "," "))</f>
        <v>FoodieMarketStreetFoodExploration</v>
      </c>
      <c r="F574" s="4" t="str">
        <f>TRIM(PROPER('Raw Data'!F574))</f>
        <v>Instagram</v>
      </c>
      <c r="G574" s="8" t="str">
        <f>TRIM(CLEAN('Raw Data'!G574))</f>
        <v>#CulinaryAdventure #StreetFoodDelights</v>
      </c>
      <c r="H574" s="12">
        <f>'Raw Data'!H574</f>
        <v>35</v>
      </c>
      <c r="I574" s="12">
        <v>80</v>
      </c>
      <c r="J574" s="12" t="str">
        <f>TRIM(UPPER('Raw Data'!J574))</f>
        <v>THAILAND</v>
      </c>
      <c r="K574" s="12">
        <f>'Raw Data'!K574</f>
        <v>2019</v>
      </c>
      <c r="L574" s="12">
        <f>'Raw Data'!L574</f>
        <v>8</v>
      </c>
      <c r="M574" s="12">
        <f>'Raw Data'!M574</f>
        <v>28</v>
      </c>
      <c r="N574">
        <f>'Raw Data'!N574</f>
        <v>19</v>
      </c>
    </row>
    <row r="575" spans="1:14" ht="45" x14ac:dyDescent="0.25">
      <c r="A575" s="11">
        <f>'Raw Data'!A575</f>
        <v>573</v>
      </c>
      <c r="B575" s="8" t="str">
        <f>TRIM(CLEAN('Raw Data'!B575))</f>
        <v>As the first snowflake descends, the winter enthusiast eagerly prepares for a season of frosty delights, anticipating the magic of snow-covered landscapes.</v>
      </c>
      <c r="C575" s="4" t="str">
        <f>TRIM(PROPER('Raw Data'!C575))</f>
        <v>Winter Magic</v>
      </c>
      <c r="D575" s="5">
        <f>'Raw Data'!D575</f>
        <v>44896.739583333336</v>
      </c>
      <c r="E575" s="4" t="str">
        <f>TRIM(SUBSTITUTE('Raw Data'!E575," "," "))</f>
        <v>SnowLoverWinterEnthusiast</v>
      </c>
      <c r="F575" s="4" t="str">
        <f>TRIM(PROPER('Raw Data'!F575))</f>
        <v>Facebook</v>
      </c>
      <c r="G575" s="8" t="str">
        <f>TRIM(CLEAN('Raw Data'!G575))</f>
        <v>#WinterMagic #SnowyLandscapes</v>
      </c>
      <c r="H575" s="12">
        <f>'Raw Data'!H575</f>
        <v>30</v>
      </c>
      <c r="I575" s="12">
        <v>70</v>
      </c>
      <c r="J575" s="12" t="str">
        <f>TRIM(UPPER('Raw Data'!J575))</f>
        <v>CANADA</v>
      </c>
      <c r="K575" s="12">
        <f>'Raw Data'!K575</f>
        <v>2022</v>
      </c>
      <c r="L575" s="12">
        <f>'Raw Data'!L575</f>
        <v>12</v>
      </c>
      <c r="M575" s="12">
        <f>'Raw Data'!M575</f>
        <v>1</v>
      </c>
      <c r="N575">
        <f>'Raw Data'!N575</f>
        <v>17</v>
      </c>
    </row>
    <row r="576" spans="1:14" ht="45" x14ac:dyDescent="0.25">
      <c r="A576" s="11">
        <f>'Raw Data'!A576</f>
        <v>574</v>
      </c>
      <c r="B576" s="8" t="str">
        <f>TRIM(CLEAN('Raw Data'!B576))</f>
        <v>Amidst the pages of a captivating mystery novel, the reader unravels clues and secrets, experiencing a thrilling journey of suspense and revelation.</v>
      </c>
      <c r="C576" s="4" t="str">
        <f>TRIM(PROPER('Raw Data'!C576))</f>
        <v>Thrilling Journey</v>
      </c>
      <c r="D576" s="5">
        <f>'Raw Data'!D576</f>
        <v>42835.885416666664</v>
      </c>
      <c r="E576" s="4" t="str">
        <f>TRIM(SUBSTITUTE('Raw Data'!E576," "," "))</f>
        <v>MysteryBookwormSuspensefulRead</v>
      </c>
      <c r="F576" s="4" t="str">
        <f>TRIM(PROPER('Raw Data'!F576))</f>
        <v>Twitter</v>
      </c>
      <c r="G576" s="8" t="str">
        <f>TRIM(CLEAN('Raw Data'!G576))</f>
        <v>#ThrillingJourney #MysteryNovel</v>
      </c>
      <c r="H576" s="12">
        <f>'Raw Data'!H576</f>
        <v>22</v>
      </c>
      <c r="I576" s="12">
        <v>60</v>
      </c>
      <c r="J576" s="12" t="str">
        <f>TRIM(UPPER('Raw Data'!J576))</f>
        <v>UK</v>
      </c>
      <c r="K576" s="12">
        <f>'Raw Data'!K576</f>
        <v>2017</v>
      </c>
      <c r="L576" s="12">
        <f>'Raw Data'!L576</f>
        <v>4</v>
      </c>
      <c r="M576" s="12">
        <f>'Raw Data'!M576</f>
        <v>10</v>
      </c>
      <c r="N576">
        <f>'Raw Data'!N576</f>
        <v>21</v>
      </c>
    </row>
    <row r="577" spans="1:14" ht="45" x14ac:dyDescent="0.25">
      <c r="A577" s="11">
        <f>'Raw Data'!A577</f>
        <v>575</v>
      </c>
      <c r="B577" s="8" t="str">
        <f>TRIM(CLEAN('Raw Data'!B577))</f>
        <v>Surrounded by the vibrant colors of a flower garden, the gardener nurtures blossoms, finding joy in the beauty of nature's ever-changing canvas.</v>
      </c>
      <c r="C577" s="4" t="str">
        <f>TRIM(PROPER('Raw Data'!C577))</f>
        <v>Nature'S Beauty</v>
      </c>
      <c r="D577" s="5">
        <f>'Raw Data'!D577</f>
        <v>43966.770833333336</v>
      </c>
      <c r="E577" s="4" t="str">
        <f>TRIM(SUBSTITUTE('Raw Data'!E577," "," "))</f>
        <v>GardeningEnthusiastFlowerGarden</v>
      </c>
      <c r="F577" s="4" t="str">
        <f>TRIM(PROPER('Raw Data'!F577))</f>
        <v>Instagram</v>
      </c>
      <c r="G577" s="8" t="str">
        <f>TRIM(CLEAN('Raw Data'!G577))</f>
        <v>#NaturesBeauty #FloralJoy</v>
      </c>
      <c r="H577" s="12">
        <f>'Raw Data'!H577</f>
        <v>28</v>
      </c>
      <c r="I577" s="12">
        <v>45</v>
      </c>
      <c r="J577" s="12" t="str">
        <f>TRIM(UPPER('Raw Data'!J577))</f>
        <v>AUSTRALIA</v>
      </c>
      <c r="K577" s="12">
        <f>'Raw Data'!K577</f>
        <v>2020</v>
      </c>
      <c r="L577" s="12">
        <f>'Raw Data'!L577</f>
        <v>5</v>
      </c>
      <c r="M577" s="12">
        <f>'Raw Data'!M577</f>
        <v>15</v>
      </c>
      <c r="N577">
        <f>'Raw Data'!N577</f>
        <v>18</v>
      </c>
    </row>
    <row r="578" spans="1:14" ht="45" x14ac:dyDescent="0.25">
      <c r="A578" s="11">
        <f>'Raw Data'!A578</f>
        <v>576</v>
      </c>
      <c r="B578" s="8" t="str">
        <f>TRIM(CLEAN('Raw Data'!B578))</f>
        <v>At the astronomy observatory, the stargazer marvels at the vastness of the cosmos, contemplating the mysteries hidden within the celestial expanse.</v>
      </c>
      <c r="C578" s="4" t="str">
        <f>TRIM(PROPER('Raw Data'!C578))</f>
        <v>Celestial Wonder</v>
      </c>
      <c r="D578" s="5">
        <f>'Raw Data'!D578</f>
        <v>42635.833333333336</v>
      </c>
      <c r="E578" s="4" t="str">
        <f>TRIM(SUBSTITUTE('Raw Data'!E578," "," "))</f>
        <v>AstronomyEnthusiastStargazing</v>
      </c>
      <c r="F578" s="4" t="str">
        <f>TRIM(PROPER('Raw Data'!F578))</f>
        <v>Facebook</v>
      </c>
      <c r="G578" s="8" t="str">
        <f>TRIM(CLEAN('Raw Data'!G578))</f>
        <v>#CelestialWonder #Stargazing</v>
      </c>
      <c r="H578" s="12">
        <f>'Raw Data'!H578</f>
        <v>18</v>
      </c>
      <c r="I578" s="12">
        <v>55</v>
      </c>
      <c r="J578" s="12" t="str">
        <f>TRIM(UPPER('Raw Data'!J578))</f>
        <v>USA</v>
      </c>
      <c r="K578" s="12">
        <f>'Raw Data'!K578</f>
        <v>2016</v>
      </c>
      <c r="L578" s="12">
        <f>'Raw Data'!L578</f>
        <v>9</v>
      </c>
      <c r="M578" s="12">
        <f>'Raw Data'!M578</f>
        <v>22</v>
      </c>
      <c r="N578">
        <f>'Raw Data'!N578</f>
        <v>20</v>
      </c>
    </row>
    <row r="579" spans="1:14" ht="45" x14ac:dyDescent="0.25">
      <c r="A579" s="11">
        <f>'Raw Data'!A579</f>
        <v>577</v>
      </c>
      <c r="B579" s="8" t="str">
        <f>TRIM(CLEAN('Raw Data'!B579))</f>
        <v>Engulfed in the aroma of freshly brewed coffee, the writer finds inspiration in every sip, embarking on a journey of creativity and prose.</v>
      </c>
      <c r="C579" s="4" t="str">
        <f>TRIM(PROPER('Raw Data'!C579))</f>
        <v>Creative Inspiration</v>
      </c>
      <c r="D579" s="5">
        <f>'Raw Data'!D579</f>
        <v>44969.822916666664</v>
      </c>
      <c r="E579" s="4" t="str">
        <f>TRIM(SUBSTITUTE('Raw Data'!E579," "," "))</f>
        <v>CoffeeLoverWritersRetreat</v>
      </c>
      <c r="F579" s="4" t="str">
        <f>TRIM(PROPER('Raw Data'!F579))</f>
        <v>Twitter</v>
      </c>
      <c r="G579" s="8" t="str">
        <f>TRIM(CLEAN('Raw Data'!G579))</f>
        <v>#CreativeInspiration #CoffeeJourney</v>
      </c>
      <c r="H579" s="12">
        <f>'Raw Data'!H579</f>
        <v>22</v>
      </c>
      <c r="I579" s="12">
        <v>35</v>
      </c>
      <c r="J579" s="12" t="str">
        <f>TRIM(UPPER('Raw Data'!J579))</f>
        <v>FRANCE</v>
      </c>
      <c r="K579" s="12">
        <f>'Raw Data'!K579</f>
        <v>2023</v>
      </c>
      <c r="L579" s="12">
        <f>'Raw Data'!L579</f>
        <v>2</v>
      </c>
      <c r="M579" s="12">
        <f>'Raw Data'!M579</f>
        <v>12</v>
      </c>
      <c r="N579">
        <f>'Raw Data'!N579</f>
        <v>19</v>
      </c>
    </row>
    <row r="580" spans="1:14" ht="45" x14ac:dyDescent="0.25">
      <c r="A580" s="11">
        <f>'Raw Data'!A580</f>
        <v>578</v>
      </c>
      <c r="B580" s="8" t="str">
        <f>TRIM(CLEAN('Raw Data'!B580))</f>
        <v>In the realm of fashion, the designer unveils a collection that tells a story, blending innovation and tradition on the runway of creativity.</v>
      </c>
      <c r="C580" s="4" t="str">
        <f>TRIM(PROPER('Raw Data'!C580))</f>
        <v>Runway Creativity</v>
      </c>
      <c r="D580" s="5">
        <f>'Raw Data'!D580</f>
        <v>42318.875</v>
      </c>
      <c r="E580" s="4" t="str">
        <f>TRIM(SUBSTITUTE('Raw Data'!E580," "," "))</f>
        <v>FashionEnthusiastDesignerShowcase</v>
      </c>
      <c r="F580" s="4" t="str">
        <f>TRIM(PROPER('Raw Data'!F580))</f>
        <v>Instagram</v>
      </c>
      <c r="G580" s="8" t="str">
        <f>TRIM(CLEAN('Raw Data'!G580))</f>
        <v>#RunwayCreativity #FashionInnovation</v>
      </c>
      <c r="H580" s="12">
        <f>'Raw Data'!H580</f>
        <v>28</v>
      </c>
      <c r="I580" s="12">
        <v>45</v>
      </c>
      <c r="J580" s="12" t="str">
        <f>TRIM(UPPER('Raw Data'!J580))</f>
        <v>ITALY</v>
      </c>
      <c r="K580" s="12">
        <f>'Raw Data'!K580</f>
        <v>2015</v>
      </c>
      <c r="L580" s="12">
        <f>'Raw Data'!L580</f>
        <v>11</v>
      </c>
      <c r="M580" s="12">
        <f>'Raw Data'!M580</f>
        <v>10</v>
      </c>
      <c r="N580">
        <f>'Raw Data'!N580</f>
        <v>21</v>
      </c>
    </row>
    <row r="581" spans="1:14" ht="45" x14ac:dyDescent="0.25">
      <c r="A581" s="11">
        <f>'Raw Data'!A581</f>
        <v>579</v>
      </c>
      <c r="B581" s="8" t="str">
        <f>TRIM(CLEAN('Raw Data'!B581))</f>
        <v>As the waves crash against the shore, the surfer embraces the thrill of riding the ocean's energy, capturing the essence of freedom in each wave.</v>
      </c>
      <c r="C581" s="4" t="str">
        <f>TRIM(PROPER('Raw Data'!C581))</f>
        <v>Ocean'S Freedom</v>
      </c>
      <c r="D581" s="5">
        <f>'Raw Data'!D581</f>
        <v>44397.760416666664</v>
      </c>
      <c r="E581" s="4" t="str">
        <f>TRIM(SUBSTITUTE('Raw Data'!E581," "," "))</f>
        <v>SurfingEnthusiastWaveRider</v>
      </c>
      <c r="F581" s="4" t="str">
        <f>TRIM(PROPER('Raw Data'!F581))</f>
        <v>Facebook</v>
      </c>
      <c r="G581" s="8" t="str">
        <f>TRIM(CLEAN('Raw Data'!G581))</f>
        <v>#OceansFreedom #SurfingThrills</v>
      </c>
      <c r="H581" s="12">
        <f>'Raw Data'!H581</f>
        <v>22</v>
      </c>
      <c r="I581" s="12">
        <v>55</v>
      </c>
      <c r="J581" s="12" t="str">
        <f>TRIM(UPPER('Raw Data'!J581))</f>
        <v>BRAZIL</v>
      </c>
      <c r="K581" s="12">
        <f>'Raw Data'!K581</f>
        <v>2021</v>
      </c>
      <c r="L581" s="12">
        <f>'Raw Data'!L581</f>
        <v>7</v>
      </c>
      <c r="M581" s="12">
        <f>'Raw Data'!M581</f>
        <v>20</v>
      </c>
      <c r="N581">
        <f>'Raw Data'!N581</f>
        <v>18</v>
      </c>
    </row>
    <row r="582" spans="1:14" ht="45" x14ac:dyDescent="0.25">
      <c r="A582" s="11">
        <f>'Raw Data'!A582</f>
        <v>580</v>
      </c>
      <c r="B582" s="8" t="str">
        <f>TRIM(CLEAN('Raw Data'!B582))</f>
        <v>Exploring the historical architecture of an ancient city, the traveler is transported to a bygone era, where each monument whispers tales of the past.</v>
      </c>
      <c r="C582" s="4" t="str">
        <f>TRIM(PROPER('Raw Data'!C582))</f>
        <v>Whispers Of The Past</v>
      </c>
      <c r="D582" s="5">
        <f>'Raw Data'!D582</f>
        <v>43573.854166666664</v>
      </c>
      <c r="E582" s="4" t="str">
        <f>TRIM(SUBSTITUTE('Raw Data'!E582," "," "))</f>
        <v>HistoryExplorerAncientCityTour</v>
      </c>
      <c r="F582" s="4" t="str">
        <f>TRIM(PROPER('Raw Data'!F582))</f>
        <v>Twitter</v>
      </c>
      <c r="G582" s="8" t="str">
        <f>TRIM(CLEAN('Raw Data'!G582))</f>
        <v>#WhispersOfThePast #HistoricalTour</v>
      </c>
      <c r="H582" s="12">
        <f>'Raw Data'!H582</f>
        <v>35</v>
      </c>
      <c r="I582" s="12">
        <v>45</v>
      </c>
      <c r="J582" s="12" t="str">
        <f>TRIM(UPPER('Raw Data'!J582))</f>
        <v>GREECE</v>
      </c>
      <c r="K582" s="12">
        <f>'Raw Data'!K582</f>
        <v>2019</v>
      </c>
      <c r="L582" s="12">
        <f>'Raw Data'!L582</f>
        <v>4</v>
      </c>
      <c r="M582" s="12">
        <f>'Raw Data'!M582</f>
        <v>18</v>
      </c>
      <c r="N582">
        <f>'Raw Data'!N582</f>
        <v>20</v>
      </c>
    </row>
    <row r="583" spans="1:14" ht="45" x14ac:dyDescent="0.25">
      <c r="A583" s="11">
        <f>'Raw Data'!A583</f>
        <v>581</v>
      </c>
      <c r="B583" s="8" t="str">
        <f>TRIM(CLEAN('Raw Data'!B583))</f>
        <v>Successfully avoided eye contact with my crush in the hallway. Mission accomplished. #TeenCrush #StealthMode</v>
      </c>
      <c r="C583" s="4" t="str">
        <f>TRIM(PROPER('Raw Data'!C583))</f>
        <v>Excitement</v>
      </c>
      <c r="D583" s="5">
        <f>'Raw Data'!D583</f>
        <v>45066.822916666664</v>
      </c>
      <c r="E583" s="4" t="str">
        <f>TRIM(SUBSTITUTE('Raw Data'!E583," "," "))</f>
        <v>CrushAvoider</v>
      </c>
      <c r="F583" s="4" t="str">
        <f>TRIM(PROPER('Raw Data'!F583))</f>
        <v>Twitter</v>
      </c>
      <c r="G583" s="8" t="str">
        <f>TRIM(CLEAN('Raw Data'!G583))</f>
        <v>#CrushStruggles #AvoidingEyeContact</v>
      </c>
      <c r="H583" s="12">
        <f>'Raw Data'!H583</f>
        <v>15</v>
      </c>
      <c r="I583" s="12">
        <v>70</v>
      </c>
      <c r="J583" s="12" t="str">
        <f>TRIM(UPPER('Raw Data'!J583))</f>
        <v>USA</v>
      </c>
      <c r="K583" s="12">
        <f>'Raw Data'!K583</f>
        <v>2023</v>
      </c>
      <c r="L583" s="12">
        <f>'Raw Data'!L583</f>
        <v>5</v>
      </c>
      <c r="M583" s="12">
        <f>'Raw Data'!M583</f>
        <v>20</v>
      </c>
      <c r="N583">
        <f>'Raw Data'!N583</f>
        <v>19</v>
      </c>
    </row>
    <row r="584" spans="1:14" ht="45" x14ac:dyDescent="0.25">
      <c r="A584" s="11">
        <f>'Raw Data'!A584</f>
        <v>582</v>
      </c>
      <c r="B584" s="8" t="str">
        <f>TRIM(CLEAN('Raw Data'!B584))</f>
        <v>Ran out of snacks during a movie marathon. Crisis level: Emergency! #MovieNightStruggles #TeenProblems</v>
      </c>
      <c r="C584" s="4" t="str">
        <f>TRIM(PROPER('Raw Data'!C584))</f>
        <v>Boredom</v>
      </c>
      <c r="D584" s="5">
        <f>'Raw Data'!D584</f>
        <v>45067.875</v>
      </c>
      <c r="E584" s="4" t="str">
        <f>TRIM(SUBSTITUTE('Raw Data'!E584," "," "))</f>
        <v>MovieBuff</v>
      </c>
      <c r="F584" s="4" t="str">
        <f>TRIM(PROPER('Raw Data'!F584))</f>
        <v>Instagram</v>
      </c>
      <c r="G584" s="8" t="str">
        <f>TRIM(CLEAN('Raw Data'!G584))</f>
        <v>#SnackCrisis #TeenLife</v>
      </c>
      <c r="H584" s="12">
        <f>'Raw Data'!H584</f>
        <v>18</v>
      </c>
      <c r="I584" s="12">
        <v>30</v>
      </c>
      <c r="J584" s="12" t="str">
        <f>TRIM(UPPER('Raw Data'!J584))</f>
        <v>CANADA</v>
      </c>
      <c r="K584" s="12">
        <f>'Raw Data'!K584</f>
        <v>2023</v>
      </c>
      <c r="L584" s="12">
        <f>'Raw Data'!L584</f>
        <v>5</v>
      </c>
      <c r="M584" s="12">
        <f>'Raw Data'!M584</f>
        <v>21</v>
      </c>
      <c r="N584">
        <f>'Raw Data'!N584</f>
        <v>21</v>
      </c>
    </row>
    <row r="585" spans="1:14" ht="45" x14ac:dyDescent="0.25">
      <c r="A585" s="11">
        <f>'Raw Data'!A585</f>
        <v>583</v>
      </c>
      <c r="B585" s="8" t="str">
        <f>TRIM(CLEAN('Raw Data'!B585))</f>
        <v>Spent an hour choosing the perfect filter for a selfie. The struggle for that Instagram aesthetic is real. #SelfieQueen #TeenVibes</v>
      </c>
      <c r="C585" s="4" t="str">
        <f>TRIM(PROPER('Raw Data'!C585))</f>
        <v>Joy</v>
      </c>
      <c r="D585" s="5">
        <f>'Raw Data'!D585</f>
        <v>45068.604166666664</v>
      </c>
      <c r="E585" s="4" t="str">
        <f>TRIM(SUBSTITUTE('Raw Data'!E585," "," "))</f>
        <v>SelfieAddict</v>
      </c>
      <c r="F585" s="4" t="str">
        <f>TRIM(PROPER('Raw Data'!F585))</f>
        <v>Facebook</v>
      </c>
      <c r="G585" s="8" t="str">
        <f>TRIM(CLEAN('Raw Data'!G585))</f>
        <v>#SelfieStruggle #TeenConfessions</v>
      </c>
      <c r="H585" s="12">
        <f>'Raw Data'!H585</f>
        <v>22</v>
      </c>
      <c r="I585" s="12">
        <v>35</v>
      </c>
      <c r="J585" s="12" t="str">
        <f>TRIM(UPPER('Raw Data'!J585))</f>
        <v>UK</v>
      </c>
      <c r="K585" s="12">
        <f>'Raw Data'!K585</f>
        <v>2023</v>
      </c>
      <c r="L585" s="12">
        <f>'Raw Data'!L585</f>
        <v>5</v>
      </c>
      <c r="M585" s="12">
        <f>'Raw Data'!M585</f>
        <v>22</v>
      </c>
      <c r="N585">
        <f>'Raw Data'!N585</f>
        <v>14</v>
      </c>
    </row>
    <row r="586" spans="1:14" ht="30" x14ac:dyDescent="0.25">
      <c r="A586" s="11">
        <f>'Raw Data'!A586</f>
        <v>584</v>
      </c>
      <c r="B586" s="8" t="str">
        <f>TRIM(CLEAN('Raw Data'!B586))</f>
        <v>Lost my headphones again. How do they vanish into thin air? #HeadphoneMystery #TeenLife</v>
      </c>
      <c r="C586" s="4" t="str">
        <f>TRIM(PROPER('Raw Data'!C586))</f>
        <v>Frustration</v>
      </c>
      <c r="D586" s="5">
        <f>'Raw Data'!D586</f>
        <v>45069.697916666664</v>
      </c>
      <c r="E586" s="4" t="str">
        <f>TRIM(SUBSTITUTE('Raw Data'!E586," "," "))</f>
        <v>AudioExplorer</v>
      </c>
      <c r="F586" s="4" t="str">
        <f>TRIM(PROPER('Raw Data'!F586))</f>
        <v>Twitter</v>
      </c>
      <c r="G586" s="8" t="str">
        <f>TRIM(CLEAN('Raw Data'!G586))</f>
        <v>#TeenProblems #LostHeadphones</v>
      </c>
      <c r="H586" s="12">
        <f>'Raw Data'!H586</f>
        <v>20</v>
      </c>
      <c r="I586" s="12">
        <v>45</v>
      </c>
      <c r="J586" s="12" t="str">
        <f>TRIM(UPPER('Raw Data'!J586))</f>
        <v>USA</v>
      </c>
      <c r="K586" s="12">
        <f>'Raw Data'!K586</f>
        <v>2023</v>
      </c>
      <c r="L586" s="12">
        <f>'Raw Data'!L586</f>
        <v>5</v>
      </c>
      <c r="M586" s="12">
        <f>'Raw Data'!M586</f>
        <v>23</v>
      </c>
      <c r="N586">
        <f>'Raw Data'!N586</f>
        <v>16</v>
      </c>
    </row>
    <row r="587" spans="1:14" ht="45" x14ac:dyDescent="0.25">
      <c r="A587" s="11">
        <f>'Raw Data'!A587</f>
        <v>585</v>
      </c>
      <c r="B587" s="8" t="str">
        <f>TRIM(CLEAN('Raw Data'!B587))</f>
        <v>Decided to study for exams but ended up making memes about studying instead. Procrastination level: Expert. #ProcrastinationNation #TeenConfessions</v>
      </c>
      <c r="C587" s="4" t="str">
        <f>TRIM(PROPER('Raw Data'!C587))</f>
        <v>Surprise</v>
      </c>
      <c r="D587" s="5">
        <f>'Raw Data'!D587</f>
        <v>45070.552083333336</v>
      </c>
      <c r="E587" s="4" t="str">
        <f>TRIM(SUBSTITUTE('Raw Data'!E587," "," "))</f>
        <v>MemeCreator</v>
      </c>
      <c r="F587" s="4" t="str">
        <f>TRIM(PROPER('Raw Data'!F587))</f>
        <v>Instagram</v>
      </c>
      <c r="G587" s="8" t="str">
        <f>TRIM(CLEAN('Raw Data'!G587))</f>
        <v>#StudyingMemes #TeenLife</v>
      </c>
      <c r="H587" s="12">
        <f>'Raw Data'!H587</f>
        <v>25</v>
      </c>
      <c r="I587" s="12">
        <v>40</v>
      </c>
      <c r="J587" s="12" t="str">
        <f>TRIM(UPPER('Raw Data'!J587))</f>
        <v>CANADA</v>
      </c>
      <c r="K587" s="12">
        <f>'Raw Data'!K587</f>
        <v>2023</v>
      </c>
      <c r="L587" s="12">
        <f>'Raw Data'!L587</f>
        <v>5</v>
      </c>
      <c r="M587" s="12">
        <f>'Raw Data'!M587</f>
        <v>24</v>
      </c>
      <c r="N587">
        <f>'Raw Data'!N587</f>
        <v>13</v>
      </c>
    </row>
    <row r="588" spans="1:14" ht="30" x14ac:dyDescent="0.25">
      <c r="A588" s="11">
        <f>'Raw Data'!A588</f>
        <v>586</v>
      </c>
      <c r="B588" s="8" t="str">
        <f>TRIM(CLEAN('Raw Data'!B588))</f>
        <v>Got dressed for the day, then remembered it's Saturday. Oops. #WeekendVibes #TeenStruggles</v>
      </c>
      <c r="C588" s="4" t="str">
        <f>TRIM(PROPER('Raw Data'!C588))</f>
        <v>Indifference</v>
      </c>
      <c r="D588" s="5">
        <f>'Raw Data'!D588</f>
        <v>45071.791666666664</v>
      </c>
      <c r="E588" s="4" t="str">
        <f>TRIM(SUBSTITUTE('Raw Data'!E588," "," "))</f>
        <v>FashionBlunder</v>
      </c>
      <c r="F588" s="4" t="str">
        <f>TRIM(PROPER('Raw Data'!F588))</f>
        <v>Facebook</v>
      </c>
      <c r="G588" s="8" t="str">
        <f>TRIM(CLEAN('Raw Data'!G588))</f>
        <v>#WeekendOops #TeenFashion</v>
      </c>
      <c r="H588" s="12">
        <f>'Raw Data'!H588</f>
        <v>20</v>
      </c>
      <c r="I588" s="12">
        <v>50</v>
      </c>
      <c r="J588" s="12" t="str">
        <f>TRIM(UPPER('Raw Data'!J588))</f>
        <v>USA</v>
      </c>
      <c r="K588" s="12">
        <f>'Raw Data'!K588</f>
        <v>2023</v>
      </c>
      <c r="L588" s="12">
        <f>'Raw Data'!L588</f>
        <v>5</v>
      </c>
      <c r="M588" s="12">
        <f>'Raw Data'!M588</f>
        <v>25</v>
      </c>
      <c r="N588">
        <f>'Raw Data'!N588</f>
        <v>19</v>
      </c>
    </row>
    <row r="589" spans="1:14" ht="30" x14ac:dyDescent="0.25">
      <c r="A589" s="11">
        <f>'Raw Data'!A589</f>
        <v>587</v>
      </c>
      <c r="B589" s="8" t="str">
        <f>TRIM(CLEAN('Raw Data'!B589))</f>
        <v>Survived a group project without any drama. Miracles do happen. #GroupProjectSuccess #TeenAchievements</v>
      </c>
      <c r="C589" s="4" t="str">
        <f>TRIM(PROPER('Raw Data'!C589))</f>
        <v>Satisfaction</v>
      </c>
      <c r="D589" s="5">
        <f>'Raw Data'!D589</f>
        <v>45072.597222222219</v>
      </c>
      <c r="E589" s="4" t="str">
        <f>TRIM(SUBSTITUTE('Raw Data'!E589," "," "))</f>
        <v>GroupGenius</v>
      </c>
      <c r="F589" s="4" t="str">
        <f>TRIM(PROPER('Raw Data'!F589))</f>
        <v>Twitter</v>
      </c>
      <c r="G589" s="8" t="str">
        <f>TRIM(CLEAN('Raw Data'!G589))</f>
        <v>#TeenSuccess #ProjectMiracle</v>
      </c>
      <c r="H589" s="12">
        <f>'Raw Data'!H589</f>
        <v>28</v>
      </c>
      <c r="I589" s="12">
        <v>40</v>
      </c>
      <c r="J589" s="12" t="str">
        <f>TRIM(UPPER('Raw Data'!J589))</f>
        <v>UK</v>
      </c>
      <c r="K589" s="12">
        <f>'Raw Data'!K589</f>
        <v>2023</v>
      </c>
      <c r="L589" s="12">
        <f>'Raw Data'!L589</f>
        <v>5</v>
      </c>
      <c r="M589" s="12">
        <f>'Raw Data'!M589</f>
        <v>26</v>
      </c>
      <c r="N589">
        <f>'Raw Data'!N589</f>
        <v>14</v>
      </c>
    </row>
    <row r="590" spans="1:14" ht="45" x14ac:dyDescent="0.25">
      <c r="A590" s="11">
        <f>'Raw Data'!A590</f>
        <v>588</v>
      </c>
      <c r="B590" s="8" t="str">
        <f>TRIM(CLEAN('Raw Data'!B590))</f>
        <v>Entered the kitchen with the intention to cook. Left with a bag of chips. Cooking is overrated, anyway. #MasterChefInTraining #TeenHumor</v>
      </c>
      <c r="C590" s="4" t="str">
        <f>TRIM(PROPER('Raw Data'!C590))</f>
        <v>Disgust</v>
      </c>
      <c r="D590" s="5">
        <f>'Raw Data'!D590</f>
        <v>45073.885416666664</v>
      </c>
      <c r="E590" s="4" t="str">
        <f>TRIM(SUBSTITUTE('Raw Data'!E590," "," "))</f>
        <v>ChipExplorer</v>
      </c>
      <c r="F590" s="4" t="str">
        <f>TRIM(PROPER('Raw Data'!F590))</f>
        <v>Instagram</v>
      </c>
      <c r="G590" s="8" t="str">
        <f>TRIM(CLEAN('Raw Data'!G590))</f>
        <v>#TeenChef #CookingFail</v>
      </c>
      <c r="H590" s="12">
        <f>'Raw Data'!H590</f>
        <v>22</v>
      </c>
      <c r="I590" s="12">
        <v>55</v>
      </c>
      <c r="J590" s="12" t="str">
        <f>TRIM(UPPER('Raw Data'!J590))</f>
        <v>CANADA</v>
      </c>
      <c r="K590" s="12">
        <f>'Raw Data'!K590</f>
        <v>2023</v>
      </c>
      <c r="L590" s="12">
        <f>'Raw Data'!L590</f>
        <v>5</v>
      </c>
      <c r="M590" s="12">
        <f>'Raw Data'!M590</f>
        <v>27</v>
      </c>
      <c r="N590">
        <f>'Raw Data'!N590</f>
        <v>21</v>
      </c>
    </row>
    <row r="591" spans="1:14" ht="45" x14ac:dyDescent="0.25">
      <c r="A591" s="11">
        <f>'Raw Data'!A591</f>
        <v>589</v>
      </c>
      <c r="B591" s="8" t="str">
        <f>TRIM(CLEAN('Raw Data'!B591))</f>
        <v>Staring at the clock in class, waiting for the bell to ring like it's the most exciting event of the day. #ClassCountdown #TeenLife</v>
      </c>
      <c r="C591" s="4" t="str">
        <f>TRIM(PROPER('Raw Data'!C591))</f>
        <v>Surprise</v>
      </c>
      <c r="D591" s="5">
        <f>'Raw Data'!D591</f>
        <v>45074.5</v>
      </c>
      <c r="E591" s="4" t="str">
        <f>TRIM(SUBSTITUTE('Raw Data'!E591," "," "))</f>
        <v>ExcitementSeeker</v>
      </c>
      <c r="F591" s="4" t="str">
        <f>TRIM(PROPER('Raw Data'!F591))</f>
        <v>Facebook</v>
      </c>
      <c r="G591" s="8" t="str">
        <f>TRIM(CLEAN('Raw Data'!G591))</f>
        <v>#ClassEvent #TeenExcitement</v>
      </c>
      <c r="H591" s="12">
        <f>'Raw Data'!H591</f>
        <v>18</v>
      </c>
      <c r="I591" s="12">
        <v>45</v>
      </c>
      <c r="J591" s="12" t="str">
        <f>TRIM(UPPER('Raw Data'!J591))</f>
        <v>USA</v>
      </c>
      <c r="K591" s="12">
        <f>'Raw Data'!K591</f>
        <v>2023</v>
      </c>
      <c r="L591" s="12">
        <f>'Raw Data'!L591</f>
        <v>5</v>
      </c>
      <c r="M591" s="12">
        <f>'Raw Data'!M591</f>
        <v>28</v>
      </c>
      <c r="N591">
        <f>'Raw Data'!N591</f>
        <v>12</v>
      </c>
    </row>
    <row r="592" spans="1:14" ht="45" x14ac:dyDescent="0.25">
      <c r="A592" s="11">
        <f>'Raw Data'!A592</f>
        <v>590</v>
      </c>
      <c r="B592" s="8" t="str">
        <f>TRIM(CLEAN('Raw Data'!B592))</f>
        <v>Discovered a new book series and spent the whole night reading. Who needs sleep, anyway? #BookwormLife #LateNightReading</v>
      </c>
      <c r="C592" s="4" t="str">
        <f>TRIM(PROPER('Raw Data'!C592))</f>
        <v>Joy</v>
      </c>
      <c r="D592" s="5">
        <f>'Raw Data'!D592</f>
        <v>45075.979166666664</v>
      </c>
      <c r="E592" s="4" t="str">
        <f>TRIM(SUBSTITUTE('Raw Data'!E592," "," "))</f>
        <v>NightReader</v>
      </c>
      <c r="F592" s="4" t="str">
        <f>TRIM(PROPER('Raw Data'!F592))</f>
        <v>Twitter</v>
      </c>
      <c r="G592" s="8" t="str">
        <f>TRIM(CLEAN('Raw Data'!G592))</f>
        <v>#BookDiscoveries #TeenReading</v>
      </c>
      <c r="H592" s="12">
        <f>'Raw Data'!H592</f>
        <v>30</v>
      </c>
      <c r="I592" s="12">
        <v>35</v>
      </c>
      <c r="J592" s="12" t="str">
        <f>TRIM(UPPER('Raw Data'!J592))</f>
        <v>UK</v>
      </c>
      <c r="K592" s="12">
        <f>'Raw Data'!K592</f>
        <v>2023</v>
      </c>
      <c r="L592" s="12">
        <f>'Raw Data'!L592</f>
        <v>5</v>
      </c>
      <c r="M592" s="12">
        <f>'Raw Data'!M592</f>
        <v>29</v>
      </c>
      <c r="N592">
        <f>'Raw Data'!N592</f>
        <v>23</v>
      </c>
    </row>
    <row r="593" spans="1:14" ht="45" x14ac:dyDescent="0.25">
      <c r="A593" s="11">
        <f>'Raw Data'!A593</f>
        <v>591</v>
      </c>
      <c r="B593" s="8" t="str">
        <f>TRIM(CLEAN('Raw Data'!B593))</f>
        <v>Bought a new video game, played for hours, forgot to eat. The ultimate gaming session. #GamerLife #NoFoodGaming</v>
      </c>
      <c r="C593" s="4" t="str">
        <f>TRIM(PROPER('Raw Data'!C593))</f>
        <v>Excitement</v>
      </c>
      <c r="D593" s="5">
        <f>'Raw Data'!D593</f>
        <v>45076.864583333336</v>
      </c>
      <c r="E593" s="4" t="str">
        <f>TRIM(SUBSTITUTE('Raw Data'!E593," "," "))</f>
        <v>GamingEnthusiast</v>
      </c>
      <c r="F593" s="4" t="str">
        <f>TRIM(PROPER('Raw Data'!F593))</f>
        <v>Instagram</v>
      </c>
      <c r="G593" s="8" t="str">
        <f>TRIM(CLEAN('Raw Data'!G593))</f>
        <v>#GameOn #TeenGamer</v>
      </c>
      <c r="H593" s="12">
        <f>'Raw Data'!H593</f>
        <v>22</v>
      </c>
      <c r="I593" s="12">
        <v>60</v>
      </c>
      <c r="J593" s="12" t="str">
        <f>TRIM(UPPER('Raw Data'!J593))</f>
        <v>USA</v>
      </c>
      <c r="K593" s="12">
        <f>'Raw Data'!K593</f>
        <v>2023</v>
      </c>
      <c r="L593" s="12">
        <f>'Raw Data'!L593</f>
        <v>5</v>
      </c>
      <c r="M593" s="12">
        <f>'Raw Data'!M593</f>
        <v>30</v>
      </c>
      <c r="N593">
        <f>'Raw Data'!N593</f>
        <v>20</v>
      </c>
    </row>
    <row r="594" spans="1:14" ht="30" x14ac:dyDescent="0.25">
      <c r="A594" s="11">
        <f>'Raw Data'!A594</f>
        <v>592</v>
      </c>
      <c r="B594" s="8" t="str">
        <f>TRIM(CLEAN('Raw Data'!B594))</f>
        <v>Spent the day binge-watching a new series. Productivity level: Zero. #LazyDay #TVSeriesMarathon</v>
      </c>
      <c r="C594" s="4" t="str">
        <f>TRIM(PROPER('Raw Data'!C594))</f>
        <v>Joy</v>
      </c>
      <c r="D594" s="5">
        <f>'Raw Data'!D594</f>
        <v>45077.645833333336</v>
      </c>
      <c r="E594" s="4" t="str">
        <f>TRIM(SUBSTITUTE('Raw Data'!E594," "," "))</f>
        <v>LazyWatcher</v>
      </c>
      <c r="F594" s="4" t="str">
        <f>TRIM(PROPER('Raw Data'!F594))</f>
        <v>Facebook</v>
      </c>
      <c r="G594" s="8" t="str">
        <f>TRIM(CLEAN('Raw Data'!G594))</f>
        <v>#BingeWatchDay #TeenLife</v>
      </c>
      <c r="H594" s="12">
        <f>'Raw Data'!H594</f>
        <v>35</v>
      </c>
      <c r="I594" s="12">
        <v>45</v>
      </c>
      <c r="J594" s="12" t="str">
        <f>TRIM(UPPER('Raw Data'!J594))</f>
        <v>CANADA</v>
      </c>
      <c r="K594" s="12">
        <f>'Raw Data'!K594</f>
        <v>2023</v>
      </c>
      <c r="L594" s="12">
        <f>'Raw Data'!L594</f>
        <v>5</v>
      </c>
      <c r="M594" s="12">
        <f>'Raw Data'!M594</f>
        <v>31</v>
      </c>
      <c r="N594">
        <f>'Raw Data'!N594</f>
        <v>15</v>
      </c>
    </row>
    <row r="595" spans="1:14" ht="30" x14ac:dyDescent="0.25">
      <c r="A595" s="11">
        <f>'Raw Data'!A595</f>
        <v>593</v>
      </c>
      <c r="B595" s="8" t="str">
        <f>TRIM(CLEAN('Raw Data'!B595))</f>
        <v>Caught up on the latest fashion trends and now planning a shopping spree. #Fashionista #TrendyTeen</v>
      </c>
      <c r="C595" s="4" t="str">
        <f>TRIM(PROPER('Raw Data'!C595))</f>
        <v>Excitement</v>
      </c>
      <c r="D595" s="5">
        <f>'Raw Data'!D595</f>
        <v>45078.75</v>
      </c>
      <c r="E595" s="4" t="str">
        <f>TRIM(SUBSTITUTE('Raw Data'!E595," "," "))</f>
        <v>TrendExplorer</v>
      </c>
      <c r="F595" s="4" t="str">
        <f>TRIM(PROPER('Raw Data'!F595))</f>
        <v>Twitter</v>
      </c>
      <c r="G595" s="8" t="str">
        <f>TRIM(CLEAN('Raw Data'!G595))</f>
        <v>#FashionGoals #TeenStyle</v>
      </c>
      <c r="H595" s="12">
        <f>'Raw Data'!H595</f>
        <v>20</v>
      </c>
      <c r="I595" s="12">
        <v>70</v>
      </c>
      <c r="J595" s="12" t="str">
        <f>TRIM(UPPER('Raw Data'!J595))</f>
        <v>USA</v>
      </c>
      <c r="K595" s="12">
        <f>'Raw Data'!K595</f>
        <v>2023</v>
      </c>
      <c r="L595" s="12">
        <f>'Raw Data'!L595</f>
        <v>6</v>
      </c>
      <c r="M595" s="12">
        <f>'Raw Data'!M595</f>
        <v>1</v>
      </c>
      <c r="N595">
        <f>'Raw Data'!N595</f>
        <v>18</v>
      </c>
    </row>
    <row r="596" spans="1:14" ht="45" x14ac:dyDescent="0.25">
      <c r="A596" s="11">
        <f>'Raw Data'!A596</f>
        <v>594</v>
      </c>
      <c r="B596" s="8" t="str">
        <f>TRIM(CLEAN('Raw Data'!B596))</f>
        <v>Decided to learn a new instrument. Day one: Still trying to figure out how to hold it. #MusicNovice #LearningJourney</v>
      </c>
      <c r="C596" s="4" t="str">
        <f>TRIM(PROPER('Raw Data'!C596))</f>
        <v>Frustration</v>
      </c>
      <c r="D596" s="5">
        <f>'Raw Data'!D596</f>
        <v>45079.604166666664</v>
      </c>
      <c r="E596" s="4" t="str">
        <f>TRIM(SUBSTITUTE('Raw Data'!E596," "," "))</f>
        <v>MusicalExplorer</v>
      </c>
      <c r="F596" s="4" t="str">
        <f>TRIM(PROPER('Raw Data'!F596))</f>
        <v>Instagram</v>
      </c>
      <c r="G596" s="8" t="str">
        <f>TRIM(CLEAN('Raw Data'!G596))</f>
        <v>#InstrumentLearning #TeenMusic</v>
      </c>
      <c r="H596" s="12">
        <f>'Raw Data'!H596</f>
        <v>28</v>
      </c>
      <c r="I596" s="12">
        <v>40</v>
      </c>
      <c r="J596" s="12" t="str">
        <f>TRIM(UPPER('Raw Data'!J596))</f>
        <v>UK</v>
      </c>
      <c r="K596" s="12">
        <f>'Raw Data'!K596</f>
        <v>2023</v>
      </c>
      <c r="L596" s="12">
        <f>'Raw Data'!L596</f>
        <v>6</v>
      </c>
      <c r="M596" s="12">
        <f>'Raw Data'!M596</f>
        <v>2</v>
      </c>
      <c r="N596">
        <f>'Raw Data'!N596</f>
        <v>14</v>
      </c>
    </row>
    <row r="597" spans="1:14" ht="45" x14ac:dyDescent="0.25">
      <c r="A597" s="11">
        <f>'Raw Data'!A597</f>
        <v>595</v>
      </c>
      <c r="B597" s="8" t="str">
        <f>TRIM(CLEAN('Raw Data'!B597))</f>
        <v>Spent hours creating the perfect playlist for every mood. Music is my therapy. #PlaylistMaker #TeenMusicLover</v>
      </c>
      <c r="C597" s="4" t="str">
        <f>TRIM(PROPER('Raw Data'!C597))</f>
        <v>Joy</v>
      </c>
      <c r="D597" s="5">
        <f>'Raw Data'!D597</f>
        <v>45080.885416666664</v>
      </c>
      <c r="E597" s="4" t="str">
        <f>TRIM(SUBSTITUTE('Raw Data'!E597," "," "))</f>
        <v>MusicAficionado</v>
      </c>
      <c r="F597" s="4" t="str">
        <f>TRIM(PROPER('Raw Data'!F597))</f>
        <v>Facebook</v>
      </c>
      <c r="G597" s="8" t="str">
        <f>TRIM(CLEAN('Raw Data'!G597))</f>
        <v>#MusicTherapy #TeenPlaylist</v>
      </c>
      <c r="H597" s="12">
        <f>'Raw Data'!H597</f>
        <v>22</v>
      </c>
      <c r="I597" s="12">
        <v>55</v>
      </c>
      <c r="J597" s="12" t="str">
        <f>TRIM(UPPER('Raw Data'!J597))</f>
        <v>CANADA</v>
      </c>
      <c r="K597" s="12">
        <f>'Raw Data'!K597</f>
        <v>2023</v>
      </c>
      <c r="L597" s="12">
        <f>'Raw Data'!L597</f>
        <v>6</v>
      </c>
      <c r="M597" s="12">
        <f>'Raw Data'!M597</f>
        <v>3</v>
      </c>
      <c r="N597">
        <f>'Raw Data'!N597</f>
        <v>21</v>
      </c>
    </row>
    <row r="598" spans="1:14" ht="30" x14ac:dyDescent="0.25">
      <c r="A598" s="11">
        <f>'Raw Data'!A598</f>
        <v>596</v>
      </c>
      <c r="B598" s="8" t="str">
        <f>TRIM(CLEAN('Raw Data'!B598))</f>
        <v>Successfully cooked a gourmet meal for the family. Chef skills unlocked! #ChefMode #TeenChef</v>
      </c>
      <c r="C598" s="4" t="str">
        <f>TRIM(PROPER('Raw Data'!C598))</f>
        <v>Pride</v>
      </c>
      <c r="D598" s="5">
        <f>'Raw Data'!D598</f>
        <v>45081.8125</v>
      </c>
      <c r="E598" s="4" t="str">
        <f>TRIM(SUBSTITUTE('Raw Data'!E598," "," "))</f>
        <v>HomeChef</v>
      </c>
      <c r="F598" s="4" t="str">
        <f>TRIM(PROPER('Raw Data'!F598))</f>
        <v>Twitter</v>
      </c>
      <c r="G598" s="8" t="str">
        <f>TRIM(CLEAN('Raw Data'!G598))</f>
        <v>#CookingSuccess #TeenCook</v>
      </c>
      <c r="H598" s="12">
        <f>'Raw Data'!H598</f>
        <v>25</v>
      </c>
      <c r="I598" s="12">
        <v>45</v>
      </c>
      <c r="J598" s="12" t="str">
        <f>TRIM(UPPER('Raw Data'!J598))</f>
        <v>USA</v>
      </c>
      <c r="K598" s="12">
        <f>'Raw Data'!K598</f>
        <v>2023</v>
      </c>
      <c r="L598" s="12">
        <f>'Raw Data'!L598</f>
        <v>6</v>
      </c>
      <c r="M598" s="12">
        <f>'Raw Data'!M598</f>
        <v>4</v>
      </c>
      <c r="N598">
        <f>'Raw Data'!N598</f>
        <v>19</v>
      </c>
    </row>
    <row r="599" spans="1:14" ht="30" x14ac:dyDescent="0.25">
      <c r="A599" s="11">
        <f>'Raw Data'!A599</f>
        <v>597</v>
      </c>
      <c r="B599" s="8" t="str">
        <f>TRIM(CLEAN('Raw Data'!B599))</f>
        <v>Spontaneously booked a weekend getaway. Adventure awaits! #TravelBug #WeekendEscape</v>
      </c>
      <c r="C599" s="4" t="str">
        <f>TRIM(PROPER('Raw Data'!C599))</f>
        <v>Excitement</v>
      </c>
      <c r="D599" s="5">
        <f>'Raw Data'!D599</f>
        <v>45082.416666666664</v>
      </c>
      <c r="E599" s="4" t="str">
        <f>TRIM(SUBSTITUTE('Raw Data'!E599," "," "))</f>
        <v>AdventureSeeker</v>
      </c>
      <c r="F599" s="4" t="str">
        <f>TRIM(PROPER('Raw Data'!F599))</f>
        <v>Instagram</v>
      </c>
      <c r="G599" s="8" t="str">
        <f>TRIM(CLEAN('Raw Data'!G599))</f>
        <v>#GetawayGoals #TeenTravel</v>
      </c>
      <c r="H599" s="12">
        <f>'Raw Data'!H599</f>
        <v>18</v>
      </c>
      <c r="I599" s="12">
        <v>50</v>
      </c>
      <c r="J599" s="12" t="str">
        <f>TRIM(UPPER('Raw Data'!J599))</f>
        <v>UK</v>
      </c>
      <c r="K599" s="12">
        <f>'Raw Data'!K599</f>
        <v>2023</v>
      </c>
      <c r="L599" s="12">
        <f>'Raw Data'!L599</f>
        <v>6</v>
      </c>
      <c r="M599" s="12">
        <f>'Raw Data'!M599</f>
        <v>5</v>
      </c>
      <c r="N599">
        <f>'Raw Data'!N599</f>
        <v>10</v>
      </c>
    </row>
    <row r="600" spans="1:14" ht="30" x14ac:dyDescent="0.25">
      <c r="A600" s="11">
        <f>'Raw Data'!A600</f>
        <v>598</v>
      </c>
      <c r="B600" s="8" t="str">
        <f>TRIM(CLEAN('Raw Data'!B600))</f>
        <v>Attended a concert and danced the night away. Music is the heartbeat of life. #ConcertVibes #DanceAllNight</v>
      </c>
      <c r="C600" s="4" t="str">
        <f>TRIM(PROPER('Raw Data'!C600))</f>
        <v>Joy</v>
      </c>
      <c r="D600" s="5">
        <f>'Raw Data'!D600</f>
        <v>45083.9375</v>
      </c>
      <c r="E600" s="4" t="str">
        <f>TRIM(SUBSTITUTE('Raw Data'!E600," "," "))</f>
        <v>DanceEnthusiast</v>
      </c>
      <c r="F600" s="4" t="str">
        <f>TRIM(PROPER('Raw Data'!F600))</f>
        <v>Facebook</v>
      </c>
      <c r="G600" s="8" t="str">
        <f>TRIM(CLEAN('Raw Data'!G600))</f>
        <v>#MusicMagic #TeenConcert</v>
      </c>
      <c r="H600" s="12">
        <f>'Raw Data'!H600</f>
        <v>28</v>
      </c>
      <c r="I600" s="12">
        <v>35</v>
      </c>
      <c r="J600" s="12" t="str">
        <f>TRIM(UPPER('Raw Data'!J600))</f>
        <v>CANADA</v>
      </c>
      <c r="K600" s="12">
        <f>'Raw Data'!K600</f>
        <v>2023</v>
      </c>
      <c r="L600" s="12">
        <f>'Raw Data'!L600</f>
        <v>6</v>
      </c>
      <c r="M600" s="12">
        <f>'Raw Data'!M600</f>
        <v>6</v>
      </c>
      <c r="N600">
        <f>'Raw Data'!N600</f>
        <v>22</v>
      </c>
    </row>
    <row r="601" spans="1:14" ht="30" x14ac:dyDescent="0.25">
      <c r="A601" s="11">
        <f>'Raw Data'!A601</f>
        <v>599</v>
      </c>
      <c r="B601" s="8" t="str">
        <f>TRIM(CLEAN('Raw Data'!B601))</f>
        <v>Rediscovered childhood cartoons and had a nostalgia-filled marathon. #CartoonNostalgia #TeenMemories</v>
      </c>
      <c r="C601" s="4" t="str">
        <f>TRIM(PROPER('Raw Data'!C601))</f>
        <v>Joy</v>
      </c>
      <c r="D601" s="5">
        <f>'Raw Data'!D601</f>
        <v>45084.53125</v>
      </c>
      <c r="E601" s="4" t="str">
        <f>TRIM(SUBSTITUTE('Raw Data'!E601," "," "))</f>
        <v>NostalgiaExplorer</v>
      </c>
      <c r="F601" s="4" t="str">
        <f>TRIM(PROPER('Raw Data'!F601))</f>
        <v>Twitter</v>
      </c>
      <c r="G601" s="8" t="str">
        <f>TRIM(CLEAN('Raw Data'!G601))</f>
        <v>#ChildhoodMemories #TeenCartoons</v>
      </c>
      <c r="H601" s="12">
        <f>'Raw Data'!H601</f>
        <v>22</v>
      </c>
      <c r="I601" s="12">
        <v>55</v>
      </c>
      <c r="J601" s="12" t="str">
        <f>TRIM(UPPER('Raw Data'!J601))</f>
        <v>USA</v>
      </c>
      <c r="K601" s="12">
        <f>'Raw Data'!K601</f>
        <v>2023</v>
      </c>
      <c r="L601" s="12">
        <f>'Raw Data'!L601</f>
        <v>6</v>
      </c>
      <c r="M601" s="12">
        <f>'Raw Data'!M601</f>
        <v>7</v>
      </c>
      <c r="N601">
        <f>'Raw Data'!N601</f>
        <v>12</v>
      </c>
    </row>
    <row r="602" spans="1:14" ht="45" x14ac:dyDescent="0.25">
      <c r="A602" s="11">
        <f>'Raw Data'!A602</f>
        <v>600</v>
      </c>
      <c r="B602" s="8" t="str">
        <f>TRIM(CLEAN('Raw Data'!B602))</f>
        <v>Embarked on a DIY home decor project. Let's hope it turns out better than last time. #DIYAdventure #TeenHomeDecor</v>
      </c>
      <c r="C602" s="4" t="str">
        <f>TRIM(PROPER('Raw Data'!C602))</f>
        <v>Excitement</v>
      </c>
      <c r="D602" s="5">
        <f>'Raw Data'!D602</f>
        <v>45085.666666666664</v>
      </c>
      <c r="E602" s="4" t="str">
        <f>TRIM(SUBSTITUTE('Raw Data'!E602," "," "))</f>
        <v>HomeDecorator</v>
      </c>
      <c r="F602" s="4" t="str">
        <f>TRIM(PROPER('Raw Data'!F602))</f>
        <v>Instagram</v>
      </c>
      <c r="G602" s="8" t="str">
        <f>TRIM(CLEAN('Raw Data'!G602))</f>
        <v>#DIYGoals #TeenCreative</v>
      </c>
      <c r="H602" s="12">
        <f>'Raw Data'!H602</f>
        <v>35</v>
      </c>
      <c r="I602" s="12">
        <v>45</v>
      </c>
      <c r="J602" s="12" t="str">
        <f>TRIM(UPPER('Raw Data'!J602))</f>
        <v>UK</v>
      </c>
      <c r="K602" s="12">
        <f>'Raw Data'!K602</f>
        <v>2023</v>
      </c>
      <c r="L602" s="12">
        <f>'Raw Data'!L602</f>
        <v>6</v>
      </c>
      <c r="M602" s="12">
        <f>'Raw Data'!M602</f>
        <v>8</v>
      </c>
      <c r="N602">
        <f>'Raw Data'!N602</f>
        <v>16</v>
      </c>
    </row>
    <row r="603" spans="1:14" ht="45" x14ac:dyDescent="0.25">
      <c r="A603" s="11">
        <f>'Raw Data'!A603</f>
        <v>601</v>
      </c>
      <c r="B603" s="8" t="str">
        <f>TRIM(CLEAN('Raw Data'!B603))</f>
        <v>Spent the afternoon at a museum, pretending to be cultured. Art enthusiast in the making. #MuseumDay #TeenArtLover</v>
      </c>
      <c r="C603" s="4" t="str">
        <f>TRIM(PROPER('Raw Data'!C603))</f>
        <v>Curiosity</v>
      </c>
      <c r="D603" s="5">
        <f>'Raw Data'!D603</f>
        <v>45086.583333333336</v>
      </c>
      <c r="E603" s="4" t="str">
        <f>TRIM(SUBSTITUTE('Raw Data'!E603," "," "))</f>
        <v>ArtExplorer</v>
      </c>
      <c r="F603" s="4" t="str">
        <f>TRIM(PROPER('Raw Data'!F603))</f>
        <v>Facebook</v>
      </c>
      <c r="G603" s="8" t="str">
        <f>TRIM(CLEAN('Raw Data'!G603))</f>
        <v>#CulturalDay #TeenCuriosity</v>
      </c>
      <c r="H603" s="12">
        <f>'Raw Data'!H603</f>
        <v>20</v>
      </c>
      <c r="I603" s="12">
        <v>70</v>
      </c>
      <c r="J603" s="12" t="str">
        <f>TRIM(UPPER('Raw Data'!J603))</f>
        <v>USA</v>
      </c>
      <c r="K603" s="12">
        <f>'Raw Data'!K603</f>
        <v>2023</v>
      </c>
      <c r="L603" s="12">
        <f>'Raw Data'!L603</f>
        <v>6</v>
      </c>
      <c r="M603" s="12">
        <f>'Raw Data'!M603</f>
        <v>9</v>
      </c>
      <c r="N603">
        <f>'Raw Data'!N603</f>
        <v>14</v>
      </c>
    </row>
    <row r="604" spans="1:14" ht="30" x14ac:dyDescent="0.25">
      <c r="A604" s="11">
        <f>'Raw Data'!A604</f>
        <v>602</v>
      </c>
      <c r="B604" s="8" t="str">
        <f>TRIM(CLEAN('Raw Data'!B604))</f>
        <v>Started a blog about random thoughts and musings. Blogging is the new diary. #BloggerLife #TeenBlogger</v>
      </c>
      <c r="C604" s="4" t="str">
        <f>TRIM(PROPER('Raw Data'!C604))</f>
        <v>Curiosity</v>
      </c>
      <c r="D604" s="5">
        <f>'Raw Data'!D604</f>
        <v>45087.729166666664</v>
      </c>
      <c r="E604" s="4" t="str">
        <f>TRIM(SUBSTITUTE('Raw Data'!E604," "," "))</f>
        <v>ThoughtfulBlogger</v>
      </c>
      <c r="F604" s="4" t="str">
        <f>TRIM(PROPER('Raw Data'!F604))</f>
        <v>Twitter</v>
      </c>
      <c r="G604" s="8" t="str">
        <f>TRIM(CLEAN('Raw Data'!G604))</f>
        <v>#BloggingJourney #TeenThoughts</v>
      </c>
      <c r="H604" s="12">
        <f>'Raw Data'!H604</f>
        <v>30</v>
      </c>
      <c r="I604" s="12">
        <v>40</v>
      </c>
      <c r="J604" s="12" t="str">
        <f>TRIM(UPPER('Raw Data'!J604))</f>
        <v>CANADA</v>
      </c>
      <c r="K604" s="12">
        <f>'Raw Data'!K604</f>
        <v>2023</v>
      </c>
      <c r="L604" s="12">
        <f>'Raw Data'!L604</f>
        <v>6</v>
      </c>
      <c r="M604" s="12">
        <f>'Raw Data'!M604</f>
        <v>10</v>
      </c>
      <c r="N604">
        <f>'Raw Data'!N604</f>
        <v>17</v>
      </c>
    </row>
    <row r="605" spans="1:14" ht="45" x14ac:dyDescent="0.25">
      <c r="A605" s="11">
        <f>'Raw Data'!A605</f>
        <v>603</v>
      </c>
      <c r="B605" s="8" t="str">
        <f>TRIM(CLEAN('Raw Data'!B605))</f>
        <v>Relishing a peaceful afternoon with a classic novel. Quiet moments are the best moments. #BookLover #PeacefulAfternoon</v>
      </c>
      <c r="C605" s="4" t="str">
        <f>TRIM(PROPER('Raw Data'!C605))</f>
        <v>Contentment</v>
      </c>
      <c r="D605" s="5">
        <f>'Raw Data'!D605</f>
        <v>45088.645833333336</v>
      </c>
      <c r="E605" s="4" t="str">
        <f>TRIM(SUBSTITUTE('Raw Data'!E605," "," "))</f>
        <v>NovelEnthusiast</v>
      </c>
      <c r="F605" s="4" t="str">
        <f>TRIM(PROPER('Raw Data'!F605))</f>
        <v>Instagram</v>
      </c>
      <c r="G605" s="8" t="str">
        <f>TRIM(CLEAN('Raw Data'!G605))</f>
        <v>#QuietMoments #BookishEscape</v>
      </c>
      <c r="H605" s="12">
        <f>'Raw Data'!H605</f>
        <v>35</v>
      </c>
      <c r="I605" s="12">
        <v>60</v>
      </c>
      <c r="J605" s="12" t="str">
        <f>TRIM(UPPER('Raw Data'!J605))</f>
        <v>USA</v>
      </c>
      <c r="K605" s="12">
        <f>'Raw Data'!K605</f>
        <v>2023</v>
      </c>
      <c r="L605" s="12">
        <f>'Raw Data'!L605</f>
        <v>6</v>
      </c>
      <c r="M605" s="12">
        <f>'Raw Data'!M605</f>
        <v>11</v>
      </c>
      <c r="N605">
        <f>'Raw Data'!N605</f>
        <v>15</v>
      </c>
    </row>
    <row r="606" spans="1:14" ht="45" x14ac:dyDescent="0.25">
      <c r="A606" s="11">
        <f>'Raw Data'!A606</f>
        <v>604</v>
      </c>
      <c r="B606" s="8" t="str">
        <f>TRIM(CLEAN('Raw Data'!B606))</f>
        <v>Reflecting on a lifetime of memories, each wrinkle tells a story. Embracing the beauty of aging. #LifeReflections #BeautyInAging</v>
      </c>
      <c r="C606" s="4" t="str">
        <f>TRIM(PROPER('Raw Data'!C606))</f>
        <v>Gratitude</v>
      </c>
      <c r="D606" s="5">
        <f>'Raw Data'!D606</f>
        <v>45089.75</v>
      </c>
      <c r="E606" s="4" t="str">
        <f>TRIM(SUBSTITUTE('Raw Data'!E606," "," "))</f>
        <v>WiseSoul</v>
      </c>
      <c r="F606" s="4" t="str">
        <f>TRIM(PROPER('Raw Data'!F606))</f>
        <v>Twitter</v>
      </c>
      <c r="G606" s="8" t="str">
        <f>TRIM(CLEAN('Raw Data'!G606))</f>
        <v>#AgingGracefully #Memories</v>
      </c>
      <c r="H606" s="12">
        <f>'Raw Data'!H606</f>
        <v>28</v>
      </c>
      <c r="I606" s="12">
        <v>70</v>
      </c>
      <c r="J606" s="12" t="str">
        <f>TRIM(UPPER('Raw Data'!J606))</f>
        <v>UK</v>
      </c>
      <c r="K606" s="12">
        <f>'Raw Data'!K606</f>
        <v>2023</v>
      </c>
      <c r="L606" s="12">
        <f>'Raw Data'!L606</f>
        <v>6</v>
      </c>
      <c r="M606" s="12">
        <f>'Raw Data'!M606</f>
        <v>12</v>
      </c>
      <c r="N606">
        <f>'Raw Data'!N606</f>
        <v>18</v>
      </c>
    </row>
    <row r="607" spans="1:14" ht="30" x14ac:dyDescent="0.25">
      <c r="A607" s="11">
        <f>'Raw Data'!A607</f>
        <v>605</v>
      </c>
      <c r="B607" s="8" t="str">
        <f>TRIM(CLEAN('Raw Data'!B607))</f>
        <v>Exploring the world of digital art. It's never too late to discover new passions. #DigitalArtistry #LateBloomer</v>
      </c>
      <c r="C607" s="4" t="str">
        <f>TRIM(PROPER('Raw Data'!C607))</f>
        <v>Curiosity</v>
      </c>
      <c r="D607" s="5">
        <f>'Raw Data'!D607</f>
        <v>45090.614583333336</v>
      </c>
      <c r="E607" s="4" t="str">
        <f>TRIM(SUBSTITUTE('Raw Data'!E607," "," "))</f>
        <v>ArtAdventurer</v>
      </c>
      <c r="F607" s="4" t="str">
        <f>TRIM(PROPER('Raw Data'!F607))</f>
        <v>Facebook</v>
      </c>
      <c r="G607" s="8" t="str">
        <f>TRIM(CLEAN('Raw Data'!G607))</f>
        <v>#ArtDiscovery #SeniorArtist</v>
      </c>
      <c r="H607" s="12">
        <f>'Raw Data'!H607</f>
        <v>22</v>
      </c>
      <c r="I607" s="12">
        <v>55</v>
      </c>
      <c r="J607" s="12" t="str">
        <f>TRIM(UPPER('Raw Data'!J607))</f>
        <v>CANADA</v>
      </c>
      <c r="K607" s="12">
        <f>'Raw Data'!K607</f>
        <v>2023</v>
      </c>
      <c r="L607" s="12">
        <f>'Raw Data'!L607</f>
        <v>6</v>
      </c>
      <c r="M607" s="12">
        <f>'Raw Data'!M607</f>
        <v>13</v>
      </c>
      <c r="N607">
        <f>'Raw Data'!N607</f>
        <v>14</v>
      </c>
    </row>
    <row r="608" spans="1:14" ht="45" x14ac:dyDescent="0.25">
      <c r="A608" s="11">
        <f>'Raw Data'!A608</f>
        <v>606</v>
      </c>
      <c r="B608" s="8" t="str">
        <f>TRIM(CLEAN('Raw Data'!B608))</f>
        <v>Savoring the flavors of a home-cooked meal. Simple joys are the heart of happiness. #HomeCooking #SimpleJoys</v>
      </c>
      <c r="C608" s="4" t="str">
        <f>TRIM(PROPER('Raw Data'!C608))</f>
        <v>Contentment</v>
      </c>
      <c r="D608" s="5">
        <f>'Raw Data'!D608</f>
        <v>45091.8125</v>
      </c>
      <c r="E608" s="4" t="str">
        <f>TRIM(SUBSTITUTE('Raw Data'!E608," "," "))</f>
        <v>HomeChefSenior</v>
      </c>
      <c r="F608" s="4" t="str">
        <f>TRIM(PROPER('Raw Data'!F608))</f>
        <v>Instagram</v>
      </c>
      <c r="G608" s="8" t="str">
        <f>TRIM(CLEAN('Raw Data'!G608))</f>
        <v>#HappinessInFood #SeniorLife</v>
      </c>
      <c r="H608" s="12">
        <f>'Raw Data'!H608</f>
        <v>25</v>
      </c>
      <c r="I608" s="12">
        <v>45</v>
      </c>
      <c r="J608" s="12" t="str">
        <f>TRIM(UPPER('Raw Data'!J608))</f>
        <v>USA</v>
      </c>
      <c r="K608" s="12">
        <f>'Raw Data'!K608</f>
        <v>2023</v>
      </c>
      <c r="L608" s="12">
        <f>'Raw Data'!L608</f>
        <v>6</v>
      </c>
      <c r="M608" s="12">
        <f>'Raw Data'!M608</f>
        <v>14</v>
      </c>
      <c r="N608">
        <f>'Raw Data'!N608</f>
        <v>19</v>
      </c>
    </row>
    <row r="609" spans="1:14" ht="45" x14ac:dyDescent="0.25">
      <c r="A609" s="11">
        <f>'Raw Data'!A609</f>
        <v>607</v>
      </c>
      <c r="B609" s="8" t="str">
        <f>TRIM(CLEAN('Raw Data'!B609))</f>
        <v>Embarking on a journey of learning a new language. The mind stays young with every new word. #LanguageLearning #NeverTooLate</v>
      </c>
      <c r="C609" s="4" t="str">
        <f>TRIM(PROPER('Raw Data'!C609))</f>
        <v>Curiosity</v>
      </c>
      <c r="D609" s="5">
        <f>'Raw Data'!D609</f>
        <v>45092.510416666664</v>
      </c>
      <c r="E609" s="4" t="str">
        <f>TRIM(SUBSTITUTE('Raw Data'!E609," "," "))</f>
        <v>LinguisticExplorer</v>
      </c>
      <c r="F609" s="4" t="str">
        <f>TRIM(PROPER('Raw Data'!F609))</f>
        <v>Twitter</v>
      </c>
      <c r="G609" s="8" t="str">
        <f>TRIM(CLEAN('Raw Data'!G609))</f>
        <v>#MindEnrichment #SeniorLearning</v>
      </c>
      <c r="H609" s="12">
        <f>'Raw Data'!H609</f>
        <v>30</v>
      </c>
      <c r="I609" s="12">
        <v>50</v>
      </c>
      <c r="J609" s="12" t="str">
        <f>TRIM(UPPER('Raw Data'!J609))</f>
        <v>UK</v>
      </c>
      <c r="K609" s="12">
        <f>'Raw Data'!K609</f>
        <v>2023</v>
      </c>
      <c r="L609" s="12">
        <f>'Raw Data'!L609</f>
        <v>6</v>
      </c>
      <c r="M609" s="12">
        <f>'Raw Data'!M609</f>
        <v>15</v>
      </c>
      <c r="N609">
        <f>'Raw Data'!N609</f>
        <v>12</v>
      </c>
    </row>
    <row r="610" spans="1:14" ht="45" x14ac:dyDescent="0.25">
      <c r="A610" s="11">
        <f>'Raw Data'!A610</f>
        <v>608</v>
      </c>
      <c r="B610" s="8" t="str">
        <f>TRIM(CLEAN('Raw Data'!B610))</f>
        <v>Attended a classical music concert, feeling the timeless melodies resonate. Music transcends generations. #ClassicalMusic #TimelessMelodies</v>
      </c>
      <c r="C610" s="4" t="str">
        <f>TRIM(PROPER('Raw Data'!C610))</f>
        <v>Joy</v>
      </c>
      <c r="D610" s="5">
        <f>'Raw Data'!D610</f>
        <v>45093.90625</v>
      </c>
      <c r="E610" s="4" t="str">
        <f>TRIM(SUBSTITUTE('Raw Data'!E610," "," "))</f>
        <v>MusicConnoisseur</v>
      </c>
      <c r="F610" s="4" t="str">
        <f>TRIM(PROPER('Raw Data'!F610))</f>
        <v>Facebook</v>
      </c>
      <c r="G610" s="8" t="str">
        <f>TRIM(CLEAN('Raw Data'!G610))</f>
        <v>#MusicLover #SeniorConcert</v>
      </c>
      <c r="H610" s="12">
        <f>'Raw Data'!H610</f>
        <v>18</v>
      </c>
      <c r="I610" s="12">
        <v>60</v>
      </c>
      <c r="J610" s="12" t="str">
        <f>TRIM(UPPER('Raw Data'!J610))</f>
        <v>CANADA</v>
      </c>
      <c r="K610" s="12">
        <f>'Raw Data'!K610</f>
        <v>2023</v>
      </c>
      <c r="L610" s="12">
        <f>'Raw Data'!L610</f>
        <v>6</v>
      </c>
      <c r="M610" s="12">
        <f>'Raw Data'!M610</f>
        <v>16</v>
      </c>
      <c r="N610">
        <f>'Raw Data'!N610</f>
        <v>21</v>
      </c>
    </row>
    <row r="611" spans="1:14" ht="45" x14ac:dyDescent="0.25">
      <c r="A611" s="11">
        <f>'Raw Data'!A611</f>
        <v>609</v>
      </c>
      <c r="B611" s="8" t="str">
        <f>TRIM(CLEAN('Raw Data'!B611))</f>
        <v>Capturing the beauty of nature through photography. Every snapshot is a treasure. #NaturePhotography #SeniorPhotographer</v>
      </c>
      <c r="C611" s="4" t="str">
        <f>TRIM(PROPER('Raw Data'!C611))</f>
        <v>Joy</v>
      </c>
      <c r="D611" s="5">
        <f>'Raw Data'!D611</f>
        <v>45094.625</v>
      </c>
      <c r="E611" s="4" t="str">
        <f>TRIM(SUBSTITUTE('Raw Data'!E611," "," "))</f>
        <v>PhotographySenior</v>
      </c>
      <c r="F611" s="4" t="str">
        <f>TRIM(PROPER('Raw Data'!F611))</f>
        <v>Instagram</v>
      </c>
      <c r="G611" s="8" t="str">
        <f>TRIM(CLEAN('Raw Data'!G611))</f>
        <v>#NatureCapture #SeniorMoments</v>
      </c>
      <c r="H611" s="12">
        <f>'Raw Data'!H611</f>
        <v>35</v>
      </c>
      <c r="I611" s="12">
        <v>35</v>
      </c>
      <c r="J611" s="12" t="str">
        <f>TRIM(UPPER('Raw Data'!J611))</f>
        <v>USA</v>
      </c>
      <c r="K611" s="12">
        <f>'Raw Data'!K611</f>
        <v>2023</v>
      </c>
      <c r="L611" s="12">
        <f>'Raw Data'!L611</f>
        <v>6</v>
      </c>
      <c r="M611" s="12">
        <f>'Raw Data'!M611</f>
        <v>17</v>
      </c>
      <c r="N611">
        <f>'Raw Data'!N611</f>
        <v>15</v>
      </c>
    </row>
    <row r="612" spans="1:14" ht="45" x14ac:dyDescent="0.25">
      <c r="A612" s="11">
        <f>'Raw Data'!A612</f>
        <v>610</v>
      </c>
      <c r="B612" s="8" t="str">
        <f>TRIM(CLEAN('Raw Data'!B612))</f>
        <v>Reconnecting with old friends over a cup of tea. Friendship, the true essence of companionship. #OldFriends #Companionship</v>
      </c>
      <c r="C612" s="4" t="str">
        <f>TRIM(PROPER('Raw Data'!C612))</f>
        <v>Contentment</v>
      </c>
      <c r="D612" s="5">
        <f>'Raw Data'!D612</f>
        <v>45095.479166666664</v>
      </c>
      <c r="E612" s="4" t="str">
        <f>TRIM(SUBSTITUTE('Raw Data'!E612," "," "))</f>
        <v>TeaTimeSenior</v>
      </c>
      <c r="F612" s="4" t="str">
        <f>TRIM(PROPER('Raw Data'!F612))</f>
        <v>Twitter</v>
      </c>
      <c r="G612" s="8" t="str">
        <f>TRIM(CLEAN('Raw Data'!G612))</f>
        <v>#FriendshipGoals #SeniorBonding</v>
      </c>
      <c r="H612" s="12">
        <f>'Raw Data'!H612</f>
        <v>28</v>
      </c>
      <c r="I612" s="12">
        <v>70</v>
      </c>
      <c r="J612" s="12" t="str">
        <f>TRIM(UPPER('Raw Data'!J612))</f>
        <v>UK</v>
      </c>
      <c r="K612" s="12">
        <f>'Raw Data'!K612</f>
        <v>2023</v>
      </c>
      <c r="L612" s="12">
        <f>'Raw Data'!L612</f>
        <v>6</v>
      </c>
      <c r="M612" s="12">
        <f>'Raw Data'!M612</f>
        <v>18</v>
      </c>
      <c r="N612">
        <f>'Raw Data'!N612</f>
        <v>11</v>
      </c>
    </row>
    <row r="613" spans="1:14" ht="45" x14ac:dyDescent="0.25">
      <c r="A613" s="11">
        <f>'Raw Data'!A613</f>
        <v>611</v>
      </c>
      <c r="B613" s="8" t="str">
        <f>TRIM(CLEAN('Raw Data'!B613))</f>
        <v>Embarked on a road trip to revisit cherished places from the past. Nostalgia, the ultimate travel companion. #RoadTrip #NostalgiaTour</v>
      </c>
      <c r="C613" s="4" t="str">
        <f>TRIM(PROPER('Raw Data'!C613))</f>
        <v>Joy</v>
      </c>
      <c r="D613" s="5">
        <f>'Raw Data'!D613</f>
        <v>45096.6875</v>
      </c>
      <c r="E613" s="4" t="str">
        <f>TRIM(SUBSTITUTE('Raw Data'!E613," "," "))</f>
        <v>RoadTripSenior</v>
      </c>
      <c r="F613" s="4" t="str">
        <f>TRIM(PROPER('Raw Data'!F613))</f>
        <v>Facebook</v>
      </c>
      <c r="G613" s="8" t="str">
        <f>TRIM(CLEAN('Raw Data'!G613))</f>
        <v>#CherishedPlaces #SeniorTravel</v>
      </c>
      <c r="H613" s="12">
        <f>'Raw Data'!H613</f>
        <v>22</v>
      </c>
      <c r="I613" s="12">
        <v>55</v>
      </c>
      <c r="J613" s="12" t="str">
        <f>TRIM(UPPER('Raw Data'!J613))</f>
        <v>CANADA</v>
      </c>
      <c r="K613" s="12">
        <f>'Raw Data'!K613</f>
        <v>2023</v>
      </c>
      <c r="L613" s="12">
        <f>'Raw Data'!L613</f>
        <v>6</v>
      </c>
      <c r="M613" s="12">
        <f>'Raw Data'!M613</f>
        <v>19</v>
      </c>
      <c r="N613">
        <f>'Raw Data'!N613</f>
        <v>16</v>
      </c>
    </row>
    <row r="614" spans="1:14" ht="45" x14ac:dyDescent="0.25">
      <c r="A614" s="11">
        <f>'Raw Data'!A614</f>
        <v>612</v>
      </c>
      <c r="B614" s="8" t="str">
        <f>TRIM(CLEAN('Raw Data'!B614))</f>
        <v>Joined a community choir, harmonizing with fellow voices. Music creates bonds that withstand time. #CommunityChoir #HarmonyInAging</v>
      </c>
      <c r="C614" s="4" t="str">
        <f>TRIM(PROPER('Raw Data'!C614))</f>
        <v>Joy</v>
      </c>
      <c r="D614" s="5">
        <f>'Raw Data'!D614</f>
        <v>45097.597222222219</v>
      </c>
      <c r="E614" s="4" t="str">
        <f>TRIM(SUBSTITUTE('Raw Data'!E614," "," "))</f>
        <v>ChoirEnthusiast</v>
      </c>
      <c r="F614" s="4" t="str">
        <f>TRIM(PROPER('Raw Data'!F614))</f>
        <v>Instagram</v>
      </c>
      <c r="G614" s="8" t="str">
        <f>TRIM(CLEAN('Raw Data'!G614))</f>
        <v>#MusicHarmony #SeniorVoices</v>
      </c>
      <c r="H614" s="12">
        <f>'Raw Data'!H614</f>
        <v>20</v>
      </c>
      <c r="I614" s="12">
        <v>45</v>
      </c>
      <c r="J614" s="12" t="str">
        <f>TRIM(UPPER('Raw Data'!J614))</f>
        <v>USA</v>
      </c>
      <c r="K614" s="12">
        <f>'Raw Data'!K614</f>
        <v>2023</v>
      </c>
      <c r="L614" s="12">
        <f>'Raw Data'!L614</f>
        <v>6</v>
      </c>
      <c r="M614" s="12">
        <f>'Raw Data'!M614</f>
        <v>20</v>
      </c>
      <c r="N614">
        <f>'Raw Data'!N614</f>
        <v>14</v>
      </c>
    </row>
    <row r="615" spans="1:14" ht="45" x14ac:dyDescent="0.25">
      <c r="A615" s="11">
        <f>'Raw Data'!A615</f>
        <v>613</v>
      </c>
      <c r="B615" s="8" t="str">
        <f>TRIM(CLEAN('Raw Data'!B615))</f>
        <v>Exploring the art of meditation, finding tranquility in the stillness of the mind. #MeditationJourney #TranquilMind</v>
      </c>
      <c r="C615" s="4" t="str">
        <f>TRIM(PROPER('Raw Data'!C615))</f>
        <v>Contentment</v>
      </c>
      <c r="D615" s="5">
        <f>'Raw Data'!D615</f>
        <v>45098.791666666664</v>
      </c>
      <c r="E615" s="4" t="str">
        <f>TRIM(SUBSTITUTE('Raw Data'!E615," "," "))</f>
        <v>MeditationSenior</v>
      </c>
      <c r="F615" s="4" t="str">
        <f>TRIM(PROPER('Raw Data'!F615))</f>
        <v>Twitter</v>
      </c>
      <c r="G615" s="8" t="str">
        <f>TRIM(CLEAN('Raw Data'!G615))</f>
        <v>#MindfulLiving #SeniorCalm</v>
      </c>
      <c r="H615" s="12">
        <f>'Raw Data'!H615</f>
        <v>18</v>
      </c>
      <c r="I615" s="12">
        <v>40</v>
      </c>
      <c r="J615" s="12" t="str">
        <f>TRIM(UPPER('Raw Data'!J615))</f>
        <v>UK</v>
      </c>
      <c r="K615" s="12">
        <f>'Raw Data'!K615</f>
        <v>2023</v>
      </c>
      <c r="L615" s="12">
        <f>'Raw Data'!L615</f>
        <v>6</v>
      </c>
      <c r="M615" s="12">
        <f>'Raw Data'!M615</f>
        <v>21</v>
      </c>
      <c r="N615">
        <f>'Raw Data'!N615</f>
        <v>19</v>
      </c>
    </row>
    <row r="616" spans="1:14" ht="45" x14ac:dyDescent="0.25">
      <c r="A616" s="11">
        <f>'Raw Data'!A616</f>
        <v>614</v>
      </c>
      <c r="B616" s="8" t="str">
        <f>TRIM(CLEAN('Raw Data'!B616))</f>
        <v>Taking a stroll in the garden, appreciating the beauty of blooming flowers. Nature's wonders never cease. #GardenWalk #FloralBeauty</v>
      </c>
      <c r="C616" s="4" t="str">
        <f>TRIM(PROPER('Raw Data'!C616))</f>
        <v>Contentment</v>
      </c>
      <c r="D616" s="5">
        <f>'Raw Data'!D616</f>
        <v>45099.572916666664</v>
      </c>
      <c r="E616" s="4" t="str">
        <f>TRIM(SUBSTITUTE('Raw Data'!E616," "," "))</f>
        <v>GardenEnthusiast</v>
      </c>
      <c r="F616" s="4" t="str">
        <f>TRIM(PROPER('Raw Data'!F616))</f>
        <v>Facebook</v>
      </c>
      <c r="G616" s="8" t="str">
        <f>TRIM(CLEAN('Raw Data'!G616))</f>
        <v>#NatureWonders #SeniorGarden</v>
      </c>
      <c r="H616" s="12">
        <f>'Raw Data'!H616</f>
        <v>25</v>
      </c>
      <c r="I616" s="12">
        <v>35</v>
      </c>
      <c r="J616" s="12" t="str">
        <f>TRIM(UPPER('Raw Data'!J616))</f>
        <v>USA</v>
      </c>
      <c r="K616" s="12">
        <f>'Raw Data'!K616</f>
        <v>2023</v>
      </c>
      <c r="L616" s="12">
        <f>'Raw Data'!L616</f>
        <v>6</v>
      </c>
      <c r="M616" s="12">
        <f>'Raw Data'!M616</f>
        <v>22</v>
      </c>
      <c r="N616">
        <f>'Raw Data'!N616</f>
        <v>13</v>
      </c>
    </row>
    <row r="617" spans="1:14" ht="45" x14ac:dyDescent="0.25">
      <c r="A617" s="11">
        <f>'Raw Data'!A617</f>
        <v>615</v>
      </c>
      <c r="B617" s="8" t="str">
        <f>TRIM(CLEAN('Raw Data'!B617))</f>
        <v>Sipping on a favorite vintage wine, each sip telling a story of the years gone by. Cheers to a life well-lived. #WineLover #VintageCheers</v>
      </c>
      <c r="C617" s="4" t="str">
        <f>TRIM(PROPER('Raw Data'!C617))</f>
        <v>Contentment</v>
      </c>
      <c r="D617" s="5">
        <f>'Raw Data'!D617</f>
        <v>45100.78125</v>
      </c>
      <c r="E617" s="4" t="str">
        <f>TRIM(SUBSTITUTE('Raw Data'!E617," "," "))</f>
        <v>WineConnoisseur</v>
      </c>
      <c r="F617" s="4" t="str">
        <f>TRIM(PROPER('Raw Data'!F617))</f>
        <v>Instagram</v>
      </c>
      <c r="G617" s="8" t="str">
        <f>TRIM(CLEAN('Raw Data'!G617))</f>
        <v>#LifeWellLived #SeniorWine</v>
      </c>
      <c r="H617" s="12">
        <f>'Raw Data'!H617</f>
        <v>28</v>
      </c>
      <c r="I617" s="12">
        <v>50</v>
      </c>
      <c r="J617" s="12" t="str">
        <f>TRIM(UPPER('Raw Data'!J617))</f>
        <v>UK</v>
      </c>
      <c r="K617" s="12">
        <f>'Raw Data'!K617</f>
        <v>2023</v>
      </c>
      <c r="L617" s="12">
        <f>'Raw Data'!L617</f>
        <v>6</v>
      </c>
      <c r="M617" s="12">
        <f>'Raw Data'!M617</f>
        <v>23</v>
      </c>
      <c r="N617">
        <f>'Raw Data'!N617</f>
        <v>18</v>
      </c>
    </row>
    <row r="618" spans="1:14" ht="45" x14ac:dyDescent="0.25">
      <c r="A618" s="11">
        <f>'Raw Data'!A618</f>
        <v>616</v>
      </c>
      <c r="B618" s="8" t="str">
        <f>TRIM(CLEAN('Raw Data'!B618))</f>
        <v>Participated in a community art class, unleashing creativity in the golden years. Art has no age limit. #ArtClass #SeniorArtistry</v>
      </c>
      <c r="C618" s="4" t="str">
        <f>TRIM(PROPER('Raw Data'!C618))</f>
        <v>Joy</v>
      </c>
      <c r="D618" s="5">
        <f>'Raw Data'!D618</f>
        <v>45101.677083333336</v>
      </c>
      <c r="E618" s="4" t="str">
        <f>TRIM(SUBSTITUTE('Raw Data'!E618," "," "))</f>
        <v>ArtisticSenior</v>
      </c>
      <c r="F618" s="4" t="str">
        <f>TRIM(PROPER('Raw Data'!F618))</f>
        <v>Twitter</v>
      </c>
      <c r="G618" s="8" t="str">
        <f>TRIM(CLEAN('Raw Data'!G618))</f>
        <v>#CreativityAtAnyAge #SeniorCreativity</v>
      </c>
      <c r="H618" s="12">
        <f>'Raw Data'!H618</f>
        <v>22</v>
      </c>
      <c r="I618" s="12">
        <v>55</v>
      </c>
      <c r="J618" s="12" t="str">
        <f>TRIM(UPPER('Raw Data'!J618))</f>
        <v>CANADA</v>
      </c>
      <c r="K618" s="12">
        <f>'Raw Data'!K618</f>
        <v>2023</v>
      </c>
      <c r="L618" s="12">
        <f>'Raw Data'!L618</f>
        <v>6</v>
      </c>
      <c r="M618" s="12">
        <f>'Raw Data'!M618</f>
        <v>24</v>
      </c>
      <c r="N618">
        <f>'Raw Data'!N618</f>
        <v>16</v>
      </c>
    </row>
    <row r="619" spans="1:14" ht="45" x14ac:dyDescent="0.25">
      <c r="A619" s="11">
        <f>'Raw Data'!A619</f>
        <v>617</v>
      </c>
      <c r="B619" s="8" t="str">
        <f>TRIM(CLEAN('Raw Data'!B619))</f>
        <v>Embarking on a journey of writing a memoir, documenting a lifetime of experiences. Every story matters. #MemoirWriting #SeniorStories</v>
      </c>
      <c r="C619" s="4" t="str">
        <f>TRIM(PROPER('Raw Data'!C619))</f>
        <v>Gratitude</v>
      </c>
      <c r="D619" s="5">
        <f>'Raw Data'!D619</f>
        <v>45102.854166666664</v>
      </c>
      <c r="E619" s="4" t="str">
        <f>TRIM(SUBSTITUTE('Raw Data'!E619," "," "))</f>
        <v>MemoiristSenior</v>
      </c>
      <c r="F619" s="4" t="str">
        <f>TRIM(PROPER('Raw Data'!F619))</f>
        <v>Facebook</v>
      </c>
      <c r="G619" s="8" t="str">
        <f>TRIM(CLEAN('Raw Data'!G619))</f>
        <v>#LifetimeExperiences #SeniorMemoir</v>
      </c>
      <c r="H619" s="12">
        <f>'Raw Data'!H619</f>
        <v>35</v>
      </c>
      <c r="I619" s="12">
        <v>45</v>
      </c>
      <c r="J619" s="12" t="str">
        <f>TRIM(UPPER('Raw Data'!J619))</f>
        <v>USA</v>
      </c>
      <c r="K619" s="12">
        <f>'Raw Data'!K619</f>
        <v>2023</v>
      </c>
      <c r="L619" s="12">
        <f>'Raw Data'!L619</f>
        <v>6</v>
      </c>
      <c r="M619" s="12">
        <f>'Raw Data'!M619</f>
        <v>25</v>
      </c>
      <c r="N619">
        <f>'Raw Data'!N619</f>
        <v>20</v>
      </c>
    </row>
    <row r="620" spans="1:14" ht="45" x14ac:dyDescent="0.25">
      <c r="A620" s="11">
        <f>'Raw Data'!A620</f>
        <v>618</v>
      </c>
      <c r="B620" s="8" t="str">
        <f>TRIM(CLEAN('Raw Data'!B620))</f>
        <v>Attended a lecture on history, always fascinated by the lessons from the past. Learning is a lifelong adventure. #HistoryLecture #SeniorLearning</v>
      </c>
      <c r="C620" s="4" t="str">
        <f>TRIM(PROPER('Raw Data'!C620))</f>
        <v>Curiosity</v>
      </c>
      <c r="D620" s="5">
        <f>'Raw Data'!D620</f>
        <v>45103.583333333336</v>
      </c>
      <c r="E620" s="4" t="str">
        <f>TRIM(SUBSTITUTE('Raw Data'!E620," "," "))</f>
        <v>HistoryEnthusiast</v>
      </c>
      <c r="F620" s="4" t="str">
        <f>TRIM(PROPER('Raw Data'!F620))</f>
        <v>Instagram</v>
      </c>
      <c r="G620" s="8" t="str">
        <f>TRIM(CLEAN('Raw Data'!G620))</f>
        <v>#LifetimeAdventure #SeniorCuriosity</v>
      </c>
      <c r="H620" s="12">
        <f>'Raw Data'!H620</f>
        <v>30</v>
      </c>
      <c r="I620" s="12">
        <v>70</v>
      </c>
      <c r="J620" s="12" t="str">
        <f>TRIM(UPPER('Raw Data'!J620))</f>
        <v>UK</v>
      </c>
      <c r="K620" s="12">
        <f>'Raw Data'!K620</f>
        <v>2023</v>
      </c>
      <c r="L620" s="12">
        <f>'Raw Data'!L620</f>
        <v>6</v>
      </c>
      <c r="M620" s="12">
        <f>'Raw Data'!M620</f>
        <v>26</v>
      </c>
      <c r="N620">
        <f>'Raw Data'!N620</f>
        <v>14</v>
      </c>
    </row>
    <row r="621" spans="1:14" ht="45" x14ac:dyDescent="0.25">
      <c r="A621" s="11">
        <f>'Raw Data'!A621</f>
        <v>619</v>
      </c>
      <c r="B621" s="8" t="str">
        <f>TRIM(CLEAN('Raw Data'!B621))</f>
        <v>Rediscovered the joy of cooking traditional family recipes. The kitchen, a place of cherished memories. #FamilyRecipes #SeniorCooking</v>
      </c>
      <c r="C621" s="4" t="str">
        <f>TRIM(PROPER('Raw Data'!C621))</f>
        <v>Contentment</v>
      </c>
      <c r="D621" s="5">
        <f>'Raw Data'!D621</f>
        <v>45104.739583333336</v>
      </c>
      <c r="E621" s="4" t="str">
        <f>TRIM(SUBSTITUTE('Raw Data'!E621," "," "))</f>
        <v>FamilyChefSenior</v>
      </c>
      <c r="F621" s="4" t="str">
        <f>TRIM(PROPER('Raw Data'!F621))</f>
        <v>Twitter</v>
      </c>
      <c r="G621" s="8" t="str">
        <f>TRIM(CLEAN('Raw Data'!G621))</f>
        <v>#KitchenMemories #SeniorCulinary</v>
      </c>
      <c r="H621" s="12">
        <f>'Raw Data'!H621</f>
        <v>20</v>
      </c>
      <c r="I621" s="12">
        <v>60</v>
      </c>
      <c r="J621" s="12" t="str">
        <f>TRIM(UPPER('Raw Data'!J621))</f>
        <v>USA</v>
      </c>
      <c r="K621" s="12">
        <f>'Raw Data'!K621</f>
        <v>2023</v>
      </c>
      <c r="L621" s="12">
        <f>'Raw Data'!L621</f>
        <v>6</v>
      </c>
      <c r="M621" s="12">
        <f>'Raw Data'!M621</f>
        <v>27</v>
      </c>
      <c r="N621">
        <f>'Raw Data'!N621</f>
        <v>17</v>
      </c>
    </row>
    <row r="622" spans="1:14" ht="60" x14ac:dyDescent="0.25">
      <c r="A622" s="11">
        <f>'Raw Data'!A622</f>
        <v>620</v>
      </c>
      <c r="B622" s="8" t="str">
        <f>TRIM(CLEAN('Raw Data'!B622))</f>
        <v>Joined a nature photography club, capturing the beauty of the great outdoors. Every click is a connection to nature. #NaturePhotography #SeniorPhotographer</v>
      </c>
      <c r="C622" s="4" t="str">
        <f>TRIM(PROPER('Raw Data'!C622))</f>
        <v>Joy</v>
      </c>
      <c r="D622" s="5">
        <f>'Raw Data'!D622</f>
        <v>45105.927083333336</v>
      </c>
      <c r="E622" s="4" t="str">
        <f>TRIM(SUBSTITUTE('Raw Data'!E622," "," "))</f>
        <v>NaturePhotographySenior</v>
      </c>
      <c r="F622" s="4" t="str">
        <f>TRIM(PROPER('Raw Data'!F622))</f>
        <v>Facebook</v>
      </c>
      <c r="G622" s="8" t="str">
        <f>TRIM(CLEAN('Raw Data'!G622))</f>
        <v>#OutdoorBeauty #SeniorClicks</v>
      </c>
      <c r="H622" s="12">
        <f>'Raw Data'!H622</f>
        <v>18</v>
      </c>
      <c r="I622" s="12">
        <v>40</v>
      </c>
      <c r="J622" s="12" t="str">
        <f>TRIM(UPPER('Raw Data'!J622))</f>
        <v>UK</v>
      </c>
      <c r="K622" s="12">
        <f>'Raw Data'!K622</f>
        <v>2023</v>
      </c>
      <c r="L622" s="12">
        <f>'Raw Data'!L622</f>
        <v>6</v>
      </c>
      <c r="M622" s="12">
        <f>'Raw Data'!M622</f>
        <v>28</v>
      </c>
      <c r="N622">
        <f>'Raw Data'!N622</f>
        <v>22</v>
      </c>
    </row>
    <row r="623" spans="1:14" ht="45" x14ac:dyDescent="0.25">
      <c r="A623" s="11">
        <f>'Raw Data'!A623</f>
        <v>621</v>
      </c>
      <c r="B623" s="8" t="str">
        <f>TRIM(CLEAN('Raw Data'!B623))</f>
        <v>Attended a jazz concert and swayed to the rhythm of timeless tunes. Music, a constant companion in the golden years. #JazzConcert #SeniorMusic</v>
      </c>
      <c r="C623" s="4" t="str">
        <f>TRIM(PROPER('Raw Data'!C623))</f>
        <v>Joy</v>
      </c>
      <c r="D623" s="5">
        <f>'Raw Data'!D623</f>
        <v>45106.6875</v>
      </c>
      <c r="E623" s="4" t="str">
        <f>TRIM(SUBSTITUTE('Raw Data'!E623," "," "))</f>
        <v>JazzMusicLover</v>
      </c>
      <c r="F623" s="4" t="str">
        <f>TRIM(PROPER('Raw Data'!F623))</f>
        <v>Instagram</v>
      </c>
      <c r="G623" s="8" t="str">
        <f>TRIM(CLEAN('Raw Data'!G623))</f>
        <v>#TimelessTunes #SeniorJazz</v>
      </c>
      <c r="H623" s="12">
        <f>'Raw Data'!H623</f>
        <v>25</v>
      </c>
      <c r="I623" s="12">
        <v>35</v>
      </c>
      <c r="J623" s="12" t="str">
        <f>TRIM(UPPER('Raw Data'!J623))</f>
        <v>USA</v>
      </c>
      <c r="K623" s="12">
        <f>'Raw Data'!K623</f>
        <v>2023</v>
      </c>
      <c r="L623" s="12">
        <f>'Raw Data'!L623</f>
        <v>6</v>
      </c>
      <c r="M623" s="12">
        <f>'Raw Data'!M623</f>
        <v>29</v>
      </c>
      <c r="N623">
        <f>'Raw Data'!N623</f>
        <v>16</v>
      </c>
    </row>
    <row r="624" spans="1:14" ht="45" x14ac:dyDescent="0.25">
      <c r="A624" s="11">
        <f>'Raw Data'!A624</f>
        <v>622</v>
      </c>
      <c r="B624" s="8" t="str">
        <f>TRIM(CLEAN('Raw Data'!B624))</f>
        <v>Joined a writing group, penning down thoughts and reflections. Writing, a journey into the depths of the soul. #WritingGroup #SeniorWriter</v>
      </c>
      <c r="C624" s="4" t="str">
        <f>TRIM(PROPER('Raw Data'!C624))</f>
        <v>Gratitude</v>
      </c>
      <c r="D624" s="5">
        <f>'Raw Data'!D624</f>
        <v>45107.8125</v>
      </c>
      <c r="E624" s="4" t="str">
        <f>TRIM(SUBSTITUTE('Raw Data'!E624," "," "))</f>
        <v>SeniorWordsmith</v>
      </c>
      <c r="F624" s="4" t="str">
        <f>TRIM(PROPER('Raw Data'!F624))</f>
        <v>Twitter</v>
      </c>
      <c r="G624" s="8" t="str">
        <f>TRIM(CLEAN('Raw Data'!G624))</f>
        <v>#SoulfulWriting #SeniorReflections</v>
      </c>
      <c r="H624" s="12">
        <f>'Raw Data'!H624</f>
        <v>28</v>
      </c>
      <c r="I624" s="12">
        <v>50</v>
      </c>
      <c r="J624" s="12" t="str">
        <f>TRIM(UPPER('Raw Data'!J624))</f>
        <v>UK</v>
      </c>
      <c r="K624" s="12">
        <f>'Raw Data'!K624</f>
        <v>2023</v>
      </c>
      <c r="L624" s="12">
        <f>'Raw Data'!L624</f>
        <v>6</v>
      </c>
      <c r="M624" s="12">
        <f>'Raw Data'!M624</f>
        <v>30</v>
      </c>
      <c r="N624">
        <f>'Raw Data'!N624</f>
        <v>19</v>
      </c>
    </row>
    <row r="625" spans="1:14" ht="45" x14ac:dyDescent="0.25">
      <c r="A625" s="11">
        <f>'Raw Data'!A625</f>
        <v>623</v>
      </c>
      <c r="B625" s="8" t="str">
        <f>TRIM(CLEAN('Raw Data'!B625))</f>
        <v>Embarked on a solo travel adventure, discovering the beauty of new places at my own pace. #SoloTravel #SeniorExplorer</v>
      </c>
      <c r="C625" s="4" t="str">
        <f>TRIM(PROPER('Raw Data'!C625))</f>
        <v>Excitement</v>
      </c>
      <c r="D625" s="5">
        <f>'Raw Data'!D625</f>
        <v>45108.583333333336</v>
      </c>
      <c r="E625" s="4" t="str">
        <f>TRIM(SUBSTITUTE('Raw Data'!E625," "," "))</f>
        <v>SoloAdventurer</v>
      </c>
      <c r="F625" s="4" t="str">
        <f>TRIM(PROPER('Raw Data'!F625))</f>
        <v>Instagram</v>
      </c>
      <c r="G625" s="8" t="str">
        <f>TRIM(CLEAN('Raw Data'!G625))</f>
        <v>#DiscoverNewPlaces #SeniorTravel</v>
      </c>
      <c r="H625" s="12">
        <f>'Raw Data'!H625</f>
        <v>30</v>
      </c>
      <c r="I625" s="12">
        <v>55</v>
      </c>
      <c r="J625" s="12" t="str">
        <f>TRIM(UPPER('Raw Data'!J625))</f>
        <v>USA</v>
      </c>
      <c r="K625" s="12">
        <f>'Raw Data'!K625</f>
        <v>2023</v>
      </c>
      <c r="L625" s="12">
        <f>'Raw Data'!L625</f>
        <v>7</v>
      </c>
      <c r="M625" s="12">
        <f>'Raw Data'!M625</f>
        <v>1</v>
      </c>
      <c r="N625">
        <f>'Raw Data'!N625</f>
        <v>14</v>
      </c>
    </row>
    <row r="626" spans="1:14" ht="45" x14ac:dyDescent="0.25">
      <c r="A626" s="11">
        <f>'Raw Data'!A626</f>
        <v>624</v>
      </c>
      <c r="B626" s="8" t="str">
        <f>TRIM(CLEAN('Raw Data'!B626))</f>
        <v>Attended a vintage car show, reminiscing about the classics that once ruled the roads. Nostalgia in every rev. #VintageCars #ClassicRides</v>
      </c>
      <c r="C626" s="4" t="str">
        <f>TRIM(PROPER('Raw Data'!C626))</f>
        <v>Joy</v>
      </c>
      <c r="D626" s="5">
        <f>'Raw Data'!D626</f>
        <v>45109.770833333336</v>
      </c>
      <c r="E626" s="4" t="str">
        <f>TRIM(SUBSTITUTE('Raw Data'!E626," "," "))</f>
        <v>CarEnthusiastSenior</v>
      </c>
      <c r="F626" s="4" t="str">
        <f>TRIM(PROPER('Raw Data'!F626))</f>
        <v>Facebook</v>
      </c>
      <c r="G626" s="8" t="str">
        <f>TRIM(CLEAN('Raw Data'!G626))</f>
        <v>#RoadTripDownMemoryLane #SeniorCars</v>
      </c>
      <c r="H626" s="12">
        <f>'Raw Data'!H626</f>
        <v>22</v>
      </c>
      <c r="I626" s="12">
        <v>60</v>
      </c>
      <c r="J626" s="12" t="str">
        <f>TRIM(UPPER('Raw Data'!J626))</f>
        <v>UK</v>
      </c>
      <c r="K626" s="12">
        <f>'Raw Data'!K626</f>
        <v>2023</v>
      </c>
      <c r="L626" s="12">
        <f>'Raw Data'!L626</f>
        <v>7</v>
      </c>
      <c r="M626" s="12">
        <f>'Raw Data'!M626</f>
        <v>2</v>
      </c>
      <c r="N626">
        <f>'Raw Data'!N626</f>
        <v>18</v>
      </c>
    </row>
    <row r="627" spans="1:14" ht="45" x14ac:dyDescent="0.25">
      <c r="A627" s="11">
        <f>'Raw Data'!A627</f>
        <v>625</v>
      </c>
      <c r="B627" s="8" t="str">
        <f>TRIM(CLEAN('Raw Data'!B627))</f>
        <v>Started a community garden, growing not just plants but friendships too. Green thumbs unite! #CommunityGarden #SeniorGardener</v>
      </c>
      <c r="C627" s="4" t="str">
        <f>TRIM(PROPER('Raw Data'!C627))</f>
        <v>Joy</v>
      </c>
      <c r="D627" s="5">
        <f>'Raw Data'!D627</f>
        <v>45110.53125</v>
      </c>
      <c r="E627" s="4" t="str">
        <f>TRIM(SUBSTITUTE('Raw Data'!E627," "," "))</f>
        <v>GreenThumbSenior</v>
      </c>
      <c r="F627" s="4" t="str">
        <f>TRIM(PROPER('Raw Data'!F627))</f>
        <v>Twitter</v>
      </c>
      <c r="G627" s="8" t="str">
        <f>TRIM(CLEAN('Raw Data'!G627))</f>
        <v>#GardenFriends #SeniorGreenThumb</v>
      </c>
      <c r="H627" s="12">
        <f>'Raw Data'!H627</f>
        <v>28</v>
      </c>
      <c r="I627" s="12">
        <v>45</v>
      </c>
      <c r="J627" s="12" t="str">
        <f>TRIM(UPPER('Raw Data'!J627))</f>
        <v>CANADA</v>
      </c>
      <c r="K627" s="12">
        <f>'Raw Data'!K627</f>
        <v>2023</v>
      </c>
      <c r="L627" s="12">
        <f>'Raw Data'!L627</f>
        <v>7</v>
      </c>
      <c r="M627" s="12">
        <f>'Raw Data'!M627</f>
        <v>3</v>
      </c>
      <c r="N627">
        <f>'Raw Data'!N627</f>
        <v>12</v>
      </c>
    </row>
    <row r="628" spans="1:14" ht="45" x14ac:dyDescent="0.25">
      <c r="A628" s="11">
        <f>'Raw Data'!A628</f>
        <v>626</v>
      </c>
      <c r="B628" s="8" t="str">
        <f>TRIM(CLEAN('Raw Data'!B628))</f>
        <v>Hosted a family dinner, where laughter echoed louder than the clinking of utensils. Family, the heart of happiness. #FamilyDinner #SeniorHost</v>
      </c>
      <c r="C628" s="4" t="str">
        <f>TRIM(PROPER('Raw Data'!C628))</f>
        <v>Contentment</v>
      </c>
      <c r="D628" s="5">
        <f>'Raw Data'!D628</f>
        <v>45111.708333333336</v>
      </c>
      <c r="E628" s="4" t="str">
        <f>TRIM(SUBSTITUTE('Raw Data'!E628," "," "))</f>
        <v>FamilyHostSenior</v>
      </c>
      <c r="F628" s="4" t="str">
        <f>TRIM(PROPER('Raw Data'!F628))</f>
        <v>Instagram</v>
      </c>
      <c r="G628" s="8" t="str">
        <f>TRIM(CLEAN('Raw Data'!G628))</f>
        <v>#HeartwarmingMoments #SeniorFamily</v>
      </c>
      <c r="H628" s="12">
        <f>'Raw Data'!H628</f>
        <v>35</v>
      </c>
      <c r="I628" s="12">
        <v>55</v>
      </c>
      <c r="J628" s="12" t="str">
        <f>TRIM(UPPER('Raw Data'!J628))</f>
        <v>USA</v>
      </c>
      <c r="K628" s="12">
        <f>'Raw Data'!K628</f>
        <v>2023</v>
      </c>
      <c r="L628" s="12">
        <f>'Raw Data'!L628</f>
        <v>7</v>
      </c>
      <c r="M628" s="12">
        <f>'Raw Data'!M628</f>
        <v>4</v>
      </c>
      <c r="N628">
        <f>'Raw Data'!N628</f>
        <v>17</v>
      </c>
    </row>
    <row r="629" spans="1:14" ht="45" x14ac:dyDescent="0.25">
      <c r="A629" s="11">
        <f>'Raw Data'!A629</f>
        <v>627</v>
      </c>
      <c r="B629" s="8" t="str">
        <f>TRIM(CLEAN('Raw Data'!B629))</f>
        <v>Enrolled in a dance class for seniors, moving to the rhythm of life. Age is just a number on the dance floor. #DanceClass #SeniorDancer</v>
      </c>
      <c r="C629" s="4" t="str">
        <f>TRIM(PROPER('Raw Data'!C629))</f>
        <v>Joy</v>
      </c>
      <c r="D629" s="5">
        <f>'Raw Data'!D629</f>
        <v>45112.84375</v>
      </c>
      <c r="E629" s="4" t="str">
        <f>TRIM(SUBSTITUTE('Raw Data'!E629," "," "))</f>
        <v>DanceEnthusiastSenior</v>
      </c>
      <c r="F629" s="4" t="str">
        <f>TRIM(PROPER('Raw Data'!F629))</f>
        <v>Twitter</v>
      </c>
      <c r="G629" s="8" t="str">
        <f>TRIM(CLEAN('Raw Data'!G629))</f>
        <v>#DanceLife #SeniorMoves</v>
      </c>
      <c r="H629" s="12">
        <f>'Raw Data'!H629</f>
        <v>18</v>
      </c>
      <c r="I629" s="12">
        <v>70</v>
      </c>
      <c r="J629" s="12" t="str">
        <f>TRIM(UPPER('Raw Data'!J629))</f>
        <v>UK</v>
      </c>
      <c r="K629" s="12">
        <f>'Raw Data'!K629</f>
        <v>2023</v>
      </c>
      <c r="L629" s="12">
        <f>'Raw Data'!L629</f>
        <v>7</v>
      </c>
      <c r="M629" s="12">
        <f>'Raw Data'!M629</f>
        <v>5</v>
      </c>
      <c r="N629">
        <f>'Raw Data'!N629</f>
        <v>20</v>
      </c>
    </row>
    <row r="630" spans="1:14" ht="45" x14ac:dyDescent="0.25">
      <c r="A630" s="11">
        <f>'Raw Data'!A630</f>
        <v>628</v>
      </c>
      <c r="B630" s="8" t="str">
        <f>TRIM(CLEAN('Raw Data'!B630))</f>
        <v>Visited an art gallery, appreciating the brushstrokes that tell tales of creativity. Art, an eternal companion. #ArtGallery #SeniorArtLover</v>
      </c>
      <c r="C630" s="4" t="str">
        <f>TRIM(PROPER('Raw Data'!C630))</f>
        <v>Joy</v>
      </c>
      <c r="D630" s="5">
        <f>'Raw Data'!D630</f>
        <v>45113.604166666664</v>
      </c>
      <c r="E630" s="4" t="str">
        <f>TRIM(SUBSTITUTE('Raw Data'!E630," "," "))</f>
        <v>ArtGalleryVisitor</v>
      </c>
      <c r="F630" s="4" t="str">
        <f>TRIM(PROPER('Raw Data'!F630))</f>
        <v>Facebook</v>
      </c>
      <c r="G630" s="8" t="str">
        <f>TRIM(CLEAN('Raw Data'!G630))</f>
        <v>#CreativeExpressions #SeniorArt</v>
      </c>
      <c r="H630" s="12">
        <f>'Raw Data'!H630</f>
        <v>25</v>
      </c>
      <c r="I630" s="12">
        <v>35</v>
      </c>
      <c r="J630" s="12" t="str">
        <f>TRIM(UPPER('Raw Data'!J630))</f>
        <v>USA</v>
      </c>
      <c r="K630" s="12">
        <f>'Raw Data'!K630</f>
        <v>2023</v>
      </c>
      <c r="L630" s="12">
        <f>'Raw Data'!L630</f>
        <v>7</v>
      </c>
      <c r="M630" s="12">
        <f>'Raw Data'!M630</f>
        <v>6</v>
      </c>
      <c r="N630">
        <f>'Raw Data'!N630</f>
        <v>14</v>
      </c>
    </row>
    <row r="631" spans="1:14" ht="45" x14ac:dyDescent="0.25">
      <c r="A631" s="11">
        <f>'Raw Data'!A631</f>
        <v>629</v>
      </c>
      <c r="B631" s="8" t="str">
        <f>TRIM(CLEAN('Raw Data'!B631))</f>
        <v>Started a book club for seniors, where discussions are as lively as the characters in the novels. #BookClub #SeniorReaders</v>
      </c>
      <c r="C631" s="4" t="str">
        <f>TRIM(PROPER('Raw Data'!C631))</f>
        <v>Joy</v>
      </c>
      <c r="D631" s="5">
        <f>'Raw Data'!D631</f>
        <v>45114.822916666664</v>
      </c>
      <c r="E631" s="4" t="str">
        <f>TRIM(SUBSTITUTE('Raw Data'!E631," "," "))</f>
        <v>SeniorBookClub</v>
      </c>
      <c r="F631" s="4" t="str">
        <f>TRIM(PROPER('Raw Data'!F631))</f>
        <v>Instagram</v>
      </c>
      <c r="G631" s="8" t="str">
        <f>TRIM(CLEAN('Raw Data'!G631))</f>
        <v>#BookishTalks #SeniorBookworms</v>
      </c>
      <c r="H631" s="12">
        <f>'Raw Data'!H631</f>
        <v>22</v>
      </c>
      <c r="I631" s="12">
        <v>50</v>
      </c>
      <c r="J631" s="12" t="str">
        <f>TRIM(UPPER('Raw Data'!J631))</f>
        <v>UK</v>
      </c>
      <c r="K631" s="12">
        <f>'Raw Data'!K631</f>
        <v>2023</v>
      </c>
      <c r="L631" s="12">
        <f>'Raw Data'!L631</f>
        <v>7</v>
      </c>
      <c r="M631" s="12">
        <f>'Raw Data'!M631</f>
        <v>7</v>
      </c>
      <c r="N631">
        <f>'Raw Data'!N631</f>
        <v>19</v>
      </c>
    </row>
    <row r="632" spans="1:14" ht="45" x14ac:dyDescent="0.25">
      <c r="A632" s="11">
        <f>'Raw Data'!A632</f>
        <v>630</v>
      </c>
      <c r="B632" s="8" t="str">
        <f>TRIM(CLEAN('Raw Data'!B632))</f>
        <v>Hosted a picnic in the park, basking in the warmth of friendship and sunshine. Simple joys, timeless memories. #ParkPicnic #SeniorJoy</v>
      </c>
      <c r="C632" s="4" t="str">
        <f>TRIM(PROPER('Raw Data'!C632))</f>
        <v>Contentment</v>
      </c>
      <c r="D632" s="5">
        <f>'Raw Data'!D632</f>
        <v>45115.666666666664</v>
      </c>
      <c r="E632" s="4" t="str">
        <f>TRIM(SUBSTITUTE('Raw Data'!E632," "," "))</f>
        <v>SeniorPicnicHost</v>
      </c>
      <c r="F632" s="4" t="str">
        <f>TRIM(PROPER('Raw Data'!F632))</f>
        <v>Twitter</v>
      </c>
      <c r="G632" s="8" t="str">
        <f>TRIM(CLEAN('Raw Data'!G632))</f>
        <v>#FriendshipSunshine #SeniorMemories</v>
      </c>
      <c r="H632" s="12">
        <f>'Raw Data'!H632</f>
        <v>30</v>
      </c>
      <c r="I632" s="12">
        <v>45</v>
      </c>
      <c r="J632" s="12" t="str">
        <f>TRIM(UPPER('Raw Data'!J632))</f>
        <v>CANADA</v>
      </c>
      <c r="K632" s="12">
        <f>'Raw Data'!K632</f>
        <v>2023</v>
      </c>
      <c r="L632" s="12">
        <f>'Raw Data'!L632</f>
        <v>7</v>
      </c>
      <c r="M632" s="12">
        <f>'Raw Data'!M632</f>
        <v>8</v>
      </c>
      <c r="N632">
        <f>'Raw Data'!N632</f>
        <v>16</v>
      </c>
    </row>
    <row r="633" spans="1:14" ht="45" x14ac:dyDescent="0.25">
      <c r="A633" s="11">
        <f>'Raw Data'!A633</f>
        <v>631</v>
      </c>
      <c r="B633" s="8" t="str">
        <f>TRIM(CLEAN('Raw Data'!B633))</f>
        <v>Participated in a local theater production, proving that the stage belongs to every age. #TheaterProduction #SeniorActor</v>
      </c>
      <c r="C633" s="4" t="str">
        <f>TRIM(PROPER('Raw Data'!C633))</f>
        <v>Joy</v>
      </c>
      <c r="D633" s="5">
        <f>'Raw Data'!D633</f>
        <v>45116.9375</v>
      </c>
      <c r="E633" s="4" t="str">
        <f>TRIM(SUBSTITUTE('Raw Data'!E633," "," "))</f>
        <v>SeniorActor</v>
      </c>
      <c r="F633" s="4" t="str">
        <f>TRIM(PROPER('Raw Data'!F633))</f>
        <v>Facebook</v>
      </c>
      <c r="G633" s="8" t="str">
        <f>TRIM(CLEAN('Raw Data'!G633))</f>
        <v>#StagePassion #SeniorTheater</v>
      </c>
      <c r="H633" s="12">
        <f>'Raw Data'!H633</f>
        <v>20</v>
      </c>
      <c r="I633" s="12">
        <v>60</v>
      </c>
      <c r="J633" s="12" t="str">
        <f>TRIM(UPPER('Raw Data'!J633))</f>
        <v>USA</v>
      </c>
      <c r="K633" s="12">
        <f>'Raw Data'!K633</f>
        <v>2023</v>
      </c>
      <c r="L633" s="12">
        <f>'Raw Data'!L633</f>
        <v>7</v>
      </c>
      <c r="M633" s="12">
        <f>'Raw Data'!M633</f>
        <v>9</v>
      </c>
      <c r="N633">
        <f>'Raw Data'!N633</f>
        <v>22</v>
      </c>
    </row>
    <row r="634" spans="1:14" ht="60" x14ac:dyDescent="0.25">
      <c r="A634" s="11">
        <f>'Raw Data'!A634</f>
        <v>632</v>
      </c>
      <c r="B634" s="8" t="str">
        <f>TRIM(CLEAN('Raw Data'!B634))</f>
        <v>Embarked on a hiking adventure, conquering trails and relishing the beauty of nature. Age is just a number on the mountaintop. #HikingAdventure #SeniorHiker</v>
      </c>
      <c r="C634" s="4" t="str">
        <f>TRIM(PROPER('Raw Data'!C634))</f>
        <v>Excitement</v>
      </c>
      <c r="D634" s="5">
        <f>'Raw Data'!D634</f>
        <v>45117.597222222219</v>
      </c>
      <c r="E634" s="4" t="str">
        <f>TRIM(SUBSTITUTE('Raw Data'!E634," "," "))</f>
        <v>SeniorHikerExplorer</v>
      </c>
      <c r="F634" s="4" t="str">
        <f>TRIM(PROPER('Raw Data'!F634))</f>
        <v>Instagram</v>
      </c>
      <c r="G634" s="8" t="str">
        <f>TRIM(CLEAN('Raw Data'!G634))</f>
        <v>#NatureTrailBlazer #SeniorExplorer</v>
      </c>
      <c r="H634" s="12">
        <f>'Raw Data'!H634</f>
        <v>28</v>
      </c>
      <c r="I634" s="12">
        <v>40</v>
      </c>
      <c r="J634" s="12" t="str">
        <f>TRIM(UPPER('Raw Data'!J634))</f>
        <v>UK</v>
      </c>
      <c r="K634" s="12">
        <f>'Raw Data'!K634</f>
        <v>2023</v>
      </c>
      <c r="L634" s="12">
        <f>'Raw Data'!L634</f>
        <v>7</v>
      </c>
      <c r="M634" s="12">
        <f>'Raw Data'!M634</f>
        <v>10</v>
      </c>
      <c r="N634">
        <f>'Raw Data'!N634</f>
        <v>14</v>
      </c>
    </row>
    <row r="635" spans="1:14" ht="45" x14ac:dyDescent="0.25">
      <c r="A635" s="11">
        <f>'Raw Data'!A635</f>
        <v>633</v>
      </c>
      <c r="B635" s="8" t="str">
        <f>TRIM(CLEAN('Raw Data'!B635))</f>
        <v>Hosted a photography exhibition featuring snapshots of a life well-lived. Every photo has a story to tell. #PhotographyExhibition #SeniorPhotographer</v>
      </c>
      <c r="C635" s="4" t="str">
        <f>TRIM(PROPER('Raw Data'!C635))</f>
        <v>Gratitude</v>
      </c>
      <c r="D635" s="5">
        <f>'Raw Data'!D635</f>
        <v>45118.78125</v>
      </c>
      <c r="E635" s="4" t="str">
        <f>TRIM(SUBSTITUTE('Raw Data'!E635," "," "))</f>
        <v>SeniorPhotographerExhibitor</v>
      </c>
      <c r="F635" s="4" t="str">
        <f>TRIM(PROPER('Raw Data'!F635))</f>
        <v>Twitter</v>
      </c>
      <c r="G635" s="8" t="str">
        <f>TRIM(CLEAN('Raw Data'!G635))</f>
        <v>#LifeInPictures #SeniorExhibition</v>
      </c>
      <c r="H635" s="12">
        <f>'Raw Data'!H635</f>
        <v>22</v>
      </c>
      <c r="I635" s="12">
        <v>55</v>
      </c>
      <c r="J635" s="12" t="str">
        <f>TRIM(UPPER('Raw Data'!J635))</f>
        <v>CANADA</v>
      </c>
      <c r="K635" s="12">
        <f>'Raw Data'!K635</f>
        <v>2023</v>
      </c>
      <c r="L635" s="12">
        <f>'Raw Data'!L635</f>
        <v>7</v>
      </c>
      <c r="M635" s="12">
        <f>'Raw Data'!M635</f>
        <v>11</v>
      </c>
      <c r="N635">
        <f>'Raw Data'!N635</f>
        <v>18</v>
      </c>
    </row>
    <row r="636" spans="1:14" ht="45" x14ac:dyDescent="0.25">
      <c r="A636" s="11">
        <f>'Raw Data'!A636</f>
        <v>634</v>
      </c>
      <c r="B636" s="8" t="str">
        <f>TRIM(CLEAN('Raw Data'!B636))</f>
        <v>Joined a seniors' cycling club, feeling the wind in my hair and the freedom of the open road. #CyclingClub #SeniorCyclist</v>
      </c>
      <c r="C636" s="4" t="str">
        <f>TRIM(PROPER('Raw Data'!C636))</f>
        <v>Excitement</v>
      </c>
      <c r="D636" s="5">
        <f>'Raw Data'!D636</f>
        <v>45119.572916666664</v>
      </c>
      <c r="E636" s="4" t="str">
        <f>TRIM(SUBSTITUTE('Raw Data'!E636," "," "))</f>
        <v>SeniorCyclingEnthusiast</v>
      </c>
      <c r="F636" s="4" t="str">
        <f>TRIM(PROPER('Raw Data'!F636))</f>
        <v>Facebook</v>
      </c>
      <c r="G636" s="8" t="str">
        <f>TRIM(CLEAN('Raw Data'!G636))</f>
        <v>#OpenRoadAdventures #SeniorCycling</v>
      </c>
      <c r="H636" s="12">
        <f>'Raw Data'!H636</f>
        <v>25</v>
      </c>
      <c r="I636" s="12">
        <v>45</v>
      </c>
      <c r="J636" s="12" t="str">
        <f>TRIM(UPPER('Raw Data'!J636))</f>
        <v>USA</v>
      </c>
      <c r="K636" s="12">
        <f>'Raw Data'!K636</f>
        <v>2023</v>
      </c>
      <c r="L636" s="12">
        <f>'Raw Data'!L636</f>
        <v>7</v>
      </c>
      <c r="M636" s="12">
        <f>'Raw Data'!M636</f>
        <v>12</v>
      </c>
      <c r="N636">
        <f>'Raw Data'!N636</f>
        <v>13</v>
      </c>
    </row>
    <row r="637" spans="1:14" ht="45" x14ac:dyDescent="0.25">
      <c r="A637" s="11">
        <f>'Raw Data'!A637</f>
        <v>635</v>
      </c>
      <c r="B637" s="8" t="str">
        <f>TRIM(CLEAN('Raw Data'!B637))</f>
        <v>Attended a wine tasting event, savoring the richness of flavors that age like fine wine. Cheers to the golden years! #WineTasting #SeniorWineLover</v>
      </c>
      <c r="C637" s="4" t="str">
        <f>TRIM(PROPER('Raw Data'!C637))</f>
        <v>Joy</v>
      </c>
      <c r="D637" s="5">
        <f>'Raw Data'!D637</f>
        <v>45120.833333333336</v>
      </c>
      <c r="E637" s="4" t="str">
        <f>TRIM(SUBSTITUTE('Raw Data'!E637," "," "))</f>
        <v>SeniorWineConnoisseur</v>
      </c>
      <c r="F637" s="4" t="str">
        <f>TRIM(PROPER('Raw Data'!F637))</f>
        <v>Instagram</v>
      </c>
      <c r="G637" s="8" t="str">
        <f>TRIM(CLEAN('Raw Data'!G637))</f>
        <v>#AgedToPerfection #SeniorCheers</v>
      </c>
      <c r="H637" s="12">
        <f>'Raw Data'!H637</f>
        <v>35</v>
      </c>
      <c r="I637" s="12">
        <v>50</v>
      </c>
      <c r="J637" s="12" t="str">
        <f>TRIM(UPPER('Raw Data'!J637))</f>
        <v>UK</v>
      </c>
      <c r="K637" s="12">
        <f>'Raw Data'!K637</f>
        <v>2023</v>
      </c>
      <c r="L637" s="12">
        <f>'Raw Data'!L637</f>
        <v>7</v>
      </c>
      <c r="M637" s="12">
        <f>'Raw Data'!M637</f>
        <v>13</v>
      </c>
      <c r="N637">
        <f>'Raw Data'!N637</f>
        <v>20</v>
      </c>
    </row>
    <row r="638" spans="1:14" ht="45" x14ac:dyDescent="0.25">
      <c r="A638" s="11">
        <f>'Raw Data'!A638</f>
        <v>636</v>
      </c>
      <c r="B638" s="8" t="str">
        <f>TRIM(CLEAN('Raw Data'!B638))</f>
        <v>Started learning ballroom dancing, gliding gracefully across the dance floor. Ageless elegance in every step. #BallroomDancing #SeniorDancer</v>
      </c>
      <c r="C638" s="4" t="str">
        <f>TRIM(PROPER('Raw Data'!C638))</f>
        <v>Joy</v>
      </c>
      <c r="D638" s="5">
        <f>'Raw Data'!D638</f>
        <v>45121.677083333336</v>
      </c>
      <c r="E638" s="4" t="str">
        <f>TRIM(SUBSTITUTE('Raw Data'!E638," "," "))</f>
        <v>SeniorBallroomDancer</v>
      </c>
      <c r="F638" s="4" t="str">
        <f>TRIM(PROPER('Raw Data'!F638))</f>
        <v>Twitter</v>
      </c>
      <c r="G638" s="8" t="str">
        <f>TRIM(CLEAN('Raw Data'!G638))</f>
        <v>#GracefulMoves #SeniorDance</v>
      </c>
      <c r="H638" s="12">
        <f>'Raw Data'!H638</f>
        <v>20</v>
      </c>
      <c r="I638" s="12">
        <v>70</v>
      </c>
      <c r="J638" s="12" t="str">
        <f>TRIM(UPPER('Raw Data'!J638))</f>
        <v>USA</v>
      </c>
      <c r="K638" s="12">
        <f>'Raw Data'!K638</f>
        <v>2023</v>
      </c>
      <c r="L638" s="12">
        <f>'Raw Data'!L638</f>
        <v>7</v>
      </c>
      <c r="M638" s="12">
        <f>'Raw Data'!M638</f>
        <v>14</v>
      </c>
      <c r="N638">
        <f>'Raw Data'!N638</f>
        <v>16</v>
      </c>
    </row>
    <row r="639" spans="1:14" ht="45" x14ac:dyDescent="0.25">
      <c r="A639" s="11">
        <f>'Raw Data'!A639</f>
        <v>637</v>
      </c>
      <c r="B639" s="8" t="str">
        <f>TRIM(CLEAN('Raw Data'!B639))</f>
        <v>Organized a community painting event, turning blank canvases into a masterpiece of shared creativity. #PaintingEvent #SeniorArtist</v>
      </c>
      <c r="C639" s="4" t="str">
        <f>TRIM(PROPER('Raw Data'!C639))</f>
        <v>Joy</v>
      </c>
      <c r="D639" s="5">
        <f>'Raw Data'!D639</f>
        <v>45122.8125</v>
      </c>
      <c r="E639" s="4" t="str">
        <f>TRIM(SUBSTITUTE('Raw Data'!E639," "," "))</f>
        <v>SeniorPaintingOrganizer</v>
      </c>
      <c r="F639" s="4" t="str">
        <f>TRIM(PROPER('Raw Data'!F639))</f>
        <v>Facebook</v>
      </c>
      <c r="G639" s="8" t="str">
        <f>TRIM(CLEAN('Raw Data'!G639))</f>
        <v>#CommunityArt #SeniorCreativity</v>
      </c>
      <c r="H639" s="12">
        <f>'Raw Data'!H639</f>
        <v>28</v>
      </c>
      <c r="I639" s="12">
        <v>40</v>
      </c>
      <c r="J639" s="12" t="str">
        <f>TRIM(UPPER('Raw Data'!J639))</f>
        <v>CANADA</v>
      </c>
      <c r="K639" s="12">
        <f>'Raw Data'!K639</f>
        <v>2023</v>
      </c>
      <c r="L639" s="12">
        <f>'Raw Data'!L639</f>
        <v>7</v>
      </c>
      <c r="M639" s="12">
        <f>'Raw Data'!M639</f>
        <v>15</v>
      </c>
      <c r="N639">
        <f>'Raw Data'!N639</f>
        <v>19</v>
      </c>
    </row>
    <row r="640" spans="1:14" ht="45" x14ac:dyDescent="0.25">
      <c r="A640" s="11">
        <f>'Raw Data'!A640</f>
        <v>638</v>
      </c>
      <c r="B640" s="8" t="str">
        <f>TRIM(CLEAN('Raw Data'!B640))</f>
        <v>Hosted a 'memory lane' evening with old friends, reminiscing about the adventures that shaped our lives. #MemoryLane #SeniorReminiscing</v>
      </c>
      <c r="C640" s="4" t="str">
        <f>TRIM(PROPER('Raw Data'!C640))</f>
        <v>Gratitude</v>
      </c>
      <c r="D640" s="5">
        <f>'Raw Data'!D640</f>
        <v>45123.583333333336</v>
      </c>
      <c r="E640" s="4" t="str">
        <f>TRIM(SUBSTITUTE('Raw Data'!E640," "," "))</f>
        <v>SeniorMemoriesHost</v>
      </c>
      <c r="F640" s="4" t="str">
        <f>TRIM(PROPER('Raw Data'!F640))</f>
        <v>Instagram</v>
      </c>
      <c r="G640" s="8" t="str">
        <f>TRIM(CLEAN('Raw Data'!G640))</f>
        <v>#FriendshipAdventures #SeniorNostalgia</v>
      </c>
      <c r="H640" s="12">
        <f>'Raw Data'!H640</f>
        <v>30</v>
      </c>
      <c r="I640" s="12">
        <v>55</v>
      </c>
      <c r="J640" s="12" t="str">
        <f>TRIM(UPPER('Raw Data'!J640))</f>
        <v>USA</v>
      </c>
      <c r="K640" s="12">
        <f>'Raw Data'!K640</f>
        <v>2023</v>
      </c>
      <c r="L640" s="12">
        <f>'Raw Data'!L640</f>
        <v>7</v>
      </c>
      <c r="M640" s="12">
        <f>'Raw Data'!M640</f>
        <v>16</v>
      </c>
      <c r="N640">
        <f>'Raw Data'!N640</f>
        <v>14</v>
      </c>
    </row>
    <row r="641" spans="1:14" ht="45" x14ac:dyDescent="0.25">
      <c r="A641" s="11">
        <f>'Raw Data'!A641</f>
        <v>639</v>
      </c>
      <c r="B641" s="8" t="str">
        <f>TRIM(CLEAN('Raw Data'!B641))</f>
        <v>Joined a seniors' astronomy club, stargazing and finding wonder in the vastness of the cosmos. #AstronomyClub #SeniorStargazer</v>
      </c>
      <c r="C641" s="4" t="str">
        <f>TRIM(PROPER('Raw Data'!C641))</f>
        <v>Curiosity</v>
      </c>
      <c r="D641" s="5">
        <f>'Raw Data'!D641</f>
        <v>45124.927083333336</v>
      </c>
      <c r="E641" s="4" t="str">
        <f>TRIM(SUBSTITUTE('Raw Data'!E641," "," "))</f>
        <v>SeniorStargazer</v>
      </c>
      <c r="F641" s="4" t="str">
        <f>TRIM(PROPER('Raw Data'!F641))</f>
        <v>Twitter</v>
      </c>
      <c r="G641" s="8" t="str">
        <f>TRIM(CLEAN('Raw Data'!G641))</f>
        <v>#CelestialWonders #SeniorAstronomy</v>
      </c>
      <c r="H641" s="12">
        <f>'Raw Data'!H641</f>
        <v>18</v>
      </c>
      <c r="I641" s="12">
        <v>60</v>
      </c>
      <c r="J641" s="12" t="str">
        <f>TRIM(UPPER('Raw Data'!J641))</f>
        <v>UK</v>
      </c>
      <c r="K641" s="12">
        <f>'Raw Data'!K641</f>
        <v>2023</v>
      </c>
      <c r="L641" s="12">
        <f>'Raw Data'!L641</f>
        <v>7</v>
      </c>
      <c r="M641" s="12">
        <f>'Raw Data'!M641</f>
        <v>17</v>
      </c>
      <c r="N641">
        <f>'Raw Data'!N641</f>
        <v>22</v>
      </c>
    </row>
    <row r="642" spans="1:14" ht="45" x14ac:dyDescent="0.25">
      <c r="A642" s="11">
        <f>'Raw Data'!A642</f>
        <v>640</v>
      </c>
      <c r="B642" s="8" t="str">
        <f>TRIM(CLEAN('Raw Data'!B642))</f>
        <v>Attended a local jazz festival, tapping toes to the tunes that have stood the test of time. Music, a lifelong love affair. #JazzFestival #SeniorMusicLover</v>
      </c>
      <c r="C642" s="4" t="str">
        <f>TRIM(PROPER('Raw Data'!C642))</f>
        <v>Joy</v>
      </c>
      <c r="D642" s="5">
        <f>'Raw Data'!D642</f>
        <v>45125.6875</v>
      </c>
      <c r="E642" s="4" t="str">
        <f>TRIM(SUBSTITUTE('Raw Data'!E642," "," "))</f>
        <v>SeniorJazzFestivalGoer</v>
      </c>
      <c r="F642" s="4" t="str">
        <f>TRIM(PROPER('Raw Data'!F642))</f>
        <v>Facebook</v>
      </c>
      <c r="G642" s="8" t="str">
        <f>TRIM(CLEAN('Raw Data'!G642))</f>
        <v>#TimelessTunes #SeniorJazz</v>
      </c>
      <c r="H642" s="12">
        <f>'Raw Data'!H642</f>
        <v>25</v>
      </c>
      <c r="I642" s="12">
        <v>35</v>
      </c>
      <c r="J642" s="12" t="str">
        <f>TRIM(UPPER('Raw Data'!J642))</f>
        <v>USA</v>
      </c>
      <c r="K642" s="12">
        <f>'Raw Data'!K642</f>
        <v>2023</v>
      </c>
      <c r="L642" s="12">
        <f>'Raw Data'!L642</f>
        <v>7</v>
      </c>
      <c r="M642" s="12">
        <f>'Raw Data'!M642</f>
        <v>18</v>
      </c>
      <c r="N642">
        <f>'Raw Data'!N642</f>
        <v>16</v>
      </c>
    </row>
    <row r="643" spans="1:14" ht="45" x14ac:dyDescent="0.25">
      <c r="A643" s="11">
        <f>'Raw Data'!A643</f>
        <v>641</v>
      </c>
      <c r="B643" s="8" t="str">
        <f>TRIM(CLEAN('Raw Data'!B643))</f>
        <v>Started a blog sharing the wisdom gained through the years, proving that every day is a chance to learn and grow. #SeniorWisdom #Blog</v>
      </c>
      <c r="C643" s="4" t="str">
        <f>TRIM(PROPER('Raw Data'!C643))</f>
        <v>Gratitude</v>
      </c>
      <c r="D643" s="5">
        <f>'Raw Data'!D643</f>
        <v>45126.822916666664</v>
      </c>
      <c r="E643" s="4" t="str">
        <f>TRIM(SUBSTITUTE('Raw Data'!E643," "," "))</f>
        <v>WisdomBloggerSenior</v>
      </c>
      <c r="F643" s="4" t="str">
        <f>TRIM(PROPER('Raw Data'!F643))</f>
        <v>Instagram</v>
      </c>
      <c r="G643" s="8" t="str">
        <f>TRIM(CLEAN('Raw Data'!G643))</f>
        <v>#LifeLessons #SeniorBlog</v>
      </c>
      <c r="H643" s="12">
        <f>'Raw Data'!H643</f>
        <v>22</v>
      </c>
      <c r="I643" s="12">
        <v>50</v>
      </c>
      <c r="J643" s="12" t="str">
        <f>TRIM(UPPER('Raw Data'!J643))</f>
        <v>UK</v>
      </c>
      <c r="K643" s="12">
        <f>'Raw Data'!K643</f>
        <v>2023</v>
      </c>
      <c r="L643" s="12">
        <f>'Raw Data'!L643</f>
        <v>7</v>
      </c>
      <c r="M643" s="12">
        <f>'Raw Data'!M643</f>
        <v>19</v>
      </c>
      <c r="N643">
        <f>'Raw Data'!N643</f>
        <v>19</v>
      </c>
    </row>
    <row r="644" spans="1:14" ht="45" x14ac:dyDescent="0.25">
      <c r="A644" s="11">
        <f>'Raw Data'!A644</f>
        <v>642</v>
      </c>
      <c r="B644" s="8" t="str">
        <f>TRIM(CLEAN('Raw Data'!B644))</f>
        <v>Participated in a charity run, proving that age is no barrier to supporting meaningful causes. #CharityRun #SeniorRunner</v>
      </c>
      <c r="C644" s="4" t="str">
        <f>TRIM(PROPER('Raw Data'!C644))</f>
        <v>Excitement</v>
      </c>
      <c r="D644" s="5">
        <f>'Raw Data'!D644</f>
        <v>45127.708333333336</v>
      </c>
      <c r="E644" s="4" t="str">
        <f>TRIM(SUBSTITUTE('Raw Data'!E644," "," "))</f>
        <v>SeniorCharityRunner</v>
      </c>
      <c r="F644" s="4" t="str">
        <f>TRIM(PROPER('Raw Data'!F644))</f>
        <v>Twitter</v>
      </c>
      <c r="G644" s="8" t="str">
        <f>TRIM(CLEAN('Raw Data'!G644))</f>
        <v>#RunForACause #SeniorSupport</v>
      </c>
      <c r="H644" s="12">
        <f>'Raw Data'!H644</f>
        <v>30</v>
      </c>
      <c r="I644" s="12">
        <v>45</v>
      </c>
      <c r="J644" s="12" t="str">
        <f>TRIM(UPPER('Raw Data'!J644))</f>
        <v>CANADA</v>
      </c>
      <c r="K644" s="12">
        <f>'Raw Data'!K644</f>
        <v>2023</v>
      </c>
      <c r="L644" s="12">
        <f>'Raw Data'!L644</f>
        <v>7</v>
      </c>
      <c r="M644" s="12">
        <f>'Raw Data'!M644</f>
        <v>20</v>
      </c>
      <c r="N644">
        <f>'Raw Data'!N644</f>
        <v>17</v>
      </c>
    </row>
    <row r="645" spans="1:14" ht="30" x14ac:dyDescent="0.25">
      <c r="A645" s="11">
        <f>'Raw Data'!A645</f>
        <v>643</v>
      </c>
      <c r="B645" s="8" t="str">
        <f>TRIM(CLEAN('Raw Data'!B645))</f>
        <v>Survived a challenging physics exam. Equations, you won't defeat me!</v>
      </c>
      <c r="C645" s="4" t="str">
        <f>TRIM(PROPER('Raw Data'!C645))</f>
        <v>Relief</v>
      </c>
      <c r="D645" s="5">
        <f>'Raw Data'!D645</f>
        <v>45139.5625</v>
      </c>
      <c r="E645" s="4" t="str">
        <f>TRIM(SUBSTITUTE('Raw Data'!E645," "," "))</f>
        <v>PhysicsWhizHighSchool</v>
      </c>
      <c r="F645" s="4" t="str">
        <f>TRIM(PROPER('Raw Data'!F645))</f>
        <v>Instagram</v>
      </c>
      <c r="G645" s="8" t="str">
        <f>TRIM(CLEAN('Raw Data'!G645))</f>
        <v>#PhysicsSurvivor #HighSchoolAdventures</v>
      </c>
      <c r="H645" s="12">
        <f>'Raw Data'!H645</f>
        <v>20</v>
      </c>
      <c r="I645" s="12">
        <v>60</v>
      </c>
      <c r="J645" s="12" t="str">
        <f>TRIM(UPPER('Raw Data'!J645))</f>
        <v>USA</v>
      </c>
      <c r="K645" s="12">
        <f>'Raw Data'!K645</f>
        <v>2023</v>
      </c>
      <c r="L645" s="12">
        <f>'Raw Data'!L645</f>
        <v>8</v>
      </c>
      <c r="M645" s="12">
        <f>'Raw Data'!M645</f>
        <v>1</v>
      </c>
      <c r="N645">
        <f>'Raw Data'!N645</f>
        <v>13</v>
      </c>
    </row>
    <row r="646" spans="1:14" ht="45" x14ac:dyDescent="0.25">
      <c r="A646" s="11">
        <f>'Raw Data'!A646</f>
        <v>644</v>
      </c>
      <c r="B646" s="8" t="str">
        <f>TRIM(CLEAN('Raw Data'!B646))</f>
        <v>Exploring the world of coding. Debugging is an adventure on its own! #CodingJourney #HighSchoolCoder</v>
      </c>
      <c r="C646" s="4" t="str">
        <f>TRIM(PROPER('Raw Data'!C646))</f>
        <v>Excitement</v>
      </c>
      <c r="D646" s="5">
        <f>'Raw Data'!D646</f>
        <v>45140.614583333336</v>
      </c>
      <c r="E646" s="4" t="str">
        <f>TRIM(SUBSTITUTE('Raw Data'!E646," "," "))</f>
        <v>CodeExplorerHighSchool</v>
      </c>
      <c r="F646" s="4" t="str">
        <f>TRIM(PROPER('Raw Data'!F646))</f>
        <v>Twitter</v>
      </c>
      <c r="G646" s="8" t="str">
        <f>TRIM(CLEAN('Raw Data'!G646))</f>
        <v>#CodingAdventure #HighSchoolCoderLife</v>
      </c>
      <c r="H646" s="12">
        <f>'Raw Data'!H646</f>
        <v>25</v>
      </c>
      <c r="I646" s="12">
        <v>40</v>
      </c>
      <c r="J646" s="12" t="str">
        <f>TRIM(UPPER('Raw Data'!J646))</f>
        <v>UK</v>
      </c>
      <c r="K646" s="12">
        <f>'Raw Data'!K646</f>
        <v>2023</v>
      </c>
      <c r="L646" s="12">
        <f>'Raw Data'!L646</f>
        <v>8</v>
      </c>
      <c r="M646" s="12">
        <f>'Raw Data'!M646</f>
        <v>2</v>
      </c>
      <c r="N646">
        <f>'Raw Data'!N646</f>
        <v>14</v>
      </c>
    </row>
    <row r="647" spans="1:14" ht="30" x14ac:dyDescent="0.25">
      <c r="A647" s="11">
        <f>'Raw Data'!A647</f>
        <v>645</v>
      </c>
      <c r="B647" s="8" t="str">
        <f>TRIM(CLEAN('Raw Data'!B647))</f>
        <v>Joined the school debate team. Words are my weapons, and I'm ready for battle!</v>
      </c>
      <c r="C647" s="4" t="str">
        <f>TRIM(PROPER('Raw Data'!C647))</f>
        <v>Excitement</v>
      </c>
      <c r="D647" s="5">
        <f>'Raw Data'!D647</f>
        <v>45141.510416666664</v>
      </c>
      <c r="E647" s="4" t="str">
        <f>TRIM(SUBSTITUTE('Raw Data'!E647," "," "))</f>
        <v>DebateWarriorHighSchool</v>
      </c>
      <c r="F647" s="4" t="str">
        <f>TRIM(PROPER('Raw Data'!F647))</f>
        <v>Facebook</v>
      </c>
      <c r="G647" s="8" t="str">
        <f>TRIM(CLEAN('Raw Data'!G647))</f>
        <v>#DebateWarrior #HighSchoolDebater</v>
      </c>
      <c r="H647" s="12">
        <f>'Raw Data'!H647</f>
        <v>18</v>
      </c>
      <c r="I647" s="12">
        <v>50</v>
      </c>
      <c r="J647" s="12" t="str">
        <f>TRIM(UPPER('Raw Data'!J647))</f>
        <v>CANADA</v>
      </c>
      <c r="K647" s="12">
        <f>'Raw Data'!K647</f>
        <v>2023</v>
      </c>
      <c r="L647" s="12">
        <f>'Raw Data'!L647</f>
        <v>8</v>
      </c>
      <c r="M647" s="12">
        <f>'Raw Data'!M647</f>
        <v>3</v>
      </c>
      <c r="N647">
        <f>'Raw Data'!N647</f>
        <v>12</v>
      </c>
    </row>
    <row r="648" spans="1:14" ht="30" x14ac:dyDescent="0.25">
      <c r="A648" s="11">
        <f>'Raw Data'!A648</f>
        <v>646</v>
      </c>
      <c r="B648" s="8" t="str">
        <f>TRIM(CLEAN('Raw Data'!B648))</f>
        <v>Started a photography club at school. Capturing moments, one snapshot at a time!</v>
      </c>
      <c r="C648" s="4" t="str">
        <f>TRIM(PROPER('Raw Data'!C648))</f>
        <v>Joy</v>
      </c>
      <c r="D648" s="5">
        <f>'Raw Data'!D648</f>
        <v>45142.6875</v>
      </c>
      <c r="E648" s="4" t="str">
        <f>TRIM(SUBSTITUTE('Raw Data'!E648," "," "))</f>
        <v>PhotoClubHighSchool</v>
      </c>
      <c r="F648" s="4" t="str">
        <f>TRIM(PROPER('Raw Data'!F648))</f>
        <v>Instagram</v>
      </c>
      <c r="G648" s="8" t="str">
        <f>TRIM(CLEAN('Raw Data'!G648))</f>
        <v>#PhotographyClub #HighSchoolPhotographer</v>
      </c>
      <c r="H648" s="12">
        <f>'Raw Data'!H648</f>
        <v>22</v>
      </c>
      <c r="I648" s="12">
        <v>35</v>
      </c>
      <c r="J648" s="12" t="str">
        <f>TRIM(UPPER('Raw Data'!J648))</f>
        <v>USA</v>
      </c>
      <c r="K648" s="12">
        <f>'Raw Data'!K648</f>
        <v>2023</v>
      </c>
      <c r="L648" s="12">
        <f>'Raw Data'!L648</f>
        <v>8</v>
      </c>
      <c r="M648" s="12">
        <f>'Raw Data'!M648</f>
        <v>4</v>
      </c>
      <c r="N648">
        <f>'Raw Data'!N648</f>
        <v>16</v>
      </c>
    </row>
    <row r="649" spans="1:14" ht="30" x14ac:dyDescent="0.25">
      <c r="A649" s="11">
        <f>'Raw Data'!A649</f>
        <v>647</v>
      </c>
      <c r="B649" s="8" t="str">
        <f>TRIM(CLEAN('Raw Data'!B649))</f>
        <v>Daydreaming about the upcoming prom. The dress, the dance – it's a fairytale in the making!</v>
      </c>
      <c r="C649" s="4" t="str">
        <f>TRIM(PROPER('Raw Data'!C649))</f>
        <v>Excitement</v>
      </c>
      <c r="D649" s="5">
        <f>'Raw Data'!D649</f>
        <v>45143.822916666664</v>
      </c>
      <c r="E649" s="4" t="str">
        <f>TRIM(SUBSTITUTE('Raw Data'!E649," "," "))</f>
        <v>PromDreamerHighSchool</v>
      </c>
      <c r="F649" s="4" t="str">
        <f>TRIM(PROPER('Raw Data'!F649))</f>
        <v>Twitter</v>
      </c>
      <c r="G649" s="8" t="str">
        <f>TRIM(CLEAN('Raw Data'!G649))</f>
        <v>#PromDreams #HighSchoolFairytale</v>
      </c>
      <c r="H649" s="12">
        <f>'Raw Data'!H649</f>
        <v>30</v>
      </c>
      <c r="I649" s="12">
        <v>45</v>
      </c>
      <c r="J649" s="12" t="str">
        <f>TRIM(UPPER('Raw Data'!J649))</f>
        <v>CANADA</v>
      </c>
      <c r="K649" s="12">
        <f>'Raw Data'!K649</f>
        <v>2023</v>
      </c>
      <c r="L649" s="12">
        <f>'Raw Data'!L649</f>
        <v>8</v>
      </c>
      <c r="M649" s="12">
        <f>'Raw Data'!M649</f>
        <v>5</v>
      </c>
      <c r="N649">
        <f>'Raw Data'!N649</f>
        <v>19</v>
      </c>
    </row>
    <row r="650" spans="1:14" ht="30" x14ac:dyDescent="0.25">
      <c r="A650" s="11">
        <f>'Raw Data'!A650</f>
        <v>648</v>
      </c>
      <c r="B650" s="8" t="str">
        <f>TRIM(CLEAN('Raw Data'!B650))</f>
        <v>Convinced the teacher to have class outdoors. Learning equations with a side of fresh air!</v>
      </c>
      <c r="C650" s="4" t="str">
        <f>TRIM(PROPER('Raw Data'!C650))</f>
        <v>Positive</v>
      </c>
      <c r="D650" s="5">
        <f>'Raw Data'!D650</f>
        <v>45144.583333333336</v>
      </c>
      <c r="E650" s="4" t="str">
        <f>TRIM(SUBSTITUTE('Raw Data'!E650," "," "))</f>
        <v>OutdoorClassHighSchool</v>
      </c>
      <c r="F650" s="4" t="str">
        <f>TRIM(PROPER('Raw Data'!F650))</f>
        <v>Facebook</v>
      </c>
      <c r="G650" s="8" t="str">
        <f>TRIM(CLEAN('Raw Data'!G650))</f>
        <v>#OutdoorClassroom #HighSchoolExplorer</v>
      </c>
      <c r="H650" s="12">
        <f>'Raw Data'!H650</f>
        <v>28</v>
      </c>
      <c r="I650" s="12">
        <v>60</v>
      </c>
      <c r="J650" s="12" t="str">
        <f>TRIM(UPPER('Raw Data'!J650))</f>
        <v>USA</v>
      </c>
      <c r="K650" s="12">
        <f>'Raw Data'!K650</f>
        <v>2023</v>
      </c>
      <c r="L650" s="12">
        <f>'Raw Data'!L650</f>
        <v>8</v>
      </c>
      <c r="M650" s="12">
        <f>'Raw Data'!M650</f>
        <v>6</v>
      </c>
      <c r="N650">
        <f>'Raw Data'!N650</f>
        <v>14</v>
      </c>
    </row>
    <row r="651" spans="1:14" ht="30" x14ac:dyDescent="0.25">
      <c r="A651" s="11">
        <f>'Raw Data'!A651</f>
        <v>649</v>
      </c>
      <c r="B651" s="8" t="str">
        <f>TRIM(CLEAN('Raw Data'!B651))</f>
        <v>Accidentally spilled paint in art class. Abstract art, right? #ArtClassAdventures #HighSchoolArtist</v>
      </c>
      <c r="C651" s="4" t="str">
        <f>TRIM(PROPER('Raw Data'!C651))</f>
        <v>Embarrassed</v>
      </c>
      <c r="D651" s="5">
        <f>'Raw Data'!D651</f>
        <v>45145.822916666664</v>
      </c>
      <c r="E651" s="4" t="str">
        <f>TRIM(SUBSTITUTE('Raw Data'!E651," "," "))</f>
        <v>PaintSpillHighSchool</v>
      </c>
      <c r="F651" s="4" t="str">
        <f>TRIM(PROPER('Raw Data'!F651))</f>
        <v>Instagram</v>
      </c>
      <c r="G651" s="8" t="str">
        <f>TRIM(CLEAN('Raw Data'!G651))</f>
        <v>#ArtisticMishaps #HighSchoolArt</v>
      </c>
      <c r="H651" s="12">
        <f>'Raw Data'!H651</f>
        <v>22</v>
      </c>
      <c r="I651" s="12">
        <v>55</v>
      </c>
      <c r="J651" s="12" t="str">
        <f>TRIM(UPPER('Raw Data'!J651))</f>
        <v>UK</v>
      </c>
      <c r="K651" s="12">
        <f>'Raw Data'!K651</f>
        <v>2023</v>
      </c>
      <c r="L651" s="12">
        <f>'Raw Data'!L651</f>
        <v>8</v>
      </c>
      <c r="M651" s="12">
        <f>'Raw Data'!M651</f>
        <v>7</v>
      </c>
      <c r="N651">
        <f>'Raw Data'!N651</f>
        <v>19</v>
      </c>
    </row>
    <row r="652" spans="1:14" ht="30" x14ac:dyDescent="0.25">
      <c r="A652" s="11">
        <f>'Raw Data'!A652</f>
        <v>650</v>
      </c>
      <c r="B652" s="8" t="str">
        <f>TRIM(CLEAN('Raw Data'!B652))</f>
        <v>Trying to master the perfect kickflip on my skateboard. Skating into the weekend like a pro!</v>
      </c>
      <c r="C652" s="4" t="str">
        <f>TRIM(PROPER('Raw Data'!C652))</f>
        <v>Excitement</v>
      </c>
      <c r="D652" s="5">
        <f>'Raw Data'!D652</f>
        <v>45146.666666666664</v>
      </c>
      <c r="E652" s="4" t="str">
        <f>TRIM(SUBSTITUTE('Raw Data'!E652," "," "))</f>
        <v>SkateProHighSchool</v>
      </c>
      <c r="F652" s="4" t="str">
        <f>TRIM(PROPER('Raw Data'!F652))</f>
        <v>Twitter</v>
      </c>
      <c r="G652" s="8" t="str">
        <f>TRIM(CLEAN('Raw Data'!G652))</f>
        <v>#SkaterLife #HighSchoolSkater</v>
      </c>
      <c r="H652" s="12">
        <f>'Raw Data'!H652</f>
        <v>30</v>
      </c>
      <c r="I652" s="12">
        <v>45</v>
      </c>
      <c r="J652" s="12" t="str">
        <f>TRIM(UPPER('Raw Data'!J652))</f>
        <v>CANADA</v>
      </c>
      <c r="K652" s="12">
        <f>'Raw Data'!K652</f>
        <v>2023</v>
      </c>
      <c r="L652" s="12">
        <f>'Raw Data'!L652</f>
        <v>8</v>
      </c>
      <c r="M652" s="12">
        <f>'Raw Data'!M652</f>
        <v>8</v>
      </c>
      <c r="N652">
        <f>'Raw Data'!N652</f>
        <v>16</v>
      </c>
    </row>
    <row r="653" spans="1:14" ht="30" x14ac:dyDescent="0.25">
      <c r="A653" s="11">
        <f>'Raw Data'!A653</f>
        <v>651</v>
      </c>
      <c r="B653" s="8" t="str">
        <f>TRIM(CLEAN('Raw Data'!B653))</f>
        <v>Bonding with friends over the latest K-pop sensation. Fangirling at its finest!</v>
      </c>
      <c r="C653" s="4" t="str">
        <f>TRIM(PROPER('Raw Data'!C653))</f>
        <v>Joy</v>
      </c>
      <c r="D653" s="5">
        <f>'Raw Data'!D653</f>
        <v>45147.9375</v>
      </c>
      <c r="E653" s="4" t="str">
        <f>TRIM(SUBSTITUTE('Raw Data'!E653," "," "))</f>
        <v>KpopFangirlHighSchool</v>
      </c>
      <c r="F653" s="4" t="str">
        <f>TRIM(PROPER('Raw Data'!F653))</f>
        <v>Facebook</v>
      </c>
      <c r="G653" s="8" t="str">
        <f>TRIM(CLEAN('Raw Data'!G653))</f>
        <v>#KpopFangirl #HighSchoolMusic</v>
      </c>
      <c r="H653" s="12">
        <f>'Raw Data'!H653</f>
        <v>20</v>
      </c>
      <c r="I653" s="12">
        <v>60</v>
      </c>
      <c r="J653" s="12" t="str">
        <f>TRIM(UPPER('Raw Data'!J653))</f>
        <v>USA</v>
      </c>
      <c r="K653" s="12">
        <f>'Raw Data'!K653</f>
        <v>2023</v>
      </c>
      <c r="L653" s="12">
        <f>'Raw Data'!L653</f>
        <v>8</v>
      </c>
      <c r="M653" s="12">
        <f>'Raw Data'!M653</f>
        <v>9</v>
      </c>
      <c r="N653">
        <f>'Raw Data'!N653</f>
        <v>22</v>
      </c>
    </row>
    <row r="654" spans="1:14" ht="30" x14ac:dyDescent="0.25">
      <c r="A654" s="11">
        <f>'Raw Data'!A654</f>
        <v>652</v>
      </c>
      <c r="B654" s="8" t="str">
        <f>TRIM(CLEAN('Raw Data'!B654))</f>
        <v>Spent hours perfecting a chemistry experiment. Mixing potions like a wizard!</v>
      </c>
      <c r="C654" s="4" t="str">
        <f>TRIM(PROPER('Raw Data'!C654))</f>
        <v>Joy</v>
      </c>
      <c r="D654" s="5">
        <f>'Raw Data'!D654</f>
        <v>45148.597222222219</v>
      </c>
      <c r="E654" s="4" t="str">
        <f>TRIM(SUBSTITUTE('Raw Data'!E654," "," "))</f>
        <v>ChemistryWizardHighSchool</v>
      </c>
      <c r="F654" s="4" t="str">
        <f>TRIM(PROPER('Raw Data'!F654))</f>
        <v>Instagram</v>
      </c>
      <c r="G654" s="8" t="str">
        <f>TRIM(CLEAN('Raw Data'!G654))</f>
        <v>#ChemistryWizard #HighSchoolScientist</v>
      </c>
      <c r="H654" s="12">
        <f>'Raw Data'!H654</f>
        <v>28</v>
      </c>
      <c r="I654" s="12">
        <v>40</v>
      </c>
      <c r="J654" s="12" t="str">
        <f>TRIM(UPPER('Raw Data'!J654))</f>
        <v>UK</v>
      </c>
      <c r="K654" s="12">
        <f>'Raw Data'!K654</f>
        <v>2023</v>
      </c>
      <c r="L654" s="12">
        <f>'Raw Data'!L654</f>
        <v>8</v>
      </c>
      <c r="M654" s="12">
        <f>'Raw Data'!M654</f>
        <v>10</v>
      </c>
      <c r="N654">
        <f>'Raw Data'!N654</f>
        <v>14</v>
      </c>
    </row>
    <row r="655" spans="1:14" ht="30" x14ac:dyDescent="0.25">
      <c r="A655" s="11">
        <f>'Raw Data'!A655</f>
        <v>653</v>
      </c>
      <c r="B655" s="8" t="str">
        <f>TRIM(CLEAN('Raw Data'!B655))</f>
        <v>Successfully organized a surprise birthday party for a friend. Party planning expert mode: Achieved!</v>
      </c>
      <c r="C655" s="4" t="str">
        <f>TRIM(PROPER('Raw Data'!C655))</f>
        <v>Joy</v>
      </c>
      <c r="D655" s="5">
        <f>'Raw Data'!D655</f>
        <v>45149.78125</v>
      </c>
      <c r="E655" s="4" t="str">
        <f>TRIM(SUBSTITUTE('Raw Data'!E655," "," "))</f>
        <v>BirthdayPartyPlannerHighSchool</v>
      </c>
      <c r="F655" s="4" t="str">
        <f>TRIM(PROPER('Raw Data'!F655))</f>
        <v>Twitter</v>
      </c>
      <c r="G655" s="8" t="str">
        <f>TRIM(CLEAN('Raw Data'!G655))</f>
        <v>#BirthdayParty #HighSchoolCelebration</v>
      </c>
      <c r="H655" s="12">
        <f>'Raw Data'!H655</f>
        <v>22</v>
      </c>
      <c r="I655" s="12">
        <v>55</v>
      </c>
      <c r="J655" s="12" t="str">
        <f>TRIM(UPPER('Raw Data'!J655))</f>
        <v>CANADA</v>
      </c>
      <c r="K655" s="12">
        <f>'Raw Data'!K655</f>
        <v>2023</v>
      </c>
      <c r="L655" s="12">
        <f>'Raw Data'!L655</f>
        <v>8</v>
      </c>
      <c r="M655" s="12">
        <f>'Raw Data'!M655</f>
        <v>11</v>
      </c>
      <c r="N655">
        <f>'Raw Data'!N655</f>
        <v>18</v>
      </c>
    </row>
    <row r="656" spans="1:14" ht="30" x14ac:dyDescent="0.25">
      <c r="A656" s="11">
        <f>'Raw Data'!A656</f>
        <v>654</v>
      </c>
      <c r="B656" s="8" t="str">
        <f>TRIM(CLEAN('Raw Data'!B656))</f>
        <v>Joined the drama club to unleash my inner actor. Lights, camera, action!</v>
      </c>
      <c r="C656" s="4" t="str">
        <f>TRIM(PROPER('Raw Data'!C656))</f>
        <v>Excitement</v>
      </c>
      <c r="D656" s="5">
        <f>'Raw Data'!D656</f>
        <v>45150.572916666664</v>
      </c>
      <c r="E656" s="4" t="str">
        <f>TRIM(SUBSTITUTE('Raw Data'!E656," "," "))</f>
        <v>DramaClubStarHighSchool</v>
      </c>
      <c r="F656" s="4" t="str">
        <f>TRIM(PROPER('Raw Data'!F656))</f>
        <v>Facebook</v>
      </c>
      <c r="G656" s="8" t="str">
        <f>TRIM(CLEAN('Raw Data'!G656))</f>
        <v>#DramaClubStar #HighSchoolActor</v>
      </c>
      <c r="H656" s="12">
        <f>'Raw Data'!H656</f>
        <v>25</v>
      </c>
      <c r="I656" s="12">
        <v>45</v>
      </c>
      <c r="J656" s="12" t="str">
        <f>TRIM(UPPER('Raw Data'!J656))</f>
        <v>USA</v>
      </c>
      <c r="K656" s="12">
        <f>'Raw Data'!K656</f>
        <v>2023</v>
      </c>
      <c r="L656" s="12">
        <f>'Raw Data'!L656</f>
        <v>8</v>
      </c>
      <c r="M656" s="12">
        <f>'Raw Data'!M656</f>
        <v>12</v>
      </c>
      <c r="N656">
        <f>'Raw Data'!N656</f>
        <v>13</v>
      </c>
    </row>
    <row r="657" spans="1:14" ht="30" x14ac:dyDescent="0.25">
      <c r="A657" s="11">
        <f>'Raw Data'!A657</f>
        <v>655</v>
      </c>
      <c r="B657" s="8" t="str">
        <f>TRIM(CLEAN('Raw Data'!B657))</f>
        <v>Got my hands on the latest fantasy novel. Diving into realms of magic and adventure!</v>
      </c>
      <c r="C657" s="4" t="str">
        <f>TRIM(PROPER('Raw Data'!C657))</f>
        <v>Excitement</v>
      </c>
      <c r="D657" s="5">
        <f>'Raw Data'!D657</f>
        <v>45151.833333333336</v>
      </c>
      <c r="E657" s="4" t="str">
        <f>TRIM(SUBSTITUTE('Raw Data'!E657," "," "))</f>
        <v>FantasyBookNerdHighSchool</v>
      </c>
      <c r="F657" s="4" t="str">
        <f>TRIM(PROPER('Raw Data'!F657))</f>
        <v>Instagram</v>
      </c>
      <c r="G657" s="8" t="str">
        <f>TRIM(CLEAN('Raw Data'!G657))</f>
        <v>#FantasyBookNerd #HighSchoolReader</v>
      </c>
      <c r="H657" s="12">
        <f>'Raw Data'!H657</f>
        <v>35</v>
      </c>
      <c r="I657" s="12">
        <v>50</v>
      </c>
      <c r="J657" s="12" t="str">
        <f>TRIM(UPPER('Raw Data'!J657))</f>
        <v>UK</v>
      </c>
      <c r="K657" s="12">
        <f>'Raw Data'!K657</f>
        <v>2023</v>
      </c>
      <c r="L657" s="12">
        <f>'Raw Data'!L657</f>
        <v>8</v>
      </c>
      <c r="M657" s="12">
        <f>'Raw Data'!M657</f>
        <v>13</v>
      </c>
      <c r="N657">
        <f>'Raw Data'!N657</f>
        <v>20</v>
      </c>
    </row>
    <row r="658" spans="1:14" ht="30" x14ac:dyDescent="0.25">
      <c r="A658" s="11">
        <f>'Raw Data'!A658</f>
        <v>656</v>
      </c>
      <c r="B658" s="8" t="str">
        <f>TRIM(CLEAN('Raw Data'!B658))</f>
        <v>Mastering the art of the perfect doodle during boring classes. Doodles: A+!</v>
      </c>
      <c r="C658" s="4" t="str">
        <f>TRIM(PROPER('Raw Data'!C658))</f>
        <v>Joy</v>
      </c>
      <c r="D658" s="5">
        <f>'Raw Data'!D658</f>
        <v>45152.677083333336</v>
      </c>
      <c r="E658" s="4" t="str">
        <f>TRIM(SUBSTITUTE('Raw Data'!E658," "," "))</f>
        <v>DoodleMasterHighSchool</v>
      </c>
      <c r="F658" s="4" t="str">
        <f>TRIM(PROPER('Raw Data'!F658))</f>
        <v>Twitter</v>
      </c>
      <c r="G658" s="8" t="str">
        <f>TRIM(CLEAN('Raw Data'!G658))</f>
        <v>#DoodleMaster #HighSchoolArt</v>
      </c>
      <c r="H658" s="12">
        <f>'Raw Data'!H658</f>
        <v>20</v>
      </c>
      <c r="I658" s="12">
        <v>70</v>
      </c>
      <c r="J658" s="12" t="str">
        <f>TRIM(UPPER('Raw Data'!J658))</f>
        <v>USA</v>
      </c>
      <c r="K658" s="12">
        <f>'Raw Data'!K658</f>
        <v>2023</v>
      </c>
      <c r="L658" s="12">
        <f>'Raw Data'!L658</f>
        <v>8</v>
      </c>
      <c r="M658" s="12">
        <f>'Raw Data'!M658</f>
        <v>14</v>
      </c>
      <c r="N658">
        <f>'Raw Data'!N658</f>
        <v>16</v>
      </c>
    </row>
    <row r="659" spans="1:14" ht="30" x14ac:dyDescent="0.25">
      <c r="A659" s="11">
        <f>'Raw Data'!A659</f>
        <v>657</v>
      </c>
      <c r="B659" s="8" t="str">
        <f>TRIM(CLEAN('Raw Data'!B659))</f>
        <v>Attempting to break the school record for the longest handstand. Wish me luck!</v>
      </c>
      <c r="C659" s="4" t="str">
        <f>TRIM(PROPER('Raw Data'!C659))</f>
        <v>Excitement</v>
      </c>
      <c r="D659" s="5">
        <f>'Raw Data'!D659</f>
        <v>45153.8125</v>
      </c>
      <c r="E659" s="4" t="str">
        <f>TRIM(SUBSTITUTE('Raw Data'!E659," "," "))</f>
        <v>HandstandChallengeHighSchool</v>
      </c>
      <c r="F659" s="4" t="str">
        <f>TRIM(PROPER('Raw Data'!F659))</f>
        <v>Facebook</v>
      </c>
      <c r="G659" s="8" t="str">
        <f>TRIM(CLEAN('Raw Data'!G659))</f>
        <v>#HandstandChallenge #HighSchoolAthlete</v>
      </c>
      <c r="H659" s="12">
        <f>'Raw Data'!H659</f>
        <v>28</v>
      </c>
      <c r="I659" s="12">
        <v>40</v>
      </c>
      <c r="J659" s="12" t="str">
        <f>TRIM(UPPER('Raw Data'!J659))</f>
        <v>CANADA</v>
      </c>
      <c r="K659" s="12">
        <f>'Raw Data'!K659</f>
        <v>2023</v>
      </c>
      <c r="L659" s="12">
        <f>'Raw Data'!L659</f>
        <v>8</v>
      </c>
      <c r="M659" s="12">
        <f>'Raw Data'!M659</f>
        <v>15</v>
      </c>
      <c r="N659">
        <f>'Raw Data'!N659</f>
        <v>19</v>
      </c>
    </row>
    <row r="660" spans="1:14" ht="30" x14ac:dyDescent="0.25">
      <c r="A660" s="11">
        <f>'Raw Data'!A660</f>
        <v>658</v>
      </c>
      <c r="B660" s="8" t="str">
        <f>TRIM(CLEAN('Raw Data'!B660))</f>
        <v>Sneaking snacks into class like a pro. The art of snack-smuggling is a sacred skill!</v>
      </c>
      <c r="C660" s="4" t="str">
        <f>TRIM(PROPER('Raw Data'!C660))</f>
        <v>Mischievous</v>
      </c>
      <c r="D660" s="5">
        <f>'Raw Data'!D660</f>
        <v>45154.583333333336</v>
      </c>
      <c r="E660" s="4" t="str">
        <f>TRIM(SUBSTITUTE('Raw Data'!E660," "," "))</f>
        <v>SnackSmugglerHighSchool</v>
      </c>
      <c r="F660" s="4" t="str">
        <f>TRIM(PROPER('Raw Data'!F660))</f>
        <v>Instagram</v>
      </c>
      <c r="G660" s="8" t="str">
        <f>TRIM(CLEAN('Raw Data'!G660))</f>
        <v>#SnackSmuggler #HighSchoolSnacks</v>
      </c>
      <c r="H660" s="12">
        <f>'Raw Data'!H660</f>
        <v>30</v>
      </c>
      <c r="I660" s="12">
        <v>55</v>
      </c>
      <c r="J660" s="12" t="str">
        <f>TRIM(UPPER('Raw Data'!J660))</f>
        <v>USA</v>
      </c>
      <c r="K660" s="12">
        <f>'Raw Data'!K660</f>
        <v>2023</v>
      </c>
      <c r="L660" s="12">
        <f>'Raw Data'!L660</f>
        <v>8</v>
      </c>
      <c r="M660" s="12">
        <f>'Raw Data'!M660</f>
        <v>16</v>
      </c>
      <c r="N660">
        <f>'Raw Data'!N660</f>
        <v>14</v>
      </c>
    </row>
    <row r="661" spans="1:14" ht="30" x14ac:dyDescent="0.25">
      <c r="A661" s="11">
        <f>'Raw Data'!A661</f>
        <v>659</v>
      </c>
      <c r="B661" s="8" t="str">
        <f>TRIM(CLEAN('Raw Data'!B661))</f>
        <v>Hosting a sleepover with friends this weekend. Preparing for a night of laughter and memories!</v>
      </c>
      <c r="C661" s="4" t="str">
        <f>TRIM(PROPER('Raw Data'!C661))</f>
        <v>Excitement</v>
      </c>
      <c r="D661" s="5">
        <f>'Raw Data'!D661</f>
        <v>45155.927083333336</v>
      </c>
      <c r="E661" s="4" t="str">
        <f>TRIM(SUBSTITUTE('Raw Data'!E661," "," "))</f>
        <v>SleepoverHostHighSchool</v>
      </c>
      <c r="F661" s="4" t="str">
        <f>TRIM(PROPER('Raw Data'!F661))</f>
        <v>Twitter</v>
      </c>
      <c r="G661" s="8" t="str">
        <f>TRIM(CLEAN('Raw Data'!G661))</f>
        <v>#SleepoverFun #HighSchoolMemories</v>
      </c>
      <c r="H661" s="12">
        <f>'Raw Data'!H661</f>
        <v>18</v>
      </c>
      <c r="I661" s="12">
        <v>60</v>
      </c>
      <c r="J661" s="12" t="str">
        <f>TRIM(UPPER('Raw Data'!J661))</f>
        <v>UK</v>
      </c>
      <c r="K661" s="12">
        <f>'Raw Data'!K661</f>
        <v>2023</v>
      </c>
      <c r="L661" s="12">
        <f>'Raw Data'!L661</f>
        <v>8</v>
      </c>
      <c r="M661" s="12">
        <f>'Raw Data'!M661</f>
        <v>17</v>
      </c>
      <c r="N661">
        <f>'Raw Data'!N661</f>
        <v>22</v>
      </c>
    </row>
    <row r="662" spans="1:14" ht="30" x14ac:dyDescent="0.25">
      <c r="A662" s="11">
        <f>'Raw Data'!A662</f>
        <v>660</v>
      </c>
      <c r="B662" s="8" t="str">
        <f>TRIM(CLEAN('Raw Data'!B662))</f>
        <v>Spent hours on a TikTok dance, only to realize I have two left feet. Dance fail: Unleashed!</v>
      </c>
      <c r="C662" s="4" t="str">
        <f>TRIM(PROPER('Raw Data'!C662))</f>
        <v>Embarrassed</v>
      </c>
      <c r="D662" s="5">
        <f>'Raw Data'!D662</f>
        <v>45156.6875</v>
      </c>
      <c r="E662" s="4" t="str">
        <f>TRIM(SUBSTITUTE('Raw Data'!E662," "," "))</f>
        <v>TikTokFailHighSchool</v>
      </c>
      <c r="F662" s="4" t="str">
        <f>TRIM(PROPER('Raw Data'!F662))</f>
        <v>Facebook</v>
      </c>
      <c r="G662" s="8" t="str">
        <f>TRIM(CLEAN('Raw Data'!G662))</f>
        <v>#DanceFail #HighSchoolTikTok</v>
      </c>
      <c r="H662" s="12">
        <f>'Raw Data'!H662</f>
        <v>25</v>
      </c>
      <c r="I662" s="12">
        <v>35</v>
      </c>
      <c r="J662" s="12" t="str">
        <f>TRIM(UPPER('Raw Data'!J662))</f>
        <v>USA</v>
      </c>
      <c r="K662" s="12">
        <f>'Raw Data'!K662</f>
        <v>2023</v>
      </c>
      <c r="L662" s="12">
        <f>'Raw Data'!L662</f>
        <v>8</v>
      </c>
      <c r="M662" s="12">
        <f>'Raw Data'!M662</f>
        <v>18</v>
      </c>
      <c r="N662">
        <f>'Raw Data'!N662</f>
        <v>16</v>
      </c>
    </row>
    <row r="663" spans="1:14" ht="30" x14ac:dyDescent="0.25">
      <c r="A663" s="11">
        <f>'Raw Data'!A663</f>
        <v>661</v>
      </c>
      <c r="B663" s="8" t="str">
        <f>TRIM(CLEAN('Raw Data'!B663))</f>
        <v>Accidentally liked my crush's old photo while stalking their profile. Awkward level: Maximum!</v>
      </c>
      <c r="C663" s="4" t="str">
        <f>TRIM(PROPER('Raw Data'!C663))</f>
        <v>Embarrassed</v>
      </c>
      <c r="D663" s="5">
        <f>'Raw Data'!D663</f>
        <v>45157.822916666664</v>
      </c>
      <c r="E663" s="4" t="str">
        <f>TRIM(SUBSTITUTE('Raw Data'!E663," "," "))</f>
        <v>SocialMediaBlunderHighSchool</v>
      </c>
      <c r="F663" s="4" t="str">
        <f>TRIM(PROPER('Raw Data'!F663))</f>
        <v>Instagram</v>
      </c>
      <c r="G663" s="8" t="str">
        <f>TRIM(CLEAN('Raw Data'!G663))</f>
        <v>#SocialMediaBlunder #HighSchoolAwkward</v>
      </c>
      <c r="H663" s="12">
        <f>'Raw Data'!H663</f>
        <v>22</v>
      </c>
      <c r="I663" s="12">
        <v>50</v>
      </c>
      <c r="J663" s="12" t="str">
        <f>TRIM(UPPER('Raw Data'!J663))</f>
        <v>UK</v>
      </c>
      <c r="K663" s="12">
        <f>'Raw Data'!K663</f>
        <v>2023</v>
      </c>
      <c r="L663" s="12">
        <f>'Raw Data'!L663</f>
        <v>8</v>
      </c>
      <c r="M663" s="12">
        <f>'Raw Data'!M663</f>
        <v>19</v>
      </c>
      <c r="N663">
        <f>'Raw Data'!N663</f>
        <v>19</v>
      </c>
    </row>
    <row r="664" spans="1:14" ht="30" x14ac:dyDescent="0.25">
      <c r="A664" s="11">
        <f>'Raw Data'!A664</f>
        <v>662</v>
      </c>
      <c r="B664" s="8" t="str">
        <f>TRIM(CLEAN('Raw Data'!B664))</f>
        <v>Tried to impress my crush with a smooth conversation. Ended up spilling my drink. Smooth level: Nonexistent!</v>
      </c>
      <c r="C664" s="4" t="str">
        <f>TRIM(PROPER('Raw Data'!C664))</f>
        <v>Embarrassed</v>
      </c>
      <c r="D664" s="5">
        <f>'Raw Data'!D664</f>
        <v>45158.708333333336</v>
      </c>
      <c r="E664" s="4" t="str">
        <f>TRIM(SUBSTITUTE('Raw Data'!E664," "," "))</f>
        <v>CrushFailHighSchool</v>
      </c>
      <c r="F664" s="4" t="str">
        <f>TRIM(PROPER('Raw Data'!F664))</f>
        <v>Twitter</v>
      </c>
      <c r="G664" s="8" t="str">
        <f>TRIM(CLEAN('Raw Data'!G664))</f>
        <v>#CrushFail #HighSchoolEmbarrassment</v>
      </c>
      <c r="H664" s="12">
        <f>'Raw Data'!H664</f>
        <v>30</v>
      </c>
      <c r="I664" s="12">
        <v>45</v>
      </c>
      <c r="J664" s="12" t="str">
        <f>TRIM(UPPER('Raw Data'!J664))</f>
        <v>CANADA</v>
      </c>
      <c r="K664" s="12">
        <f>'Raw Data'!K664</f>
        <v>2023</v>
      </c>
      <c r="L664" s="12">
        <f>'Raw Data'!L664</f>
        <v>8</v>
      </c>
      <c r="M664" s="12">
        <f>'Raw Data'!M664</f>
        <v>20</v>
      </c>
      <c r="N664">
        <f>'Raw Data'!N664</f>
        <v>17</v>
      </c>
    </row>
    <row r="665" spans="1:14" ht="30" x14ac:dyDescent="0.25">
      <c r="A665" s="11">
        <f>'Raw Data'!A665</f>
        <v>663</v>
      </c>
      <c r="B665" s="8" t="str">
        <f>TRIM(CLEAN('Raw Data'!B665))</f>
        <v>Mastered the art of creating paper airplanes during lecture. Paper planes: Soaring to new heights!</v>
      </c>
      <c r="C665" s="4" t="str">
        <f>TRIM(PROPER('Raw Data'!C665))</f>
        <v>Joy</v>
      </c>
      <c r="D665" s="5">
        <f>'Raw Data'!D665</f>
        <v>45159.65625</v>
      </c>
      <c r="E665" s="4" t="str">
        <f>TRIM(SUBSTITUTE('Raw Data'!E665," "," "))</f>
        <v>PaperPlaneExpertHighSchool</v>
      </c>
      <c r="F665" s="4" t="str">
        <f>TRIM(PROPER('Raw Data'!F665))</f>
        <v>Instagram</v>
      </c>
      <c r="G665" s="8" t="str">
        <f>TRIM(CLEAN('Raw Data'!G665))</f>
        <v>#PaperPlaneExpert #HighSchoolArt</v>
      </c>
      <c r="H665" s="12">
        <f>'Raw Data'!H665</f>
        <v>15</v>
      </c>
      <c r="I665" s="12">
        <v>60</v>
      </c>
      <c r="J665" s="12" t="str">
        <f>TRIM(UPPER('Raw Data'!J665))</f>
        <v>USA</v>
      </c>
      <c r="K665" s="12">
        <f>'Raw Data'!K665</f>
        <v>2023</v>
      </c>
      <c r="L665" s="12">
        <f>'Raw Data'!L665</f>
        <v>8</v>
      </c>
      <c r="M665" s="12">
        <f>'Raw Data'!M665</f>
        <v>21</v>
      </c>
      <c r="N665">
        <f>'Raw Data'!N665</f>
        <v>15</v>
      </c>
    </row>
    <row r="666" spans="1:14" ht="30" x14ac:dyDescent="0.25">
      <c r="A666" s="11">
        <f>'Raw Data'!A666</f>
        <v>664</v>
      </c>
      <c r="B666" s="8" t="str">
        <f>TRIM(CLEAN('Raw Data'!B666))</f>
        <v>Trying to set a new trend by juggling textbooks between classes. Academic juggling: A unique skill!</v>
      </c>
      <c r="C666" s="4" t="str">
        <f>TRIM(PROPER('Raw Data'!C666))</f>
        <v>Excitement</v>
      </c>
      <c r="D666" s="5">
        <f>'Raw Data'!D666</f>
        <v>45160.520833333336</v>
      </c>
      <c r="E666" s="4" t="str">
        <f>TRIM(SUBSTITUTE('Raw Data'!E666," "," "))</f>
        <v>JugglingProHighSchool</v>
      </c>
      <c r="F666" s="4" t="str">
        <f>TRIM(PROPER('Raw Data'!F666))</f>
        <v>Facebook</v>
      </c>
      <c r="G666" s="8" t="str">
        <f>TRIM(CLEAN('Raw Data'!G666))</f>
        <v>#TextbookJuggling #HighSchoolSkills</v>
      </c>
      <c r="H666" s="12">
        <f>'Raw Data'!H666</f>
        <v>22</v>
      </c>
      <c r="I666" s="12">
        <v>30</v>
      </c>
      <c r="J666" s="12" t="str">
        <f>TRIM(UPPER('Raw Data'!J666))</f>
        <v>CANADA</v>
      </c>
      <c r="K666" s="12">
        <f>'Raw Data'!K666</f>
        <v>2023</v>
      </c>
      <c r="L666" s="12">
        <f>'Raw Data'!L666</f>
        <v>8</v>
      </c>
      <c r="M666" s="12">
        <f>'Raw Data'!M666</f>
        <v>22</v>
      </c>
      <c r="N666">
        <f>'Raw Data'!N666</f>
        <v>12</v>
      </c>
    </row>
    <row r="667" spans="1:14" ht="30" x14ac:dyDescent="0.25">
      <c r="A667" s="11">
        <f>'Raw Data'!A667</f>
        <v>665</v>
      </c>
      <c r="B667" s="8" t="str">
        <f>TRIM(CLEAN('Raw Data'!B667))</f>
        <v>Hiding a snack stash in my backpack for emergency cravings. Snack ninja mode: Activated!</v>
      </c>
      <c r="C667" s="4" t="str">
        <f>TRIM(PROPER('Raw Data'!C667))</f>
        <v>Mischievous</v>
      </c>
      <c r="D667" s="5">
        <f>'Raw Data'!D667</f>
        <v>45161.697916666664</v>
      </c>
      <c r="E667" s="4" t="str">
        <f>TRIM(SUBSTITUTE('Raw Data'!E667," "," "))</f>
        <v>SnackNinjaHighSchool</v>
      </c>
      <c r="F667" s="4" t="str">
        <f>TRIM(PROPER('Raw Data'!F667))</f>
        <v>Twitter</v>
      </c>
      <c r="G667" s="8" t="str">
        <f>TRIM(CLEAN('Raw Data'!G667))</f>
        <v>#SnackNinja #HighSchoolSnacks</v>
      </c>
      <c r="H667" s="12">
        <f>'Raw Data'!H667</f>
        <v>28</v>
      </c>
      <c r="I667" s="12">
        <v>40</v>
      </c>
      <c r="J667" s="12" t="str">
        <f>TRIM(UPPER('Raw Data'!J667))</f>
        <v>USA</v>
      </c>
      <c r="K667" s="12">
        <f>'Raw Data'!K667</f>
        <v>2023</v>
      </c>
      <c r="L667" s="12">
        <f>'Raw Data'!L667</f>
        <v>8</v>
      </c>
      <c r="M667" s="12">
        <f>'Raw Data'!M667</f>
        <v>23</v>
      </c>
      <c r="N667">
        <f>'Raw Data'!N667</f>
        <v>16</v>
      </c>
    </row>
    <row r="668" spans="1:14" ht="30" x14ac:dyDescent="0.25">
      <c r="A668" s="11">
        <f>'Raw Data'!A668</f>
        <v>666</v>
      </c>
      <c r="B668" s="8" t="str">
        <f>TRIM(CLEAN('Raw Data'!B668))</f>
        <v>Planning a surprise scavenger hunt for friends. Anticipating the thrill and excitement!</v>
      </c>
      <c r="C668" s="4" t="str">
        <f>TRIM(PROPER('Raw Data'!C668))</f>
        <v>Excitement</v>
      </c>
      <c r="D668" s="5">
        <f>'Raw Data'!D668</f>
        <v>45162.763888888891</v>
      </c>
      <c r="E668" s="4" t="str">
        <f>TRIM(SUBSTITUTE('Raw Data'!E668," "," "))</f>
        <v>ScavengerHuntMasterHighSchool</v>
      </c>
      <c r="F668" s="4" t="str">
        <f>TRIM(PROPER('Raw Data'!F668))</f>
        <v>Instagram</v>
      </c>
      <c r="G668" s="8" t="str">
        <f>TRIM(CLEAN('Raw Data'!G668))</f>
        <v>#SurpriseAdventure #HighSchoolFun</v>
      </c>
      <c r="H668" s="12">
        <f>'Raw Data'!H668</f>
        <v>20</v>
      </c>
      <c r="I668" s="12">
        <v>55</v>
      </c>
      <c r="J668" s="12" t="str">
        <f>TRIM(UPPER('Raw Data'!J668))</f>
        <v>UK</v>
      </c>
      <c r="K668" s="12">
        <f>'Raw Data'!K668</f>
        <v>2023</v>
      </c>
      <c r="L668" s="12">
        <f>'Raw Data'!L668</f>
        <v>8</v>
      </c>
      <c r="M668" s="12">
        <f>'Raw Data'!M668</f>
        <v>24</v>
      </c>
      <c r="N668">
        <f>'Raw Data'!N668</f>
        <v>18</v>
      </c>
    </row>
    <row r="669" spans="1:14" ht="30" x14ac:dyDescent="0.25">
      <c r="A669" s="11">
        <f>'Raw Data'!A669</f>
        <v>667</v>
      </c>
      <c r="B669" s="8" t="str">
        <f>TRIM(CLEAN('Raw Data'!B669))</f>
        <v>Danced in the rain to celebrate the end of exams. Rain dance: Unexpectedly refreshing!</v>
      </c>
      <c r="C669" s="4" t="str">
        <f>TRIM(PROPER('Raw Data'!C669))</f>
        <v>Joy</v>
      </c>
      <c r="D669" s="5">
        <f>'Raw Data'!D669</f>
        <v>45163.59375</v>
      </c>
      <c r="E669" s="4" t="str">
        <f>TRIM(SUBSTITUTE('Raw Data'!E669," "," "))</f>
        <v>RainDanceCelebrationHighSchool</v>
      </c>
      <c r="F669" s="4" t="str">
        <f>TRIM(PROPER('Raw Data'!F669))</f>
        <v>Facebook</v>
      </c>
      <c r="G669" s="8" t="str">
        <f>TRIM(CLEAN('Raw Data'!G669))</f>
        <v>#RainDance #HighSchoolJoy</v>
      </c>
      <c r="H669" s="12">
        <f>'Raw Data'!H669</f>
        <v>25</v>
      </c>
      <c r="I669" s="12">
        <v>38</v>
      </c>
      <c r="J669" s="12" t="str">
        <f>TRIM(UPPER('Raw Data'!J669))</f>
        <v>CANADA</v>
      </c>
      <c r="K669" s="12">
        <f>'Raw Data'!K669</f>
        <v>2023</v>
      </c>
      <c r="L669" s="12">
        <f>'Raw Data'!L669</f>
        <v>8</v>
      </c>
      <c r="M669" s="12">
        <f>'Raw Data'!M669</f>
        <v>25</v>
      </c>
      <c r="N669">
        <f>'Raw Data'!N669</f>
        <v>14</v>
      </c>
    </row>
    <row r="670" spans="1:14" ht="30" x14ac:dyDescent="0.25">
      <c r="A670" s="11">
        <f>'Raw Data'!A670</f>
        <v>668</v>
      </c>
      <c r="B670" s="8" t="str">
        <f>TRIM(CLEAN('Raw Data'!B670))</f>
        <v>Accidentally sent a text meant for a friend to the class group chat. Texting fail: Oops moment!</v>
      </c>
      <c r="C670" s="4" t="str">
        <f>TRIM(PROPER('Raw Data'!C670))</f>
        <v>Embarrassed</v>
      </c>
      <c r="D670" s="5">
        <f>'Raw Data'!D670</f>
        <v>45164.729166666664</v>
      </c>
      <c r="E670" s="4" t="str">
        <f>TRIM(SUBSTITUTE('Raw Data'!E670," "," "))</f>
        <v>GroupChatBlunderHighSchool</v>
      </c>
      <c r="F670" s="4" t="str">
        <f>TRIM(PROPER('Raw Data'!F670))</f>
        <v>Twitter</v>
      </c>
      <c r="G670" s="8" t="str">
        <f>TRIM(CLEAN('Raw Data'!G670))</f>
        <v>#TextingFail #HighSchoolAwkward</v>
      </c>
      <c r="H670" s="12">
        <f>'Raw Data'!H670</f>
        <v>18</v>
      </c>
      <c r="I670" s="12">
        <v>50</v>
      </c>
      <c r="J670" s="12" t="str">
        <f>TRIM(UPPER('Raw Data'!J670))</f>
        <v>USA</v>
      </c>
      <c r="K670" s="12">
        <f>'Raw Data'!K670</f>
        <v>2023</v>
      </c>
      <c r="L670" s="12">
        <f>'Raw Data'!L670</f>
        <v>8</v>
      </c>
      <c r="M670" s="12">
        <f>'Raw Data'!M670</f>
        <v>26</v>
      </c>
      <c r="N670">
        <f>'Raw Data'!N670</f>
        <v>17</v>
      </c>
    </row>
    <row r="671" spans="1:14" ht="30" x14ac:dyDescent="0.25">
      <c r="A671" s="11">
        <f>'Raw Data'!A671</f>
        <v>669</v>
      </c>
      <c r="B671" s="8" t="str">
        <f>TRIM(CLEAN('Raw Data'!B671))</f>
        <v>Tried a magic trick to impress classmates. Magic fail: Where did that rabbit go?</v>
      </c>
      <c r="C671" s="4" t="str">
        <f>TRIM(PROPER('Raw Data'!C671))</f>
        <v>Embarrassed</v>
      </c>
      <c r="D671" s="5">
        <f>'Raw Data'!D671</f>
        <v>45165.864583333336</v>
      </c>
      <c r="E671" s="4" t="str">
        <f>TRIM(SUBSTITUTE('Raw Data'!E671," "," "))</f>
        <v>MagicFailHighSchool</v>
      </c>
      <c r="F671" s="4" t="str">
        <f>TRIM(PROPER('Raw Data'!F671))</f>
        <v>Instagram</v>
      </c>
      <c r="G671" s="8" t="str">
        <f>TRIM(CLEAN('Raw Data'!G671))</f>
        <v>#MagicFail #HighSchoolMagic</v>
      </c>
      <c r="H671" s="12">
        <f>'Raw Data'!H671</f>
        <v>22</v>
      </c>
      <c r="I671" s="12">
        <v>35</v>
      </c>
      <c r="J671" s="12" t="str">
        <f>TRIM(UPPER('Raw Data'!J671))</f>
        <v>UK</v>
      </c>
      <c r="K671" s="12">
        <f>'Raw Data'!K671</f>
        <v>2023</v>
      </c>
      <c r="L671" s="12">
        <f>'Raw Data'!L671</f>
        <v>8</v>
      </c>
      <c r="M671" s="12">
        <f>'Raw Data'!M671</f>
        <v>27</v>
      </c>
      <c r="N671">
        <f>'Raw Data'!N671</f>
        <v>20</v>
      </c>
    </row>
    <row r="672" spans="1:14" ht="30" x14ac:dyDescent="0.25">
      <c r="A672" s="11">
        <f>'Raw Data'!A672</f>
        <v>670</v>
      </c>
      <c r="B672" s="8" t="str">
        <f>TRIM(CLEAN('Raw Data'!B672))</f>
        <v>Perfecting the art of creating origami during a dull lecture. Origami mastery: A+!</v>
      </c>
      <c r="C672" s="4" t="str">
        <f>TRIM(PROPER('Raw Data'!C672))</f>
        <v>Joy</v>
      </c>
      <c r="D672" s="5">
        <f>'Raw Data'!D672</f>
        <v>45166.666666666664</v>
      </c>
      <c r="E672" s="4" t="str">
        <f>TRIM(SUBSTITUTE('Raw Data'!E672," "," "))</f>
        <v>OrigamiProHighSchool</v>
      </c>
      <c r="F672" s="4" t="str">
        <f>TRIM(PROPER('Raw Data'!F672))</f>
        <v>Twitter</v>
      </c>
      <c r="G672" s="8" t="str">
        <f>TRIM(CLEAN('Raw Data'!G672))</f>
        <v>#OrigamiMaster #HighSchoolArt</v>
      </c>
      <c r="H672" s="12">
        <f>'Raw Data'!H672</f>
        <v>18</v>
      </c>
      <c r="I672" s="12">
        <v>45</v>
      </c>
      <c r="J672" s="12" t="str">
        <f>TRIM(UPPER('Raw Data'!J672))</f>
        <v>USA</v>
      </c>
      <c r="K672" s="12">
        <f>'Raw Data'!K672</f>
        <v>2023</v>
      </c>
      <c r="L672" s="12">
        <f>'Raw Data'!L672</f>
        <v>8</v>
      </c>
      <c r="M672" s="12">
        <f>'Raw Data'!M672</f>
        <v>28</v>
      </c>
      <c r="N672">
        <f>'Raw Data'!N672</f>
        <v>16</v>
      </c>
    </row>
    <row r="673" spans="1:14" ht="45" x14ac:dyDescent="0.25">
      <c r="A673" s="11">
        <f>'Raw Data'!A673</f>
        <v>671</v>
      </c>
      <c r="B673" s="8" t="str">
        <f>TRIM(CLEAN('Raw Data'!B673))</f>
        <v>Attempting to set a new record for the most consecutive hacky sack kicks. Hacky sack skills: Unleashed!</v>
      </c>
      <c r="C673" s="4" t="str">
        <f>TRIM(PROPER('Raw Data'!C673))</f>
        <v>Excitement</v>
      </c>
      <c r="D673" s="5">
        <f>'Raw Data'!D673</f>
        <v>45167.572916666664</v>
      </c>
      <c r="E673" s="4" t="str">
        <f>TRIM(SUBSTITUTE('Raw Data'!E673," "," "))</f>
        <v>HackySackChampionHighSchool</v>
      </c>
      <c r="F673" s="4" t="str">
        <f>TRIM(PROPER('Raw Data'!F673))</f>
        <v>Instagram</v>
      </c>
      <c r="G673" s="8" t="str">
        <f>TRIM(CLEAN('Raw Data'!G673))</f>
        <v>#HackySackChallenge #HighSchoolAthlete</v>
      </c>
      <c r="H673" s="12">
        <f>'Raw Data'!H673</f>
        <v>26</v>
      </c>
      <c r="I673" s="12">
        <v>36</v>
      </c>
      <c r="J673" s="12" t="str">
        <f>TRIM(UPPER('Raw Data'!J673))</f>
        <v>CANADA</v>
      </c>
      <c r="K673" s="12">
        <f>'Raw Data'!K673</f>
        <v>2023</v>
      </c>
      <c r="L673" s="12">
        <f>'Raw Data'!L673</f>
        <v>8</v>
      </c>
      <c r="M673" s="12">
        <f>'Raw Data'!M673</f>
        <v>29</v>
      </c>
      <c r="N673">
        <f>'Raw Data'!N673</f>
        <v>13</v>
      </c>
    </row>
    <row r="674" spans="1:14" ht="30" x14ac:dyDescent="0.25">
      <c r="A674" s="11">
        <f>'Raw Data'!A674</f>
        <v>672</v>
      </c>
      <c r="B674" s="8" t="str">
        <f>TRIM(CLEAN('Raw Data'!B674))</f>
        <v>Creating a secret handshake with friends. Friendship level: Expert!</v>
      </c>
      <c r="C674" s="4" t="str">
        <f>TRIM(PROPER('Raw Data'!C674))</f>
        <v>Joy</v>
      </c>
      <c r="D674" s="5">
        <f>'Raw Data'!D674</f>
        <v>45168.729166666664</v>
      </c>
      <c r="E674" s="4" t="str">
        <f>TRIM(SUBSTITUTE('Raw Data'!E674," "," "))</f>
        <v>SecretHandshakeHighSchool</v>
      </c>
      <c r="F674" s="4" t="str">
        <f>TRIM(PROPER('Raw Data'!F674))</f>
        <v>Facebook</v>
      </c>
      <c r="G674" s="8" t="str">
        <f>TRIM(CLEAN('Raw Data'!G674))</f>
        <v>#FriendshipGoals #HighSchoolMemories</v>
      </c>
      <c r="H674" s="12">
        <f>'Raw Data'!H674</f>
        <v>20</v>
      </c>
      <c r="I674" s="12">
        <v>48</v>
      </c>
      <c r="J674" s="12" t="str">
        <f>TRIM(UPPER('Raw Data'!J674))</f>
        <v>USA</v>
      </c>
      <c r="K674" s="12">
        <f>'Raw Data'!K674</f>
        <v>2023</v>
      </c>
      <c r="L674" s="12">
        <f>'Raw Data'!L674</f>
        <v>8</v>
      </c>
      <c r="M674" s="12">
        <f>'Raw Data'!M674</f>
        <v>30</v>
      </c>
      <c r="N674">
        <f>'Raw Data'!N674</f>
        <v>17</v>
      </c>
    </row>
    <row r="675" spans="1:14" ht="30" x14ac:dyDescent="0.25">
      <c r="A675" s="11">
        <f>'Raw Data'!A675</f>
        <v>673</v>
      </c>
      <c r="B675" s="8" t="str">
        <f>TRIM(CLEAN('Raw Data'!B675))</f>
        <v>Embarking on a mission to find the best burger joint in town. Burger connoisseur: Reporting for duty!</v>
      </c>
      <c r="C675" s="4" t="str">
        <f>TRIM(PROPER('Raw Data'!C675))</f>
        <v>Excitement</v>
      </c>
      <c r="D675" s="5">
        <f>'Raw Data'!D675</f>
        <v>45169.84375</v>
      </c>
      <c r="E675" s="4" t="str">
        <f>TRIM(SUBSTITUTE('Raw Data'!E675," "," "))</f>
        <v>BurgerQuestHighSchool</v>
      </c>
      <c r="F675" s="4" t="str">
        <f>TRIM(PROPER('Raw Data'!F675))</f>
        <v>Twitter</v>
      </c>
      <c r="G675" s="8" t="str">
        <f>TRIM(CLEAN('Raw Data'!G675))</f>
        <v>#BurgerQuest #HighSchoolFoodie</v>
      </c>
      <c r="H675" s="12">
        <f>'Raw Data'!H675</f>
        <v>24</v>
      </c>
      <c r="I675" s="12">
        <v>40</v>
      </c>
      <c r="J675" s="12" t="str">
        <f>TRIM(UPPER('Raw Data'!J675))</f>
        <v>UK</v>
      </c>
      <c r="K675" s="12">
        <f>'Raw Data'!K675</f>
        <v>2023</v>
      </c>
      <c r="L675" s="12">
        <f>'Raw Data'!L675</f>
        <v>8</v>
      </c>
      <c r="M675" s="12">
        <f>'Raw Data'!M675</f>
        <v>31</v>
      </c>
      <c r="N675">
        <f>'Raw Data'!N675</f>
        <v>20</v>
      </c>
    </row>
    <row r="676" spans="1:14" ht="30" x14ac:dyDescent="0.25">
      <c r="A676" s="11">
        <f>'Raw Data'!A676</f>
        <v>674</v>
      </c>
      <c r="B676" s="8" t="str">
        <f>TRIM(CLEAN('Raw Data'!B676))</f>
        <v>Practicing a stand-up comedy routine for the upcoming talent show. Comedy gig: In the making!</v>
      </c>
      <c r="C676" s="4" t="str">
        <f>TRIM(PROPER('Raw Data'!C676))</f>
        <v>Joy</v>
      </c>
      <c r="D676" s="5">
        <f>'Raw Data'!D676</f>
        <v>45170.614583333336</v>
      </c>
      <c r="E676" s="4" t="str">
        <f>TRIM(SUBSTITUTE('Raw Data'!E676," "," "))</f>
        <v>ComedyGeniusHighSchool</v>
      </c>
      <c r="F676" s="4" t="str">
        <f>TRIM(PROPER('Raw Data'!F676))</f>
        <v>Instagram</v>
      </c>
      <c r="G676" s="8" t="str">
        <f>TRIM(CLEAN('Raw Data'!G676))</f>
        <v>#StandUpComedy #HighSchoolTalent</v>
      </c>
      <c r="H676" s="12">
        <f>'Raw Data'!H676</f>
        <v>21</v>
      </c>
      <c r="I676" s="12">
        <v>42</v>
      </c>
      <c r="J676" s="12" t="str">
        <f>TRIM(UPPER('Raw Data'!J676))</f>
        <v>CANADA</v>
      </c>
      <c r="K676" s="12">
        <f>'Raw Data'!K676</f>
        <v>2023</v>
      </c>
      <c r="L676" s="12">
        <f>'Raw Data'!L676</f>
        <v>9</v>
      </c>
      <c r="M676" s="12">
        <f>'Raw Data'!M676</f>
        <v>1</v>
      </c>
      <c r="N676">
        <f>'Raw Data'!N676</f>
        <v>14</v>
      </c>
    </row>
    <row r="677" spans="1:14" ht="30" x14ac:dyDescent="0.25">
      <c r="A677" s="11">
        <f>'Raw Data'!A677</f>
        <v>675</v>
      </c>
      <c r="B677" s="8" t="str">
        <f>TRIM(CLEAN('Raw Data'!B677))</f>
        <v>Accidentally sent a love letter to the wrong person. Love note fail: Maximum embarrassment!</v>
      </c>
      <c r="C677" s="4" t="str">
        <f>TRIM(PROPER('Raw Data'!C677))</f>
        <v>Embarrassed</v>
      </c>
      <c r="D677" s="5">
        <f>'Raw Data'!D677</f>
        <v>45171.770833333336</v>
      </c>
      <c r="E677" s="4" t="str">
        <f>TRIM(SUBSTITUTE('Raw Data'!E677," "," "))</f>
        <v>LoveLetterBlunderHighSchool</v>
      </c>
      <c r="F677" s="4" t="str">
        <f>TRIM(PROPER('Raw Data'!F677))</f>
        <v>Facebook</v>
      </c>
      <c r="G677" s="8" t="str">
        <f>TRIM(CLEAN('Raw Data'!G677))</f>
        <v>#LoveLetterFail #HighSchoolAwkward</v>
      </c>
      <c r="H677" s="12">
        <f>'Raw Data'!H677</f>
        <v>17</v>
      </c>
      <c r="I677" s="12">
        <v>39</v>
      </c>
      <c r="J677" s="12" t="str">
        <f>TRIM(UPPER('Raw Data'!J677))</f>
        <v>USA</v>
      </c>
      <c r="K677" s="12">
        <f>'Raw Data'!K677</f>
        <v>2023</v>
      </c>
      <c r="L677" s="12">
        <f>'Raw Data'!L677</f>
        <v>9</v>
      </c>
      <c r="M677" s="12">
        <f>'Raw Data'!M677</f>
        <v>2</v>
      </c>
      <c r="N677">
        <f>'Raw Data'!N677</f>
        <v>18</v>
      </c>
    </row>
    <row r="678" spans="1:14" ht="30" x14ac:dyDescent="0.25">
      <c r="A678" s="11">
        <f>'Raw Data'!A678</f>
        <v>676</v>
      </c>
      <c r="B678" s="8" t="str">
        <f>TRIM(CLEAN('Raw Data'!B678))</f>
        <v>Attempting to impress the teacher with an elaborate science experiment. Science geek mode: Activated!</v>
      </c>
      <c r="C678" s="4" t="str">
        <f>TRIM(PROPER('Raw Data'!C678))</f>
        <v>Excitement</v>
      </c>
      <c r="D678" s="5">
        <f>'Raw Data'!D678</f>
        <v>45172.916666666664</v>
      </c>
      <c r="E678" s="4" t="str">
        <f>TRIM(SUBSTITUTE('Raw Data'!E678," "," "))</f>
        <v>ScienceExperimentProHighSchool</v>
      </c>
      <c r="F678" s="4" t="str">
        <f>TRIM(PROPER('Raw Data'!F678))</f>
        <v>Twitter</v>
      </c>
      <c r="G678" s="8" t="str">
        <f>TRIM(CLEAN('Raw Data'!G678))</f>
        <v>#ScienceGeek #HighSchoolExperiments</v>
      </c>
      <c r="H678" s="12">
        <f>'Raw Data'!H678</f>
        <v>23</v>
      </c>
      <c r="I678" s="12">
        <v>33</v>
      </c>
      <c r="J678" s="12" t="str">
        <f>TRIM(UPPER('Raw Data'!J678))</f>
        <v>UK</v>
      </c>
      <c r="K678" s="12">
        <f>'Raw Data'!K678</f>
        <v>2023</v>
      </c>
      <c r="L678" s="12">
        <f>'Raw Data'!L678</f>
        <v>9</v>
      </c>
      <c r="M678" s="12">
        <f>'Raw Data'!M678</f>
        <v>3</v>
      </c>
      <c r="N678">
        <f>'Raw Data'!N678</f>
        <v>22</v>
      </c>
    </row>
    <row r="679" spans="1:14" ht="30" x14ac:dyDescent="0.25">
      <c r="A679" s="11">
        <f>'Raw Data'!A679</f>
        <v>677</v>
      </c>
      <c r="B679" s="8" t="str">
        <f>TRIM(CLEAN('Raw Data'!B679))</f>
        <v>Crafting intricate friendship bracelets for the whole squad. Friendship level: Expert weaver!</v>
      </c>
      <c r="C679" s="4" t="str">
        <f>TRIM(PROPER('Raw Data'!C679))</f>
        <v>Joy</v>
      </c>
      <c r="D679" s="5">
        <f>'Raw Data'!D679</f>
        <v>45173.635416666664</v>
      </c>
      <c r="E679" s="4" t="str">
        <f>TRIM(SUBSTITUTE('Raw Data'!E679," "," "))</f>
        <v>BraceletCraftsmanHighSchool</v>
      </c>
      <c r="F679" s="4" t="str">
        <f>TRIM(PROPER('Raw Data'!F679))</f>
        <v>Instagram</v>
      </c>
      <c r="G679" s="8" t="str">
        <f>TRIM(CLEAN('Raw Data'!G679))</f>
        <v>#FriendshipBracelets #HighSchoolCrafts</v>
      </c>
      <c r="H679" s="12">
        <f>'Raw Data'!H679</f>
        <v>19</v>
      </c>
      <c r="I679" s="12">
        <v>44</v>
      </c>
      <c r="J679" s="12" t="str">
        <f>TRIM(UPPER('Raw Data'!J679))</f>
        <v>USA</v>
      </c>
      <c r="K679" s="12">
        <f>'Raw Data'!K679</f>
        <v>2023</v>
      </c>
      <c r="L679" s="12">
        <f>'Raw Data'!L679</f>
        <v>9</v>
      </c>
      <c r="M679" s="12">
        <f>'Raw Data'!M679</f>
        <v>4</v>
      </c>
      <c r="N679">
        <f>'Raw Data'!N679</f>
        <v>15</v>
      </c>
    </row>
    <row r="680" spans="1:14" ht="30" x14ac:dyDescent="0.25">
      <c r="A680" s="11">
        <f>'Raw Data'!A680</f>
        <v>678</v>
      </c>
      <c r="B680" s="8" t="str">
        <f>TRIM(CLEAN('Raw Data'!B680))</f>
        <v>Attempting to beat the record for the most consecutive cartwheels. Cartwheel challenge: Underway!</v>
      </c>
      <c r="C680" s="4" t="str">
        <f>TRIM(PROPER('Raw Data'!C680))</f>
        <v>Excitement</v>
      </c>
      <c r="D680" s="5">
        <f>'Raw Data'!D680</f>
        <v>45174.520833333336</v>
      </c>
      <c r="E680" s="4" t="str">
        <f>TRIM(SUBSTITUTE('Raw Data'!E680," "," "))</f>
        <v>CartwheelMasterHighSchool</v>
      </c>
      <c r="F680" s="4" t="str">
        <f>TRIM(PROPER('Raw Data'!F680))</f>
        <v>Twitter</v>
      </c>
      <c r="G680" s="8" t="str">
        <f>TRIM(CLEAN('Raw Data'!G680))</f>
        <v>#CartwheelChallenge #HighSchoolAthlete</v>
      </c>
      <c r="H680" s="12">
        <f>'Raw Data'!H680</f>
        <v>27</v>
      </c>
      <c r="I680" s="12">
        <v>37</v>
      </c>
      <c r="J680" s="12" t="str">
        <f>TRIM(UPPER('Raw Data'!J680))</f>
        <v>CANADA</v>
      </c>
      <c r="K680" s="12">
        <f>'Raw Data'!K680</f>
        <v>2023</v>
      </c>
      <c r="L680" s="12">
        <f>'Raw Data'!L680</f>
        <v>9</v>
      </c>
      <c r="M680" s="12">
        <f>'Raw Data'!M680</f>
        <v>5</v>
      </c>
      <c r="N680">
        <f>'Raw Data'!N680</f>
        <v>12</v>
      </c>
    </row>
    <row r="681" spans="1:14" ht="30" x14ac:dyDescent="0.25">
      <c r="A681" s="11">
        <f>'Raw Data'!A681</f>
        <v>679</v>
      </c>
      <c r="B681" s="8" t="str">
        <f>TRIM(CLEAN('Raw Data'!B681))</f>
        <v>Organizing a movie marathon with friends. Popcorn and cinematic adventures await!</v>
      </c>
      <c r="C681" s="4" t="str">
        <f>TRIM(PROPER('Raw Data'!C681))</f>
        <v>Joy</v>
      </c>
      <c r="D681" s="5">
        <f>'Raw Data'!D681</f>
        <v>45175.697916666664</v>
      </c>
      <c r="E681" s="4" t="str">
        <f>TRIM(SUBSTITUTE('Raw Data'!E681," "," "))</f>
        <v>MovieMarathonHostHighSchool</v>
      </c>
      <c r="F681" s="4" t="str">
        <f>TRIM(PROPER('Raw Data'!F681))</f>
        <v>Facebook</v>
      </c>
      <c r="G681" s="8" t="str">
        <f>TRIM(CLEAN('Raw Data'!G681))</f>
        <v>#MovieNight #HighSchoolMemories</v>
      </c>
      <c r="H681" s="12">
        <f>'Raw Data'!H681</f>
        <v>22</v>
      </c>
      <c r="I681" s="12">
        <v>52</v>
      </c>
      <c r="J681" s="12" t="str">
        <f>TRIM(UPPER('Raw Data'!J681))</f>
        <v>UK</v>
      </c>
      <c r="K681" s="12">
        <f>'Raw Data'!K681</f>
        <v>2023</v>
      </c>
      <c r="L681" s="12">
        <f>'Raw Data'!L681</f>
        <v>9</v>
      </c>
      <c r="M681" s="12">
        <f>'Raw Data'!M681</f>
        <v>6</v>
      </c>
      <c r="N681">
        <f>'Raw Data'!N681</f>
        <v>16</v>
      </c>
    </row>
    <row r="682" spans="1:14" ht="30" x14ac:dyDescent="0.25">
      <c r="A682" s="11">
        <f>'Raw Data'!A682</f>
        <v>680</v>
      </c>
      <c r="B682" s="8" t="str">
        <f>TRIM(CLEAN('Raw Data'!B682))</f>
        <v>Experimenting with a new hair color. A bold change for a bold semester!</v>
      </c>
      <c r="C682" s="4" t="str">
        <f>TRIM(PROPER('Raw Data'!C682))</f>
        <v>Excitement</v>
      </c>
      <c r="D682" s="5">
        <f>'Raw Data'!D682</f>
        <v>45176.763888888891</v>
      </c>
      <c r="E682" s="4" t="str">
        <f>TRIM(SUBSTITUTE('Raw Data'!E682," "," "))</f>
        <v>HairColorExperimentHighSchool</v>
      </c>
      <c r="F682" s="4" t="str">
        <f>TRIM(PROPER('Raw Data'!F682))</f>
        <v>Instagram</v>
      </c>
      <c r="G682" s="8" t="str">
        <f>TRIM(CLEAN('Raw Data'!G682))</f>
        <v>#HairExperiment #HighSchoolStyle</v>
      </c>
      <c r="H682" s="12">
        <f>'Raw Data'!H682</f>
        <v>20</v>
      </c>
      <c r="I682" s="12">
        <v>43</v>
      </c>
      <c r="J682" s="12" t="str">
        <f>TRIM(UPPER('Raw Data'!J682))</f>
        <v>USA</v>
      </c>
      <c r="K682" s="12">
        <f>'Raw Data'!K682</f>
        <v>2023</v>
      </c>
      <c r="L682" s="12">
        <f>'Raw Data'!L682</f>
        <v>9</v>
      </c>
      <c r="M682" s="12">
        <f>'Raw Data'!M682</f>
        <v>7</v>
      </c>
      <c r="N682">
        <f>'Raw Data'!N682</f>
        <v>18</v>
      </c>
    </row>
    <row r="683" spans="1:14" ht="30" x14ac:dyDescent="0.25">
      <c r="A683" s="11">
        <f>'Raw Data'!A683</f>
        <v>681</v>
      </c>
      <c r="B683" s="8" t="str">
        <f>TRIM(CLEAN('Raw Data'!B683))</f>
        <v>Building a time capsule to capture memories for the future. Time-traveling emotions!</v>
      </c>
      <c r="C683" s="4" t="str">
        <f>TRIM(PROPER('Raw Data'!C683))</f>
        <v>Joy</v>
      </c>
      <c r="D683" s="5">
        <f>'Raw Data'!D683</f>
        <v>45177.59375</v>
      </c>
      <c r="E683" s="4" t="str">
        <f>TRIM(SUBSTITUTE('Raw Data'!E683," "," "))</f>
        <v>TimeCapsuleCreatorHighSchool</v>
      </c>
      <c r="F683" s="4" t="str">
        <f>TRIM(PROPER('Raw Data'!F683))</f>
        <v>Facebook</v>
      </c>
      <c r="G683" s="8" t="str">
        <f>TRIM(CLEAN('Raw Data'!G683))</f>
        <v>#TimeCapsule #HighSchoolNostalgia</v>
      </c>
      <c r="H683" s="12">
        <f>'Raw Data'!H683</f>
        <v>26</v>
      </c>
      <c r="I683" s="12">
        <v>39</v>
      </c>
      <c r="J683" s="12" t="str">
        <f>TRIM(UPPER('Raw Data'!J683))</f>
        <v>CANADA</v>
      </c>
      <c r="K683" s="12">
        <f>'Raw Data'!K683</f>
        <v>2023</v>
      </c>
      <c r="L683" s="12">
        <f>'Raw Data'!L683</f>
        <v>9</v>
      </c>
      <c r="M683" s="12">
        <f>'Raw Data'!M683</f>
        <v>8</v>
      </c>
      <c r="N683">
        <f>'Raw Data'!N683</f>
        <v>14</v>
      </c>
    </row>
    <row r="684" spans="1:14" ht="30" x14ac:dyDescent="0.25">
      <c r="A684" s="11">
        <f>'Raw Data'!A684</f>
        <v>682</v>
      </c>
      <c r="B684" s="8" t="str">
        <f>TRIM(CLEAN('Raw Data'!B684))</f>
        <v>Accidentally walked into the wrong classroom on the first day. Classroom mix-up: Awkward start!</v>
      </c>
      <c r="C684" s="4" t="str">
        <f>TRIM(PROPER('Raw Data'!C684))</f>
        <v>Embarrassed</v>
      </c>
      <c r="D684" s="5">
        <f>'Raw Data'!D684</f>
        <v>45178.729166666664</v>
      </c>
      <c r="E684" s="4" t="str">
        <f>TRIM(SUBSTITUTE('Raw Data'!E684," "," "))</f>
        <v>ClassroomBlunderHighSchool</v>
      </c>
      <c r="F684" s="4" t="str">
        <f>TRIM(PROPER('Raw Data'!F684))</f>
        <v>Twitter</v>
      </c>
      <c r="G684" s="8" t="str">
        <f>TRIM(CLEAN('Raw Data'!G684))</f>
        <v>#FirstDayOops #HighSchoolEmbarrassment</v>
      </c>
      <c r="H684" s="12">
        <f>'Raw Data'!H684</f>
        <v>16</v>
      </c>
      <c r="I684" s="12">
        <v>48</v>
      </c>
      <c r="J684" s="12" t="str">
        <f>TRIM(UPPER('Raw Data'!J684))</f>
        <v>USA</v>
      </c>
      <c r="K684" s="12">
        <f>'Raw Data'!K684</f>
        <v>2023</v>
      </c>
      <c r="L684" s="12">
        <f>'Raw Data'!L684</f>
        <v>9</v>
      </c>
      <c r="M684" s="12">
        <f>'Raw Data'!M684</f>
        <v>9</v>
      </c>
      <c r="N684">
        <f>'Raw Data'!N684</f>
        <v>17</v>
      </c>
    </row>
    <row r="685" spans="1:14" ht="30" x14ac:dyDescent="0.25">
      <c r="A685" s="11">
        <f>'Raw Data'!A685</f>
        <v>683</v>
      </c>
      <c r="B685" s="8" t="str">
        <f>TRIM(CLEAN('Raw Data'!B685))</f>
        <v>Trying out a new smoothie recipe for a healthy start to the week. Smoothie enthusiast: Level up!</v>
      </c>
      <c r="C685" s="4" t="str">
        <f>TRIM(PROPER('Raw Data'!C685))</f>
        <v>Excitement</v>
      </c>
      <c r="D685" s="5">
        <f>'Raw Data'!D685</f>
        <v>45179.864583333336</v>
      </c>
      <c r="E685" s="4" t="str">
        <f>TRIM(SUBSTITUTE('Raw Data'!E685," "," "))</f>
        <v>SmoothieConnoisseurHighSchool</v>
      </c>
      <c r="F685" s="4" t="str">
        <f>TRIM(PROPER('Raw Data'!F685))</f>
        <v>Instagram</v>
      </c>
      <c r="G685" s="8" t="str">
        <f>TRIM(CLEAN('Raw Data'!G685))</f>
        <v>#HealthyLiving #HighSchoolWellness</v>
      </c>
      <c r="H685" s="12">
        <f>'Raw Data'!H685</f>
        <v>23</v>
      </c>
      <c r="I685" s="12">
        <v>32</v>
      </c>
      <c r="J685" s="12" t="str">
        <f>TRIM(UPPER('Raw Data'!J685))</f>
        <v>UK</v>
      </c>
      <c r="K685" s="12">
        <f>'Raw Data'!K685</f>
        <v>2023</v>
      </c>
      <c r="L685" s="12">
        <f>'Raw Data'!L685</f>
        <v>9</v>
      </c>
      <c r="M685" s="12">
        <f>'Raw Data'!M685</f>
        <v>10</v>
      </c>
      <c r="N685">
        <f>'Raw Data'!N685</f>
        <v>20</v>
      </c>
    </row>
    <row r="686" spans="1:14" ht="30" x14ac:dyDescent="0.25">
      <c r="A686" s="11">
        <f>'Raw Data'!A686</f>
        <v>684</v>
      </c>
      <c r="B686" s="8" t="str">
        <f>TRIM(CLEAN('Raw Data'!B686))</f>
        <v>Reflecting on the challenges of the school year. Feeling a bit overwhelmed with assignments.</v>
      </c>
      <c r="C686" s="4" t="str">
        <f>TRIM(PROPER('Raw Data'!C686))</f>
        <v>Sad</v>
      </c>
      <c r="D686" s="5">
        <f>'Raw Data'!D686</f>
        <v>45180.65625</v>
      </c>
      <c r="E686" s="4" t="str">
        <f>TRIM(SUBSTITUTE('Raw Data'!E686," "," "))</f>
        <v>OverwhelmedHighSchoolStudent</v>
      </c>
      <c r="F686" s="4" t="str">
        <f>TRIM(PROPER('Raw Data'!F686))</f>
        <v>Twitter</v>
      </c>
      <c r="G686" s="8" t="str">
        <f>TRIM(CLEAN('Raw Data'!G686))</f>
        <v>#SchoolChallenges #HighSchoolStruggles</v>
      </c>
      <c r="H686" s="12">
        <f>'Raw Data'!H686</f>
        <v>15</v>
      </c>
      <c r="I686" s="12">
        <v>42</v>
      </c>
      <c r="J686" s="12" t="str">
        <f>TRIM(UPPER('Raw Data'!J686))</f>
        <v>USA</v>
      </c>
      <c r="K686" s="12">
        <f>'Raw Data'!K686</f>
        <v>2023</v>
      </c>
      <c r="L686" s="12">
        <f>'Raw Data'!L686</f>
        <v>9</v>
      </c>
      <c r="M686" s="12">
        <f>'Raw Data'!M686</f>
        <v>11</v>
      </c>
      <c r="N686">
        <f>'Raw Data'!N686</f>
        <v>15</v>
      </c>
    </row>
    <row r="687" spans="1:14" ht="30" x14ac:dyDescent="0.25">
      <c r="A687" s="11">
        <f>'Raw Data'!A687</f>
        <v>685</v>
      </c>
      <c r="B687" s="8" t="str">
        <f>TRIM(CLEAN('Raw Data'!B687))</f>
        <v>Encountered some mean-spirited comments online. Dealing with online hate is never easy.</v>
      </c>
      <c r="C687" s="4" t="str">
        <f>TRIM(PROPER('Raw Data'!C687))</f>
        <v>Hate</v>
      </c>
      <c r="D687" s="5">
        <f>'Raw Data'!D687</f>
        <v>45181.520833333336</v>
      </c>
      <c r="E687" s="4" t="str">
        <f>TRIM(SUBSTITUTE('Raw Data'!E687," "," "))</f>
        <v>DealingWithHateHighSchool</v>
      </c>
      <c r="F687" s="4" t="str">
        <f>TRIM(PROPER('Raw Data'!F687))</f>
        <v>Instagram</v>
      </c>
      <c r="G687" s="8" t="str">
        <f>TRIM(CLEAN('Raw Data'!G687))</f>
        <v>#OnlineHate #HighSchoolReality</v>
      </c>
      <c r="H687" s="12">
        <f>'Raw Data'!H687</f>
        <v>18</v>
      </c>
      <c r="I687" s="12">
        <v>28</v>
      </c>
      <c r="J687" s="12" t="str">
        <f>TRIM(UPPER('Raw Data'!J687))</f>
        <v>CANADA</v>
      </c>
      <c r="K687" s="12">
        <f>'Raw Data'!K687</f>
        <v>2023</v>
      </c>
      <c r="L687" s="12">
        <f>'Raw Data'!L687</f>
        <v>9</v>
      </c>
      <c r="M687" s="12">
        <f>'Raw Data'!M687</f>
        <v>12</v>
      </c>
      <c r="N687">
        <f>'Raw Data'!N687</f>
        <v>12</v>
      </c>
    </row>
    <row r="688" spans="1:14" ht="30" x14ac:dyDescent="0.25">
      <c r="A688" s="11">
        <f>'Raw Data'!A688</f>
        <v>686</v>
      </c>
      <c r="B688" s="8" t="str">
        <f>TRIM(CLEAN('Raw Data'!B688))</f>
        <v>Had a bad day at school. Everything seems to be going wrong.</v>
      </c>
      <c r="C688" s="4" t="str">
        <f>TRIM(PROPER('Raw Data'!C688))</f>
        <v>Bad</v>
      </c>
      <c r="D688" s="5">
        <f>'Raw Data'!D688</f>
        <v>45182.697916666664</v>
      </c>
      <c r="E688" s="4" t="str">
        <f>TRIM(SUBSTITUTE('Raw Data'!E688," "," "))</f>
        <v>ToughDayHighSchool</v>
      </c>
      <c r="F688" s="4" t="str">
        <f>TRIM(PROPER('Raw Data'!F688))</f>
        <v>Facebook</v>
      </c>
      <c r="G688" s="8" t="str">
        <f>TRIM(CLEAN('Raw Data'!G688))</f>
        <v>#BadDay #HighSchoolBlues</v>
      </c>
      <c r="H688" s="12">
        <f>'Raw Data'!H688</f>
        <v>20</v>
      </c>
      <c r="I688" s="12">
        <v>36</v>
      </c>
      <c r="J688" s="12" t="str">
        <f>TRIM(UPPER('Raw Data'!J688))</f>
        <v>UK</v>
      </c>
      <c r="K688" s="12">
        <f>'Raw Data'!K688</f>
        <v>2023</v>
      </c>
      <c r="L688" s="12">
        <f>'Raw Data'!L688</f>
        <v>9</v>
      </c>
      <c r="M688" s="12">
        <f>'Raw Data'!M688</f>
        <v>13</v>
      </c>
      <c r="N688">
        <f>'Raw Data'!N688</f>
        <v>16</v>
      </c>
    </row>
    <row r="689" spans="1:14" ht="30" x14ac:dyDescent="0.25">
      <c r="A689" s="11">
        <f>'Raw Data'!A689</f>
        <v>687</v>
      </c>
      <c r="B689" s="8" t="str">
        <f>TRIM(CLEAN('Raw Data'!B689))</f>
        <v>Feeling down after not making the sports team. Disappointment lingers.</v>
      </c>
      <c r="C689" s="4" t="str">
        <f>TRIM(PROPER('Raw Data'!C689))</f>
        <v>Sad</v>
      </c>
      <c r="D689" s="5">
        <f>'Raw Data'!D689</f>
        <v>45183.763888888891</v>
      </c>
      <c r="E689" s="4" t="str">
        <f>TRIM(SUBSTITUTE('Raw Data'!E689," "," "))</f>
        <v>SportsTeamRejectionHighSchool</v>
      </c>
      <c r="F689" s="4" t="str">
        <f>TRIM(PROPER('Raw Data'!F689))</f>
        <v>Twitter</v>
      </c>
      <c r="G689" s="8" t="str">
        <f>TRIM(CLEAN('Raw Data'!G689))</f>
        <v>#Disappointment #HighSchoolSports</v>
      </c>
      <c r="H689" s="12">
        <f>'Raw Data'!H689</f>
        <v>17</v>
      </c>
      <c r="I689" s="12">
        <v>40</v>
      </c>
      <c r="J689" s="12" t="str">
        <f>TRIM(UPPER('Raw Data'!J689))</f>
        <v>USA</v>
      </c>
      <c r="K689" s="12">
        <f>'Raw Data'!K689</f>
        <v>2023</v>
      </c>
      <c r="L689" s="12">
        <f>'Raw Data'!L689</f>
        <v>9</v>
      </c>
      <c r="M689" s="12">
        <f>'Raw Data'!M689</f>
        <v>14</v>
      </c>
      <c r="N689">
        <f>'Raw Data'!N689</f>
        <v>18</v>
      </c>
    </row>
    <row r="690" spans="1:14" ht="30" x14ac:dyDescent="0.25">
      <c r="A690" s="11">
        <f>'Raw Data'!A690</f>
        <v>688</v>
      </c>
      <c r="B690" s="8" t="str">
        <f>TRIM(CLEAN('Raw Data'!B690))</f>
        <v>Witnessed a heated argument in the cafeteria. Unpleasant atmosphere at lunch.</v>
      </c>
      <c r="C690" s="4" t="str">
        <f>TRIM(PROPER('Raw Data'!C690))</f>
        <v>Hate</v>
      </c>
      <c r="D690" s="5">
        <f>'Raw Data'!D690</f>
        <v>45184.59375</v>
      </c>
      <c r="E690" s="4" t="str">
        <f>TRIM(SUBSTITUTE('Raw Data'!E690," "," "))</f>
        <v>CafeteriaConflictHighSchool</v>
      </c>
      <c r="F690" s="4" t="str">
        <f>TRIM(PROPER('Raw Data'!F690))</f>
        <v>Instagram</v>
      </c>
      <c r="G690" s="8" t="str">
        <f>TRIM(CLEAN('Raw Data'!G690))</f>
        <v>#CafeteriaDrama #HighSchoolTension</v>
      </c>
      <c r="H690" s="12">
        <f>'Raw Data'!H690</f>
        <v>21</v>
      </c>
      <c r="I690" s="12">
        <v>34</v>
      </c>
      <c r="J690" s="12" t="str">
        <f>TRIM(UPPER('Raw Data'!J690))</f>
        <v>CANADA</v>
      </c>
      <c r="K690" s="12">
        <f>'Raw Data'!K690</f>
        <v>2023</v>
      </c>
      <c r="L690" s="12">
        <f>'Raw Data'!L690</f>
        <v>9</v>
      </c>
      <c r="M690" s="12">
        <f>'Raw Data'!M690</f>
        <v>15</v>
      </c>
      <c r="N690">
        <f>'Raw Data'!N690</f>
        <v>14</v>
      </c>
    </row>
    <row r="691" spans="1:14" ht="30" x14ac:dyDescent="0.25">
      <c r="A691" s="11">
        <f>'Raw Data'!A691</f>
        <v>689</v>
      </c>
      <c r="B691" s="8" t="str">
        <f>TRIM(CLEAN('Raw Data'!B691))</f>
        <v>Received a not-so-great grade on a major project. Academic frustration setting in.</v>
      </c>
      <c r="C691" s="4" t="str">
        <f>TRIM(PROPER('Raw Data'!C691))</f>
        <v>Bad</v>
      </c>
      <c r="D691" s="5">
        <f>'Raw Data'!D691</f>
        <v>45185.729166666664</v>
      </c>
      <c r="E691" s="4" t="str">
        <f>TRIM(SUBSTITUTE('Raw Data'!E691," "," "))</f>
        <v>ProjectGradeDisappointmentHighSchool</v>
      </c>
      <c r="F691" s="4" t="str">
        <f>TRIM(PROPER('Raw Data'!F691))</f>
        <v>Facebook</v>
      </c>
      <c r="G691" s="8" t="str">
        <f>TRIM(CLEAN('Raw Data'!G691))</f>
        <v>#AcademicFrustration #HighSchoolStress</v>
      </c>
      <c r="H691" s="12">
        <f>'Raw Data'!H691</f>
        <v>19</v>
      </c>
      <c r="I691" s="12">
        <v>41</v>
      </c>
      <c r="J691" s="12" t="str">
        <f>TRIM(UPPER('Raw Data'!J691))</f>
        <v>UK</v>
      </c>
      <c r="K691" s="12">
        <f>'Raw Data'!K691</f>
        <v>2023</v>
      </c>
      <c r="L691" s="12">
        <f>'Raw Data'!L691</f>
        <v>9</v>
      </c>
      <c r="M691" s="12">
        <f>'Raw Data'!M691</f>
        <v>16</v>
      </c>
      <c r="N691">
        <f>'Raw Data'!N691</f>
        <v>17</v>
      </c>
    </row>
    <row r="692" spans="1:14" ht="30" x14ac:dyDescent="0.25">
      <c r="A692" s="11">
        <f>'Raw Data'!A692</f>
        <v>690</v>
      </c>
      <c r="B692" s="8" t="str">
        <f>TRIM(CLEAN('Raw Data'!B692))</f>
        <v>Dealing with a personal setback. Sometimes life throws unexpected challenges.</v>
      </c>
      <c r="C692" s="4" t="str">
        <f>TRIM(PROPER('Raw Data'!C692))</f>
        <v>Sad</v>
      </c>
      <c r="D692" s="5">
        <f>'Raw Data'!D692</f>
        <v>45186.864583333336</v>
      </c>
      <c r="E692" s="4" t="str">
        <f>TRIM(SUBSTITUTE('Raw Data'!E692," "," "))</f>
        <v>PersonalSetbackHighSchool</v>
      </c>
      <c r="F692" s="4" t="str">
        <f>TRIM(PROPER('Raw Data'!F692))</f>
        <v>Twitter</v>
      </c>
      <c r="G692" s="8" t="str">
        <f>TRIM(CLEAN('Raw Data'!G692))</f>
        <v>#LifeChallenges #HighSchoolStruggles</v>
      </c>
      <c r="H692" s="12">
        <f>'Raw Data'!H692</f>
        <v>22</v>
      </c>
      <c r="I692" s="12">
        <v>38</v>
      </c>
      <c r="J692" s="12" t="str">
        <f>TRIM(UPPER('Raw Data'!J692))</f>
        <v>USA</v>
      </c>
      <c r="K692" s="12">
        <f>'Raw Data'!K692</f>
        <v>2023</v>
      </c>
      <c r="L692" s="12">
        <f>'Raw Data'!L692</f>
        <v>9</v>
      </c>
      <c r="M692" s="12">
        <f>'Raw Data'!M692</f>
        <v>17</v>
      </c>
      <c r="N692">
        <f>'Raw Data'!N692</f>
        <v>20</v>
      </c>
    </row>
    <row r="693" spans="1:14" ht="30" x14ac:dyDescent="0.25">
      <c r="A693" s="11">
        <f>'Raw Data'!A693</f>
        <v>691</v>
      </c>
      <c r="B693" s="8" t="str">
        <f>TRIM(CLEAN('Raw Data'!B693))</f>
        <v>Feeling lonely on a Saturday night. Sometimes solitude hits harder than expected.</v>
      </c>
      <c r="C693" s="4" t="str">
        <f>TRIM(PROPER('Raw Data'!C693))</f>
        <v>Sad</v>
      </c>
      <c r="D693" s="5">
        <f>'Raw Data'!D693</f>
        <v>45187.916666666664</v>
      </c>
      <c r="E693" s="4" t="str">
        <f>TRIM(SUBSTITUTE('Raw Data'!E693," "," "))</f>
        <v>LonelySaturdayHighSchool</v>
      </c>
      <c r="F693" s="4" t="str">
        <f>TRIM(PROPER('Raw Data'!F693))</f>
        <v>Instagram</v>
      </c>
      <c r="G693" s="8" t="str">
        <f>TRIM(CLEAN('Raw Data'!G693))</f>
        <v>#LonelyNights #HighSchoolEmotions</v>
      </c>
      <c r="H693" s="12">
        <f>'Raw Data'!H693</f>
        <v>16</v>
      </c>
      <c r="I693" s="12">
        <v>44</v>
      </c>
      <c r="J693" s="12" t="str">
        <f>TRIM(UPPER('Raw Data'!J693))</f>
        <v>CANADA</v>
      </c>
      <c r="K693" s="12">
        <f>'Raw Data'!K693</f>
        <v>2023</v>
      </c>
      <c r="L693" s="12">
        <f>'Raw Data'!L693</f>
        <v>9</v>
      </c>
      <c r="M693" s="12">
        <f>'Raw Data'!M693</f>
        <v>18</v>
      </c>
      <c r="N693">
        <f>'Raw Data'!N693</f>
        <v>22</v>
      </c>
    </row>
    <row r="694" spans="1:14" ht="30" x14ac:dyDescent="0.25">
      <c r="A694" s="11">
        <f>'Raw Data'!A694</f>
        <v>692</v>
      </c>
      <c r="B694" s="8" t="str">
        <f>TRIM(CLEAN('Raw Data'!B694))</f>
        <v>Experiencing cyberbullying. Hateful messages online are disheartening.</v>
      </c>
      <c r="C694" s="4" t="str">
        <f>TRIM(PROPER('Raw Data'!C694))</f>
        <v>Hate</v>
      </c>
      <c r="D694" s="5">
        <f>'Raw Data'!D694</f>
        <v>45188.635416666664</v>
      </c>
      <c r="E694" s="4" t="str">
        <f>TRIM(SUBSTITUTE('Raw Data'!E694," "," "))</f>
        <v>CyberbullyingVictimHighSchool</v>
      </c>
      <c r="F694" s="4" t="str">
        <f>TRIM(PROPER('Raw Data'!F694))</f>
        <v>Facebook</v>
      </c>
      <c r="G694" s="8" t="str">
        <f>TRIM(CLEAN('Raw Data'!G694))</f>
        <v>#StopCyberbullying #HighSchoolReality</v>
      </c>
      <c r="H694" s="12">
        <f>'Raw Data'!H694</f>
        <v>14</v>
      </c>
      <c r="I694" s="12">
        <v>31</v>
      </c>
      <c r="J694" s="12" t="str">
        <f>TRIM(UPPER('Raw Data'!J694))</f>
        <v>UK</v>
      </c>
      <c r="K694" s="12">
        <f>'Raw Data'!K694</f>
        <v>2023</v>
      </c>
      <c r="L694" s="12">
        <f>'Raw Data'!L694</f>
        <v>9</v>
      </c>
      <c r="M694" s="12">
        <f>'Raw Data'!M694</f>
        <v>19</v>
      </c>
      <c r="N694">
        <f>'Raw Data'!N694</f>
        <v>15</v>
      </c>
    </row>
    <row r="695" spans="1:14" ht="30" x14ac:dyDescent="0.25">
      <c r="A695" s="11">
        <f>'Raw Data'!A695</f>
        <v>693</v>
      </c>
      <c r="B695" s="8" t="str">
        <f>TRIM(CLEAN('Raw Data'!B695))</f>
        <v>Caught in a torrential rainstorm without an umbrella. Today's weather is just bad luck.</v>
      </c>
      <c r="C695" s="4" t="str">
        <f>TRIM(PROPER('Raw Data'!C695))</f>
        <v>Bad</v>
      </c>
      <c r="D695" s="5">
        <f>'Raw Data'!D695</f>
        <v>45189.520833333336</v>
      </c>
      <c r="E695" s="4" t="str">
        <f>TRIM(SUBSTITUTE('Raw Data'!E695," "," "))</f>
        <v>RainyDayBluesHighSchool</v>
      </c>
      <c r="F695" s="4" t="str">
        <f>TRIM(PROPER('Raw Data'!F695))</f>
        <v>Twitter</v>
      </c>
      <c r="G695" s="8" t="str">
        <f>TRIM(CLEAN('Raw Data'!G695))</f>
        <v>#BadLuck #HighSchoolWeather</v>
      </c>
      <c r="H695" s="12">
        <f>'Raw Data'!H695</f>
        <v>18</v>
      </c>
      <c r="I695" s="12">
        <v>27</v>
      </c>
      <c r="J695" s="12" t="str">
        <f>TRIM(UPPER('Raw Data'!J695))</f>
        <v>USA</v>
      </c>
      <c r="K695" s="12">
        <f>'Raw Data'!K695</f>
        <v>2023</v>
      </c>
      <c r="L695" s="12">
        <f>'Raw Data'!L695</f>
        <v>9</v>
      </c>
      <c r="M695" s="12">
        <f>'Raw Data'!M695</f>
        <v>20</v>
      </c>
      <c r="N695">
        <f>'Raw Data'!N695</f>
        <v>12</v>
      </c>
    </row>
    <row r="696" spans="1:14" ht="30" x14ac:dyDescent="0.25">
      <c r="A696" s="11">
        <f>'Raw Data'!A696</f>
        <v>694</v>
      </c>
      <c r="B696" s="8" t="str">
        <f>TRIM(CLEAN('Raw Data'!B696))</f>
        <v>Missing an important event due to unforeseen circumstances. A day filled with sadness.</v>
      </c>
      <c r="C696" s="4" t="str">
        <f>TRIM(PROPER('Raw Data'!C696))</f>
        <v>Sad</v>
      </c>
      <c r="D696" s="5">
        <f>'Raw Data'!D696</f>
        <v>45190.697916666664</v>
      </c>
      <c r="E696" s="4" t="str">
        <f>TRIM(SUBSTITUTE('Raw Data'!E696," "," "))</f>
        <v>MissedOpportunityHighSchool</v>
      </c>
      <c r="F696" s="4" t="str">
        <f>TRIM(PROPER('Raw Data'!F696))</f>
        <v>Instagram</v>
      </c>
      <c r="G696" s="8" t="str">
        <f>TRIM(CLEAN('Raw Data'!G696))</f>
        <v>#MissedChances #HighSchoolRegret</v>
      </c>
      <c r="H696" s="12">
        <f>'Raw Data'!H696</f>
        <v>20</v>
      </c>
      <c r="I696" s="12">
        <v>35</v>
      </c>
      <c r="J696" s="12" t="str">
        <f>TRIM(UPPER('Raw Data'!J696))</f>
        <v>CANADA</v>
      </c>
      <c r="K696" s="12">
        <f>'Raw Data'!K696</f>
        <v>2023</v>
      </c>
      <c r="L696" s="12">
        <f>'Raw Data'!L696</f>
        <v>9</v>
      </c>
      <c r="M696" s="12">
        <f>'Raw Data'!M696</f>
        <v>21</v>
      </c>
      <c r="N696">
        <f>'Raw Data'!N696</f>
        <v>16</v>
      </c>
    </row>
    <row r="697" spans="1:14" ht="30" x14ac:dyDescent="0.25">
      <c r="A697" s="11">
        <f>'Raw Data'!A697</f>
        <v>695</v>
      </c>
      <c r="B697" s="8" t="str">
        <f>TRIM(CLEAN('Raw Data'!B697))</f>
        <v>Dealing with unfounded rumors circulating about personal life. Rumors can be hurtful.</v>
      </c>
      <c r="C697" s="4" t="str">
        <f>TRIM(PROPER('Raw Data'!C697))</f>
        <v>Hate</v>
      </c>
      <c r="D697" s="5">
        <f>'Raw Data'!D697</f>
        <v>45191.763888888891</v>
      </c>
      <c r="E697" s="4" t="str">
        <f>TRIM(SUBSTITUTE('Raw Data'!E697," "," "))</f>
        <v>RumorVictimHighSchool</v>
      </c>
      <c r="F697" s="4" t="str">
        <f>TRIM(PROPER('Raw Data'!F697))</f>
        <v>Facebook</v>
      </c>
      <c r="G697" s="8" t="str">
        <f>TRIM(CLEAN('Raw Data'!G697))</f>
        <v>#RumorMills #HighSchoolDrama</v>
      </c>
      <c r="H697" s="12">
        <f>'Raw Data'!H697</f>
        <v>23</v>
      </c>
      <c r="I697" s="12">
        <v>39</v>
      </c>
      <c r="J697" s="12" t="str">
        <f>TRIM(UPPER('Raw Data'!J697))</f>
        <v>UK</v>
      </c>
      <c r="K697" s="12">
        <f>'Raw Data'!K697</f>
        <v>2023</v>
      </c>
      <c r="L697" s="12">
        <f>'Raw Data'!L697</f>
        <v>9</v>
      </c>
      <c r="M697" s="12">
        <f>'Raw Data'!M697</f>
        <v>22</v>
      </c>
      <c r="N697">
        <f>'Raw Data'!N697</f>
        <v>18</v>
      </c>
    </row>
    <row r="698" spans="1:14" ht="30" x14ac:dyDescent="0.25">
      <c r="A698" s="11">
        <f>'Raw Data'!A698</f>
        <v>696</v>
      </c>
      <c r="B698" s="8" t="str">
        <f>TRIM(CLEAN('Raw Data'!B698))</f>
        <v>Got a flat tire on the way to an important meeting. Talk about a series of bad events!</v>
      </c>
      <c r="C698" s="4" t="str">
        <f>TRIM(PROPER('Raw Data'!C698))</f>
        <v>Bad</v>
      </c>
      <c r="D698" s="5">
        <f>'Raw Data'!D698</f>
        <v>45192.59375</v>
      </c>
      <c r="E698" s="4" t="str">
        <f>TRIM(SUBSTITUTE('Raw Data'!E698," "," "))</f>
        <v>FlatTireWoesHighSchool</v>
      </c>
      <c r="F698" s="4" t="str">
        <f>TRIM(PROPER('Raw Data'!F698))</f>
        <v>Twitter</v>
      </c>
      <c r="G698" s="8" t="str">
        <f>TRIM(CLEAN('Raw Data'!G698))</f>
        <v>#BadLuckDay #HighSchoolStruggles</v>
      </c>
      <c r="H698" s="12">
        <f>'Raw Data'!H698</f>
        <v>25</v>
      </c>
      <c r="I698" s="12">
        <v>46</v>
      </c>
      <c r="J698" s="12" t="str">
        <f>TRIM(UPPER('Raw Data'!J698))</f>
        <v>USA</v>
      </c>
      <c r="K698" s="12">
        <f>'Raw Data'!K698</f>
        <v>2023</v>
      </c>
      <c r="L698" s="12">
        <f>'Raw Data'!L698</f>
        <v>9</v>
      </c>
      <c r="M698" s="12">
        <f>'Raw Data'!M698</f>
        <v>23</v>
      </c>
      <c r="N698">
        <f>'Raw Data'!N698</f>
        <v>14</v>
      </c>
    </row>
    <row r="699" spans="1:14" ht="30" x14ac:dyDescent="0.25">
      <c r="A699" s="11">
        <f>'Raw Data'!A699</f>
        <v>697</v>
      </c>
      <c r="B699" s="8" t="str">
        <f>TRIM(CLEAN('Raw Data'!B699))</f>
        <v>Feeling a sense of emptiness after a close friend moves away. Farewells are always sad.</v>
      </c>
      <c r="C699" s="4" t="str">
        <f>TRIM(PROPER('Raw Data'!C699))</f>
        <v>Sad</v>
      </c>
      <c r="D699" s="5">
        <f>'Raw Data'!D699</f>
        <v>45193.729166666664</v>
      </c>
      <c r="E699" s="4" t="str">
        <f>TRIM(SUBSTITUTE('Raw Data'!E699," "," "))</f>
        <v>FriendMovingAwayHighSchool</v>
      </c>
      <c r="F699" s="4" t="str">
        <f>TRIM(PROPER('Raw Data'!F699))</f>
        <v>Instagram</v>
      </c>
      <c r="G699" s="8" t="str">
        <f>TRIM(CLEAN('Raw Data'!G699))</f>
        <v>#SayingGoodbye #HighSchoolEmotions</v>
      </c>
      <c r="H699" s="12">
        <f>'Raw Data'!H699</f>
        <v>21</v>
      </c>
      <c r="I699" s="12">
        <v>50</v>
      </c>
      <c r="J699" s="12" t="str">
        <f>TRIM(UPPER('Raw Data'!J699))</f>
        <v>CANADA</v>
      </c>
      <c r="K699" s="12">
        <f>'Raw Data'!K699</f>
        <v>2023</v>
      </c>
      <c r="L699" s="12">
        <f>'Raw Data'!L699</f>
        <v>9</v>
      </c>
      <c r="M699" s="12">
        <f>'Raw Data'!M699</f>
        <v>24</v>
      </c>
      <c r="N699">
        <f>'Raw Data'!N699</f>
        <v>17</v>
      </c>
    </row>
    <row r="700" spans="1:14" ht="30" x14ac:dyDescent="0.25">
      <c r="A700" s="11">
        <f>'Raw Data'!A700</f>
        <v>698</v>
      </c>
      <c r="B700" s="8" t="str">
        <f>TRIM(CLEAN('Raw Data'!B700))</f>
        <v>Facing rejection from a dream college. Disheartened but determined to explore other paths.</v>
      </c>
      <c r="C700" s="4" t="str">
        <f>TRIM(PROPER('Raw Data'!C700))</f>
        <v>Sad</v>
      </c>
      <c r="D700" s="5">
        <f>'Raw Data'!D700</f>
        <v>45194.864583333336</v>
      </c>
      <c r="E700" s="4" t="str">
        <f>TRIM(SUBSTITUTE('Raw Data'!E700," "," "))</f>
        <v>CollegeRejectionHighSchool</v>
      </c>
      <c r="F700" s="4" t="str">
        <f>TRIM(PROPER('Raw Data'!F700))</f>
        <v>Facebook</v>
      </c>
      <c r="G700" s="8" t="str">
        <f>TRIM(CLEAN('Raw Data'!G700))</f>
        <v>#CollegeDreams #HighSchoolJourney</v>
      </c>
      <c r="H700" s="12">
        <f>'Raw Data'!H700</f>
        <v>19</v>
      </c>
      <c r="I700" s="12">
        <v>42</v>
      </c>
      <c r="J700" s="12" t="str">
        <f>TRIM(UPPER('Raw Data'!J700))</f>
        <v>UK</v>
      </c>
      <c r="K700" s="12">
        <f>'Raw Data'!K700</f>
        <v>2023</v>
      </c>
      <c r="L700" s="12">
        <f>'Raw Data'!L700</f>
        <v>9</v>
      </c>
      <c r="M700" s="12">
        <f>'Raw Data'!M700</f>
        <v>25</v>
      </c>
      <c r="N700">
        <f>'Raw Data'!N700</f>
        <v>20</v>
      </c>
    </row>
    <row r="701" spans="1:14" ht="30" x14ac:dyDescent="0.25">
      <c r="A701" s="11">
        <f>'Raw Data'!A701</f>
        <v>699</v>
      </c>
      <c r="B701" s="8" t="str">
        <f>TRIM(CLEAN('Raw Data'!B701))</f>
        <v>Encountering online toxicity during a gaming session. Hateful comments can ruin the fun.</v>
      </c>
      <c r="C701" s="4" t="str">
        <f>TRIM(PROPER('Raw Data'!C701))</f>
        <v>Hate</v>
      </c>
      <c r="D701" s="5">
        <f>'Raw Data'!D701</f>
        <v>45195.59375</v>
      </c>
      <c r="E701" s="4" t="str">
        <f>TRIM(SUBSTITUTE('Raw Data'!E701," "," "))</f>
        <v>GamingToxicityHighSchool</v>
      </c>
      <c r="F701" s="4" t="str">
        <f>TRIM(PROPER('Raw Data'!F701))</f>
        <v>Twitter</v>
      </c>
      <c r="G701" s="8" t="str">
        <f>TRIM(CLEAN('Raw Data'!G701))</f>
        <v>#OnlineGaming #HighSchoolGamer</v>
      </c>
      <c r="H701" s="12">
        <f>'Raw Data'!H701</f>
        <v>16</v>
      </c>
      <c r="I701" s="12">
        <v>37</v>
      </c>
      <c r="J701" s="12" t="str">
        <f>TRIM(UPPER('Raw Data'!J701))</f>
        <v>USA</v>
      </c>
      <c r="K701" s="12">
        <f>'Raw Data'!K701</f>
        <v>2023</v>
      </c>
      <c r="L701" s="12">
        <f>'Raw Data'!L701</f>
        <v>9</v>
      </c>
      <c r="M701" s="12">
        <f>'Raw Data'!M701</f>
        <v>26</v>
      </c>
      <c r="N701">
        <f>'Raw Data'!N701</f>
        <v>14</v>
      </c>
    </row>
    <row r="702" spans="1:14" ht="30" x14ac:dyDescent="0.25">
      <c r="A702" s="11">
        <f>'Raw Data'!A702</f>
        <v>700</v>
      </c>
      <c r="B702" s="8" t="str">
        <f>TRIM(CLEAN('Raw Data'!B702))</f>
        <v>Having a bad hair day and feeling self-conscious. Bad hair days can affect confidence.</v>
      </c>
      <c r="C702" s="4" t="str">
        <f>TRIM(PROPER('Raw Data'!C702))</f>
        <v>Bad</v>
      </c>
      <c r="D702" s="5">
        <f>'Raw Data'!D702</f>
        <v>45196.729166666664</v>
      </c>
      <c r="E702" s="4" t="str">
        <f>TRIM(SUBSTITUTE('Raw Data'!E702," "," "))</f>
        <v>BadHairDayBluesHighSchool</v>
      </c>
      <c r="F702" s="4" t="str">
        <f>TRIM(PROPER('Raw Data'!F702))</f>
        <v>Instagram</v>
      </c>
      <c r="G702" s="8" t="str">
        <f>TRIM(CLEAN('Raw Data'!G702))</f>
        <v>#BadHairDay #HighSchoolConfidence</v>
      </c>
      <c r="H702" s="12">
        <f>'Raw Data'!H702</f>
        <v>18</v>
      </c>
      <c r="I702" s="12">
        <v>32</v>
      </c>
      <c r="J702" s="12" t="str">
        <f>TRIM(UPPER('Raw Data'!J702))</f>
        <v>CANADA</v>
      </c>
      <c r="K702" s="12">
        <f>'Raw Data'!K702</f>
        <v>2023</v>
      </c>
      <c r="L702" s="12">
        <f>'Raw Data'!L702</f>
        <v>9</v>
      </c>
      <c r="M702" s="12">
        <f>'Raw Data'!M702</f>
        <v>27</v>
      </c>
      <c r="N702">
        <f>'Raw Data'!N702</f>
        <v>17</v>
      </c>
    </row>
    <row r="703" spans="1:14" ht="30" x14ac:dyDescent="0.25">
      <c r="A703" s="11">
        <f>'Raw Data'!A703</f>
        <v>701</v>
      </c>
      <c r="B703" s="8" t="str">
        <f>TRIM(CLEAN('Raw Data'!B703))</f>
        <v>Feeling a sense of despair after a major project failure. Hard work didn't pay off this time.</v>
      </c>
      <c r="C703" s="4" t="str">
        <f>TRIM(PROPER('Raw Data'!C703))</f>
        <v>Sad</v>
      </c>
      <c r="D703" s="5">
        <f>'Raw Data'!D703</f>
        <v>45197.916666666664</v>
      </c>
      <c r="E703" s="4" t="str">
        <f>TRIM(SUBSTITUTE('Raw Data'!E703," "," "))</f>
        <v>ProjectFailureDespairHighSchool</v>
      </c>
      <c r="F703" s="4" t="str">
        <f>TRIM(PROPER('Raw Data'!F703))</f>
        <v>Facebook</v>
      </c>
      <c r="G703" s="8" t="str">
        <f>TRIM(CLEAN('Raw Data'!G703))</f>
        <v>#ProjectStruggles #HighSchoolHardships</v>
      </c>
      <c r="H703" s="12">
        <f>'Raw Data'!H703</f>
        <v>21</v>
      </c>
      <c r="I703" s="12">
        <v>36</v>
      </c>
      <c r="J703" s="12" t="str">
        <f>TRIM(UPPER('Raw Data'!J703))</f>
        <v>UK</v>
      </c>
      <c r="K703" s="12">
        <f>'Raw Data'!K703</f>
        <v>2023</v>
      </c>
      <c r="L703" s="12">
        <f>'Raw Data'!L703</f>
        <v>9</v>
      </c>
      <c r="M703" s="12">
        <f>'Raw Data'!M703</f>
        <v>28</v>
      </c>
      <c r="N703">
        <f>'Raw Data'!N703</f>
        <v>22</v>
      </c>
    </row>
    <row r="704" spans="1:14" ht="30" x14ac:dyDescent="0.25">
      <c r="A704" s="11">
        <f>'Raw Data'!A704</f>
        <v>702</v>
      </c>
      <c r="B704" s="8" t="str">
        <f>TRIM(CLEAN('Raw Data'!B704))</f>
        <v>Experiencing hate comments for expressing personal opinions. Online negativity prevails.</v>
      </c>
      <c r="C704" s="4" t="str">
        <f>TRIM(PROPER('Raw Data'!C704))</f>
        <v>Hate</v>
      </c>
      <c r="D704" s="5">
        <f>'Raw Data'!D704</f>
        <v>45198.65625</v>
      </c>
      <c r="E704" s="4" t="str">
        <f>TRIM(SUBSTITUTE('Raw Data'!E704," "," "))</f>
        <v>OpinionsHateHighSchool</v>
      </c>
      <c r="F704" s="4" t="str">
        <f>TRIM(PROPER('Raw Data'!F704))</f>
        <v>Twitter</v>
      </c>
      <c r="G704" s="8" t="str">
        <f>TRIM(CLEAN('Raw Data'!G704))</f>
        <v>#OnlineOpinions #HighSchoolCriticism</v>
      </c>
      <c r="H704" s="12">
        <f>'Raw Data'!H704</f>
        <v>24</v>
      </c>
      <c r="I704" s="12">
        <v>41</v>
      </c>
      <c r="J704" s="12" t="str">
        <f>TRIM(UPPER('Raw Data'!J704))</f>
        <v>USA</v>
      </c>
      <c r="K704" s="12">
        <f>'Raw Data'!K704</f>
        <v>2023</v>
      </c>
      <c r="L704" s="12">
        <f>'Raw Data'!L704</f>
        <v>9</v>
      </c>
      <c r="M704" s="12">
        <f>'Raw Data'!M704</f>
        <v>29</v>
      </c>
      <c r="N704">
        <f>'Raw Data'!N704</f>
        <v>15</v>
      </c>
    </row>
    <row r="705" spans="1:14" ht="30" x14ac:dyDescent="0.25">
      <c r="A705" s="11">
        <f>'Raw Data'!A705</f>
        <v>703</v>
      </c>
      <c r="B705" s="8" t="str">
        <f>TRIM(CLEAN('Raw Data'!B705))</f>
        <v>Having a string of bad luck with constant technology malfunctions. Tech troubles galore!</v>
      </c>
      <c r="C705" s="4" t="str">
        <f>TRIM(PROPER('Raw Data'!C705))</f>
        <v>Bad</v>
      </c>
      <c r="D705" s="5">
        <f>'Raw Data'!D705</f>
        <v>45199.763888888891</v>
      </c>
      <c r="E705" s="4" t="str">
        <f>TRIM(SUBSTITUTE('Raw Data'!E705," "," "))</f>
        <v>TechMalfunctionWoesHighSchool</v>
      </c>
      <c r="F705" s="4" t="str">
        <f>TRIM(PROPER('Raw Data'!F705))</f>
        <v>Instagram</v>
      </c>
      <c r="G705" s="8" t="str">
        <f>TRIM(CLEAN('Raw Data'!G705))</f>
        <v>#TechIssues #HighSchoolTech</v>
      </c>
      <c r="H705" s="12">
        <f>'Raw Data'!H705</f>
        <v>22</v>
      </c>
      <c r="I705" s="12">
        <v>48</v>
      </c>
      <c r="J705" s="12" t="str">
        <f>TRIM(UPPER('Raw Data'!J705))</f>
        <v>CANADA</v>
      </c>
      <c r="K705" s="12">
        <f>'Raw Data'!K705</f>
        <v>2023</v>
      </c>
      <c r="L705" s="12">
        <f>'Raw Data'!L705</f>
        <v>9</v>
      </c>
      <c r="M705" s="12">
        <f>'Raw Data'!M705</f>
        <v>30</v>
      </c>
      <c r="N705">
        <f>'Raw Data'!N705</f>
        <v>18</v>
      </c>
    </row>
    <row r="706" spans="1:14" ht="30" x14ac:dyDescent="0.25">
      <c r="A706" s="11">
        <f>'Raw Data'!A706</f>
        <v>704</v>
      </c>
      <c r="B706" s="8" t="str">
        <f>TRIM(CLEAN('Raw Data'!B706))</f>
        <v>Missing out on a long-anticipated event due to unexpected circumstances. A day filled with sadness.</v>
      </c>
      <c r="C706" s="4" t="str">
        <f>TRIM(PROPER('Raw Data'!C706))</f>
        <v>Sad</v>
      </c>
      <c r="D706" s="5">
        <f>'Raw Data'!D706</f>
        <v>45200.59375</v>
      </c>
      <c r="E706" s="4" t="str">
        <f>TRIM(SUBSTITUTE('Raw Data'!E706," "," "))</f>
        <v>MissedEventBluesHighSchool</v>
      </c>
      <c r="F706" s="4" t="str">
        <f>TRIM(PROPER('Raw Data'!F706))</f>
        <v>Facebook</v>
      </c>
      <c r="G706" s="8" t="str">
        <f>TRIM(CLEAN('Raw Data'!G706))</f>
        <v>#MissedMoments #HighSchoolRegret</v>
      </c>
      <c r="H706" s="12">
        <f>'Raw Data'!H706</f>
        <v>20</v>
      </c>
      <c r="I706" s="12">
        <v>43</v>
      </c>
      <c r="J706" s="12" t="str">
        <f>TRIM(UPPER('Raw Data'!J706))</f>
        <v>UK</v>
      </c>
      <c r="K706" s="12">
        <f>'Raw Data'!K706</f>
        <v>2023</v>
      </c>
      <c r="L706" s="12">
        <f>'Raw Data'!L706</f>
        <v>10</v>
      </c>
      <c r="M706" s="12">
        <f>'Raw Data'!M706</f>
        <v>1</v>
      </c>
      <c r="N706">
        <f>'Raw Data'!N706</f>
        <v>14</v>
      </c>
    </row>
    <row r="707" spans="1:14" ht="30" x14ac:dyDescent="0.25">
      <c r="A707" s="11">
        <f>'Raw Data'!A707</f>
        <v>705</v>
      </c>
      <c r="B707" s="8" t="str">
        <f>TRIM(CLEAN('Raw Data'!B707))</f>
        <v>Trying out a new study technique for upcoming exams. Exploring different learning strategies.</v>
      </c>
      <c r="C707" s="4" t="str">
        <f>TRIM(PROPER('Raw Data'!C707))</f>
        <v>Neutral</v>
      </c>
      <c r="D707" s="5">
        <f>'Raw Data'!D707</f>
        <v>45201.697916666664</v>
      </c>
      <c r="E707" s="4" t="str">
        <f>TRIM(SUBSTITUTE('Raw Data'!E707," "," "))</f>
        <v>StudyTechniqueExperimentHighSchool</v>
      </c>
      <c r="F707" s="4" t="str">
        <f>TRIM(PROPER('Raw Data'!F707))</f>
        <v>Instagram</v>
      </c>
      <c r="G707" s="8" t="str">
        <f>TRIM(CLEAN('Raw Data'!G707))</f>
        <v>#StudyStrategies #HighSchoolExams</v>
      </c>
      <c r="H707" s="12">
        <f>'Raw Data'!H707</f>
        <v>23</v>
      </c>
      <c r="I707" s="12">
        <v>39</v>
      </c>
      <c r="J707" s="12" t="str">
        <f>TRIM(UPPER('Raw Data'!J707))</f>
        <v>USA</v>
      </c>
      <c r="K707" s="12">
        <f>'Raw Data'!K707</f>
        <v>2023</v>
      </c>
      <c r="L707" s="12">
        <f>'Raw Data'!L707</f>
        <v>10</v>
      </c>
      <c r="M707" s="12">
        <f>'Raw Data'!M707</f>
        <v>2</v>
      </c>
      <c r="N707">
        <f>'Raw Data'!N707</f>
        <v>16</v>
      </c>
    </row>
    <row r="708" spans="1:14" ht="30" x14ac:dyDescent="0.25">
      <c r="A708" s="11">
        <f>'Raw Data'!A708</f>
        <v>706</v>
      </c>
      <c r="B708" s="8" t="str">
        <f>TRIM(CLEAN('Raw Data'!B708))</f>
        <v>Organizing a community cleanup event for a cleaner neighborhood. Promoting environmental awareness.</v>
      </c>
      <c r="C708" s="4" t="str">
        <f>TRIM(PROPER('Raw Data'!C708))</f>
        <v>Neutral</v>
      </c>
      <c r="D708" s="5">
        <f>'Raw Data'!D708</f>
        <v>45202.520833333336</v>
      </c>
      <c r="E708" s="4" t="str">
        <f>TRIM(SUBSTITUTE('Raw Data'!E708," "," "))</f>
        <v>CommunityCleanupHighSchool</v>
      </c>
      <c r="F708" s="4" t="str">
        <f>TRIM(PROPER('Raw Data'!F708))</f>
        <v>Twitter</v>
      </c>
      <c r="G708" s="8" t="str">
        <f>TRIM(CLEAN('Raw Data'!G708))</f>
        <v>#EnvironmentalEfforts #HighSchoolCommunity</v>
      </c>
      <c r="H708" s="12">
        <f>'Raw Data'!H708</f>
        <v>26</v>
      </c>
      <c r="I708" s="12">
        <v>42</v>
      </c>
      <c r="J708" s="12" t="str">
        <f>TRIM(UPPER('Raw Data'!J708))</f>
        <v>CANADA</v>
      </c>
      <c r="K708" s="12">
        <f>'Raw Data'!K708</f>
        <v>2023</v>
      </c>
      <c r="L708" s="12">
        <f>'Raw Data'!L708</f>
        <v>10</v>
      </c>
      <c r="M708" s="12">
        <f>'Raw Data'!M708</f>
        <v>3</v>
      </c>
      <c r="N708">
        <f>'Raw Data'!N708</f>
        <v>12</v>
      </c>
    </row>
    <row r="709" spans="1:14" ht="30" x14ac:dyDescent="0.25">
      <c r="A709" s="11">
        <f>'Raw Data'!A709</f>
        <v>707</v>
      </c>
      <c r="B709" s="8" t="str">
        <f>TRIM(CLEAN('Raw Data'!B709))</f>
        <v>Sharing favorite book recommendations with classmates. Building a mini book club.</v>
      </c>
      <c r="C709" s="4" t="str">
        <f>TRIM(PROPER('Raw Data'!C709))</f>
        <v>Neutral</v>
      </c>
      <c r="D709" s="5">
        <f>'Raw Data'!D709</f>
        <v>45203.763888888891</v>
      </c>
      <c r="E709" s="4" t="str">
        <f>TRIM(SUBSTITUTE('Raw Data'!E709," "," "))</f>
        <v>BookRecommendationsHighSchool</v>
      </c>
      <c r="F709" s="4" t="str">
        <f>TRIM(PROPER('Raw Data'!F709))</f>
        <v>Facebook</v>
      </c>
      <c r="G709" s="8" t="str">
        <f>TRIM(CLEAN('Raw Data'!G709))</f>
        <v>#BookClub #HighSchoolReads</v>
      </c>
      <c r="H709" s="12">
        <f>'Raw Data'!H709</f>
        <v>19</v>
      </c>
      <c r="I709" s="12">
        <v>50</v>
      </c>
      <c r="J709" s="12" t="str">
        <f>TRIM(UPPER('Raw Data'!J709))</f>
        <v>UK</v>
      </c>
      <c r="K709" s="12">
        <f>'Raw Data'!K709</f>
        <v>2023</v>
      </c>
      <c r="L709" s="12">
        <f>'Raw Data'!L709</f>
        <v>10</v>
      </c>
      <c r="M709" s="12">
        <f>'Raw Data'!M709</f>
        <v>4</v>
      </c>
      <c r="N709">
        <f>'Raw Data'!N709</f>
        <v>18</v>
      </c>
    </row>
    <row r="710" spans="1:14" ht="30" x14ac:dyDescent="0.25">
      <c r="A710" s="11">
        <f>'Raw Data'!A710</f>
        <v>708</v>
      </c>
      <c r="B710" s="8" t="str">
        <f>TRIM(CLEAN('Raw Data'!B710))</f>
        <v>Experimenting with a new recipe for a school bake sale. Baking adventures in the kitchen.</v>
      </c>
      <c r="C710" s="4" t="str">
        <f>TRIM(PROPER('Raw Data'!C710))</f>
        <v>Neutral</v>
      </c>
      <c r="D710" s="5">
        <f>'Raw Data'!D710</f>
        <v>45204.59375</v>
      </c>
      <c r="E710" s="4" t="str">
        <f>TRIM(SUBSTITUTE('Raw Data'!E710," "," "))</f>
        <v>BakeSaleRecipeExperimentHighSchool</v>
      </c>
      <c r="F710" s="4" t="str">
        <f>TRIM(PROPER('Raw Data'!F710))</f>
        <v>Instagram</v>
      </c>
      <c r="G710" s="8" t="str">
        <f>TRIM(CLEAN('Raw Data'!G710))</f>
        <v>#BakingAdventures #HighSchoolBakes</v>
      </c>
      <c r="H710" s="12">
        <f>'Raw Data'!H710</f>
        <v>21</v>
      </c>
      <c r="I710" s="12">
        <v>38</v>
      </c>
      <c r="J710" s="12" t="str">
        <f>TRIM(UPPER('Raw Data'!J710))</f>
        <v>USA</v>
      </c>
      <c r="K710" s="12">
        <f>'Raw Data'!K710</f>
        <v>2023</v>
      </c>
      <c r="L710" s="12">
        <f>'Raw Data'!L710</f>
        <v>10</v>
      </c>
      <c r="M710" s="12">
        <f>'Raw Data'!M710</f>
        <v>5</v>
      </c>
      <c r="N710">
        <f>'Raw Data'!N710</f>
        <v>14</v>
      </c>
    </row>
    <row r="711" spans="1:14" ht="30" x14ac:dyDescent="0.25">
      <c r="A711" s="11">
        <f>'Raw Data'!A711</f>
        <v>709</v>
      </c>
      <c r="B711" s="8" t="str">
        <f>TRIM(CLEAN('Raw Data'!B711))</f>
        <v>Collaborating on a school project with peers. Teamwork makes the dream work.</v>
      </c>
      <c r="C711" s="4" t="str">
        <f>TRIM(PROPER('Raw Data'!C711))</f>
        <v>Neutral</v>
      </c>
      <c r="D711" s="5">
        <f>'Raw Data'!D711</f>
        <v>45205.729166666664</v>
      </c>
      <c r="E711" s="4" t="str">
        <f>TRIM(SUBSTITUTE('Raw Data'!E711," "," "))</f>
        <v>SchoolProjectCollaborationHighSchool</v>
      </c>
      <c r="F711" s="4" t="str">
        <f>TRIM(PROPER('Raw Data'!F711))</f>
        <v>Twitter</v>
      </c>
      <c r="G711" s="8" t="str">
        <f>TRIM(CLEAN('Raw Data'!G711))</f>
        <v>#Teamwork #HighSchoolProjects</v>
      </c>
      <c r="H711" s="12">
        <f>'Raw Data'!H711</f>
        <v>18</v>
      </c>
      <c r="I711" s="12">
        <v>43</v>
      </c>
      <c r="J711" s="12" t="str">
        <f>TRIM(UPPER('Raw Data'!J711))</f>
        <v>CANADA</v>
      </c>
      <c r="K711" s="12">
        <f>'Raw Data'!K711</f>
        <v>2023</v>
      </c>
      <c r="L711" s="12">
        <f>'Raw Data'!L711</f>
        <v>10</v>
      </c>
      <c r="M711" s="12">
        <f>'Raw Data'!M711</f>
        <v>6</v>
      </c>
      <c r="N711">
        <f>'Raw Data'!N711</f>
        <v>17</v>
      </c>
    </row>
    <row r="712" spans="1:14" ht="30" x14ac:dyDescent="0.25">
      <c r="A712" s="11">
        <f>'Raw Data'!A712</f>
        <v>710</v>
      </c>
      <c r="B712" s="8" t="str">
        <f>TRIM(CLEAN('Raw Data'!B712))</f>
        <v>Attending a school club meeting to explore new interests. Dabbling in extracurricular activities.</v>
      </c>
      <c r="C712" s="4" t="str">
        <f>TRIM(PROPER('Raw Data'!C712))</f>
        <v>Neutral</v>
      </c>
      <c r="D712" s="5">
        <f>'Raw Data'!D712</f>
        <v>45206.864583333336</v>
      </c>
      <c r="E712" s="4" t="str">
        <f>TRIM(SUBSTITUTE('Raw Data'!E712," "," "))</f>
        <v>ExtracurricularExplorationHighSchool</v>
      </c>
      <c r="F712" s="4" t="str">
        <f>TRIM(PROPER('Raw Data'!F712))</f>
        <v>Instagram</v>
      </c>
      <c r="G712" s="8" t="str">
        <f>TRIM(CLEAN('Raw Data'!G712))</f>
        <v>#SchoolClubs #HighSchoolInterests</v>
      </c>
      <c r="H712" s="12">
        <f>'Raw Data'!H712</f>
        <v>22</v>
      </c>
      <c r="I712" s="12">
        <v>36</v>
      </c>
      <c r="J712" s="12" t="str">
        <f>TRIM(UPPER('Raw Data'!J712))</f>
        <v>UK</v>
      </c>
      <c r="K712" s="12">
        <f>'Raw Data'!K712</f>
        <v>2023</v>
      </c>
      <c r="L712" s="12">
        <f>'Raw Data'!L712</f>
        <v>10</v>
      </c>
      <c r="M712" s="12">
        <f>'Raw Data'!M712</f>
        <v>7</v>
      </c>
      <c r="N712">
        <f>'Raw Data'!N712</f>
        <v>20</v>
      </c>
    </row>
    <row r="713" spans="1:14" ht="30" x14ac:dyDescent="0.25">
      <c r="A713" s="11">
        <f>'Raw Data'!A713</f>
        <v>711</v>
      </c>
      <c r="B713" s="8" t="str">
        <f>TRIM(CLEAN('Raw Data'!B713))</f>
        <v>Exploring a new part-time job opportunity for gaining work experience. Career development in progress.</v>
      </c>
      <c r="C713" s="4" t="str">
        <f>TRIM(PROPER('Raw Data'!C713))</f>
        <v>Neutral</v>
      </c>
      <c r="D713" s="5">
        <f>'Raw Data'!D713</f>
        <v>45207.635416666664</v>
      </c>
      <c r="E713" s="4" t="str">
        <f>TRIM(SUBSTITUTE('Raw Data'!E713," "," "))</f>
        <v>PartTimeJobExplorationHighSchool</v>
      </c>
      <c r="F713" s="4" t="str">
        <f>TRIM(PROPER('Raw Data'!F713))</f>
        <v>Facebook</v>
      </c>
      <c r="G713" s="8" t="str">
        <f>TRIM(CLEAN('Raw Data'!G713))</f>
        <v>#CareerDevelopment #HighSchoolJobs</v>
      </c>
      <c r="H713" s="12">
        <f>'Raw Data'!H713</f>
        <v>24</v>
      </c>
      <c r="I713" s="12">
        <v>45</v>
      </c>
      <c r="J713" s="12" t="str">
        <f>TRIM(UPPER('Raw Data'!J713))</f>
        <v>USA</v>
      </c>
      <c r="K713" s="12">
        <f>'Raw Data'!K713</f>
        <v>2023</v>
      </c>
      <c r="L713" s="12">
        <f>'Raw Data'!L713</f>
        <v>10</v>
      </c>
      <c r="M713" s="12">
        <f>'Raw Data'!M713</f>
        <v>8</v>
      </c>
      <c r="N713">
        <f>'Raw Data'!N713</f>
        <v>15</v>
      </c>
    </row>
    <row r="714" spans="1:14" ht="45" x14ac:dyDescent="0.25">
      <c r="A714" s="11">
        <f>'Raw Data'!A714</f>
        <v>712</v>
      </c>
      <c r="B714" s="8" t="str">
        <f>TRIM(CLEAN('Raw Data'!B714))</f>
        <v>Attending a school assembly to stay informed about upcoming events and announcements. Staying connected with school activities.</v>
      </c>
      <c r="C714" s="4" t="str">
        <f>TRIM(PROPER('Raw Data'!C714))</f>
        <v>Neutral</v>
      </c>
      <c r="D714" s="5">
        <f>'Raw Data'!D714</f>
        <v>45208.916666666664</v>
      </c>
      <c r="E714" s="4" t="str">
        <f>TRIM(SUBSTITUTE('Raw Data'!E714," "," "))</f>
        <v>SchoolAssemblyParticipationHighSchool</v>
      </c>
      <c r="F714" s="4" t="str">
        <f>TRIM(PROPER('Raw Data'!F714))</f>
        <v>Twitter</v>
      </c>
      <c r="G714" s="8" t="str">
        <f>TRIM(CLEAN('Raw Data'!G714))</f>
        <v>#SchoolEvents #HighSchoolConnectivity</v>
      </c>
      <c r="H714" s="12">
        <f>'Raw Data'!H714</f>
        <v>20</v>
      </c>
      <c r="I714" s="12">
        <v>48</v>
      </c>
      <c r="J714" s="12" t="str">
        <f>TRIM(UPPER('Raw Data'!J714))</f>
        <v>CANADA</v>
      </c>
      <c r="K714" s="12">
        <f>'Raw Data'!K714</f>
        <v>2023</v>
      </c>
      <c r="L714" s="12">
        <f>'Raw Data'!L714</f>
        <v>10</v>
      </c>
      <c r="M714" s="12">
        <f>'Raw Data'!M714</f>
        <v>9</v>
      </c>
      <c r="N714">
        <f>'Raw Data'!N714</f>
        <v>22</v>
      </c>
    </row>
    <row r="715" spans="1:14" ht="30" x14ac:dyDescent="0.25">
      <c r="A715" s="11">
        <f>'Raw Data'!A715</f>
        <v>713</v>
      </c>
      <c r="B715" s="8" t="str">
        <f>TRIM(CLEAN('Raw Data'!B715))</f>
        <v>Exploring a new hobby of photography during free time. Capturing moments through a lens.</v>
      </c>
      <c r="C715" s="4" t="str">
        <f>TRIM(PROPER('Raw Data'!C715))</f>
        <v>Neutral</v>
      </c>
      <c r="D715" s="5">
        <f>'Raw Data'!D715</f>
        <v>45209.59375</v>
      </c>
      <c r="E715" s="4" t="str">
        <f>TRIM(SUBSTITUTE('Raw Data'!E715," "," "))</f>
        <v>PhotographyHobbyHighSchool</v>
      </c>
      <c r="F715" s="4" t="str">
        <f>TRIM(PROPER('Raw Data'!F715))</f>
        <v>Instagram</v>
      </c>
      <c r="G715" s="8" t="str">
        <f>TRIM(CLEAN('Raw Data'!G715))</f>
        <v>#PhotographyJourney #HighSchoolHobbies</v>
      </c>
      <c r="H715" s="12">
        <f>'Raw Data'!H715</f>
        <v>25</v>
      </c>
      <c r="I715" s="12">
        <v>40</v>
      </c>
      <c r="J715" s="12" t="str">
        <f>TRIM(UPPER('Raw Data'!J715))</f>
        <v>UK</v>
      </c>
      <c r="K715" s="12">
        <f>'Raw Data'!K715</f>
        <v>2023</v>
      </c>
      <c r="L715" s="12">
        <f>'Raw Data'!L715</f>
        <v>10</v>
      </c>
      <c r="M715" s="12">
        <f>'Raw Data'!M715</f>
        <v>10</v>
      </c>
      <c r="N715">
        <f>'Raw Data'!N715</f>
        <v>14</v>
      </c>
    </row>
    <row r="716" spans="1:14" ht="30" x14ac:dyDescent="0.25">
      <c r="A716" s="11">
        <f>'Raw Data'!A716</f>
        <v>714</v>
      </c>
      <c r="B716" s="8" t="str">
        <f>TRIM(CLEAN('Raw Data'!B716))</f>
        <v>Participating in a science fair to showcase a unique experiment. Sharing knowledge with peers.</v>
      </c>
      <c r="C716" s="4" t="str">
        <f>TRIM(PROPER('Raw Data'!C716))</f>
        <v>Neutral</v>
      </c>
      <c r="D716" s="5">
        <f>'Raw Data'!D716</f>
        <v>45210.697916666664</v>
      </c>
      <c r="E716" s="4" t="str">
        <f>TRIM(SUBSTITUTE('Raw Data'!E716," "," "))</f>
        <v>ScienceFairParticipationHighSchool</v>
      </c>
      <c r="F716" s="4" t="str">
        <f>TRIM(PROPER('Raw Data'!F716))</f>
        <v>Facebook</v>
      </c>
      <c r="G716" s="8" t="str">
        <f>TRIM(CLEAN('Raw Data'!G716))</f>
        <v>#ScienceFair #HighSchoolScience</v>
      </c>
      <c r="H716" s="12">
        <f>'Raw Data'!H716</f>
        <v>19</v>
      </c>
      <c r="I716" s="12">
        <v>49</v>
      </c>
      <c r="J716" s="12" t="str">
        <f>TRIM(UPPER('Raw Data'!J716))</f>
        <v>USA</v>
      </c>
      <c r="K716" s="12">
        <f>'Raw Data'!K716</f>
        <v>2023</v>
      </c>
      <c r="L716" s="12">
        <f>'Raw Data'!L716</f>
        <v>10</v>
      </c>
      <c r="M716" s="12">
        <f>'Raw Data'!M716</f>
        <v>11</v>
      </c>
      <c r="N716">
        <f>'Raw Data'!N716</f>
        <v>16</v>
      </c>
    </row>
    <row r="717" spans="1:14" ht="30" x14ac:dyDescent="0.25">
      <c r="A717" s="11">
        <f>'Raw Data'!A717</f>
        <v>715</v>
      </c>
      <c r="B717" s="8" t="str">
        <f>TRIM(CLEAN('Raw Data'!B717))</f>
        <v>Attending a workshop on time management to enhance organizational skills. Striving for efficiency.</v>
      </c>
      <c r="C717" s="4" t="str">
        <f>TRIM(PROPER('Raw Data'!C717))</f>
        <v>Neutral</v>
      </c>
      <c r="D717" s="5">
        <f>'Raw Data'!D717</f>
        <v>45211.763888888891</v>
      </c>
      <c r="E717" s="4" t="str">
        <f>TRIM(SUBSTITUTE('Raw Data'!E717," "," "))</f>
        <v>TimeManagementWorkshopHighSchool</v>
      </c>
      <c r="F717" s="4" t="str">
        <f>TRIM(PROPER('Raw Data'!F717))</f>
        <v>Twitter</v>
      </c>
      <c r="G717" s="8" t="str">
        <f>TRIM(CLEAN('Raw Data'!G717))</f>
        <v>#EfficiencyGoals #HighSchoolSkills</v>
      </c>
      <c r="H717" s="12">
        <f>'Raw Data'!H717</f>
        <v>23</v>
      </c>
      <c r="I717" s="12">
        <v>37</v>
      </c>
      <c r="J717" s="12" t="str">
        <f>TRIM(UPPER('Raw Data'!J717))</f>
        <v>CANADA</v>
      </c>
      <c r="K717" s="12">
        <f>'Raw Data'!K717</f>
        <v>2023</v>
      </c>
      <c r="L717" s="12">
        <f>'Raw Data'!L717</f>
        <v>10</v>
      </c>
      <c r="M717" s="12">
        <f>'Raw Data'!M717</f>
        <v>12</v>
      </c>
      <c r="N717">
        <f>'Raw Data'!N717</f>
        <v>18</v>
      </c>
    </row>
    <row r="718" spans="1:14" ht="30" x14ac:dyDescent="0.25">
      <c r="A718" s="11">
        <f>'Raw Data'!A718</f>
        <v>716</v>
      </c>
      <c r="B718" s="8" t="str">
        <f>TRIM(CLEAN('Raw Data'!B718))</f>
        <v>Volunteering at a local charity event to give back to the community. Contributing to social causes.</v>
      </c>
      <c r="C718" s="4" t="str">
        <f>TRIM(PROPER('Raw Data'!C718))</f>
        <v>Neutral</v>
      </c>
      <c r="D718" s="5">
        <f>'Raw Data'!D718</f>
        <v>45212.520833333336</v>
      </c>
      <c r="E718" s="4" t="str">
        <f>TRIM(SUBSTITUTE('Raw Data'!E718," "," "))</f>
        <v>CharityEventVolunteerHighSchool</v>
      </c>
      <c r="F718" s="4" t="str">
        <f>TRIM(PROPER('Raw Data'!F718))</f>
        <v>Instagram</v>
      </c>
      <c r="G718" s="8" t="str">
        <f>TRIM(CLEAN('Raw Data'!G718))</f>
        <v>#CommunityService #HighSchoolVolunteer</v>
      </c>
      <c r="H718" s="12">
        <f>'Raw Data'!H718</f>
        <v>20</v>
      </c>
      <c r="I718" s="12">
        <v>44</v>
      </c>
      <c r="J718" s="12" t="str">
        <f>TRIM(UPPER('Raw Data'!J718))</f>
        <v>UK</v>
      </c>
      <c r="K718" s="12">
        <f>'Raw Data'!K718</f>
        <v>2023</v>
      </c>
      <c r="L718" s="12">
        <f>'Raw Data'!L718</f>
        <v>10</v>
      </c>
      <c r="M718" s="12">
        <f>'Raw Data'!M718</f>
        <v>13</v>
      </c>
      <c r="N718">
        <f>'Raw Data'!N718</f>
        <v>12</v>
      </c>
    </row>
    <row r="719" spans="1:14" ht="30" x14ac:dyDescent="0.25">
      <c r="A719" s="11">
        <f>'Raw Data'!A719</f>
        <v>717</v>
      </c>
      <c r="B719" s="8" t="str">
        <f>TRIM(CLEAN('Raw Data'!B719))</f>
        <v>Collaborating on a group project to promote teamwork and shared responsibilities. Group effort in action.</v>
      </c>
      <c r="C719" s="4" t="str">
        <f>TRIM(PROPER('Raw Data'!C719))</f>
        <v>Neutral</v>
      </c>
      <c r="D719" s="5">
        <f>'Raw Data'!D719</f>
        <v>45213.729166666664</v>
      </c>
      <c r="E719" s="4" t="str">
        <f>TRIM(SUBSTITUTE('Raw Data'!E719," "," "))</f>
        <v>GroupProjectCollaborationHighSchool</v>
      </c>
      <c r="F719" s="4" t="str">
        <f>TRIM(PROPER('Raw Data'!F719))</f>
        <v>Facebook</v>
      </c>
      <c r="G719" s="8" t="str">
        <f>TRIM(CLEAN('Raw Data'!G719))</f>
        <v>#TeamSpirit #HighSchoolProjects</v>
      </c>
      <c r="H719" s="12">
        <f>'Raw Data'!H719</f>
        <v>18</v>
      </c>
      <c r="I719" s="12">
        <v>39</v>
      </c>
      <c r="J719" s="12" t="str">
        <f>TRIM(UPPER('Raw Data'!J719))</f>
        <v>USA</v>
      </c>
      <c r="K719" s="12">
        <f>'Raw Data'!K719</f>
        <v>2023</v>
      </c>
      <c r="L719" s="12">
        <f>'Raw Data'!L719</f>
        <v>10</v>
      </c>
      <c r="M719" s="12">
        <f>'Raw Data'!M719</f>
        <v>14</v>
      </c>
      <c r="N719">
        <f>'Raw Data'!N719</f>
        <v>17</v>
      </c>
    </row>
    <row r="720" spans="1:14" ht="45" x14ac:dyDescent="0.25">
      <c r="A720" s="11">
        <f>'Raw Data'!A720</f>
        <v>718</v>
      </c>
      <c r="B720" s="8" t="str">
        <f>TRIM(CLEAN('Raw Data'!B720))</f>
        <v>Participating in a debate club to enhance critical thinking and communication skills. Intellectual engagement in progress.</v>
      </c>
      <c r="C720" s="4" t="str">
        <f>TRIM(PROPER('Raw Data'!C720))</f>
        <v>Neutral</v>
      </c>
      <c r="D720" s="5">
        <f>'Raw Data'!D720</f>
        <v>45214.864583333336</v>
      </c>
      <c r="E720" s="4" t="str">
        <f>TRIM(SUBSTITUTE('Raw Data'!E720," "," "))</f>
        <v>DebateClubParticipationHighSchool</v>
      </c>
      <c r="F720" s="4" t="str">
        <f>TRIM(PROPER('Raw Data'!F720))</f>
        <v>Twitter</v>
      </c>
      <c r="G720" s="8" t="str">
        <f>TRIM(CLEAN('Raw Data'!G720))</f>
        <v>#DebateSkills #HighSchoolIntellect</v>
      </c>
      <c r="H720" s="12">
        <f>'Raw Data'!H720</f>
        <v>22</v>
      </c>
      <c r="I720" s="12">
        <v>35</v>
      </c>
      <c r="J720" s="12" t="str">
        <f>TRIM(UPPER('Raw Data'!J720))</f>
        <v>CANADA</v>
      </c>
      <c r="K720" s="12">
        <f>'Raw Data'!K720</f>
        <v>2023</v>
      </c>
      <c r="L720" s="12">
        <f>'Raw Data'!L720</f>
        <v>10</v>
      </c>
      <c r="M720" s="12">
        <f>'Raw Data'!M720</f>
        <v>15</v>
      </c>
      <c r="N720">
        <f>'Raw Data'!N720</f>
        <v>20</v>
      </c>
    </row>
    <row r="721" spans="1:14" ht="30" x14ac:dyDescent="0.25">
      <c r="A721" s="11">
        <f>'Raw Data'!A721</f>
        <v>719</v>
      </c>
      <c r="B721" s="8" t="str">
        <f>TRIM(CLEAN('Raw Data'!B721))</f>
        <v>Celebrating a friend's birthday with a surprise party. Joyful moments and laughter all around!</v>
      </c>
      <c r="C721" s="4" t="str">
        <f>TRIM(PROPER('Raw Data'!C721))</f>
        <v>Happy</v>
      </c>
      <c r="D721" s="5">
        <f>'Raw Data'!D721</f>
        <v>45215.65625</v>
      </c>
      <c r="E721" s="4" t="str">
        <f>TRIM(SUBSTITUTE('Raw Data'!E721," "," "))</f>
        <v>BirthdaySurpriseHighSchool</v>
      </c>
      <c r="F721" s="4" t="str">
        <f>TRIM(PROPER('Raw Data'!F721))</f>
        <v>Instagram</v>
      </c>
      <c r="G721" s="8" t="str">
        <f>TRIM(CLEAN('Raw Data'!G721))</f>
        <v>#SurpriseParty #HighSchoolCelebration</v>
      </c>
      <c r="H721" s="12">
        <f>'Raw Data'!H721</f>
        <v>27</v>
      </c>
      <c r="I721" s="12">
        <v>43</v>
      </c>
      <c r="J721" s="12" t="str">
        <f>TRIM(UPPER('Raw Data'!J721))</f>
        <v>UK</v>
      </c>
      <c r="K721" s="12">
        <f>'Raw Data'!K721</f>
        <v>2023</v>
      </c>
      <c r="L721" s="12">
        <f>'Raw Data'!L721</f>
        <v>10</v>
      </c>
      <c r="M721" s="12">
        <f>'Raw Data'!M721</f>
        <v>16</v>
      </c>
      <c r="N721">
        <f>'Raw Data'!N721</f>
        <v>15</v>
      </c>
    </row>
    <row r="722" spans="1:14" ht="30" x14ac:dyDescent="0.25">
      <c r="A722" s="11">
        <f>'Raw Data'!A722</f>
        <v>720</v>
      </c>
      <c r="B722" s="8" t="str">
        <f>TRIM(CLEAN('Raw Data'!B722))</f>
        <v>Successfully completing a challenging coding project. Excitement for overcoming coding hurdles!</v>
      </c>
      <c r="C722" s="4" t="str">
        <f>TRIM(PROPER('Raw Data'!C722))</f>
        <v>Happy</v>
      </c>
      <c r="D722" s="5">
        <f>'Raw Data'!D722</f>
        <v>45216.520833333336</v>
      </c>
      <c r="E722" s="4" t="str">
        <f>TRIM(SUBSTITUTE('Raw Data'!E722," "," "))</f>
        <v>CodingSuccessHighSchool</v>
      </c>
      <c r="F722" s="4" t="str">
        <f>TRIM(PROPER('Raw Data'!F722))</f>
        <v>Twitter</v>
      </c>
      <c r="G722" s="8" t="str">
        <f>TRIM(CLEAN('Raw Data'!G722))</f>
        <v>#CodingTriumph #HighSchoolTech</v>
      </c>
      <c r="H722" s="12">
        <f>'Raw Data'!H722</f>
        <v>24</v>
      </c>
      <c r="I722" s="12">
        <v>52</v>
      </c>
      <c r="J722" s="12" t="str">
        <f>TRIM(UPPER('Raw Data'!J722))</f>
        <v>USA</v>
      </c>
      <c r="K722" s="12">
        <f>'Raw Data'!K722</f>
        <v>2023</v>
      </c>
      <c r="L722" s="12">
        <f>'Raw Data'!L722</f>
        <v>10</v>
      </c>
      <c r="M722" s="12">
        <f>'Raw Data'!M722</f>
        <v>17</v>
      </c>
      <c r="N722">
        <f>'Raw Data'!N722</f>
        <v>12</v>
      </c>
    </row>
    <row r="723" spans="1:14" ht="30" x14ac:dyDescent="0.25">
      <c r="A723" s="11">
        <f>'Raw Data'!A723</f>
        <v>721</v>
      </c>
      <c r="B723" s="8" t="str">
        <f>TRIM(CLEAN('Raw Data'!B723))</f>
        <v>Attending a school talent show to support classmates. Applauding the diverse talents on display!</v>
      </c>
      <c r="C723" s="4" t="str">
        <f>TRIM(PROPER('Raw Data'!C723))</f>
        <v>Happy</v>
      </c>
      <c r="D723" s="5">
        <f>'Raw Data'!D723</f>
        <v>45217.697916666664</v>
      </c>
      <c r="E723" s="4" t="str">
        <f>TRIM(SUBSTITUTE('Raw Data'!E723," "," "))</f>
        <v>TalentShowSupportHighSchool</v>
      </c>
      <c r="F723" s="4" t="str">
        <f>TRIM(PROPER('Raw Data'!F723))</f>
        <v>Facebook</v>
      </c>
      <c r="G723" s="8" t="str">
        <f>TRIM(CLEAN('Raw Data'!G723))</f>
        <v>#TalentShow #HighSchoolEntertainment</v>
      </c>
      <c r="H723" s="12">
        <f>'Raw Data'!H723</f>
        <v>19</v>
      </c>
      <c r="I723" s="12">
        <v>48</v>
      </c>
      <c r="J723" s="12" t="str">
        <f>TRIM(UPPER('Raw Data'!J723))</f>
        <v>CANADA</v>
      </c>
      <c r="K723" s="12">
        <f>'Raw Data'!K723</f>
        <v>2023</v>
      </c>
      <c r="L723" s="12">
        <f>'Raw Data'!L723</f>
        <v>10</v>
      </c>
      <c r="M723" s="12">
        <f>'Raw Data'!M723</f>
        <v>18</v>
      </c>
      <c r="N723">
        <f>'Raw Data'!N723</f>
        <v>16</v>
      </c>
    </row>
    <row r="724" spans="1:14" ht="30" x14ac:dyDescent="0.25">
      <c r="A724" s="11">
        <f>'Raw Data'!A724</f>
        <v>722</v>
      </c>
      <c r="B724" s="8" t="str">
        <f>TRIM(CLEAN('Raw Data'!B724))</f>
        <v>Exploring a new hiking trail with friends over the weekend. Nature, laughter, and good vibes!</v>
      </c>
      <c r="C724" s="4" t="str">
        <f>TRIM(PROPER('Raw Data'!C724))</f>
        <v>Happy</v>
      </c>
      <c r="D724" s="5">
        <f>'Raw Data'!D724</f>
        <v>45218.763888888891</v>
      </c>
      <c r="E724" s="4" t="str">
        <f>TRIM(SUBSTITUTE('Raw Data'!E724," "," "))</f>
        <v>WeekendHikeHighSchool</v>
      </c>
      <c r="F724" s="4" t="str">
        <f>TRIM(PROPER('Raw Data'!F724))</f>
        <v>Instagram</v>
      </c>
      <c r="G724" s="8" t="str">
        <f>TRIM(CLEAN('Raw Data'!G724))</f>
        <v>#NatureAdventures #HighSchoolFriends</v>
      </c>
      <c r="H724" s="12">
        <f>'Raw Data'!H724</f>
        <v>21</v>
      </c>
      <c r="I724" s="12">
        <v>38</v>
      </c>
      <c r="J724" s="12" t="str">
        <f>TRIM(UPPER('Raw Data'!J724))</f>
        <v>UK</v>
      </c>
      <c r="K724" s="12">
        <f>'Raw Data'!K724</f>
        <v>2023</v>
      </c>
      <c r="L724" s="12">
        <f>'Raw Data'!L724</f>
        <v>10</v>
      </c>
      <c r="M724" s="12">
        <f>'Raw Data'!M724</f>
        <v>19</v>
      </c>
      <c r="N724">
        <f>'Raw Data'!N724</f>
        <v>18</v>
      </c>
    </row>
    <row r="725" spans="1:14" ht="30" x14ac:dyDescent="0.25">
      <c r="A725" s="11">
        <f>'Raw Data'!A725</f>
        <v>723</v>
      </c>
      <c r="B725" s="8" t="str">
        <f>TRIM(CLEAN('Raw Data'!B725))</f>
        <v>Winning a friendly sports competition against rival schools. Victory celebrations in full swing!</v>
      </c>
      <c r="C725" s="4" t="str">
        <f>TRIM(PROPER('Raw Data'!C725))</f>
        <v>Happy</v>
      </c>
      <c r="D725" s="5">
        <f>'Raw Data'!D725</f>
        <v>45219.59375</v>
      </c>
      <c r="E725" s="4" t="str">
        <f>TRIM(SUBSTITUTE('Raw Data'!E725," "," "))</f>
        <v>SportsVictoryHighSchool</v>
      </c>
      <c r="F725" s="4" t="str">
        <f>TRIM(PROPER('Raw Data'!F725))</f>
        <v>Twitter</v>
      </c>
      <c r="G725" s="8" t="str">
        <f>TRIM(CLEAN('Raw Data'!G725))</f>
        <v>#SportsTriumph #HighSchoolAthletics</v>
      </c>
      <c r="H725" s="12">
        <f>'Raw Data'!H725</f>
        <v>26</v>
      </c>
      <c r="I725" s="12">
        <v>42</v>
      </c>
      <c r="J725" s="12" t="str">
        <f>TRIM(UPPER('Raw Data'!J725))</f>
        <v>USA</v>
      </c>
      <c r="K725" s="12">
        <f>'Raw Data'!K725</f>
        <v>2023</v>
      </c>
      <c r="L725" s="12">
        <f>'Raw Data'!L725</f>
        <v>10</v>
      </c>
      <c r="M725" s="12">
        <f>'Raw Data'!M725</f>
        <v>20</v>
      </c>
      <c r="N725">
        <f>'Raw Data'!N725</f>
        <v>14</v>
      </c>
    </row>
    <row r="726" spans="1:14" ht="30" x14ac:dyDescent="0.25">
      <c r="A726" s="11">
        <f>'Raw Data'!A726</f>
        <v>724</v>
      </c>
      <c r="B726" s="8" t="str">
        <f>TRIM(CLEAN('Raw Data'!B726))</f>
        <v>Receiving a heartfelt letter from a pen pal in another country. Connecting across the globe!</v>
      </c>
      <c r="C726" s="4" t="str">
        <f>TRIM(PROPER('Raw Data'!C726))</f>
        <v>Happy</v>
      </c>
      <c r="D726" s="5">
        <f>'Raw Data'!D726</f>
        <v>45220.729166666664</v>
      </c>
      <c r="E726" s="4" t="str">
        <f>TRIM(SUBSTITUTE('Raw Data'!E726," "," "))</f>
        <v>PenPalConnectionHighSchool</v>
      </c>
      <c r="F726" s="4" t="str">
        <f>TRIM(PROPER('Raw Data'!F726))</f>
        <v>Facebook</v>
      </c>
      <c r="G726" s="8" t="str">
        <f>TRIM(CLEAN('Raw Data'!G726))</f>
        <v>#GlobalFriendship #HighSchoolCorrespondence</v>
      </c>
      <c r="H726" s="12">
        <f>'Raw Data'!H726</f>
        <v>23</v>
      </c>
      <c r="I726" s="12">
        <v>50</v>
      </c>
      <c r="J726" s="12" t="str">
        <f>TRIM(UPPER('Raw Data'!J726))</f>
        <v>CANADA</v>
      </c>
      <c r="K726" s="12">
        <f>'Raw Data'!K726</f>
        <v>2023</v>
      </c>
      <c r="L726" s="12">
        <f>'Raw Data'!L726</f>
        <v>10</v>
      </c>
      <c r="M726" s="12">
        <f>'Raw Data'!M726</f>
        <v>21</v>
      </c>
      <c r="N726">
        <f>'Raw Data'!N726</f>
        <v>17</v>
      </c>
    </row>
    <row r="727" spans="1:14" ht="30" x14ac:dyDescent="0.25">
      <c r="A727" s="11">
        <f>'Raw Data'!A727</f>
        <v>725</v>
      </c>
      <c r="B727" s="8" t="str">
        <f>TRIM(CLEAN('Raw Data'!B727))</f>
        <v>Creating a beautiful mural with fellow art enthusiasts. The power of collaboration and creativity!</v>
      </c>
      <c r="C727" s="4" t="str">
        <f>TRIM(PROPER('Raw Data'!C727))</f>
        <v>Happy</v>
      </c>
      <c r="D727" s="5">
        <f>'Raw Data'!D727</f>
        <v>45221.864583333336</v>
      </c>
      <c r="E727" s="4" t="str">
        <f>TRIM(SUBSTITUTE('Raw Data'!E727," "," "))</f>
        <v>MuralCreationHighSchool</v>
      </c>
      <c r="F727" s="4" t="str">
        <f>TRIM(PROPER('Raw Data'!F727))</f>
        <v>Instagram</v>
      </c>
      <c r="G727" s="8" t="str">
        <f>TRIM(CLEAN('Raw Data'!G727))</f>
        <v>#ArtCollaboration #HighSchoolCreativity</v>
      </c>
      <c r="H727" s="12">
        <f>'Raw Data'!H727</f>
        <v>22</v>
      </c>
      <c r="I727" s="12">
        <v>45</v>
      </c>
      <c r="J727" s="12" t="str">
        <f>TRIM(UPPER('Raw Data'!J727))</f>
        <v>UK</v>
      </c>
      <c r="K727" s="12">
        <f>'Raw Data'!K727</f>
        <v>2023</v>
      </c>
      <c r="L727" s="12">
        <f>'Raw Data'!L727</f>
        <v>10</v>
      </c>
      <c r="M727" s="12">
        <f>'Raw Data'!M727</f>
        <v>22</v>
      </c>
      <c r="N727">
        <f>'Raw Data'!N727</f>
        <v>20</v>
      </c>
    </row>
    <row r="728" spans="1:14" ht="30" x14ac:dyDescent="0.25">
      <c r="A728" s="11">
        <f>'Raw Data'!A728</f>
        <v>726</v>
      </c>
      <c r="B728" s="8" t="str">
        <f>TRIM(CLEAN('Raw Data'!B728))</f>
        <v>Participating in a school-wide art exhibition. Witnessing creativity and spreading positive vibes!</v>
      </c>
      <c r="C728" s="4" t="str">
        <f>TRIM(PROPER('Raw Data'!C728))</f>
        <v>Happy</v>
      </c>
      <c r="D728" s="5">
        <f>'Raw Data'!D728</f>
        <v>42318.697916666664</v>
      </c>
      <c r="E728" s="4" t="str">
        <f>TRIM(SUBSTITUTE('Raw Data'!E728," "," "))</f>
        <v>ArtExhibitionJoyHighSchool</v>
      </c>
      <c r="F728" s="4" t="str">
        <f>TRIM(PROPER('Raw Data'!F728))</f>
        <v>Instagram</v>
      </c>
      <c r="G728" s="8" t="str">
        <f>TRIM(CLEAN('Raw Data'!G728))</f>
        <v>#ArtisticExpression #HighSchoolCreativity</v>
      </c>
      <c r="H728" s="12">
        <f>'Raw Data'!H728</f>
        <v>23</v>
      </c>
      <c r="I728" s="12">
        <v>43</v>
      </c>
      <c r="J728" s="12" t="str">
        <f>TRIM(UPPER('Raw Data'!J728))</f>
        <v>USA</v>
      </c>
      <c r="K728" s="12">
        <f>'Raw Data'!K728</f>
        <v>2015</v>
      </c>
      <c r="L728" s="12">
        <f>'Raw Data'!L728</f>
        <v>11</v>
      </c>
      <c r="M728" s="12">
        <f>'Raw Data'!M728</f>
        <v>10</v>
      </c>
      <c r="N728">
        <f>'Raw Data'!N728</f>
        <v>16</v>
      </c>
    </row>
    <row r="729" spans="1:14" ht="30" x14ac:dyDescent="0.25">
      <c r="A729" s="11">
        <f>'Raw Data'!A729</f>
        <v>727</v>
      </c>
      <c r="B729" s="8" t="str">
        <f>TRIM(CLEAN('Raw Data'!B729))</f>
        <v>Achieving a personal best in a track and field competition. The thrill of victory and self-improvement!</v>
      </c>
      <c r="C729" s="4" t="str">
        <f>TRIM(PROPER('Raw Data'!C729))</f>
        <v>Happy</v>
      </c>
      <c r="D729" s="5">
        <f>'Raw Data'!D729</f>
        <v>42627.520833333336</v>
      </c>
      <c r="E729" s="4" t="str">
        <f>TRIM(SUBSTITUTE('Raw Data'!E729," "," "))</f>
        <v>TrackFieldSuccessHighSchool</v>
      </c>
      <c r="F729" s="4" t="str">
        <f>TRIM(PROPER('Raw Data'!F729))</f>
        <v>Twitter</v>
      </c>
      <c r="G729" s="8" t="str">
        <f>TRIM(CLEAN('Raw Data'!G729))</f>
        <v>#AthleticAchievement #HighSchoolSports</v>
      </c>
      <c r="H729" s="12">
        <f>'Raw Data'!H729</f>
        <v>26</v>
      </c>
      <c r="I729" s="12">
        <v>44</v>
      </c>
      <c r="J729" s="12" t="str">
        <f>TRIM(UPPER('Raw Data'!J729))</f>
        <v>CANADA</v>
      </c>
      <c r="K729" s="12">
        <f>'Raw Data'!K729</f>
        <v>2016</v>
      </c>
      <c r="L729" s="12">
        <f>'Raw Data'!L729</f>
        <v>9</v>
      </c>
      <c r="M729" s="12">
        <f>'Raw Data'!M729</f>
        <v>14</v>
      </c>
      <c r="N729">
        <f>'Raw Data'!N729</f>
        <v>12</v>
      </c>
    </row>
    <row r="730" spans="1:14" ht="45" x14ac:dyDescent="0.25">
      <c r="A730" s="11">
        <f>'Raw Data'!A730</f>
        <v>728</v>
      </c>
      <c r="B730" s="8" t="str">
        <f>TRIM(CLEAN('Raw Data'!B730))</f>
        <v>Collaborating on a science project that received recognition at a regional fair. Science triumphs and smiles!</v>
      </c>
      <c r="C730" s="4" t="str">
        <f>TRIM(PROPER('Raw Data'!C730))</f>
        <v>Happy</v>
      </c>
      <c r="D730" s="5">
        <f>'Raw Data'!D730</f>
        <v>42965.763888888891</v>
      </c>
      <c r="E730" s="4" t="str">
        <f>TRIM(SUBSTITUTE('Raw Data'!E730," "," "))</f>
        <v>ScienceProjectSuccessHighSchool</v>
      </c>
      <c r="F730" s="4" t="str">
        <f>TRIM(PROPER('Raw Data'!F730))</f>
        <v>Facebook</v>
      </c>
      <c r="G730" s="8" t="str">
        <f>TRIM(CLEAN('Raw Data'!G730))</f>
        <v>#ScienceFairWinner #HighSchoolScience</v>
      </c>
      <c r="H730" s="12">
        <f>'Raw Data'!H730</f>
        <v>20</v>
      </c>
      <c r="I730" s="12">
        <v>51</v>
      </c>
      <c r="J730" s="12" t="str">
        <f>TRIM(UPPER('Raw Data'!J730))</f>
        <v>UK</v>
      </c>
      <c r="K730" s="12">
        <f>'Raw Data'!K730</f>
        <v>2017</v>
      </c>
      <c r="L730" s="12">
        <f>'Raw Data'!L730</f>
        <v>8</v>
      </c>
      <c r="M730" s="12">
        <f>'Raw Data'!M730</f>
        <v>18</v>
      </c>
      <c r="N730">
        <f>'Raw Data'!N730</f>
        <v>18</v>
      </c>
    </row>
    <row r="731" spans="1:14" ht="45" x14ac:dyDescent="0.25">
      <c r="A731" s="11">
        <f>'Raw Data'!A731</f>
        <v>729</v>
      </c>
      <c r="B731" s="8" t="str">
        <f>TRIM(CLEAN('Raw Data'!B731))</f>
        <v>Attending a surprise birthday party organized by friends. Surrounded by love, laughter, and good company!</v>
      </c>
      <c r="C731" s="4" t="str">
        <f>TRIM(PROPER('Raw Data'!C731))</f>
        <v>Happy</v>
      </c>
      <c r="D731" s="5">
        <f>'Raw Data'!D731</f>
        <v>43273.59375</v>
      </c>
      <c r="E731" s="4" t="str">
        <f>TRIM(SUBSTITUTE('Raw Data'!E731," "," "))</f>
        <v>BirthdayPartyJoyHighSchool</v>
      </c>
      <c r="F731" s="4" t="str">
        <f>TRIM(PROPER('Raw Data'!F731))</f>
        <v>Instagram</v>
      </c>
      <c r="G731" s="8" t="str">
        <f>TRIM(CLEAN('Raw Data'!G731))</f>
        <v>#SurpriseCelebration #HighSchoolFriendship</v>
      </c>
      <c r="H731" s="12">
        <f>'Raw Data'!H731</f>
        <v>25</v>
      </c>
      <c r="I731" s="12">
        <v>39</v>
      </c>
      <c r="J731" s="12" t="str">
        <f>TRIM(UPPER('Raw Data'!J731))</f>
        <v>USA</v>
      </c>
      <c r="K731" s="12">
        <f>'Raw Data'!K731</f>
        <v>2018</v>
      </c>
      <c r="L731" s="12">
        <f>'Raw Data'!L731</f>
        <v>6</v>
      </c>
      <c r="M731" s="12">
        <f>'Raw Data'!M731</f>
        <v>22</v>
      </c>
      <c r="N731">
        <f>'Raw Data'!N731</f>
        <v>14</v>
      </c>
    </row>
    <row r="732" spans="1:14" ht="30" x14ac:dyDescent="0.25">
      <c r="A732" s="11">
        <f>'Raw Data'!A732</f>
        <v>730</v>
      </c>
      <c r="B732" s="8" t="str">
        <f>TRIM(CLEAN('Raw Data'!B732))</f>
        <v>Successfully fundraising for a school charity initiative. The joy of giving back to the community!</v>
      </c>
      <c r="C732" s="4" t="str">
        <f>TRIM(PROPER('Raw Data'!C732))</f>
        <v>Happy</v>
      </c>
      <c r="D732" s="5">
        <f>'Raw Data'!D732</f>
        <v>43560.729166666664</v>
      </c>
      <c r="E732" s="4" t="str">
        <f>TRIM(SUBSTITUTE('Raw Data'!E732," "," "))</f>
        <v>CharityFundraisingTriumphHighSchool</v>
      </c>
      <c r="F732" s="4" t="str">
        <f>TRIM(PROPER('Raw Data'!F732))</f>
        <v>Twitter</v>
      </c>
      <c r="G732" s="8" t="str">
        <f>TRIM(CLEAN('Raw Data'!G732))</f>
        <v>#CommunityGiving #HighSchoolPhilanthropy</v>
      </c>
      <c r="H732" s="12">
        <f>'Raw Data'!H732</f>
        <v>22</v>
      </c>
      <c r="I732" s="12">
        <v>48</v>
      </c>
      <c r="J732" s="12" t="str">
        <f>TRIM(UPPER('Raw Data'!J732))</f>
        <v>CANADA</v>
      </c>
      <c r="K732" s="12">
        <f>'Raw Data'!K732</f>
        <v>2019</v>
      </c>
      <c r="L732" s="12">
        <f>'Raw Data'!L732</f>
        <v>4</v>
      </c>
      <c r="M732" s="12">
        <f>'Raw Data'!M732</f>
        <v>5</v>
      </c>
      <c r="N732">
        <f>'Raw Data'!N732</f>
        <v>17</v>
      </c>
    </row>
    <row r="733" spans="1:14" ht="30" x14ac:dyDescent="0.25">
      <c r="A733" s="11">
        <f>'Raw Data'!A733</f>
        <v>731</v>
      </c>
      <c r="B733" s="8" t="str">
        <f>TRIM(CLEAN('Raw Data'!B733))</f>
        <v>Participating in a multicultural festival, celebrating diversity with music, dance, and delicious food!</v>
      </c>
      <c r="C733" s="4" t="str">
        <f>TRIM(PROPER('Raw Data'!C733))</f>
        <v>Happy</v>
      </c>
      <c r="D733" s="5">
        <f>'Raw Data'!D733</f>
        <v>43890.864583333336</v>
      </c>
      <c r="E733" s="4" t="str">
        <f>TRIM(SUBSTITUTE('Raw Data'!E733," "," "))</f>
        <v>MulticulturalFestivalJoyHighSchool</v>
      </c>
      <c r="F733" s="4" t="str">
        <f>TRIM(PROPER('Raw Data'!F733))</f>
        <v>Facebook</v>
      </c>
      <c r="G733" s="8" t="str">
        <f>TRIM(CLEAN('Raw Data'!G733))</f>
        <v>#CulturalCelebration #HighSchoolUnity</v>
      </c>
      <c r="H733" s="12">
        <f>'Raw Data'!H733</f>
        <v>21</v>
      </c>
      <c r="I733" s="12">
        <v>42</v>
      </c>
      <c r="J733" s="12" t="str">
        <f>TRIM(UPPER('Raw Data'!J733))</f>
        <v>UK</v>
      </c>
      <c r="K733" s="12">
        <f>'Raw Data'!K733</f>
        <v>2020</v>
      </c>
      <c r="L733" s="12">
        <f>'Raw Data'!L733</f>
        <v>2</v>
      </c>
      <c r="M733" s="12">
        <f>'Raw Data'!M733</f>
        <v>29</v>
      </c>
      <c r="N733">
        <f>'Raw Data'!N733</f>
        <v>20</v>
      </c>
    </row>
    <row r="734" spans="1:14" ht="30" x14ac:dyDescent="0.25">
      <c r="A734" s="11">
        <f>'Raw Data'!A734</f>
        <v>732</v>
      </c>
      <c r="B734" s="8" t="str">
        <f>TRIM(CLEAN('Raw Data'!B734))</f>
        <v>Organizing a virtual talent show during challenging times, bringing smiles to classmates' faces!</v>
      </c>
      <c r="C734" s="4" t="str">
        <f>TRIM(PROPER('Raw Data'!C734))</f>
        <v>Happy</v>
      </c>
      <c r="D734" s="5">
        <f>'Raw Data'!D734</f>
        <v>44150.635416666664</v>
      </c>
      <c r="E734" s="4" t="str">
        <f>TRIM(SUBSTITUTE('Raw Data'!E734," "," "))</f>
        <v>VirtualTalentShowSuccessHighSchool</v>
      </c>
      <c r="F734" s="4" t="str">
        <f>TRIM(PROPER('Raw Data'!F734))</f>
        <v>Instagram</v>
      </c>
      <c r="G734" s="8" t="str">
        <f>TRIM(CLEAN('Raw Data'!G734))</f>
        <v>#VirtualEntertainment #HighSchoolPositivity</v>
      </c>
      <c r="H734" s="12">
        <f>'Raw Data'!H734</f>
        <v>24</v>
      </c>
      <c r="I734" s="12">
        <v>43</v>
      </c>
      <c r="J734" s="12" t="str">
        <f>TRIM(UPPER('Raw Data'!J734))</f>
        <v>USA</v>
      </c>
      <c r="K734" s="12">
        <f>'Raw Data'!K734</f>
        <v>2020</v>
      </c>
      <c r="L734" s="12">
        <f>'Raw Data'!L734</f>
        <v>11</v>
      </c>
      <c r="M734" s="12">
        <f>'Raw Data'!M734</f>
        <v>15</v>
      </c>
      <c r="N734">
        <f>'Raw Data'!N734</f>
        <v>15</v>
      </c>
    </row>
  </sheetData>
  <mergeCells count="1">
    <mergeCell ref="A1:N1"/>
  </mergeCells>
  <conditionalFormatting sqref="B3:M734">
    <cfRule type="expression" dxfId="4" priority="1">
      <formula>MOD(ROW(),2)=0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E394-FB06-4EEA-BA04-7B727C724A6C}">
  <dimension ref="A1:K734"/>
  <sheetViews>
    <sheetView zoomScale="49" zoomScaleNormal="49" workbookViewId="0">
      <pane ySplit="2" topLeftCell="A3" activePane="bottomLeft" state="frozen"/>
      <selection pane="bottomLeft" activeCell="D21" sqref="D21"/>
    </sheetView>
  </sheetViews>
  <sheetFormatPr defaultRowHeight="15" x14ac:dyDescent="0.25"/>
  <cols>
    <col min="1" max="1" width="8.7109375" customWidth="1"/>
    <col min="2" max="2" width="35.7109375" customWidth="1"/>
    <col min="3" max="4" width="30.7109375" customWidth="1"/>
    <col min="5" max="5" width="35.7109375" customWidth="1"/>
    <col min="6" max="8" width="25.7109375" customWidth="1"/>
    <col min="9" max="9" width="18.7109375" customWidth="1"/>
    <col min="10" max="10" width="20.7109375" customWidth="1"/>
    <col min="11" max="11" width="13.7109375" customWidth="1"/>
  </cols>
  <sheetData>
    <row r="1" spans="1:11" ht="30" customHeight="1" x14ac:dyDescent="0.25">
      <c r="A1" s="26" t="s">
        <v>2509</v>
      </c>
      <c r="B1" s="26"/>
      <c r="C1" s="26"/>
      <c r="D1" s="26"/>
      <c r="E1" s="26"/>
      <c r="F1" s="26"/>
      <c r="G1" s="26"/>
      <c r="H1" s="26"/>
    </row>
    <row r="2" spans="1:11" x14ac:dyDescent="0.25">
      <c r="A2" t="s">
        <v>2510</v>
      </c>
      <c r="B2" t="s">
        <v>2511</v>
      </c>
      <c r="C2" t="s">
        <v>2512</v>
      </c>
      <c r="D2" t="s">
        <v>2513</v>
      </c>
      <c r="E2" t="s">
        <v>2514</v>
      </c>
      <c r="F2" t="s">
        <v>2515</v>
      </c>
      <c r="G2" t="s">
        <v>2516</v>
      </c>
      <c r="H2" t="s">
        <v>2517</v>
      </c>
      <c r="I2" t="s">
        <v>2518</v>
      </c>
      <c r="J2" t="s">
        <v>2519</v>
      </c>
      <c r="K2" t="s">
        <v>2520</v>
      </c>
    </row>
    <row r="3" spans="1:11" x14ac:dyDescent="0.25">
      <c r="A3" s="13">
        <f>'Raw Data'!A3</f>
        <v>0</v>
      </c>
      <c r="B3" s="13" t="str">
        <f>'Raw Data'!C3</f>
        <v xml:space="preserve"> Positive  </v>
      </c>
      <c r="C3" s="13" t="str">
        <f>TRIM(B3)</f>
        <v>Positive</v>
      </c>
      <c r="D3" s="13" t="str">
        <f>CLEAN(B3)</f>
        <v xml:space="preserve"> Positive  </v>
      </c>
      <c r="E3" s="13" t="str">
        <f>SUBSTITUTE(SUBSTITUTE(SUBSTITUTE(TRIM(B3),"Positive","Pos"),"Negative","Neg"),"Neutral","Neu")</f>
        <v>Pos</v>
      </c>
      <c r="F3" s="13" t="str">
        <f>UPPER(TRIM(B3))</f>
        <v>POSITIVE</v>
      </c>
      <c r="G3" s="13" t="str">
        <f>LOWER(TRIM(B3))</f>
        <v>positive</v>
      </c>
      <c r="H3" s="13" t="str">
        <f>PROPER(TRIM(B3))</f>
        <v>Positive</v>
      </c>
      <c r="I3" s="13">
        <f>LEN(B3)</f>
        <v>11</v>
      </c>
      <c r="J3" s="13">
        <f>LEN(TRIM(B3))</f>
        <v>8</v>
      </c>
      <c r="K3" s="13">
        <f>I3-J3</f>
        <v>3</v>
      </c>
    </row>
    <row r="4" spans="1:11" x14ac:dyDescent="0.25">
      <c r="A4" s="13">
        <f>'Raw Data'!A4</f>
        <v>1</v>
      </c>
      <c r="B4" s="13" t="str">
        <f>'Raw Data'!C4</f>
        <v xml:space="preserve"> Negative  </v>
      </c>
      <c r="C4" s="13" t="str">
        <f t="shared" ref="C4:C67" si="0">TRIM(B4)</f>
        <v>Negative</v>
      </c>
      <c r="D4" s="13" t="str">
        <f t="shared" ref="D4:D67" si="1">CLEAN(B4)</f>
        <v xml:space="preserve"> Negative  </v>
      </c>
      <c r="E4" s="13" t="str">
        <f t="shared" ref="E4:E67" si="2">SUBSTITUTE(SUBSTITUTE(SUBSTITUTE(TRIM(B4),"Positive","Pos"),"Negative","Neg"),"Neutral","Neu")</f>
        <v>Neg</v>
      </c>
      <c r="F4" s="13" t="str">
        <f t="shared" ref="F4:F67" si="3">UPPER(TRIM(B4))</f>
        <v>NEGATIVE</v>
      </c>
      <c r="G4" s="13" t="str">
        <f t="shared" ref="G4:G67" si="4">LOWER(TRIM(B4))</f>
        <v>negative</v>
      </c>
      <c r="H4" s="13" t="str">
        <f t="shared" ref="H4:H67" si="5">PROPER(TRIM(B4))</f>
        <v>Negative</v>
      </c>
      <c r="I4" s="13">
        <f t="shared" ref="I4:I67" si="6">LEN(B4)</f>
        <v>11</v>
      </c>
      <c r="J4" s="13">
        <f t="shared" ref="J4:J67" si="7">LEN(TRIM(B4))</f>
        <v>8</v>
      </c>
      <c r="K4" s="13">
        <f t="shared" ref="K4:K67" si="8">I4-J4</f>
        <v>3</v>
      </c>
    </row>
    <row r="5" spans="1:11" x14ac:dyDescent="0.25">
      <c r="A5" s="13">
        <f>'Raw Data'!A5</f>
        <v>2</v>
      </c>
      <c r="B5" s="13" t="str">
        <f>'Raw Data'!C5</f>
        <v xml:space="preserve"> Positive  </v>
      </c>
      <c r="C5" s="13" t="str">
        <f t="shared" si="0"/>
        <v>Positive</v>
      </c>
      <c r="D5" s="13" t="str">
        <f t="shared" si="1"/>
        <v xml:space="preserve"> Positive  </v>
      </c>
      <c r="E5" s="13" t="str">
        <f t="shared" si="2"/>
        <v>Pos</v>
      </c>
      <c r="F5" s="13" t="str">
        <f t="shared" si="3"/>
        <v>POSITIVE</v>
      </c>
      <c r="G5" s="13" t="str">
        <f t="shared" si="4"/>
        <v>positive</v>
      </c>
      <c r="H5" s="13" t="str">
        <f t="shared" si="5"/>
        <v>Positive</v>
      </c>
      <c r="I5" s="13">
        <f t="shared" si="6"/>
        <v>11</v>
      </c>
      <c r="J5" s="13">
        <f t="shared" si="7"/>
        <v>8</v>
      </c>
      <c r="K5" s="13">
        <f t="shared" si="8"/>
        <v>3</v>
      </c>
    </row>
    <row r="6" spans="1:11" x14ac:dyDescent="0.25">
      <c r="A6" s="13">
        <f>'Raw Data'!A6</f>
        <v>3</v>
      </c>
      <c r="B6" s="13" t="str">
        <f>'Raw Data'!C6</f>
        <v xml:space="preserve"> Positive  </v>
      </c>
      <c r="C6" s="13" t="str">
        <f t="shared" si="0"/>
        <v>Positive</v>
      </c>
      <c r="D6" s="13" t="str">
        <f t="shared" si="1"/>
        <v xml:space="preserve"> Positive  </v>
      </c>
      <c r="E6" s="13" t="str">
        <f t="shared" si="2"/>
        <v>Pos</v>
      </c>
      <c r="F6" s="13" t="str">
        <f t="shared" si="3"/>
        <v>POSITIVE</v>
      </c>
      <c r="G6" s="13" t="str">
        <f t="shared" si="4"/>
        <v>positive</v>
      </c>
      <c r="H6" s="13" t="str">
        <f t="shared" si="5"/>
        <v>Positive</v>
      </c>
      <c r="I6" s="13">
        <f t="shared" si="6"/>
        <v>11</v>
      </c>
      <c r="J6" s="13">
        <f t="shared" si="7"/>
        <v>8</v>
      </c>
      <c r="K6" s="13">
        <f t="shared" si="8"/>
        <v>3</v>
      </c>
    </row>
    <row r="7" spans="1:11" x14ac:dyDescent="0.25">
      <c r="A7" s="13">
        <f>'Raw Data'!A7</f>
        <v>4</v>
      </c>
      <c r="B7" s="13" t="str">
        <f>'Raw Data'!C7</f>
        <v xml:space="preserve"> Neutral   </v>
      </c>
      <c r="C7" s="13" t="str">
        <f t="shared" si="0"/>
        <v>Neutral</v>
      </c>
      <c r="D7" s="13" t="str">
        <f t="shared" si="1"/>
        <v xml:space="preserve"> Neutral   </v>
      </c>
      <c r="E7" s="13" t="str">
        <f t="shared" si="2"/>
        <v>Neu</v>
      </c>
      <c r="F7" s="13" t="str">
        <f t="shared" si="3"/>
        <v>NEUTRAL</v>
      </c>
      <c r="G7" s="13" t="str">
        <f t="shared" si="4"/>
        <v>neutral</v>
      </c>
      <c r="H7" s="13" t="str">
        <f t="shared" si="5"/>
        <v>Neutral</v>
      </c>
      <c r="I7" s="13">
        <f t="shared" si="6"/>
        <v>11</v>
      </c>
      <c r="J7" s="13">
        <f t="shared" si="7"/>
        <v>7</v>
      </c>
      <c r="K7" s="13">
        <f t="shared" si="8"/>
        <v>4</v>
      </c>
    </row>
    <row r="8" spans="1:11" x14ac:dyDescent="0.25">
      <c r="A8" s="13">
        <f>'Raw Data'!A8</f>
        <v>5</v>
      </c>
      <c r="B8" s="13" t="str">
        <f>'Raw Data'!C8</f>
        <v xml:space="preserve"> Positive  </v>
      </c>
      <c r="C8" s="13" t="str">
        <f t="shared" si="0"/>
        <v>Positive</v>
      </c>
      <c r="D8" s="13" t="str">
        <f t="shared" si="1"/>
        <v xml:space="preserve"> Positive  </v>
      </c>
      <c r="E8" s="13" t="str">
        <f t="shared" si="2"/>
        <v>Pos</v>
      </c>
      <c r="F8" s="13" t="str">
        <f t="shared" si="3"/>
        <v>POSITIVE</v>
      </c>
      <c r="G8" s="13" t="str">
        <f t="shared" si="4"/>
        <v>positive</v>
      </c>
      <c r="H8" s="13" t="str">
        <f t="shared" si="5"/>
        <v>Positive</v>
      </c>
      <c r="I8" s="13">
        <f t="shared" si="6"/>
        <v>11</v>
      </c>
      <c r="J8" s="13">
        <f t="shared" si="7"/>
        <v>8</v>
      </c>
      <c r="K8" s="13">
        <f t="shared" si="8"/>
        <v>3</v>
      </c>
    </row>
    <row r="9" spans="1:11" x14ac:dyDescent="0.25">
      <c r="A9" s="13">
        <f>'Raw Data'!A9</f>
        <v>6</v>
      </c>
      <c r="B9" s="13" t="str">
        <f>'Raw Data'!C9</f>
        <v xml:space="preserve"> Positive  </v>
      </c>
      <c r="C9" s="13" t="str">
        <f t="shared" si="0"/>
        <v>Positive</v>
      </c>
      <c r="D9" s="13" t="str">
        <f t="shared" si="1"/>
        <v xml:space="preserve"> Positive  </v>
      </c>
      <c r="E9" s="13" t="str">
        <f t="shared" si="2"/>
        <v>Pos</v>
      </c>
      <c r="F9" s="13" t="str">
        <f t="shared" si="3"/>
        <v>POSITIVE</v>
      </c>
      <c r="G9" s="13" t="str">
        <f t="shared" si="4"/>
        <v>positive</v>
      </c>
      <c r="H9" s="13" t="str">
        <f t="shared" si="5"/>
        <v>Positive</v>
      </c>
      <c r="I9" s="13">
        <f t="shared" si="6"/>
        <v>11</v>
      </c>
      <c r="J9" s="13">
        <f t="shared" si="7"/>
        <v>8</v>
      </c>
      <c r="K9" s="13">
        <f t="shared" si="8"/>
        <v>3</v>
      </c>
    </row>
    <row r="10" spans="1:11" x14ac:dyDescent="0.25">
      <c r="A10" s="13">
        <f>'Raw Data'!A10</f>
        <v>7</v>
      </c>
      <c r="B10" s="13" t="str">
        <f>'Raw Data'!C10</f>
        <v xml:space="preserve"> Positive  </v>
      </c>
      <c r="C10" s="13" t="str">
        <f t="shared" si="0"/>
        <v>Positive</v>
      </c>
      <c r="D10" s="13" t="str">
        <f t="shared" si="1"/>
        <v xml:space="preserve"> Positive  </v>
      </c>
      <c r="E10" s="13" t="str">
        <f t="shared" si="2"/>
        <v>Pos</v>
      </c>
      <c r="F10" s="13" t="str">
        <f t="shared" si="3"/>
        <v>POSITIVE</v>
      </c>
      <c r="G10" s="13" t="str">
        <f t="shared" si="4"/>
        <v>positive</v>
      </c>
      <c r="H10" s="13" t="str">
        <f t="shared" si="5"/>
        <v>Positive</v>
      </c>
      <c r="I10" s="13">
        <f t="shared" si="6"/>
        <v>11</v>
      </c>
      <c r="J10" s="13">
        <f t="shared" si="7"/>
        <v>8</v>
      </c>
      <c r="K10" s="13">
        <f t="shared" si="8"/>
        <v>3</v>
      </c>
    </row>
    <row r="11" spans="1:11" x14ac:dyDescent="0.25">
      <c r="A11" s="13">
        <f>'Raw Data'!A11</f>
        <v>8</v>
      </c>
      <c r="B11" s="13" t="str">
        <f>'Raw Data'!C11</f>
        <v xml:space="preserve"> Negative  </v>
      </c>
      <c r="C11" s="13" t="str">
        <f t="shared" si="0"/>
        <v>Negative</v>
      </c>
      <c r="D11" s="13" t="str">
        <f t="shared" si="1"/>
        <v xml:space="preserve"> Negative  </v>
      </c>
      <c r="E11" s="13" t="str">
        <f t="shared" si="2"/>
        <v>Neg</v>
      </c>
      <c r="F11" s="13" t="str">
        <f t="shared" si="3"/>
        <v>NEGATIVE</v>
      </c>
      <c r="G11" s="13" t="str">
        <f t="shared" si="4"/>
        <v>negative</v>
      </c>
      <c r="H11" s="13" t="str">
        <f t="shared" si="5"/>
        <v>Negative</v>
      </c>
      <c r="I11" s="13">
        <f t="shared" si="6"/>
        <v>11</v>
      </c>
      <c r="J11" s="13">
        <f t="shared" si="7"/>
        <v>8</v>
      </c>
      <c r="K11" s="13">
        <f t="shared" si="8"/>
        <v>3</v>
      </c>
    </row>
    <row r="12" spans="1:11" x14ac:dyDescent="0.25">
      <c r="A12" s="13">
        <f>'Raw Data'!A12</f>
        <v>9</v>
      </c>
      <c r="B12" s="13" t="str">
        <f>'Raw Data'!C12</f>
        <v xml:space="preserve"> Neutral   </v>
      </c>
      <c r="C12" s="13" t="str">
        <f t="shared" si="0"/>
        <v>Neutral</v>
      </c>
      <c r="D12" s="13" t="str">
        <f t="shared" si="1"/>
        <v xml:space="preserve"> Neutral   </v>
      </c>
      <c r="E12" s="13" t="str">
        <f t="shared" si="2"/>
        <v>Neu</v>
      </c>
      <c r="F12" s="13" t="str">
        <f t="shared" si="3"/>
        <v>NEUTRAL</v>
      </c>
      <c r="G12" s="13" t="str">
        <f t="shared" si="4"/>
        <v>neutral</v>
      </c>
      <c r="H12" s="13" t="str">
        <f t="shared" si="5"/>
        <v>Neutral</v>
      </c>
      <c r="I12" s="13">
        <f t="shared" si="6"/>
        <v>11</v>
      </c>
      <c r="J12" s="13">
        <f t="shared" si="7"/>
        <v>7</v>
      </c>
      <c r="K12" s="13">
        <f t="shared" si="8"/>
        <v>4</v>
      </c>
    </row>
    <row r="13" spans="1:11" x14ac:dyDescent="0.25">
      <c r="A13" s="13">
        <f>'Raw Data'!A13</f>
        <v>10</v>
      </c>
      <c r="B13" s="13" t="str">
        <f>'Raw Data'!C13</f>
        <v xml:space="preserve"> Positive  </v>
      </c>
      <c r="C13" s="13" t="str">
        <f t="shared" si="0"/>
        <v>Positive</v>
      </c>
      <c r="D13" s="13" t="str">
        <f t="shared" si="1"/>
        <v xml:space="preserve"> Positive  </v>
      </c>
      <c r="E13" s="13" t="str">
        <f t="shared" si="2"/>
        <v>Pos</v>
      </c>
      <c r="F13" s="13" t="str">
        <f t="shared" si="3"/>
        <v>POSITIVE</v>
      </c>
      <c r="G13" s="13" t="str">
        <f t="shared" si="4"/>
        <v>positive</v>
      </c>
      <c r="H13" s="13" t="str">
        <f t="shared" si="5"/>
        <v>Positive</v>
      </c>
      <c r="I13" s="13">
        <f t="shared" si="6"/>
        <v>11</v>
      </c>
      <c r="J13" s="13">
        <f t="shared" si="7"/>
        <v>8</v>
      </c>
      <c r="K13" s="13">
        <f t="shared" si="8"/>
        <v>3</v>
      </c>
    </row>
    <row r="14" spans="1:11" x14ac:dyDescent="0.25">
      <c r="A14" s="13">
        <f>'Raw Data'!A14</f>
        <v>11</v>
      </c>
      <c r="B14" s="13" t="str">
        <f>'Raw Data'!C14</f>
        <v xml:space="preserve"> Negative  </v>
      </c>
      <c r="C14" s="13" t="str">
        <f t="shared" si="0"/>
        <v>Negative</v>
      </c>
      <c r="D14" s="13" t="str">
        <f t="shared" si="1"/>
        <v xml:space="preserve"> Negative  </v>
      </c>
      <c r="E14" s="13" t="str">
        <f t="shared" si="2"/>
        <v>Neg</v>
      </c>
      <c r="F14" s="13" t="str">
        <f t="shared" si="3"/>
        <v>NEGATIVE</v>
      </c>
      <c r="G14" s="13" t="str">
        <f t="shared" si="4"/>
        <v>negative</v>
      </c>
      <c r="H14" s="13" t="str">
        <f t="shared" si="5"/>
        <v>Negative</v>
      </c>
      <c r="I14" s="13">
        <f t="shared" si="6"/>
        <v>11</v>
      </c>
      <c r="J14" s="13">
        <f t="shared" si="7"/>
        <v>8</v>
      </c>
      <c r="K14" s="13">
        <f t="shared" si="8"/>
        <v>3</v>
      </c>
    </row>
    <row r="15" spans="1:11" x14ac:dyDescent="0.25">
      <c r="A15" s="13">
        <f>'Raw Data'!A15</f>
        <v>12</v>
      </c>
      <c r="B15" s="13" t="str">
        <f>'Raw Data'!C15</f>
        <v xml:space="preserve"> Positive  </v>
      </c>
      <c r="C15" s="13" t="str">
        <f t="shared" si="0"/>
        <v>Positive</v>
      </c>
      <c r="D15" s="13" t="str">
        <f t="shared" si="1"/>
        <v xml:space="preserve"> Positive  </v>
      </c>
      <c r="E15" s="13" t="str">
        <f t="shared" si="2"/>
        <v>Pos</v>
      </c>
      <c r="F15" s="13" t="str">
        <f t="shared" si="3"/>
        <v>POSITIVE</v>
      </c>
      <c r="G15" s="13" t="str">
        <f t="shared" si="4"/>
        <v>positive</v>
      </c>
      <c r="H15" s="13" t="str">
        <f t="shared" si="5"/>
        <v>Positive</v>
      </c>
      <c r="I15" s="13">
        <f t="shared" si="6"/>
        <v>11</v>
      </c>
      <c r="J15" s="13">
        <f t="shared" si="7"/>
        <v>8</v>
      </c>
      <c r="K15" s="13">
        <f t="shared" si="8"/>
        <v>3</v>
      </c>
    </row>
    <row r="16" spans="1:11" x14ac:dyDescent="0.25">
      <c r="A16" s="13">
        <f>'Raw Data'!A16</f>
        <v>13</v>
      </c>
      <c r="B16" s="13" t="str">
        <f>'Raw Data'!C16</f>
        <v xml:space="preserve"> Positive  </v>
      </c>
      <c r="C16" s="13" t="str">
        <f t="shared" si="0"/>
        <v>Positive</v>
      </c>
      <c r="D16" s="13" t="str">
        <f t="shared" si="1"/>
        <v xml:space="preserve"> Positive  </v>
      </c>
      <c r="E16" s="13" t="str">
        <f t="shared" si="2"/>
        <v>Pos</v>
      </c>
      <c r="F16" s="13" t="str">
        <f t="shared" si="3"/>
        <v>POSITIVE</v>
      </c>
      <c r="G16" s="13" t="str">
        <f t="shared" si="4"/>
        <v>positive</v>
      </c>
      <c r="H16" s="13" t="str">
        <f t="shared" si="5"/>
        <v>Positive</v>
      </c>
      <c r="I16" s="13">
        <f t="shared" si="6"/>
        <v>11</v>
      </c>
      <c r="J16" s="13">
        <f t="shared" si="7"/>
        <v>8</v>
      </c>
      <c r="K16" s="13">
        <f t="shared" si="8"/>
        <v>3</v>
      </c>
    </row>
    <row r="17" spans="1:11" x14ac:dyDescent="0.25">
      <c r="A17" s="13">
        <f>'Raw Data'!A17</f>
        <v>14</v>
      </c>
      <c r="B17" s="13" t="str">
        <f>'Raw Data'!C17</f>
        <v xml:space="preserve"> Neutral   </v>
      </c>
      <c r="C17" s="13" t="str">
        <f t="shared" si="0"/>
        <v>Neutral</v>
      </c>
      <c r="D17" s="13" t="str">
        <f t="shared" si="1"/>
        <v xml:space="preserve"> Neutral   </v>
      </c>
      <c r="E17" s="13" t="str">
        <f t="shared" si="2"/>
        <v>Neu</v>
      </c>
      <c r="F17" s="13" t="str">
        <f t="shared" si="3"/>
        <v>NEUTRAL</v>
      </c>
      <c r="G17" s="13" t="str">
        <f t="shared" si="4"/>
        <v>neutral</v>
      </c>
      <c r="H17" s="13" t="str">
        <f t="shared" si="5"/>
        <v>Neutral</v>
      </c>
      <c r="I17" s="13">
        <f t="shared" si="6"/>
        <v>11</v>
      </c>
      <c r="J17" s="13">
        <f t="shared" si="7"/>
        <v>7</v>
      </c>
      <c r="K17" s="13">
        <f t="shared" si="8"/>
        <v>4</v>
      </c>
    </row>
    <row r="18" spans="1:11" x14ac:dyDescent="0.25">
      <c r="A18" s="13">
        <f>'Raw Data'!A18</f>
        <v>15</v>
      </c>
      <c r="B18" s="13" t="str">
        <f>'Raw Data'!C18</f>
        <v xml:space="preserve"> Positive  </v>
      </c>
      <c r="C18" s="13" t="str">
        <f t="shared" si="0"/>
        <v>Positive</v>
      </c>
      <c r="D18" s="13" t="str">
        <f t="shared" si="1"/>
        <v xml:space="preserve"> Positive  </v>
      </c>
      <c r="E18" s="13" t="str">
        <f t="shared" si="2"/>
        <v>Pos</v>
      </c>
      <c r="F18" s="13" t="str">
        <f t="shared" si="3"/>
        <v>POSITIVE</v>
      </c>
      <c r="G18" s="13" t="str">
        <f t="shared" si="4"/>
        <v>positive</v>
      </c>
      <c r="H18" s="13" t="str">
        <f t="shared" si="5"/>
        <v>Positive</v>
      </c>
      <c r="I18" s="13">
        <f t="shared" si="6"/>
        <v>11</v>
      </c>
      <c r="J18" s="13">
        <f t="shared" si="7"/>
        <v>8</v>
      </c>
      <c r="K18" s="13">
        <f t="shared" si="8"/>
        <v>3</v>
      </c>
    </row>
    <row r="19" spans="1:11" x14ac:dyDescent="0.25">
      <c r="A19" s="13">
        <f>'Raw Data'!A19</f>
        <v>16</v>
      </c>
      <c r="B19" s="13" t="str">
        <f>'Raw Data'!C19</f>
        <v xml:space="preserve"> Positive  </v>
      </c>
      <c r="C19" s="13" t="str">
        <f t="shared" si="0"/>
        <v>Positive</v>
      </c>
      <c r="D19" s="13" t="str">
        <f t="shared" si="1"/>
        <v xml:space="preserve"> Positive  </v>
      </c>
      <c r="E19" s="13" t="str">
        <f t="shared" si="2"/>
        <v>Pos</v>
      </c>
      <c r="F19" s="13" t="str">
        <f t="shared" si="3"/>
        <v>POSITIVE</v>
      </c>
      <c r="G19" s="13" t="str">
        <f t="shared" si="4"/>
        <v>positive</v>
      </c>
      <c r="H19" s="13" t="str">
        <f t="shared" si="5"/>
        <v>Positive</v>
      </c>
      <c r="I19" s="13">
        <f t="shared" si="6"/>
        <v>11</v>
      </c>
      <c r="J19" s="13">
        <f t="shared" si="7"/>
        <v>8</v>
      </c>
      <c r="K19" s="13">
        <f t="shared" si="8"/>
        <v>3</v>
      </c>
    </row>
    <row r="20" spans="1:11" x14ac:dyDescent="0.25">
      <c r="A20" s="13">
        <f>'Raw Data'!A20</f>
        <v>17</v>
      </c>
      <c r="B20" s="13" t="str">
        <f>'Raw Data'!C20</f>
        <v xml:space="preserve"> Positive  </v>
      </c>
      <c r="C20" s="13" t="str">
        <f t="shared" si="0"/>
        <v>Positive</v>
      </c>
      <c r="D20" s="13" t="str">
        <f t="shared" si="1"/>
        <v xml:space="preserve"> Positive  </v>
      </c>
      <c r="E20" s="13" t="str">
        <f t="shared" si="2"/>
        <v>Pos</v>
      </c>
      <c r="F20" s="13" t="str">
        <f t="shared" si="3"/>
        <v>POSITIVE</v>
      </c>
      <c r="G20" s="13" t="str">
        <f t="shared" si="4"/>
        <v>positive</v>
      </c>
      <c r="H20" s="13" t="str">
        <f t="shared" si="5"/>
        <v>Positive</v>
      </c>
      <c r="I20" s="13">
        <f t="shared" si="6"/>
        <v>11</v>
      </c>
      <c r="J20" s="13">
        <f t="shared" si="7"/>
        <v>8</v>
      </c>
      <c r="K20" s="13">
        <f t="shared" si="8"/>
        <v>3</v>
      </c>
    </row>
    <row r="21" spans="1:11" x14ac:dyDescent="0.25">
      <c r="A21" s="13">
        <f>'Raw Data'!A21</f>
        <v>18</v>
      </c>
      <c r="B21" s="13" t="str">
        <f>'Raw Data'!C21</f>
        <v xml:space="preserve"> Neutral   </v>
      </c>
      <c r="C21" s="13" t="str">
        <f t="shared" si="0"/>
        <v>Neutral</v>
      </c>
      <c r="D21" s="13" t="str">
        <f t="shared" si="1"/>
        <v xml:space="preserve"> Neutral   </v>
      </c>
      <c r="E21" s="13" t="str">
        <f t="shared" si="2"/>
        <v>Neu</v>
      </c>
      <c r="F21" s="13" t="str">
        <f t="shared" si="3"/>
        <v>NEUTRAL</v>
      </c>
      <c r="G21" s="13" t="str">
        <f t="shared" si="4"/>
        <v>neutral</v>
      </c>
      <c r="H21" s="13" t="str">
        <f t="shared" si="5"/>
        <v>Neutral</v>
      </c>
      <c r="I21" s="13">
        <f t="shared" si="6"/>
        <v>11</v>
      </c>
      <c r="J21" s="13">
        <f t="shared" si="7"/>
        <v>7</v>
      </c>
      <c r="K21" s="13">
        <f t="shared" si="8"/>
        <v>4</v>
      </c>
    </row>
    <row r="22" spans="1:11" x14ac:dyDescent="0.25">
      <c r="A22" s="13">
        <f>'Raw Data'!A22</f>
        <v>19</v>
      </c>
      <c r="B22" s="13" t="str">
        <f>'Raw Data'!C22</f>
        <v xml:space="preserve"> Negative  </v>
      </c>
      <c r="C22" s="13" t="str">
        <f t="shared" si="0"/>
        <v>Negative</v>
      </c>
      <c r="D22" s="13" t="str">
        <f t="shared" si="1"/>
        <v xml:space="preserve"> Negative  </v>
      </c>
      <c r="E22" s="13" t="str">
        <f t="shared" si="2"/>
        <v>Neg</v>
      </c>
      <c r="F22" s="13" t="str">
        <f t="shared" si="3"/>
        <v>NEGATIVE</v>
      </c>
      <c r="G22" s="13" t="str">
        <f t="shared" si="4"/>
        <v>negative</v>
      </c>
      <c r="H22" s="13" t="str">
        <f t="shared" si="5"/>
        <v>Negative</v>
      </c>
      <c r="I22" s="13">
        <f t="shared" si="6"/>
        <v>11</v>
      </c>
      <c r="J22" s="13">
        <f t="shared" si="7"/>
        <v>8</v>
      </c>
      <c r="K22" s="13">
        <f t="shared" si="8"/>
        <v>3</v>
      </c>
    </row>
    <row r="23" spans="1:11" x14ac:dyDescent="0.25">
      <c r="A23" s="13">
        <f>'Raw Data'!A23</f>
        <v>20</v>
      </c>
      <c r="B23" s="13" t="str">
        <f>'Raw Data'!C23</f>
        <v xml:space="preserve"> Positive  </v>
      </c>
      <c r="C23" s="13" t="str">
        <f t="shared" si="0"/>
        <v>Positive</v>
      </c>
      <c r="D23" s="13" t="str">
        <f t="shared" si="1"/>
        <v xml:space="preserve"> Positive  </v>
      </c>
      <c r="E23" s="13" t="str">
        <f t="shared" si="2"/>
        <v>Pos</v>
      </c>
      <c r="F23" s="13" t="str">
        <f t="shared" si="3"/>
        <v>POSITIVE</v>
      </c>
      <c r="G23" s="13" t="str">
        <f t="shared" si="4"/>
        <v>positive</v>
      </c>
      <c r="H23" s="13" t="str">
        <f t="shared" si="5"/>
        <v>Positive</v>
      </c>
      <c r="I23" s="13">
        <f t="shared" si="6"/>
        <v>11</v>
      </c>
      <c r="J23" s="13">
        <f t="shared" si="7"/>
        <v>8</v>
      </c>
      <c r="K23" s="13">
        <f t="shared" si="8"/>
        <v>3</v>
      </c>
    </row>
    <row r="24" spans="1:11" x14ac:dyDescent="0.25">
      <c r="A24" s="13">
        <f>'Raw Data'!A24</f>
        <v>21</v>
      </c>
      <c r="B24" s="13" t="str">
        <f>'Raw Data'!C24</f>
        <v xml:space="preserve"> Positive  </v>
      </c>
      <c r="C24" s="13" t="str">
        <f t="shared" si="0"/>
        <v>Positive</v>
      </c>
      <c r="D24" s="13" t="str">
        <f t="shared" si="1"/>
        <v xml:space="preserve"> Positive  </v>
      </c>
      <c r="E24" s="13" t="str">
        <f t="shared" si="2"/>
        <v>Pos</v>
      </c>
      <c r="F24" s="13" t="str">
        <f t="shared" si="3"/>
        <v>POSITIVE</v>
      </c>
      <c r="G24" s="13" t="str">
        <f t="shared" si="4"/>
        <v>positive</v>
      </c>
      <c r="H24" s="13" t="str">
        <f t="shared" si="5"/>
        <v>Positive</v>
      </c>
      <c r="I24" s="13">
        <f t="shared" si="6"/>
        <v>11</v>
      </c>
      <c r="J24" s="13">
        <f t="shared" si="7"/>
        <v>8</v>
      </c>
      <c r="K24" s="13">
        <f t="shared" si="8"/>
        <v>3</v>
      </c>
    </row>
    <row r="25" spans="1:11" x14ac:dyDescent="0.25">
      <c r="A25" s="13">
        <f>'Raw Data'!A25</f>
        <v>22</v>
      </c>
      <c r="B25" s="13" t="str">
        <f>'Raw Data'!C25</f>
        <v xml:space="preserve"> Positive  </v>
      </c>
      <c r="C25" s="13" t="str">
        <f t="shared" si="0"/>
        <v>Positive</v>
      </c>
      <c r="D25" s="13" t="str">
        <f t="shared" si="1"/>
        <v xml:space="preserve"> Positive  </v>
      </c>
      <c r="E25" s="13" t="str">
        <f t="shared" si="2"/>
        <v>Pos</v>
      </c>
      <c r="F25" s="13" t="str">
        <f t="shared" si="3"/>
        <v>POSITIVE</v>
      </c>
      <c r="G25" s="13" t="str">
        <f t="shared" si="4"/>
        <v>positive</v>
      </c>
      <c r="H25" s="13" t="str">
        <f t="shared" si="5"/>
        <v>Positive</v>
      </c>
      <c r="I25" s="13">
        <f t="shared" si="6"/>
        <v>11</v>
      </c>
      <c r="J25" s="13">
        <f t="shared" si="7"/>
        <v>8</v>
      </c>
      <c r="K25" s="13">
        <f t="shared" si="8"/>
        <v>3</v>
      </c>
    </row>
    <row r="26" spans="1:11" x14ac:dyDescent="0.25">
      <c r="A26" s="13">
        <f>'Raw Data'!A26</f>
        <v>23</v>
      </c>
      <c r="B26" s="13" t="str">
        <f>'Raw Data'!C26</f>
        <v xml:space="preserve"> Positive  </v>
      </c>
      <c r="C26" s="13" t="str">
        <f t="shared" si="0"/>
        <v>Positive</v>
      </c>
      <c r="D26" s="13" t="str">
        <f t="shared" si="1"/>
        <v xml:space="preserve"> Positive  </v>
      </c>
      <c r="E26" s="13" t="str">
        <f t="shared" si="2"/>
        <v>Pos</v>
      </c>
      <c r="F26" s="13" t="str">
        <f t="shared" si="3"/>
        <v>POSITIVE</v>
      </c>
      <c r="G26" s="13" t="str">
        <f t="shared" si="4"/>
        <v>positive</v>
      </c>
      <c r="H26" s="13" t="str">
        <f t="shared" si="5"/>
        <v>Positive</v>
      </c>
      <c r="I26" s="13">
        <f t="shared" si="6"/>
        <v>11</v>
      </c>
      <c r="J26" s="13">
        <f t="shared" si="7"/>
        <v>8</v>
      </c>
      <c r="K26" s="13">
        <f t="shared" si="8"/>
        <v>3</v>
      </c>
    </row>
    <row r="27" spans="1:11" x14ac:dyDescent="0.25">
      <c r="A27" s="13">
        <f>'Raw Data'!A27</f>
        <v>24</v>
      </c>
      <c r="B27" s="13" t="str">
        <f>'Raw Data'!C27</f>
        <v xml:space="preserve"> Positive  </v>
      </c>
      <c r="C27" s="13" t="str">
        <f t="shared" si="0"/>
        <v>Positive</v>
      </c>
      <c r="D27" s="13" t="str">
        <f t="shared" si="1"/>
        <v xml:space="preserve"> Positive  </v>
      </c>
      <c r="E27" s="13" t="str">
        <f t="shared" si="2"/>
        <v>Pos</v>
      </c>
      <c r="F27" s="13" t="str">
        <f t="shared" si="3"/>
        <v>POSITIVE</v>
      </c>
      <c r="G27" s="13" t="str">
        <f t="shared" si="4"/>
        <v>positive</v>
      </c>
      <c r="H27" s="13" t="str">
        <f t="shared" si="5"/>
        <v>Positive</v>
      </c>
      <c r="I27" s="13">
        <f t="shared" si="6"/>
        <v>11</v>
      </c>
      <c r="J27" s="13">
        <f t="shared" si="7"/>
        <v>8</v>
      </c>
      <c r="K27" s="13">
        <f t="shared" si="8"/>
        <v>3</v>
      </c>
    </row>
    <row r="28" spans="1:11" x14ac:dyDescent="0.25">
      <c r="A28" s="13">
        <f>'Raw Data'!A28</f>
        <v>25</v>
      </c>
      <c r="B28" s="13" t="str">
        <f>'Raw Data'!C28</f>
        <v xml:space="preserve"> Positive  </v>
      </c>
      <c r="C28" s="13" t="str">
        <f t="shared" si="0"/>
        <v>Positive</v>
      </c>
      <c r="D28" s="13" t="str">
        <f t="shared" si="1"/>
        <v xml:space="preserve"> Positive  </v>
      </c>
      <c r="E28" s="13" t="str">
        <f t="shared" si="2"/>
        <v>Pos</v>
      </c>
      <c r="F28" s="13" t="str">
        <f t="shared" si="3"/>
        <v>POSITIVE</v>
      </c>
      <c r="G28" s="13" t="str">
        <f t="shared" si="4"/>
        <v>positive</v>
      </c>
      <c r="H28" s="13" t="str">
        <f t="shared" si="5"/>
        <v>Positive</v>
      </c>
      <c r="I28" s="13">
        <f t="shared" si="6"/>
        <v>11</v>
      </c>
      <c r="J28" s="13">
        <f t="shared" si="7"/>
        <v>8</v>
      </c>
      <c r="K28" s="13">
        <f t="shared" si="8"/>
        <v>3</v>
      </c>
    </row>
    <row r="29" spans="1:11" x14ac:dyDescent="0.25">
      <c r="A29" s="13">
        <f>'Raw Data'!A29</f>
        <v>27</v>
      </c>
      <c r="B29" s="13" t="str">
        <f>'Raw Data'!C29</f>
        <v xml:space="preserve"> Positive  </v>
      </c>
      <c r="C29" s="13" t="str">
        <f t="shared" si="0"/>
        <v>Positive</v>
      </c>
      <c r="D29" s="13" t="str">
        <f t="shared" si="1"/>
        <v xml:space="preserve"> Positive  </v>
      </c>
      <c r="E29" s="13" t="str">
        <f t="shared" si="2"/>
        <v>Pos</v>
      </c>
      <c r="F29" s="13" t="str">
        <f t="shared" si="3"/>
        <v>POSITIVE</v>
      </c>
      <c r="G29" s="13" t="str">
        <f t="shared" si="4"/>
        <v>positive</v>
      </c>
      <c r="H29" s="13" t="str">
        <f t="shared" si="5"/>
        <v>Positive</v>
      </c>
      <c r="I29" s="13">
        <f t="shared" si="6"/>
        <v>11</v>
      </c>
      <c r="J29" s="13">
        <f t="shared" si="7"/>
        <v>8</v>
      </c>
      <c r="K29" s="13">
        <f t="shared" si="8"/>
        <v>3</v>
      </c>
    </row>
    <row r="30" spans="1:11" x14ac:dyDescent="0.25">
      <c r="A30" s="13">
        <f>'Raw Data'!A30</f>
        <v>28</v>
      </c>
      <c r="B30" s="13" t="str">
        <f>'Raw Data'!C30</f>
        <v xml:space="preserve"> Positive  </v>
      </c>
      <c r="C30" s="13" t="str">
        <f t="shared" si="0"/>
        <v>Positive</v>
      </c>
      <c r="D30" s="13" t="str">
        <f t="shared" si="1"/>
        <v xml:space="preserve"> Positive  </v>
      </c>
      <c r="E30" s="13" t="str">
        <f t="shared" si="2"/>
        <v>Pos</v>
      </c>
      <c r="F30" s="13" t="str">
        <f t="shared" si="3"/>
        <v>POSITIVE</v>
      </c>
      <c r="G30" s="13" t="str">
        <f t="shared" si="4"/>
        <v>positive</v>
      </c>
      <c r="H30" s="13" t="str">
        <f t="shared" si="5"/>
        <v>Positive</v>
      </c>
      <c r="I30" s="13">
        <f t="shared" si="6"/>
        <v>11</v>
      </c>
      <c r="J30" s="13">
        <f t="shared" si="7"/>
        <v>8</v>
      </c>
      <c r="K30" s="13">
        <f t="shared" si="8"/>
        <v>3</v>
      </c>
    </row>
    <row r="31" spans="1:11" x14ac:dyDescent="0.25">
      <c r="A31" s="13">
        <f>'Raw Data'!A31</f>
        <v>29</v>
      </c>
      <c r="B31" s="13" t="str">
        <f>'Raw Data'!C31</f>
        <v xml:space="preserve"> Positive  </v>
      </c>
      <c r="C31" s="13" t="str">
        <f t="shared" si="0"/>
        <v>Positive</v>
      </c>
      <c r="D31" s="13" t="str">
        <f t="shared" si="1"/>
        <v xml:space="preserve"> Positive  </v>
      </c>
      <c r="E31" s="13" t="str">
        <f t="shared" si="2"/>
        <v>Pos</v>
      </c>
      <c r="F31" s="13" t="str">
        <f t="shared" si="3"/>
        <v>POSITIVE</v>
      </c>
      <c r="G31" s="13" t="str">
        <f t="shared" si="4"/>
        <v>positive</v>
      </c>
      <c r="H31" s="13" t="str">
        <f t="shared" si="5"/>
        <v>Positive</v>
      </c>
      <c r="I31" s="13">
        <f t="shared" si="6"/>
        <v>11</v>
      </c>
      <c r="J31" s="13">
        <f t="shared" si="7"/>
        <v>8</v>
      </c>
      <c r="K31" s="13">
        <f t="shared" si="8"/>
        <v>3</v>
      </c>
    </row>
    <row r="32" spans="1:11" x14ac:dyDescent="0.25">
      <c r="A32" s="13">
        <f>'Raw Data'!A32</f>
        <v>30</v>
      </c>
      <c r="B32" s="13" t="str">
        <f>'Raw Data'!C32</f>
        <v xml:space="preserve"> Positive  </v>
      </c>
      <c r="C32" s="13" t="str">
        <f t="shared" si="0"/>
        <v>Positive</v>
      </c>
      <c r="D32" s="13" t="str">
        <f t="shared" si="1"/>
        <v xml:space="preserve"> Positive  </v>
      </c>
      <c r="E32" s="13" t="str">
        <f t="shared" si="2"/>
        <v>Pos</v>
      </c>
      <c r="F32" s="13" t="str">
        <f t="shared" si="3"/>
        <v>POSITIVE</v>
      </c>
      <c r="G32" s="13" t="str">
        <f t="shared" si="4"/>
        <v>positive</v>
      </c>
      <c r="H32" s="13" t="str">
        <f t="shared" si="5"/>
        <v>Positive</v>
      </c>
      <c r="I32" s="13">
        <f t="shared" si="6"/>
        <v>11</v>
      </c>
      <c r="J32" s="13">
        <f t="shared" si="7"/>
        <v>8</v>
      </c>
      <c r="K32" s="13">
        <f t="shared" si="8"/>
        <v>3</v>
      </c>
    </row>
    <row r="33" spans="1:11" x14ac:dyDescent="0.25">
      <c r="A33" s="13">
        <f>'Raw Data'!A33</f>
        <v>31</v>
      </c>
      <c r="B33" s="13" t="str">
        <f>'Raw Data'!C33</f>
        <v xml:space="preserve"> Positive  </v>
      </c>
      <c r="C33" s="13" t="str">
        <f t="shared" si="0"/>
        <v>Positive</v>
      </c>
      <c r="D33" s="13" t="str">
        <f t="shared" si="1"/>
        <v xml:space="preserve"> Positive  </v>
      </c>
      <c r="E33" s="13" t="str">
        <f t="shared" si="2"/>
        <v>Pos</v>
      </c>
      <c r="F33" s="13" t="str">
        <f t="shared" si="3"/>
        <v>POSITIVE</v>
      </c>
      <c r="G33" s="13" t="str">
        <f t="shared" si="4"/>
        <v>positive</v>
      </c>
      <c r="H33" s="13" t="str">
        <f t="shared" si="5"/>
        <v>Positive</v>
      </c>
      <c r="I33" s="13">
        <f t="shared" si="6"/>
        <v>11</v>
      </c>
      <c r="J33" s="13">
        <f t="shared" si="7"/>
        <v>8</v>
      </c>
      <c r="K33" s="13">
        <f t="shared" si="8"/>
        <v>3</v>
      </c>
    </row>
    <row r="34" spans="1:11" x14ac:dyDescent="0.25">
      <c r="A34" s="13">
        <f>'Raw Data'!A34</f>
        <v>32</v>
      </c>
      <c r="B34" s="13" t="str">
        <f>'Raw Data'!C34</f>
        <v xml:space="preserve"> Positive  </v>
      </c>
      <c r="C34" s="13" t="str">
        <f t="shared" si="0"/>
        <v>Positive</v>
      </c>
      <c r="D34" s="13" t="str">
        <f t="shared" si="1"/>
        <v xml:space="preserve"> Positive  </v>
      </c>
      <c r="E34" s="13" t="str">
        <f t="shared" si="2"/>
        <v>Pos</v>
      </c>
      <c r="F34" s="13" t="str">
        <f t="shared" si="3"/>
        <v>POSITIVE</v>
      </c>
      <c r="G34" s="13" t="str">
        <f t="shared" si="4"/>
        <v>positive</v>
      </c>
      <c r="H34" s="13" t="str">
        <f t="shared" si="5"/>
        <v>Positive</v>
      </c>
      <c r="I34" s="13">
        <f t="shared" si="6"/>
        <v>11</v>
      </c>
      <c r="J34" s="13">
        <f t="shared" si="7"/>
        <v>8</v>
      </c>
      <c r="K34" s="13">
        <f t="shared" si="8"/>
        <v>3</v>
      </c>
    </row>
    <row r="35" spans="1:11" x14ac:dyDescent="0.25">
      <c r="A35" s="13">
        <f>'Raw Data'!A35</f>
        <v>33</v>
      </c>
      <c r="B35" s="13" t="str">
        <f>'Raw Data'!C35</f>
        <v xml:space="preserve"> Positive  </v>
      </c>
      <c r="C35" s="13" t="str">
        <f t="shared" si="0"/>
        <v>Positive</v>
      </c>
      <c r="D35" s="13" t="str">
        <f t="shared" si="1"/>
        <v xml:space="preserve"> Positive  </v>
      </c>
      <c r="E35" s="13" t="str">
        <f t="shared" si="2"/>
        <v>Pos</v>
      </c>
      <c r="F35" s="13" t="str">
        <f t="shared" si="3"/>
        <v>POSITIVE</v>
      </c>
      <c r="G35" s="13" t="str">
        <f t="shared" si="4"/>
        <v>positive</v>
      </c>
      <c r="H35" s="13" t="str">
        <f t="shared" si="5"/>
        <v>Positive</v>
      </c>
      <c r="I35" s="13">
        <f t="shared" si="6"/>
        <v>11</v>
      </c>
      <c r="J35" s="13">
        <f t="shared" si="7"/>
        <v>8</v>
      </c>
      <c r="K35" s="13">
        <f t="shared" si="8"/>
        <v>3</v>
      </c>
    </row>
    <row r="36" spans="1:11" x14ac:dyDescent="0.25">
      <c r="A36" s="13">
        <f>'Raw Data'!A36</f>
        <v>34</v>
      </c>
      <c r="B36" s="13" t="str">
        <f>'Raw Data'!C36</f>
        <v xml:space="preserve"> Positive  </v>
      </c>
      <c r="C36" s="13" t="str">
        <f t="shared" si="0"/>
        <v>Positive</v>
      </c>
      <c r="D36" s="13" t="str">
        <f t="shared" si="1"/>
        <v xml:space="preserve"> Positive  </v>
      </c>
      <c r="E36" s="13" t="str">
        <f t="shared" si="2"/>
        <v>Pos</v>
      </c>
      <c r="F36" s="13" t="str">
        <f t="shared" si="3"/>
        <v>POSITIVE</v>
      </c>
      <c r="G36" s="13" t="str">
        <f t="shared" si="4"/>
        <v>positive</v>
      </c>
      <c r="H36" s="13" t="str">
        <f t="shared" si="5"/>
        <v>Positive</v>
      </c>
      <c r="I36" s="13">
        <f t="shared" si="6"/>
        <v>11</v>
      </c>
      <c r="J36" s="13">
        <f t="shared" si="7"/>
        <v>8</v>
      </c>
      <c r="K36" s="13">
        <f t="shared" si="8"/>
        <v>3</v>
      </c>
    </row>
    <row r="37" spans="1:11" x14ac:dyDescent="0.25">
      <c r="A37" s="13">
        <f>'Raw Data'!A37</f>
        <v>35</v>
      </c>
      <c r="B37" s="13" t="str">
        <f>'Raw Data'!C37</f>
        <v xml:space="preserve"> Positive  </v>
      </c>
      <c r="C37" s="13" t="str">
        <f t="shared" si="0"/>
        <v>Positive</v>
      </c>
      <c r="D37" s="13" t="str">
        <f t="shared" si="1"/>
        <v xml:space="preserve"> Positive  </v>
      </c>
      <c r="E37" s="13" t="str">
        <f t="shared" si="2"/>
        <v>Pos</v>
      </c>
      <c r="F37" s="13" t="str">
        <f t="shared" si="3"/>
        <v>POSITIVE</v>
      </c>
      <c r="G37" s="13" t="str">
        <f t="shared" si="4"/>
        <v>positive</v>
      </c>
      <c r="H37" s="13" t="str">
        <f t="shared" si="5"/>
        <v>Positive</v>
      </c>
      <c r="I37" s="13">
        <f t="shared" si="6"/>
        <v>11</v>
      </c>
      <c r="J37" s="13">
        <f t="shared" si="7"/>
        <v>8</v>
      </c>
      <c r="K37" s="13">
        <f t="shared" si="8"/>
        <v>3</v>
      </c>
    </row>
    <row r="38" spans="1:11" x14ac:dyDescent="0.25">
      <c r="A38" s="13">
        <f>'Raw Data'!A38</f>
        <v>36</v>
      </c>
      <c r="B38" s="13" t="str">
        <f>'Raw Data'!C38</f>
        <v xml:space="preserve"> Positive  </v>
      </c>
      <c r="C38" s="13" t="str">
        <f t="shared" si="0"/>
        <v>Positive</v>
      </c>
      <c r="D38" s="13" t="str">
        <f t="shared" si="1"/>
        <v xml:space="preserve"> Positive  </v>
      </c>
      <c r="E38" s="13" t="str">
        <f t="shared" si="2"/>
        <v>Pos</v>
      </c>
      <c r="F38" s="13" t="str">
        <f t="shared" si="3"/>
        <v>POSITIVE</v>
      </c>
      <c r="G38" s="13" t="str">
        <f t="shared" si="4"/>
        <v>positive</v>
      </c>
      <c r="H38" s="13" t="str">
        <f t="shared" si="5"/>
        <v>Positive</v>
      </c>
      <c r="I38" s="13">
        <f t="shared" si="6"/>
        <v>11</v>
      </c>
      <c r="J38" s="13">
        <f t="shared" si="7"/>
        <v>8</v>
      </c>
      <c r="K38" s="13">
        <f t="shared" si="8"/>
        <v>3</v>
      </c>
    </row>
    <row r="39" spans="1:11" x14ac:dyDescent="0.25">
      <c r="A39" s="13">
        <f>'Raw Data'!A39</f>
        <v>37</v>
      </c>
      <c r="B39" s="13" t="str">
        <f>'Raw Data'!C39</f>
        <v xml:space="preserve"> Positive  </v>
      </c>
      <c r="C39" s="13" t="str">
        <f t="shared" si="0"/>
        <v>Positive</v>
      </c>
      <c r="D39" s="13" t="str">
        <f t="shared" si="1"/>
        <v xml:space="preserve"> Positive  </v>
      </c>
      <c r="E39" s="13" t="str">
        <f t="shared" si="2"/>
        <v>Pos</v>
      </c>
      <c r="F39" s="13" t="str">
        <f t="shared" si="3"/>
        <v>POSITIVE</v>
      </c>
      <c r="G39" s="13" t="str">
        <f t="shared" si="4"/>
        <v>positive</v>
      </c>
      <c r="H39" s="13" t="str">
        <f t="shared" si="5"/>
        <v>Positive</v>
      </c>
      <c r="I39" s="13">
        <f t="shared" si="6"/>
        <v>11</v>
      </c>
      <c r="J39" s="13">
        <f t="shared" si="7"/>
        <v>8</v>
      </c>
      <c r="K39" s="13">
        <f t="shared" si="8"/>
        <v>3</v>
      </c>
    </row>
    <row r="40" spans="1:11" x14ac:dyDescent="0.25">
      <c r="A40" s="13">
        <f>'Raw Data'!A40</f>
        <v>38</v>
      </c>
      <c r="B40" s="13" t="str">
        <f>'Raw Data'!C40</f>
        <v xml:space="preserve"> Positive  </v>
      </c>
      <c r="C40" s="13" t="str">
        <f t="shared" si="0"/>
        <v>Positive</v>
      </c>
      <c r="D40" s="13" t="str">
        <f t="shared" si="1"/>
        <v xml:space="preserve"> Positive  </v>
      </c>
      <c r="E40" s="13" t="str">
        <f t="shared" si="2"/>
        <v>Pos</v>
      </c>
      <c r="F40" s="13" t="str">
        <f t="shared" si="3"/>
        <v>POSITIVE</v>
      </c>
      <c r="G40" s="13" t="str">
        <f t="shared" si="4"/>
        <v>positive</v>
      </c>
      <c r="H40" s="13" t="str">
        <f t="shared" si="5"/>
        <v>Positive</v>
      </c>
      <c r="I40" s="13">
        <f t="shared" si="6"/>
        <v>11</v>
      </c>
      <c r="J40" s="13">
        <f t="shared" si="7"/>
        <v>8</v>
      </c>
      <c r="K40" s="13">
        <f t="shared" si="8"/>
        <v>3</v>
      </c>
    </row>
    <row r="41" spans="1:11" x14ac:dyDescent="0.25">
      <c r="A41" s="13">
        <f>'Raw Data'!A41</f>
        <v>39</v>
      </c>
      <c r="B41" s="13" t="str">
        <f>'Raw Data'!C41</f>
        <v xml:space="preserve"> Positive  </v>
      </c>
      <c r="C41" s="13" t="str">
        <f t="shared" si="0"/>
        <v>Positive</v>
      </c>
      <c r="D41" s="13" t="str">
        <f t="shared" si="1"/>
        <v xml:space="preserve"> Positive  </v>
      </c>
      <c r="E41" s="13" t="str">
        <f t="shared" si="2"/>
        <v>Pos</v>
      </c>
      <c r="F41" s="13" t="str">
        <f t="shared" si="3"/>
        <v>POSITIVE</v>
      </c>
      <c r="G41" s="13" t="str">
        <f t="shared" si="4"/>
        <v>positive</v>
      </c>
      <c r="H41" s="13" t="str">
        <f t="shared" si="5"/>
        <v>Positive</v>
      </c>
      <c r="I41" s="13">
        <f t="shared" si="6"/>
        <v>11</v>
      </c>
      <c r="J41" s="13">
        <f t="shared" si="7"/>
        <v>8</v>
      </c>
      <c r="K41" s="13">
        <f t="shared" si="8"/>
        <v>3</v>
      </c>
    </row>
    <row r="42" spans="1:11" x14ac:dyDescent="0.25">
      <c r="A42" s="13">
        <f>'Raw Data'!A42</f>
        <v>40</v>
      </c>
      <c r="B42" s="13" t="str">
        <f>'Raw Data'!C42</f>
        <v xml:space="preserve"> Positive  </v>
      </c>
      <c r="C42" s="13" t="str">
        <f t="shared" si="0"/>
        <v>Positive</v>
      </c>
      <c r="D42" s="13" t="str">
        <f t="shared" si="1"/>
        <v xml:space="preserve"> Positive  </v>
      </c>
      <c r="E42" s="13" t="str">
        <f t="shared" si="2"/>
        <v>Pos</v>
      </c>
      <c r="F42" s="13" t="str">
        <f t="shared" si="3"/>
        <v>POSITIVE</v>
      </c>
      <c r="G42" s="13" t="str">
        <f t="shared" si="4"/>
        <v>positive</v>
      </c>
      <c r="H42" s="13" t="str">
        <f t="shared" si="5"/>
        <v>Positive</v>
      </c>
      <c r="I42" s="13">
        <f t="shared" si="6"/>
        <v>11</v>
      </c>
      <c r="J42" s="13">
        <f t="shared" si="7"/>
        <v>8</v>
      </c>
      <c r="K42" s="13">
        <f t="shared" si="8"/>
        <v>3</v>
      </c>
    </row>
    <row r="43" spans="1:11" x14ac:dyDescent="0.25">
      <c r="A43" s="13">
        <f>'Raw Data'!A43</f>
        <v>41</v>
      </c>
      <c r="B43" s="13" t="str">
        <f>'Raw Data'!C43</f>
        <v xml:space="preserve"> Positive  </v>
      </c>
      <c r="C43" s="13" t="str">
        <f t="shared" si="0"/>
        <v>Positive</v>
      </c>
      <c r="D43" s="13" t="str">
        <f t="shared" si="1"/>
        <v xml:space="preserve"> Positive  </v>
      </c>
      <c r="E43" s="13" t="str">
        <f t="shared" si="2"/>
        <v>Pos</v>
      </c>
      <c r="F43" s="13" t="str">
        <f t="shared" si="3"/>
        <v>POSITIVE</v>
      </c>
      <c r="G43" s="13" t="str">
        <f t="shared" si="4"/>
        <v>positive</v>
      </c>
      <c r="H43" s="13" t="str">
        <f t="shared" si="5"/>
        <v>Positive</v>
      </c>
      <c r="I43" s="13">
        <f t="shared" si="6"/>
        <v>11</v>
      </c>
      <c r="J43" s="13">
        <f t="shared" si="7"/>
        <v>8</v>
      </c>
      <c r="K43" s="13">
        <f t="shared" si="8"/>
        <v>3</v>
      </c>
    </row>
    <row r="44" spans="1:11" x14ac:dyDescent="0.25">
      <c r="A44" s="13">
        <f>'Raw Data'!A44</f>
        <v>42</v>
      </c>
      <c r="B44" s="13" t="str">
        <f>'Raw Data'!C44</f>
        <v xml:space="preserve"> Positive  </v>
      </c>
      <c r="C44" s="13" t="str">
        <f t="shared" si="0"/>
        <v>Positive</v>
      </c>
      <c r="D44" s="13" t="str">
        <f t="shared" si="1"/>
        <v xml:space="preserve"> Positive  </v>
      </c>
      <c r="E44" s="13" t="str">
        <f t="shared" si="2"/>
        <v>Pos</v>
      </c>
      <c r="F44" s="13" t="str">
        <f t="shared" si="3"/>
        <v>POSITIVE</v>
      </c>
      <c r="G44" s="13" t="str">
        <f t="shared" si="4"/>
        <v>positive</v>
      </c>
      <c r="H44" s="13" t="str">
        <f t="shared" si="5"/>
        <v>Positive</v>
      </c>
      <c r="I44" s="13">
        <f t="shared" si="6"/>
        <v>11</v>
      </c>
      <c r="J44" s="13">
        <f t="shared" si="7"/>
        <v>8</v>
      </c>
      <c r="K44" s="13">
        <f t="shared" si="8"/>
        <v>3</v>
      </c>
    </row>
    <row r="45" spans="1:11" x14ac:dyDescent="0.25">
      <c r="A45" s="13">
        <f>'Raw Data'!A45</f>
        <v>43</v>
      </c>
      <c r="B45" s="13" t="str">
        <f>'Raw Data'!C45</f>
        <v xml:space="preserve"> Positive  </v>
      </c>
      <c r="C45" s="13" t="str">
        <f t="shared" si="0"/>
        <v>Positive</v>
      </c>
      <c r="D45" s="13" t="str">
        <f t="shared" si="1"/>
        <v xml:space="preserve"> Positive  </v>
      </c>
      <c r="E45" s="13" t="str">
        <f t="shared" si="2"/>
        <v>Pos</v>
      </c>
      <c r="F45" s="13" t="str">
        <f t="shared" si="3"/>
        <v>POSITIVE</v>
      </c>
      <c r="G45" s="13" t="str">
        <f t="shared" si="4"/>
        <v>positive</v>
      </c>
      <c r="H45" s="13" t="str">
        <f t="shared" si="5"/>
        <v>Positive</v>
      </c>
      <c r="I45" s="13">
        <f t="shared" si="6"/>
        <v>11</v>
      </c>
      <c r="J45" s="13">
        <f t="shared" si="7"/>
        <v>8</v>
      </c>
      <c r="K45" s="13">
        <f t="shared" si="8"/>
        <v>3</v>
      </c>
    </row>
    <row r="46" spans="1:11" x14ac:dyDescent="0.25">
      <c r="A46" s="13">
        <f>'Raw Data'!A46</f>
        <v>44</v>
      </c>
      <c r="B46" s="13" t="str">
        <f>'Raw Data'!C46</f>
        <v xml:space="preserve"> Positive  </v>
      </c>
      <c r="C46" s="13" t="str">
        <f t="shared" si="0"/>
        <v>Positive</v>
      </c>
      <c r="D46" s="13" t="str">
        <f t="shared" si="1"/>
        <v xml:space="preserve"> Positive  </v>
      </c>
      <c r="E46" s="13" t="str">
        <f t="shared" si="2"/>
        <v>Pos</v>
      </c>
      <c r="F46" s="13" t="str">
        <f t="shared" si="3"/>
        <v>POSITIVE</v>
      </c>
      <c r="G46" s="13" t="str">
        <f t="shared" si="4"/>
        <v>positive</v>
      </c>
      <c r="H46" s="13" t="str">
        <f t="shared" si="5"/>
        <v>Positive</v>
      </c>
      <c r="I46" s="13">
        <f t="shared" si="6"/>
        <v>11</v>
      </c>
      <c r="J46" s="13">
        <f t="shared" si="7"/>
        <v>8</v>
      </c>
      <c r="K46" s="13">
        <f t="shared" si="8"/>
        <v>3</v>
      </c>
    </row>
    <row r="47" spans="1:11" x14ac:dyDescent="0.25">
      <c r="A47" s="13">
        <f>'Raw Data'!A47</f>
        <v>45</v>
      </c>
      <c r="B47" s="13" t="str">
        <f>'Raw Data'!C47</f>
        <v xml:space="preserve"> Positive  </v>
      </c>
      <c r="C47" s="13" t="str">
        <f t="shared" si="0"/>
        <v>Positive</v>
      </c>
      <c r="D47" s="13" t="str">
        <f t="shared" si="1"/>
        <v xml:space="preserve"> Positive  </v>
      </c>
      <c r="E47" s="13" t="str">
        <f t="shared" si="2"/>
        <v>Pos</v>
      </c>
      <c r="F47" s="13" t="str">
        <f t="shared" si="3"/>
        <v>POSITIVE</v>
      </c>
      <c r="G47" s="13" t="str">
        <f t="shared" si="4"/>
        <v>positive</v>
      </c>
      <c r="H47" s="13" t="str">
        <f t="shared" si="5"/>
        <v>Positive</v>
      </c>
      <c r="I47" s="13">
        <f t="shared" si="6"/>
        <v>11</v>
      </c>
      <c r="J47" s="13">
        <f t="shared" si="7"/>
        <v>8</v>
      </c>
      <c r="K47" s="13">
        <f t="shared" si="8"/>
        <v>3</v>
      </c>
    </row>
    <row r="48" spans="1:11" x14ac:dyDescent="0.25">
      <c r="A48" s="13">
        <f>'Raw Data'!A48</f>
        <v>46</v>
      </c>
      <c r="B48" s="13" t="str">
        <f>'Raw Data'!C48</f>
        <v xml:space="preserve"> Positive  </v>
      </c>
      <c r="C48" s="13" t="str">
        <f t="shared" si="0"/>
        <v>Positive</v>
      </c>
      <c r="D48" s="13" t="str">
        <f t="shared" si="1"/>
        <v xml:space="preserve"> Positive  </v>
      </c>
      <c r="E48" s="13" t="str">
        <f t="shared" si="2"/>
        <v>Pos</v>
      </c>
      <c r="F48" s="13" t="str">
        <f t="shared" si="3"/>
        <v>POSITIVE</v>
      </c>
      <c r="G48" s="13" t="str">
        <f t="shared" si="4"/>
        <v>positive</v>
      </c>
      <c r="H48" s="13" t="str">
        <f t="shared" si="5"/>
        <v>Positive</v>
      </c>
      <c r="I48" s="13">
        <f t="shared" si="6"/>
        <v>11</v>
      </c>
      <c r="J48" s="13">
        <f t="shared" si="7"/>
        <v>8</v>
      </c>
      <c r="K48" s="13">
        <f t="shared" si="8"/>
        <v>3</v>
      </c>
    </row>
    <row r="49" spans="1:11" x14ac:dyDescent="0.25">
      <c r="A49" s="13">
        <f>'Raw Data'!A49</f>
        <v>47</v>
      </c>
      <c r="B49" s="13" t="str">
        <f>'Raw Data'!C49</f>
        <v xml:space="preserve"> Positive  </v>
      </c>
      <c r="C49" s="13" t="str">
        <f t="shared" si="0"/>
        <v>Positive</v>
      </c>
      <c r="D49" s="13" t="str">
        <f t="shared" si="1"/>
        <v xml:space="preserve"> Positive  </v>
      </c>
      <c r="E49" s="13" t="str">
        <f t="shared" si="2"/>
        <v>Pos</v>
      </c>
      <c r="F49" s="13" t="str">
        <f t="shared" si="3"/>
        <v>POSITIVE</v>
      </c>
      <c r="G49" s="13" t="str">
        <f t="shared" si="4"/>
        <v>positive</v>
      </c>
      <c r="H49" s="13" t="str">
        <f t="shared" si="5"/>
        <v>Positive</v>
      </c>
      <c r="I49" s="13">
        <f t="shared" si="6"/>
        <v>11</v>
      </c>
      <c r="J49" s="13">
        <f t="shared" si="7"/>
        <v>8</v>
      </c>
      <c r="K49" s="13">
        <f t="shared" si="8"/>
        <v>3</v>
      </c>
    </row>
    <row r="50" spans="1:11" x14ac:dyDescent="0.25">
      <c r="A50" s="13">
        <f>'Raw Data'!A50</f>
        <v>48</v>
      </c>
      <c r="B50" s="13" t="str">
        <f>'Raw Data'!C50</f>
        <v xml:space="preserve"> Positive  </v>
      </c>
      <c r="C50" s="13" t="str">
        <f t="shared" si="0"/>
        <v>Positive</v>
      </c>
      <c r="D50" s="13" t="str">
        <f t="shared" si="1"/>
        <v xml:space="preserve"> Positive  </v>
      </c>
      <c r="E50" s="13" t="str">
        <f t="shared" si="2"/>
        <v>Pos</v>
      </c>
      <c r="F50" s="13" t="str">
        <f t="shared" si="3"/>
        <v>POSITIVE</v>
      </c>
      <c r="G50" s="13" t="str">
        <f t="shared" si="4"/>
        <v>positive</v>
      </c>
      <c r="H50" s="13" t="str">
        <f t="shared" si="5"/>
        <v>Positive</v>
      </c>
      <c r="I50" s="13">
        <f t="shared" si="6"/>
        <v>11</v>
      </c>
      <c r="J50" s="13">
        <f t="shared" si="7"/>
        <v>8</v>
      </c>
      <c r="K50" s="13">
        <f t="shared" si="8"/>
        <v>3</v>
      </c>
    </row>
    <row r="51" spans="1:11" x14ac:dyDescent="0.25">
      <c r="A51" s="13">
        <f>'Raw Data'!A51</f>
        <v>49</v>
      </c>
      <c r="B51" s="13" t="str">
        <f>'Raw Data'!C51</f>
        <v xml:space="preserve"> Positive  </v>
      </c>
      <c r="C51" s="13" t="str">
        <f t="shared" si="0"/>
        <v>Positive</v>
      </c>
      <c r="D51" s="13" t="str">
        <f t="shared" si="1"/>
        <v xml:space="preserve"> Positive  </v>
      </c>
      <c r="E51" s="13" t="str">
        <f t="shared" si="2"/>
        <v>Pos</v>
      </c>
      <c r="F51" s="13" t="str">
        <f t="shared" si="3"/>
        <v>POSITIVE</v>
      </c>
      <c r="G51" s="13" t="str">
        <f t="shared" si="4"/>
        <v>positive</v>
      </c>
      <c r="H51" s="13" t="str">
        <f t="shared" si="5"/>
        <v>Positive</v>
      </c>
      <c r="I51" s="13">
        <f t="shared" si="6"/>
        <v>11</v>
      </c>
      <c r="J51" s="13">
        <f t="shared" si="7"/>
        <v>8</v>
      </c>
      <c r="K51" s="13">
        <f t="shared" si="8"/>
        <v>3</v>
      </c>
    </row>
    <row r="52" spans="1:11" x14ac:dyDescent="0.25">
      <c r="A52" s="13">
        <f>'Raw Data'!A52</f>
        <v>50</v>
      </c>
      <c r="B52" s="13" t="str">
        <f>'Raw Data'!C52</f>
        <v xml:space="preserve"> Positive  </v>
      </c>
      <c r="C52" s="13" t="str">
        <f t="shared" si="0"/>
        <v>Positive</v>
      </c>
      <c r="D52" s="13" t="str">
        <f t="shared" si="1"/>
        <v xml:space="preserve"> Positive  </v>
      </c>
      <c r="E52" s="13" t="str">
        <f t="shared" si="2"/>
        <v>Pos</v>
      </c>
      <c r="F52" s="13" t="str">
        <f t="shared" si="3"/>
        <v>POSITIVE</v>
      </c>
      <c r="G52" s="13" t="str">
        <f t="shared" si="4"/>
        <v>positive</v>
      </c>
      <c r="H52" s="13" t="str">
        <f t="shared" si="5"/>
        <v>Positive</v>
      </c>
      <c r="I52" s="13">
        <f t="shared" si="6"/>
        <v>11</v>
      </c>
      <c r="J52" s="13">
        <f t="shared" si="7"/>
        <v>8</v>
      </c>
      <c r="K52" s="13">
        <f t="shared" si="8"/>
        <v>3</v>
      </c>
    </row>
    <row r="53" spans="1:11" x14ac:dyDescent="0.25">
      <c r="A53" s="13">
        <f>'Raw Data'!A53</f>
        <v>51</v>
      </c>
      <c r="B53" s="13" t="str">
        <f>'Raw Data'!C53</f>
        <v xml:space="preserve"> Positive  </v>
      </c>
      <c r="C53" s="13" t="str">
        <f t="shared" si="0"/>
        <v>Positive</v>
      </c>
      <c r="D53" s="13" t="str">
        <f t="shared" si="1"/>
        <v xml:space="preserve"> Positive  </v>
      </c>
      <c r="E53" s="13" t="str">
        <f t="shared" si="2"/>
        <v>Pos</v>
      </c>
      <c r="F53" s="13" t="str">
        <f t="shared" si="3"/>
        <v>POSITIVE</v>
      </c>
      <c r="G53" s="13" t="str">
        <f t="shared" si="4"/>
        <v>positive</v>
      </c>
      <c r="H53" s="13" t="str">
        <f t="shared" si="5"/>
        <v>Positive</v>
      </c>
      <c r="I53" s="13">
        <f t="shared" si="6"/>
        <v>11</v>
      </c>
      <c r="J53" s="13">
        <f t="shared" si="7"/>
        <v>8</v>
      </c>
      <c r="K53" s="13">
        <f t="shared" si="8"/>
        <v>3</v>
      </c>
    </row>
    <row r="54" spans="1:11" x14ac:dyDescent="0.25">
      <c r="A54" s="13">
        <f>'Raw Data'!A54</f>
        <v>52</v>
      </c>
      <c r="B54" s="13" t="str">
        <f>'Raw Data'!C54</f>
        <v xml:space="preserve"> Positive  </v>
      </c>
      <c r="C54" s="13" t="str">
        <f t="shared" si="0"/>
        <v>Positive</v>
      </c>
      <c r="D54" s="13" t="str">
        <f t="shared" si="1"/>
        <v xml:space="preserve"> Positive  </v>
      </c>
      <c r="E54" s="13" t="str">
        <f t="shared" si="2"/>
        <v>Pos</v>
      </c>
      <c r="F54" s="13" t="str">
        <f t="shared" si="3"/>
        <v>POSITIVE</v>
      </c>
      <c r="G54" s="13" t="str">
        <f t="shared" si="4"/>
        <v>positive</v>
      </c>
      <c r="H54" s="13" t="str">
        <f t="shared" si="5"/>
        <v>Positive</v>
      </c>
      <c r="I54" s="13">
        <f t="shared" si="6"/>
        <v>11</v>
      </c>
      <c r="J54" s="13">
        <f t="shared" si="7"/>
        <v>8</v>
      </c>
      <c r="K54" s="13">
        <f t="shared" si="8"/>
        <v>3</v>
      </c>
    </row>
    <row r="55" spans="1:11" x14ac:dyDescent="0.25">
      <c r="A55" s="13">
        <f>'Raw Data'!A55</f>
        <v>53</v>
      </c>
      <c r="B55" s="13" t="str">
        <f>'Raw Data'!C55</f>
        <v xml:space="preserve"> Anger        </v>
      </c>
      <c r="C55" s="13" t="str">
        <f t="shared" si="0"/>
        <v>Anger</v>
      </c>
      <c r="D55" s="13" t="str">
        <f t="shared" si="1"/>
        <v xml:space="preserve"> Anger        </v>
      </c>
      <c r="E55" s="13" t="str">
        <f t="shared" si="2"/>
        <v>Anger</v>
      </c>
      <c r="F55" s="13" t="str">
        <f t="shared" si="3"/>
        <v>ANGER</v>
      </c>
      <c r="G55" s="13" t="str">
        <f t="shared" si="4"/>
        <v>anger</v>
      </c>
      <c r="H55" s="13" t="str">
        <f t="shared" si="5"/>
        <v>Anger</v>
      </c>
      <c r="I55" s="13">
        <f t="shared" si="6"/>
        <v>14</v>
      </c>
      <c r="J55" s="13">
        <f t="shared" si="7"/>
        <v>5</v>
      </c>
      <c r="K55" s="13">
        <f t="shared" si="8"/>
        <v>9</v>
      </c>
    </row>
    <row r="56" spans="1:11" x14ac:dyDescent="0.25">
      <c r="A56" s="13">
        <f>'Raw Data'!A56</f>
        <v>54</v>
      </c>
      <c r="B56" s="13" t="str">
        <f>'Raw Data'!C56</f>
        <v xml:space="preserve"> Fear         </v>
      </c>
      <c r="C56" s="13" t="str">
        <f t="shared" si="0"/>
        <v>Fear</v>
      </c>
      <c r="D56" s="13" t="str">
        <f t="shared" si="1"/>
        <v xml:space="preserve"> Fear         </v>
      </c>
      <c r="E56" s="13" t="str">
        <f t="shared" si="2"/>
        <v>Fear</v>
      </c>
      <c r="F56" s="13" t="str">
        <f t="shared" si="3"/>
        <v>FEAR</v>
      </c>
      <c r="G56" s="13" t="str">
        <f t="shared" si="4"/>
        <v>fear</v>
      </c>
      <c r="H56" s="13" t="str">
        <f t="shared" si="5"/>
        <v>Fear</v>
      </c>
      <c r="I56" s="13">
        <f t="shared" si="6"/>
        <v>14</v>
      </c>
      <c r="J56" s="13">
        <f t="shared" si="7"/>
        <v>4</v>
      </c>
      <c r="K56" s="13">
        <f t="shared" si="8"/>
        <v>10</v>
      </c>
    </row>
    <row r="57" spans="1:11" x14ac:dyDescent="0.25">
      <c r="A57" s="13">
        <f>'Raw Data'!A57</f>
        <v>55</v>
      </c>
      <c r="B57" s="13" t="str">
        <f>'Raw Data'!C57</f>
        <v xml:space="preserve"> Sadness      </v>
      </c>
      <c r="C57" s="13" t="str">
        <f t="shared" si="0"/>
        <v>Sadness</v>
      </c>
      <c r="D57" s="13" t="str">
        <f t="shared" si="1"/>
        <v xml:space="preserve"> Sadness      </v>
      </c>
      <c r="E57" s="13" t="str">
        <f t="shared" si="2"/>
        <v>Sadness</v>
      </c>
      <c r="F57" s="13" t="str">
        <f t="shared" si="3"/>
        <v>SADNESS</v>
      </c>
      <c r="G57" s="13" t="str">
        <f t="shared" si="4"/>
        <v>sadness</v>
      </c>
      <c r="H57" s="13" t="str">
        <f t="shared" si="5"/>
        <v>Sadness</v>
      </c>
      <c r="I57" s="13">
        <f t="shared" si="6"/>
        <v>14</v>
      </c>
      <c r="J57" s="13">
        <f t="shared" si="7"/>
        <v>7</v>
      </c>
      <c r="K57" s="13">
        <f t="shared" si="8"/>
        <v>7</v>
      </c>
    </row>
    <row r="58" spans="1:11" x14ac:dyDescent="0.25">
      <c r="A58" s="13">
        <f>'Raw Data'!A58</f>
        <v>56</v>
      </c>
      <c r="B58" s="13" t="str">
        <f>'Raw Data'!C58</f>
        <v xml:space="preserve"> Disgust      </v>
      </c>
      <c r="C58" s="13" t="str">
        <f t="shared" si="0"/>
        <v>Disgust</v>
      </c>
      <c r="D58" s="13" t="str">
        <f t="shared" si="1"/>
        <v xml:space="preserve"> Disgust      </v>
      </c>
      <c r="E58" s="13" t="str">
        <f t="shared" si="2"/>
        <v>Disgust</v>
      </c>
      <c r="F58" s="13" t="str">
        <f t="shared" si="3"/>
        <v>DISGUST</v>
      </c>
      <c r="G58" s="13" t="str">
        <f t="shared" si="4"/>
        <v>disgust</v>
      </c>
      <c r="H58" s="13" t="str">
        <f t="shared" si="5"/>
        <v>Disgust</v>
      </c>
      <c r="I58" s="13">
        <f t="shared" si="6"/>
        <v>14</v>
      </c>
      <c r="J58" s="13">
        <f t="shared" si="7"/>
        <v>7</v>
      </c>
      <c r="K58" s="13">
        <f t="shared" si="8"/>
        <v>7</v>
      </c>
    </row>
    <row r="59" spans="1:11" x14ac:dyDescent="0.25">
      <c r="A59" s="13">
        <f>'Raw Data'!A59</f>
        <v>57</v>
      </c>
      <c r="B59" s="13" t="str">
        <f>'Raw Data'!C59</f>
        <v xml:space="preserve"> Happiness    </v>
      </c>
      <c r="C59" s="13" t="str">
        <f t="shared" si="0"/>
        <v>Happiness</v>
      </c>
      <c r="D59" s="13" t="str">
        <f t="shared" si="1"/>
        <v xml:space="preserve"> Happiness    </v>
      </c>
      <c r="E59" s="13" t="str">
        <f t="shared" si="2"/>
        <v>Happiness</v>
      </c>
      <c r="F59" s="13" t="str">
        <f t="shared" si="3"/>
        <v>HAPPINESS</v>
      </c>
      <c r="G59" s="13" t="str">
        <f t="shared" si="4"/>
        <v>happiness</v>
      </c>
      <c r="H59" s="13" t="str">
        <f t="shared" si="5"/>
        <v>Happiness</v>
      </c>
      <c r="I59" s="13">
        <f t="shared" si="6"/>
        <v>14</v>
      </c>
      <c r="J59" s="13">
        <f t="shared" si="7"/>
        <v>9</v>
      </c>
      <c r="K59" s="13">
        <f t="shared" si="8"/>
        <v>5</v>
      </c>
    </row>
    <row r="60" spans="1:11" x14ac:dyDescent="0.25">
      <c r="A60" s="13">
        <f>'Raw Data'!A60</f>
        <v>58</v>
      </c>
      <c r="B60" s="13" t="str">
        <f>'Raw Data'!C60</f>
        <v xml:space="preserve"> Joy          </v>
      </c>
      <c r="C60" s="13" t="str">
        <f t="shared" si="0"/>
        <v>Joy</v>
      </c>
      <c r="D60" s="13" t="str">
        <f t="shared" si="1"/>
        <v xml:space="preserve"> Joy          </v>
      </c>
      <c r="E60" s="13" t="str">
        <f t="shared" si="2"/>
        <v>Joy</v>
      </c>
      <c r="F60" s="13" t="str">
        <f t="shared" si="3"/>
        <v>JOY</v>
      </c>
      <c r="G60" s="13" t="str">
        <f t="shared" si="4"/>
        <v>joy</v>
      </c>
      <c r="H60" s="13" t="str">
        <f t="shared" si="5"/>
        <v>Joy</v>
      </c>
      <c r="I60" s="13">
        <f t="shared" si="6"/>
        <v>14</v>
      </c>
      <c r="J60" s="13">
        <f t="shared" si="7"/>
        <v>3</v>
      </c>
      <c r="K60" s="13">
        <f t="shared" si="8"/>
        <v>11</v>
      </c>
    </row>
    <row r="61" spans="1:11" x14ac:dyDescent="0.25">
      <c r="A61" s="13">
        <f>'Raw Data'!A61</f>
        <v>59</v>
      </c>
      <c r="B61" s="13" t="str">
        <f>'Raw Data'!C61</f>
        <v xml:space="preserve"> Love         </v>
      </c>
      <c r="C61" s="13" t="str">
        <f t="shared" si="0"/>
        <v>Love</v>
      </c>
      <c r="D61" s="13" t="str">
        <f t="shared" si="1"/>
        <v xml:space="preserve"> Love         </v>
      </c>
      <c r="E61" s="13" t="str">
        <f t="shared" si="2"/>
        <v>Love</v>
      </c>
      <c r="F61" s="13" t="str">
        <f t="shared" si="3"/>
        <v>LOVE</v>
      </c>
      <c r="G61" s="13" t="str">
        <f t="shared" si="4"/>
        <v>love</v>
      </c>
      <c r="H61" s="13" t="str">
        <f t="shared" si="5"/>
        <v>Love</v>
      </c>
      <c r="I61" s="13">
        <f t="shared" si="6"/>
        <v>14</v>
      </c>
      <c r="J61" s="13">
        <f t="shared" si="7"/>
        <v>4</v>
      </c>
      <c r="K61" s="13">
        <f t="shared" si="8"/>
        <v>10</v>
      </c>
    </row>
    <row r="62" spans="1:11" x14ac:dyDescent="0.25">
      <c r="A62" s="13">
        <f>'Raw Data'!A62</f>
        <v>60</v>
      </c>
      <c r="B62" s="13" t="str">
        <f>'Raw Data'!C62</f>
        <v xml:space="preserve"> Amusement    </v>
      </c>
      <c r="C62" s="13" t="str">
        <f t="shared" si="0"/>
        <v>Amusement</v>
      </c>
      <c r="D62" s="13" t="str">
        <f t="shared" si="1"/>
        <v xml:space="preserve"> Amusement    </v>
      </c>
      <c r="E62" s="13" t="str">
        <f t="shared" si="2"/>
        <v>Amusement</v>
      </c>
      <c r="F62" s="13" t="str">
        <f t="shared" si="3"/>
        <v>AMUSEMENT</v>
      </c>
      <c r="G62" s="13" t="str">
        <f t="shared" si="4"/>
        <v>amusement</v>
      </c>
      <c r="H62" s="13" t="str">
        <f t="shared" si="5"/>
        <v>Amusement</v>
      </c>
      <c r="I62" s="13">
        <f t="shared" si="6"/>
        <v>14</v>
      </c>
      <c r="J62" s="13">
        <f t="shared" si="7"/>
        <v>9</v>
      </c>
      <c r="K62" s="13">
        <f t="shared" si="8"/>
        <v>5</v>
      </c>
    </row>
    <row r="63" spans="1:11" x14ac:dyDescent="0.25">
      <c r="A63" s="13">
        <f>'Raw Data'!A63</f>
        <v>61</v>
      </c>
      <c r="B63" s="13" t="str">
        <f>'Raw Data'!C63</f>
        <v xml:space="preserve"> Enjoyment    </v>
      </c>
      <c r="C63" s="13" t="str">
        <f t="shared" si="0"/>
        <v>Enjoyment</v>
      </c>
      <c r="D63" s="13" t="str">
        <f t="shared" si="1"/>
        <v xml:space="preserve"> Enjoyment    </v>
      </c>
      <c r="E63" s="13" t="str">
        <f t="shared" si="2"/>
        <v>Enjoyment</v>
      </c>
      <c r="F63" s="13" t="str">
        <f t="shared" si="3"/>
        <v>ENJOYMENT</v>
      </c>
      <c r="G63" s="13" t="str">
        <f t="shared" si="4"/>
        <v>enjoyment</v>
      </c>
      <c r="H63" s="13" t="str">
        <f t="shared" si="5"/>
        <v>Enjoyment</v>
      </c>
      <c r="I63" s="13">
        <f t="shared" si="6"/>
        <v>14</v>
      </c>
      <c r="J63" s="13">
        <f t="shared" si="7"/>
        <v>9</v>
      </c>
      <c r="K63" s="13">
        <f t="shared" si="8"/>
        <v>5</v>
      </c>
    </row>
    <row r="64" spans="1:11" x14ac:dyDescent="0.25">
      <c r="A64" s="13">
        <f>'Raw Data'!A64</f>
        <v>62</v>
      </c>
      <c r="B64" s="13" t="str">
        <f>'Raw Data'!C64</f>
        <v xml:space="preserve"> Admiration   </v>
      </c>
      <c r="C64" s="13" t="str">
        <f t="shared" si="0"/>
        <v>Admiration</v>
      </c>
      <c r="D64" s="13" t="str">
        <f t="shared" si="1"/>
        <v xml:space="preserve"> Admiration   </v>
      </c>
      <c r="E64" s="13" t="str">
        <f t="shared" si="2"/>
        <v>Admiration</v>
      </c>
      <c r="F64" s="13" t="str">
        <f t="shared" si="3"/>
        <v>ADMIRATION</v>
      </c>
      <c r="G64" s="13" t="str">
        <f t="shared" si="4"/>
        <v>admiration</v>
      </c>
      <c r="H64" s="13" t="str">
        <f t="shared" si="5"/>
        <v>Admiration</v>
      </c>
      <c r="I64" s="13">
        <f t="shared" si="6"/>
        <v>14</v>
      </c>
      <c r="J64" s="13">
        <f t="shared" si="7"/>
        <v>10</v>
      </c>
      <c r="K64" s="13">
        <f t="shared" si="8"/>
        <v>4</v>
      </c>
    </row>
    <row r="65" spans="1:11" x14ac:dyDescent="0.25">
      <c r="A65" s="13">
        <f>'Raw Data'!A65</f>
        <v>63</v>
      </c>
      <c r="B65" s="13" t="str">
        <f>'Raw Data'!C65</f>
        <v xml:space="preserve"> Affection    </v>
      </c>
      <c r="C65" s="13" t="str">
        <f t="shared" si="0"/>
        <v>Affection</v>
      </c>
      <c r="D65" s="13" t="str">
        <f t="shared" si="1"/>
        <v xml:space="preserve"> Affection    </v>
      </c>
      <c r="E65" s="13" t="str">
        <f t="shared" si="2"/>
        <v>Affection</v>
      </c>
      <c r="F65" s="13" t="str">
        <f t="shared" si="3"/>
        <v>AFFECTION</v>
      </c>
      <c r="G65" s="13" t="str">
        <f t="shared" si="4"/>
        <v>affection</v>
      </c>
      <c r="H65" s="13" t="str">
        <f t="shared" si="5"/>
        <v>Affection</v>
      </c>
      <c r="I65" s="13">
        <f t="shared" si="6"/>
        <v>14</v>
      </c>
      <c r="J65" s="13">
        <f t="shared" si="7"/>
        <v>9</v>
      </c>
      <c r="K65" s="13">
        <f t="shared" si="8"/>
        <v>5</v>
      </c>
    </row>
    <row r="66" spans="1:11" x14ac:dyDescent="0.25">
      <c r="A66" s="13">
        <f>'Raw Data'!A66</f>
        <v>64</v>
      </c>
      <c r="B66" s="13" t="str">
        <f>'Raw Data'!C66</f>
        <v xml:space="preserve"> Awe          </v>
      </c>
      <c r="C66" s="13" t="str">
        <f t="shared" si="0"/>
        <v>Awe</v>
      </c>
      <c r="D66" s="13" t="str">
        <f t="shared" si="1"/>
        <v xml:space="preserve"> Awe          </v>
      </c>
      <c r="E66" s="13" t="str">
        <f t="shared" si="2"/>
        <v>Awe</v>
      </c>
      <c r="F66" s="13" t="str">
        <f t="shared" si="3"/>
        <v>AWE</v>
      </c>
      <c r="G66" s="13" t="str">
        <f t="shared" si="4"/>
        <v>awe</v>
      </c>
      <c r="H66" s="13" t="str">
        <f t="shared" si="5"/>
        <v>Awe</v>
      </c>
      <c r="I66" s="13">
        <f t="shared" si="6"/>
        <v>14</v>
      </c>
      <c r="J66" s="13">
        <f t="shared" si="7"/>
        <v>3</v>
      </c>
      <c r="K66" s="13">
        <f t="shared" si="8"/>
        <v>11</v>
      </c>
    </row>
    <row r="67" spans="1:11" x14ac:dyDescent="0.25">
      <c r="A67" s="13">
        <f>'Raw Data'!A67</f>
        <v>65</v>
      </c>
      <c r="B67" s="13" t="str">
        <f>'Raw Data'!C67</f>
        <v xml:space="preserve"> Disappointed </v>
      </c>
      <c r="C67" s="13" t="str">
        <f t="shared" si="0"/>
        <v>Disappointed</v>
      </c>
      <c r="D67" s="13" t="str">
        <f t="shared" si="1"/>
        <v xml:space="preserve"> Disappointed </v>
      </c>
      <c r="E67" s="13" t="str">
        <f t="shared" si="2"/>
        <v>Disappointed</v>
      </c>
      <c r="F67" s="13" t="str">
        <f t="shared" si="3"/>
        <v>DISAPPOINTED</v>
      </c>
      <c r="G67" s="13" t="str">
        <f t="shared" si="4"/>
        <v>disappointed</v>
      </c>
      <c r="H67" s="13" t="str">
        <f t="shared" si="5"/>
        <v>Disappointed</v>
      </c>
      <c r="I67" s="13">
        <f t="shared" si="6"/>
        <v>14</v>
      </c>
      <c r="J67" s="13">
        <f t="shared" si="7"/>
        <v>12</v>
      </c>
      <c r="K67" s="13">
        <f t="shared" si="8"/>
        <v>2</v>
      </c>
    </row>
    <row r="68" spans="1:11" x14ac:dyDescent="0.25">
      <c r="A68" s="13">
        <f>'Raw Data'!A68</f>
        <v>66</v>
      </c>
      <c r="B68" s="13" t="str">
        <f>'Raw Data'!C68</f>
        <v xml:space="preserve"> Surprise     </v>
      </c>
      <c r="C68" s="13" t="str">
        <f t="shared" ref="C68:C131" si="9">TRIM(B68)</f>
        <v>Surprise</v>
      </c>
      <c r="D68" s="13" t="str">
        <f t="shared" ref="D68:D131" si="10">CLEAN(B68)</f>
        <v xml:space="preserve"> Surprise     </v>
      </c>
      <c r="E68" s="13" t="str">
        <f t="shared" ref="E68:E131" si="11">SUBSTITUTE(SUBSTITUTE(SUBSTITUTE(TRIM(B68),"Positive","Pos"),"Negative","Neg"),"Neutral","Neu")</f>
        <v>Surprise</v>
      </c>
      <c r="F68" s="13" t="str">
        <f t="shared" ref="F68:F131" si="12">UPPER(TRIM(B68))</f>
        <v>SURPRISE</v>
      </c>
      <c r="G68" s="13" t="str">
        <f t="shared" ref="G68:G131" si="13">LOWER(TRIM(B68))</f>
        <v>surprise</v>
      </c>
      <c r="H68" s="13" t="str">
        <f t="shared" ref="H68:H131" si="14">PROPER(TRIM(B68))</f>
        <v>Surprise</v>
      </c>
      <c r="I68" s="13">
        <f t="shared" ref="I68:I131" si="15">LEN(B68)</f>
        <v>14</v>
      </c>
      <c r="J68" s="13">
        <f t="shared" ref="J68:J131" si="16">LEN(TRIM(B68))</f>
        <v>8</v>
      </c>
      <c r="K68" s="13">
        <f t="shared" ref="K68:K131" si="17">I68-J68</f>
        <v>6</v>
      </c>
    </row>
    <row r="69" spans="1:11" x14ac:dyDescent="0.25">
      <c r="A69" s="13">
        <f>'Raw Data'!A69</f>
        <v>67</v>
      </c>
      <c r="B69" s="13" t="str">
        <f>'Raw Data'!C69</f>
        <v xml:space="preserve"> Acceptance   </v>
      </c>
      <c r="C69" s="13" t="str">
        <f t="shared" si="9"/>
        <v>Acceptance</v>
      </c>
      <c r="D69" s="13" t="str">
        <f t="shared" si="10"/>
        <v xml:space="preserve"> Acceptance   </v>
      </c>
      <c r="E69" s="13" t="str">
        <f t="shared" si="11"/>
        <v>Acceptance</v>
      </c>
      <c r="F69" s="13" t="str">
        <f t="shared" si="12"/>
        <v>ACCEPTANCE</v>
      </c>
      <c r="G69" s="13" t="str">
        <f t="shared" si="13"/>
        <v>acceptance</v>
      </c>
      <c r="H69" s="13" t="str">
        <f t="shared" si="14"/>
        <v>Acceptance</v>
      </c>
      <c r="I69" s="13">
        <f t="shared" si="15"/>
        <v>14</v>
      </c>
      <c r="J69" s="13">
        <f t="shared" si="16"/>
        <v>10</v>
      </c>
      <c r="K69" s="13">
        <f t="shared" si="17"/>
        <v>4</v>
      </c>
    </row>
    <row r="70" spans="1:11" x14ac:dyDescent="0.25">
      <c r="A70" s="13">
        <f>'Raw Data'!A70</f>
        <v>68</v>
      </c>
      <c r="B70" s="13" t="str">
        <f>'Raw Data'!C70</f>
        <v xml:space="preserve"> Adoration    </v>
      </c>
      <c r="C70" s="13" t="str">
        <f t="shared" si="9"/>
        <v>Adoration</v>
      </c>
      <c r="D70" s="13" t="str">
        <f t="shared" si="10"/>
        <v xml:space="preserve"> Adoration    </v>
      </c>
      <c r="E70" s="13" t="str">
        <f t="shared" si="11"/>
        <v>Adoration</v>
      </c>
      <c r="F70" s="13" t="str">
        <f t="shared" si="12"/>
        <v>ADORATION</v>
      </c>
      <c r="G70" s="13" t="str">
        <f t="shared" si="13"/>
        <v>adoration</v>
      </c>
      <c r="H70" s="13" t="str">
        <f t="shared" si="14"/>
        <v>Adoration</v>
      </c>
      <c r="I70" s="13">
        <f t="shared" si="15"/>
        <v>14</v>
      </c>
      <c r="J70" s="13">
        <f t="shared" si="16"/>
        <v>9</v>
      </c>
      <c r="K70" s="13">
        <f t="shared" si="17"/>
        <v>5</v>
      </c>
    </row>
    <row r="71" spans="1:11" x14ac:dyDescent="0.25">
      <c r="A71" s="13">
        <f>'Raw Data'!A71</f>
        <v>69</v>
      </c>
      <c r="B71" s="13" t="str">
        <f>'Raw Data'!C71</f>
        <v xml:space="preserve"> Anticipation </v>
      </c>
      <c r="C71" s="13" t="str">
        <f t="shared" si="9"/>
        <v>Anticipation</v>
      </c>
      <c r="D71" s="13" t="str">
        <f t="shared" si="10"/>
        <v xml:space="preserve"> Anticipation </v>
      </c>
      <c r="E71" s="13" t="str">
        <f t="shared" si="11"/>
        <v>Anticipation</v>
      </c>
      <c r="F71" s="13" t="str">
        <f t="shared" si="12"/>
        <v>ANTICIPATION</v>
      </c>
      <c r="G71" s="13" t="str">
        <f t="shared" si="13"/>
        <v>anticipation</v>
      </c>
      <c r="H71" s="13" t="str">
        <f t="shared" si="14"/>
        <v>Anticipation</v>
      </c>
      <c r="I71" s="13">
        <f t="shared" si="15"/>
        <v>14</v>
      </c>
      <c r="J71" s="13">
        <f t="shared" si="16"/>
        <v>12</v>
      </c>
      <c r="K71" s="13">
        <f t="shared" si="17"/>
        <v>2</v>
      </c>
    </row>
    <row r="72" spans="1:11" x14ac:dyDescent="0.25">
      <c r="A72" s="13">
        <f>'Raw Data'!A72</f>
        <v>70</v>
      </c>
      <c r="B72" s="13" t="str">
        <f>'Raw Data'!C72</f>
        <v xml:space="preserve"> Bitter       </v>
      </c>
      <c r="C72" s="13" t="str">
        <f t="shared" si="9"/>
        <v>Bitter</v>
      </c>
      <c r="D72" s="13" t="str">
        <f t="shared" si="10"/>
        <v xml:space="preserve"> Bitter       </v>
      </c>
      <c r="E72" s="13" t="str">
        <f t="shared" si="11"/>
        <v>Bitter</v>
      </c>
      <c r="F72" s="13" t="str">
        <f t="shared" si="12"/>
        <v>BITTER</v>
      </c>
      <c r="G72" s="13" t="str">
        <f t="shared" si="13"/>
        <v>bitter</v>
      </c>
      <c r="H72" s="13" t="str">
        <f t="shared" si="14"/>
        <v>Bitter</v>
      </c>
      <c r="I72" s="13">
        <f t="shared" si="15"/>
        <v>14</v>
      </c>
      <c r="J72" s="13">
        <f t="shared" si="16"/>
        <v>6</v>
      </c>
      <c r="K72" s="13">
        <f t="shared" si="17"/>
        <v>8</v>
      </c>
    </row>
    <row r="73" spans="1:11" x14ac:dyDescent="0.25">
      <c r="A73" s="13">
        <f>'Raw Data'!A73</f>
        <v>71</v>
      </c>
      <c r="B73" s="13" t="str">
        <f>'Raw Data'!C73</f>
        <v xml:space="preserve"> Calmness     </v>
      </c>
      <c r="C73" s="13" t="str">
        <f t="shared" si="9"/>
        <v>Calmness</v>
      </c>
      <c r="D73" s="13" t="str">
        <f t="shared" si="10"/>
        <v xml:space="preserve"> Calmness     </v>
      </c>
      <c r="E73" s="13" t="str">
        <f t="shared" si="11"/>
        <v>Calmness</v>
      </c>
      <c r="F73" s="13" t="str">
        <f t="shared" si="12"/>
        <v>CALMNESS</v>
      </c>
      <c r="G73" s="13" t="str">
        <f t="shared" si="13"/>
        <v>calmness</v>
      </c>
      <c r="H73" s="13" t="str">
        <f t="shared" si="14"/>
        <v>Calmness</v>
      </c>
      <c r="I73" s="13">
        <f t="shared" si="15"/>
        <v>14</v>
      </c>
      <c r="J73" s="13">
        <f t="shared" si="16"/>
        <v>8</v>
      </c>
      <c r="K73" s="13">
        <f t="shared" si="17"/>
        <v>6</v>
      </c>
    </row>
    <row r="74" spans="1:11" x14ac:dyDescent="0.25">
      <c r="A74" s="13">
        <f>'Raw Data'!A74</f>
        <v>72</v>
      </c>
      <c r="B74" s="13" t="str">
        <f>'Raw Data'!C74</f>
        <v xml:space="preserve"> Confusion    </v>
      </c>
      <c r="C74" s="13" t="str">
        <f t="shared" si="9"/>
        <v>Confusion</v>
      </c>
      <c r="D74" s="13" t="str">
        <f t="shared" si="10"/>
        <v xml:space="preserve"> Confusion    </v>
      </c>
      <c r="E74" s="13" t="str">
        <f t="shared" si="11"/>
        <v>Confusion</v>
      </c>
      <c r="F74" s="13" t="str">
        <f t="shared" si="12"/>
        <v>CONFUSION</v>
      </c>
      <c r="G74" s="13" t="str">
        <f t="shared" si="13"/>
        <v>confusion</v>
      </c>
      <c r="H74" s="13" t="str">
        <f t="shared" si="14"/>
        <v>Confusion</v>
      </c>
      <c r="I74" s="13">
        <f t="shared" si="15"/>
        <v>14</v>
      </c>
      <c r="J74" s="13">
        <f t="shared" si="16"/>
        <v>9</v>
      </c>
      <c r="K74" s="13">
        <f t="shared" si="17"/>
        <v>5</v>
      </c>
    </row>
    <row r="75" spans="1:11" x14ac:dyDescent="0.25">
      <c r="A75" s="13">
        <f>'Raw Data'!A75</f>
        <v>73</v>
      </c>
      <c r="B75" s="13" t="str">
        <f>'Raw Data'!C75</f>
        <v xml:space="preserve"> Excitement   </v>
      </c>
      <c r="C75" s="13" t="str">
        <f t="shared" si="9"/>
        <v>Excitement</v>
      </c>
      <c r="D75" s="13" t="str">
        <f t="shared" si="10"/>
        <v xml:space="preserve"> Excitement   </v>
      </c>
      <c r="E75" s="13" t="str">
        <f t="shared" si="11"/>
        <v>Excitement</v>
      </c>
      <c r="F75" s="13" t="str">
        <f t="shared" si="12"/>
        <v>EXCITEMENT</v>
      </c>
      <c r="G75" s="13" t="str">
        <f t="shared" si="13"/>
        <v>excitement</v>
      </c>
      <c r="H75" s="13" t="str">
        <f t="shared" si="14"/>
        <v>Excitement</v>
      </c>
      <c r="I75" s="13">
        <f t="shared" si="15"/>
        <v>14</v>
      </c>
      <c r="J75" s="13">
        <f t="shared" si="16"/>
        <v>10</v>
      </c>
      <c r="K75" s="13">
        <f t="shared" si="17"/>
        <v>4</v>
      </c>
    </row>
    <row r="76" spans="1:11" x14ac:dyDescent="0.25">
      <c r="A76" s="13">
        <f>'Raw Data'!A76</f>
        <v>74</v>
      </c>
      <c r="B76" s="13" t="str">
        <f>'Raw Data'!C76</f>
        <v xml:space="preserve"> Kind         </v>
      </c>
      <c r="C76" s="13" t="str">
        <f t="shared" si="9"/>
        <v>Kind</v>
      </c>
      <c r="D76" s="13" t="str">
        <f t="shared" si="10"/>
        <v xml:space="preserve"> Kind         </v>
      </c>
      <c r="E76" s="13" t="str">
        <f t="shared" si="11"/>
        <v>Kind</v>
      </c>
      <c r="F76" s="13" t="str">
        <f t="shared" si="12"/>
        <v>KIND</v>
      </c>
      <c r="G76" s="13" t="str">
        <f t="shared" si="13"/>
        <v>kind</v>
      </c>
      <c r="H76" s="13" t="str">
        <f t="shared" si="14"/>
        <v>Kind</v>
      </c>
      <c r="I76" s="13">
        <f t="shared" si="15"/>
        <v>14</v>
      </c>
      <c r="J76" s="13">
        <f t="shared" si="16"/>
        <v>4</v>
      </c>
      <c r="K76" s="13">
        <f t="shared" si="17"/>
        <v>10</v>
      </c>
    </row>
    <row r="77" spans="1:11" x14ac:dyDescent="0.25">
      <c r="A77" s="13">
        <f>'Raw Data'!A77</f>
        <v>75</v>
      </c>
      <c r="B77" s="13" t="str">
        <f>'Raw Data'!C77</f>
        <v xml:space="preserve"> Pride        </v>
      </c>
      <c r="C77" s="13" t="str">
        <f t="shared" si="9"/>
        <v>Pride</v>
      </c>
      <c r="D77" s="13" t="str">
        <f t="shared" si="10"/>
        <v xml:space="preserve"> Pride        </v>
      </c>
      <c r="E77" s="13" t="str">
        <f t="shared" si="11"/>
        <v>Pride</v>
      </c>
      <c r="F77" s="13" t="str">
        <f t="shared" si="12"/>
        <v>PRIDE</v>
      </c>
      <c r="G77" s="13" t="str">
        <f t="shared" si="13"/>
        <v>pride</v>
      </c>
      <c r="H77" s="13" t="str">
        <f t="shared" si="14"/>
        <v>Pride</v>
      </c>
      <c r="I77" s="13">
        <f t="shared" si="15"/>
        <v>14</v>
      </c>
      <c r="J77" s="13">
        <f t="shared" si="16"/>
        <v>5</v>
      </c>
      <c r="K77" s="13">
        <f t="shared" si="17"/>
        <v>9</v>
      </c>
    </row>
    <row r="78" spans="1:11" x14ac:dyDescent="0.25">
      <c r="A78" s="13">
        <f>'Raw Data'!A78</f>
        <v>76</v>
      </c>
      <c r="B78" s="13" t="str">
        <f>'Raw Data'!C78</f>
        <v xml:space="preserve"> Shame        </v>
      </c>
      <c r="C78" s="13" t="str">
        <f t="shared" si="9"/>
        <v>Shame</v>
      </c>
      <c r="D78" s="13" t="str">
        <f t="shared" si="10"/>
        <v xml:space="preserve"> Shame        </v>
      </c>
      <c r="E78" s="13" t="str">
        <f t="shared" si="11"/>
        <v>Shame</v>
      </c>
      <c r="F78" s="13" t="str">
        <f t="shared" si="12"/>
        <v>SHAME</v>
      </c>
      <c r="G78" s="13" t="str">
        <f t="shared" si="13"/>
        <v>shame</v>
      </c>
      <c r="H78" s="13" t="str">
        <f t="shared" si="14"/>
        <v>Shame</v>
      </c>
      <c r="I78" s="13">
        <f t="shared" si="15"/>
        <v>14</v>
      </c>
      <c r="J78" s="13">
        <f t="shared" si="16"/>
        <v>5</v>
      </c>
      <c r="K78" s="13">
        <f t="shared" si="17"/>
        <v>9</v>
      </c>
    </row>
    <row r="79" spans="1:11" x14ac:dyDescent="0.25">
      <c r="A79" s="13">
        <f>'Raw Data'!A79</f>
        <v>77</v>
      </c>
      <c r="B79" s="13" t="str">
        <f>'Raw Data'!C79</f>
        <v xml:space="preserve"> Anger        </v>
      </c>
      <c r="C79" s="13" t="str">
        <f t="shared" si="9"/>
        <v>Anger</v>
      </c>
      <c r="D79" s="13" t="str">
        <f t="shared" si="10"/>
        <v xml:space="preserve"> Anger        </v>
      </c>
      <c r="E79" s="13" t="str">
        <f t="shared" si="11"/>
        <v>Anger</v>
      </c>
      <c r="F79" s="13" t="str">
        <f t="shared" si="12"/>
        <v>ANGER</v>
      </c>
      <c r="G79" s="13" t="str">
        <f t="shared" si="13"/>
        <v>anger</v>
      </c>
      <c r="H79" s="13" t="str">
        <f t="shared" si="14"/>
        <v>Anger</v>
      </c>
      <c r="I79" s="13">
        <f t="shared" si="15"/>
        <v>14</v>
      </c>
      <c r="J79" s="13">
        <f t="shared" si="16"/>
        <v>5</v>
      </c>
      <c r="K79" s="13">
        <f t="shared" si="17"/>
        <v>9</v>
      </c>
    </row>
    <row r="80" spans="1:11" x14ac:dyDescent="0.25">
      <c r="A80" s="13">
        <f>'Raw Data'!A80</f>
        <v>78</v>
      </c>
      <c r="B80" s="13" t="str">
        <f>'Raw Data'!C80</f>
        <v xml:space="preserve"> Fear         </v>
      </c>
      <c r="C80" s="13" t="str">
        <f t="shared" si="9"/>
        <v>Fear</v>
      </c>
      <c r="D80" s="13" t="str">
        <f t="shared" si="10"/>
        <v xml:space="preserve"> Fear         </v>
      </c>
      <c r="E80" s="13" t="str">
        <f t="shared" si="11"/>
        <v>Fear</v>
      </c>
      <c r="F80" s="13" t="str">
        <f t="shared" si="12"/>
        <v>FEAR</v>
      </c>
      <c r="G80" s="13" t="str">
        <f t="shared" si="13"/>
        <v>fear</v>
      </c>
      <c r="H80" s="13" t="str">
        <f t="shared" si="14"/>
        <v>Fear</v>
      </c>
      <c r="I80" s="13">
        <f t="shared" si="15"/>
        <v>14</v>
      </c>
      <c r="J80" s="13">
        <f t="shared" si="16"/>
        <v>4</v>
      </c>
      <c r="K80" s="13">
        <f t="shared" si="17"/>
        <v>10</v>
      </c>
    </row>
    <row r="81" spans="1:11" x14ac:dyDescent="0.25">
      <c r="A81" s="13">
        <f>'Raw Data'!A81</f>
        <v>79</v>
      </c>
      <c r="B81" s="13" t="str">
        <f>'Raw Data'!C81</f>
        <v xml:space="preserve"> Sadness      </v>
      </c>
      <c r="C81" s="13" t="str">
        <f t="shared" si="9"/>
        <v>Sadness</v>
      </c>
      <c r="D81" s="13" t="str">
        <f t="shared" si="10"/>
        <v xml:space="preserve"> Sadness      </v>
      </c>
      <c r="E81" s="13" t="str">
        <f t="shared" si="11"/>
        <v>Sadness</v>
      </c>
      <c r="F81" s="13" t="str">
        <f t="shared" si="12"/>
        <v>SADNESS</v>
      </c>
      <c r="G81" s="13" t="str">
        <f t="shared" si="13"/>
        <v>sadness</v>
      </c>
      <c r="H81" s="13" t="str">
        <f t="shared" si="14"/>
        <v>Sadness</v>
      </c>
      <c r="I81" s="13">
        <f t="shared" si="15"/>
        <v>14</v>
      </c>
      <c r="J81" s="13">
        <f t="shared" si="16"/>
        <v>7</v>
      </c>
      <c r="K81" s="13">
        <f t="shared" si="17"/>
        <v>7</v>
      </c>
    </row>
    <row r="82" spans="1:11" x14ac:dyDescent="0.25">
      <c r="A82" s="13">
        <f>'Raw Data'!A82</f>
        <v>80</v>
      </c>
      <c r="B82" s="13" t="str">
        <f>'Raw Data'!C82</f>
        <v xml:space="preserve"> Disgust      </v>
      </c>
      <c r="C82" s="13" t="str">
        <f t="shared" si="9"/>
        <v>Disgust</v>
      </c>
      <c r="D82" s="13" t="str">
        <f t="shared" si="10"/>
        <v xml:space="preserve"> Disgust      </v>
      </c>
      <c r="E82" s="13" t="str">
        <f t="shared" si="11"/>
        <v>Disgust</v>
      </c>
      <c r="F82" s="13" t="str">
        <f t="shared" si="12"/>
        <v>DISGUST</v>
      </c>
      <c r="G82" s="13" t="str">
        <f t="shared" si="13"/>
        <v>disgust</v>
      </c>
      <c r="H82" s="13" t="str">
        <f t="shared" si="14"/>
        <v>Disgust</v>
      </c>
      <c r="I82" s="13">
        <f t="shared" si="15"/>
        <v>14</v>
      </c>
      <c r="J82" s="13">
        <f t="shared" si="16"/>
        <v>7</v>
      </c>
      <c r="K82" s="13">
        <f t="shared" si="17"/>
        <v>7</v>
      </c>
    </row>
    <row r="83" spans="1:11" x14ac:dyDescent="0.25">
      <c r="A83" s="13">
        <f>'Raw Data'!A83</f>
        <v>81</v>
      </c>
      <c r="B83" s="13" t="str">
        <f>'Raw Data'!C83</f>
        <v xml:space="preserve"> Happiness    </v>
      </c>
      <c r="C83" s="13" t="str">
        <f t="shared" si="9"/>
        <v>Happiness</v>
      </c>
      <c r="D83" s="13" t="str">
        <f t="shared" si="10"/>
        <v xml:space="preserve"> Happiness    </v>
      </c>
      <c r="E83" s="13" t="str">
        <f t="shared" si="11"/>
        <v>Happiness</v>
      </c>
      <c r="F83" s="13" t="str">
        <f t="shared" si="12"/>
        <v>HAPPINESS</v>
      </c>
      <c r="G83" s="13" t="str">
        <f t="shared" si="13"/>
        <v>happiness</v>
      </c>
      <c r="H83" s="13" t="str">
        <f t="shared" si="14"/>
        <v>Happiness</v>
      </c>
      <c r="I83" s="13">
        <f t="shared" si="15"/>
        <v>14</v>
      </c>
      <c r="J83" s="13">
        <f t="shared" si="16"/>
        <v>9</v>
      </c>
      <c r="K83" s="13">
        <f t="shared" si="17"/>
        <v>5</v>
      </c>
    </row>
    <row r="84" spans="1:11" x14ac:dyDescent="0.25">
      <c r="A84" s="13">
        <f>'Raw Data'!A84</f>
        <v>82</v>
      </c>
      <c r="B84" s="13" t="str">
        <f>'Raw Data'!C84</f>
        <v xml:space="preserve"> Joy          </v>
      </c>
      <c r="C84" s="13" t="str">
        <f t="shared" si="9"/>
        <v>Joy</v>
      </c>
      <c r="D84" s="13" t="str">
        <f t="shared" si="10"/>
        <v xml:space="preserve"> Joy          </v>
      </c>
      <c r="E84" s="13" t="str">
        <f t="shared" si="11"/>
        <v>Joy</v>
      </c>
      <c r="F84" s="13" t="str">
        <f t="shared" si="12"/>
        <v>JOY</v>
      </c>
      <c r="G84" s="13" t="str">
        <f t="shared" si="13"/>
        <v>joy</v>
      </c>
      <c r="H84" s="13" t="str">
        <f t="shared" si="14"/>
        <v>Joy</v>
      </c>
      <c r="I84" s="13">
        <f t="shared" si="15"/>
        <v>14</v>
      </c>
      <c r="J84" s="13">
        <f t="shared" si="16"/>
        <v>3</v>
      </c>
      <c r="K84" s="13">
        <f t="shared" si="17"/>
        <v>11</v>
      </c>
    </row>
    <row r="85" spans="1:11" x14ac:dyDescent="0.25">
      <c r="A85" s="13">
        <f>'Raw Data'!A85</f>
        <v>83</v>
      </c>
      <c r="B85" s="13" t="str">
        <f>'Raw Data'!C85</f>
        <v xml:space="preserve"> Love         </v>
      </c>
      <c r="C85" s="13" t="str">
        <f t="shared" si="9"/>
        <v>Love</v>
      </c>
      <c r="D85" s="13" t="str">
        <f t="shared" si="10"/>
        <v xml:space="preserve"> Love         </v>
      </c>
      <c r="E85" s="13" t="str">
        <f t="shared" si="11"/>
        <v>Love</v>
      </c>
      <c r="F85" s="13" t="str">
        <f t="shared" si="12"/>
        <v>LOVE</v>
      </c>
      <c r="G85" s="13" t="str">
        <f t="shared" si="13"/>
        <v>love</v>
      </c>
      <c r="H85" s="13" t="str">
        <f t="shared" si="14"/>
        <v>Love</v>
      </c>
      <c r="I85" s="13">
        <f t="shared" si="15"/>
        <v>14</v>
      </c>
      <c r="J85" s="13">
        <f t="shared" si="16"/>
        <v>4</v>
      </c>
      <c r="K85" s="13">
        <f t="shared" si="17"/>
        <v>10</v>
      </c>
    </row>
    <row r="86" spans="1:11" x14ac:dyDescent="0.25">
      <c r="A86" s="13">
        <f>'Raw Data'!A86</f>
        <v>84</v>
      </c>
      <c r="B86" s="13" t="str">
        <f>'Raw Data'!C86</f>
        <v xml:space="preserve"> Amusement    </v>
      </c>
      <c r="C86" s="13" t="str">
        <f t="shared" si="9"/>
        <v>Amusement</v>
      </c>
      <c r="D86" s="13" t="str">
        <f t="shared" si="10"/>
        <v xml:space="preserve"> Amusement    </v>
      </c>
      <c r="E86" s="13" t="str">
        <f t="shared" si="11"/>
        <v>Amusement</v>
      </c>
      <c r="F86" s="13" t="str">
        <f t="shared" si="12"/>
        <v>AMUSEMENT</v>
      </c>
      <c r="G86" s="13" t="str">
        <f t="shared" si="13"/>
        <v>amusement</v>
      </c>
      <c r="H86" s="13" t="str">
        <f t="shared" si="14"/>
        <v>Amusement</v>
      </c>
      <c r="I86" s="13">
        <f t="shared" si="15"/>
        <v>14</v>
      </c>
      <c r="J86" s="13">
        <f t="shared" si="16"/>
        <v>9</v>
      </c>
      <c r="K86" s="13">
        <f t="shared" si="17"/>
        <v>5</v>
      </c>
    </row>
    <row r="87" spans="1:11" x14ac:dyDescent="0.25">
      <c r="A87" s="13">
        <f>'Raw Data'!A87</f>
        <v>85</v>
      </c>
      <c r="B87" s="13" t="str">
        <f>'Raw Data'!C87</f>
        <v xml:space="preserve"> Enjoyment    </v>
      </c>
      <c r="C87" s="13" t="str">
        <f t="shared" si="9"/>
        <v>Enjoyment</v>
      </c>
      <c r="D87" s="13" t="str">
        <f t="shared" si="10"/>
        <v xml:space="preserve"> Enjoyment    </v>
      </c>
      <c r="E87" s="13" t="str">
        <f t="shared" si="11"/>
        <v>Enjoyment</v>
      </c>
      <c r="F87" s="13" t="str">
        <f t="shared" si="12"/>
        <v>ENJOYMENT</v>
      </c>
      <c r="G87" s="13" t="str">
        <f t="shared" si="13"/>
        <v>enjoyment</v>
      </c>
      <c r="H87" s="13" t="str">
        <f t="shared" si="14"/>
        <v>Enjoyment</v>
      </c>
      <c r="I87" s="13">
        <f t="shared" si="15"/>
        <v>14</v>
      </c>
      <c r="J87" s="13">
        <f t="shared" si="16"/>
        <v>9</v>
      </c>
      <c r="K87" s="13">
        <f t="shared" si="17"/>
        <v>5</v>
      </c>
    </row>
    <row r="88" spans="1:11" x14ac:dyDescent="0.25">
      <c r="A88" s="13">
        <f>'Raw Data'!A88</f>
        <v>86</v>
      </c>
      <c r="B88" s="13" t="str">
        <f>'Raw Data'!C88</f>
        <v xml:space="preserve"> Admiration   </v>
      </c>
      <c r="C88" s="13" t="str">
        <f t="shared" si="9"/>
        <v>Admiration</v>
      </c>
      <c r="D88" s="13" t="str">
        <f t="shared" si="10"/>
        <v xml:space="preserve"> Admiration   </v>
      </c>
      <c r="E88" s="13" t="str">
        <f t="shared" si="11"/>
        <v>Admiration</v>
      </c>
      <c r="F88" s="13" t="str">
        <f t="shared" si="12"/>
        <v>ADMIRATION</v>
      </c>
      <c r="G88" s="13" t="str">
        <f t="shared" si="13"/>
        <v>admiration</v>
      </c>
      <c r="H88" s="13" t="str">
        <f t="shared" si="14"/>
        <v>Admiration</v>
      </c>
      <c r="I88" s="13">
        <f t="shared" si="15"/>
        <v>14</v>
      </c>
      <c r="J88" s="13">
        <f t="shared" si="16"/>
        <v>10</v>
      </c>
      <c r="K88" s="13">
        <f t="shared" si="17"/>
        <v>4</v>
      </c>
    </row>
    <row r="89" spans="1:11" x14ac:dyDescent="0.25">
      <c r="A89" s="13">
        <f>'Raw Data'!A89</f>
        <v>87</v>
      </c>
      <c r="B89" s="13" t="str">
        <f>'Raw Data'!C89</f>
        <v xml:space="preserve"> Affection    </v>
      </c>
      <c r="C89" s="13" t="str">
        <f t="shared" si="9"/>
        <v>Affection</v>
      </c>
      <c r="D89" s="13" t="str">
        <f t="shared" si="10"/>
        <v xml:space="preserve"> Affection    </v>
      </c>
      <c r="E89" s="13" t="str">
        <f t="shared" si="11"/>
        <v>Affection</v>
      </c>
      <c r="F89" s="13" t="str">
        <f t="shared" si="12"/>
        <v>AFFECTION</v>
      </c>
      <c r="G89" s="13" t="str">
        <f t="shared" si="13"/>
        <v>affection</v>
      </c>
      <c r="H89" s="13" t="str">
        <f t="shared" si="14"/>
        <v>Affection</v>
      </c>
      <c r="I89" s="13">
        <f t="shared" si="15"/>
        <v>14</v>
      </c>
      <c r="J89" s="13">
        <f t="shared" si="16"/>
        <v>9</v>
      </c>
      <c r="K89" s="13">
        <f t="shared" si="17"/>
        <v>5</v>
      </c>
    </row>
    <row r="90" spans="1:11" x14ac:dyDescent="0.25">
      <c r="A90" s="13">
        <f>'Raw Data'!A90</f>
        <v>88</v>
      </c>
      <c r="B90" s="13" t="str">
        <f>'Raw Data'!C90</f>
        <v xml:space="preserve"> Awe          </v>
      </c>
      <c r="C90" s="13" t="str">
        <f t="shared" si="9"/>
        <v>Awe</v>
      </c>
      <c r="D90" s="13" t="str">
        <f t="shared" si="10"/>
        <v xml:space="preserve"> Awe          </v>
      </c>
      <c r="E90" s="13" t="str">
        <f t="shared" si="11"/>
        <v>Awe</v>
      </c>
      <c r="F90" s="13" t="str">
        <f t="shared" si="12"/>
        <v>AWE</v>
      </c>
      <c r="G90" s="13" t="str">
        <f t="shared" si="13"/>
        <v>awe</v>
      </c>
      <c r="H90" s="13" t="str">
        <f t="shared" si="14"/>
        <v>Awe</v>
      </c>
      <c r="I90" s="13">
        <f t="shared" si="15"/>
        <v>14</v>
      </c>
      <c r="J90" s="13">
        <f t="shared" si="16"/>
        <v>3</v>
      </c>
      <c r="K90" s="13">
        <f t="shared" si="17"/>
        <v>11</v>
      </c>
    </row>
    <row r="91" spans="1:11" x14ac:dyDescent="0.25">
      <c r="A91" s="13">
        <f>'Raw Data'!A91</f>
        <v>89</v>
      </c>
      <c r="B91" s="13" t="str">
        <f>'Raw Data'!C91</f>
        <v xml:space="preserve"> Disappointed </v>
      </c>
      <c r="C91" s="13" t="str">
        <f t="shared" si="9"/>
        <v>Disappointed</v>
      </c>
      <c r="D91" s="13" t="str">
        <f t="shared" si="10"/>
        <v xml:space="preserve"> Disappointed </v>
      </c>
      <c r="E91" s="13" t="str">
        <f t="shared" si="11"/>
        <v>Disappointed</v>
      </c>
      <c r="F91" s="13" t="str">
        <f t="shared" si="12"/>
        <v>DISAPPOINTED</v>
      </c>
      <c r="G91" s="13" t="str">
        <f t="shared" si="13"/>
        <v>disappointed</v>
      </c>
      <c r="H91" s="13" t="str">
        <f t="shared" si="14"/>
        <v>Disappointed</v>
      </c>
      <c r="I91" s="13">
        <f t="shared" si="15"/>
        <v>14</v>
      </c>
      <c r="J91" s="13">
        <f t="shared" si="16"/>
        <v>12</v>
      </c>
      <c r="K91" s="13">
        <f t="shared" si="17"/>
        <v>2</v>
      </c>
    </row>
    <row r="92" spans="1:11" x14ac:dyDescent="0.25">
      <c r="A92" s="13">
        <f>'Raw Data'!A92</f>
        <v>90</v>
      </c>
      <c r="B92" s="13" t="str">
        <f>'Raw Data'!C92</f>
        <v xml:space="preserve"> Surprise     </v>
      </c>
      <c r="C92" s="13" t="str">
        <f t="shared" si="9"/>
        <v>Surprise</v>
      </c>
      <c r="D92" s="13" t="str">
        <f t="shared" si="10"/>
        <v xml:space="preserve"> Surprise     </v>
      </c>
      <c r="E92" s="13" t="str">
        <f t="shared" si="11"/>
        <v>Surprise</v>
      </c>
      <c r="F92" s="13" t="str">
        <f t="shared" si="12"/>
        <v>SURPRISE</v>
      </c>
      <c r="G92" s="13" t="str">
        <f t="shared" si="13"/>
        <v>surprise</v>
      </c>
      <c r="H92" s="13" t="str">
        <f t="shared" si="14"/>
        <v>Surprise</v>
      </c>
      <c r="I92" s="13">
        <f t="shared" si="15"/>
        <v>14</v>
      </c>
      <c r="J92" s="13">
        <f t="shared" si="16"/>
        <v>8</v>
      </c>
      <c r="K92" s="13">
        <f t="shared" si="17"/>
        <v>6</v>
      </c>
    </row>
    <row r="93" spans="1:11" x14ac:dyDescent="0.25">
      <c r="A93" s="13">
        <f>'Raw Data'!A93</f>
        <v>91</v>
      </c>
      <c r="B93" s="13" t="str">
        <f>'Raw Data'!C93</f>
        <v xml:space="preserve"> Acceptance   </v>
      </c>
      <c r="C93" s="13" t="str">
        <f t="shared" si="9"/>
        <v>Acceptance</v>
      </c>
      <c r="D93" s="13" t="str">
        <f t="shared" si="10"/>
        <v xml:space="preserve"> Acceptance   </v>
      </c>
      <c r="E93" s="13" t="str">
        <f t="shared" si="11"/>
        <v>Acceptance</v>
      </c>
      <c r="F93" s="13" t="str">
        <f t="shared" si="12"/>
        <v>ACCEPTANCE</v>
      </c>
      <c r="G93" s="13" t="str">
        <f t="shared" si="13"/>
        <v>acceptance</v>
      </c>
      <c r="H93" s="13" t="str">
        <f t="shared" si="14"/>
        <v>Acceptance</v>
      </c>
      <c r="I93" s="13">
        <f t="shared" si="15"/>
        <v>14</v>
      </c>
      <c r="J93" s="13">
        <f t="shared" si="16"/>
        <v>10</v>
      </c>
      <c r="K93" s="13">
        <f t="shared" si="17"/>
        <v>4</v>
      </c>
    </row>
    <row r="94" spans="1:11" x14ac:dyDescent="0.25">
      <c r="A94" s="13">
        <f>'Raw Data'!A94</f>
        <v>92</v>
      </c>
      <c r="B94" s="13" t="str">
        <f>'Raw Data'!C94</f>
        <v xml:space="preserve"> Adoration    </v>
      </c>
      <c r="C94" s="13" t="str">
        <f t="shared" si="9"/>
        <v>Adoration</v>
      </c>
      <c r="D94" s="13" t="str">
        <f t="shared" si="10"/>
        <v xml:space="preserve"> Adoration    </v>
      </c>
      <c r="E94" s="13" t="str">
        <f t="shared" si="11"/>
        <v>Adoration</v>
      </c>
      <c r="F94" s="13" t="str">
        <f t="shared" si="12"/>
        <v>ADORATION</v>
      </c>
      <c r="G94" s="13" t="str">
        <f t="shared" si="13"/>
        <v>adoration</v>
      </c>
      <c r="H94" s="13" t="str">
        <f t="shared" si="14"/>
        <v>Adoration</v>
      </c>
      <c r="I94" s="13">
        <f t="shared" si="15"/>
        <v>14</v>
      </c>
      <c r="J94" s="13">
        <f t="shared" si="16"/>
        <v>9</v>
      </c>
      <c r="K94" s="13">
        <f t="shared" si="17"/>
        <v>5</v>
      </c>
    </row>
    <row r="95" spans="1:11" x14ac:dyDescent="0.25">
      <c r="A95" s="13">
        <f>'Raw Data'!A95</f>
        <v>93</v>
      </c>
      <c r="B95" s="13" t="str">
        <f>'Raw Data'!C95</f>
        <v xml:space="preserve"> Anticipation </v>
      </c>
      <c r="C95" s="13" t="str">
        <f t="shared" si="9"/>
        <v>Anticipation</v>
      </c>
      <c r="D95" s="13" t="str">
        <f t="shared" si="10"/>
        <v xml:space="preserve"> Anticipation </v>
      </c>
      <c r="E95" s="13" t="str">
        <f t="shared" si="11"/>
        <v>Anticipation</v>
      </c>
      <c r="F95" s="13" t="str">
        <f t="shared" si="12"/>
        <v>ANTICIPATION</v>
      </c>
      <c r="G95" s="13" t="str">
        <f t="shared" si="13"/>
        <v>anticipation</v>
      </c>
      <c r="H95" s="13" t="str">
        <f t="shared" si="14"/>
        <v>Anticipation</v>
      </c>
      <c r="I95" s="13">
        <f t="shared" si="15"/>
        <v>14</v>
      </c>
      <c r="J95" s="13">
        <f t="shared" si="16"/>
        <v>12</v>
      </c>
      <c r="K95" s="13">
        <f t="shared" si="17"/>
        <v>2</v>
      </c>
    </row>
    <row r="96" spans="1:11" x14ac:dyDescent="0.25">
      <c r="A96" s="13">
        <f>'Raw Data'!A96</f>
        <v>94</v>
      </c>
      <c r="B96" s="13" t="str">
        <f>'Raw Data'!C96</f>
        <v xml:space="preserve"> Bitter       </v>
      </c>
      <c r="C96" s="13" t="str">
        <f t="shared" si="9"/>
        <v>Bitter</v>
      </c>
      <c r="D96" s="13" t="str">
        <f t="shared" si="10"/>
        <v xml:space="preserve"> Bitter       </v>
      </c>
      <c r="E96" s="13" t="str">
        <f t="shared" si="11"/>
        <v>Bitter</v>
      </c>
      <c r="F96" s="13" t="str">
        <f t="shared" si="12"/>
        <v>BITTER</v>
      </c>
      <c r="G96" s="13" t="str">
        <f t="shared" si="13"/>
        <v>bitter</v>
      </c>
      <c r="H96" s="13" t="str">
        <f t="shared" si="14"/>
        <v>Bitter</v>
      </c>
      <c r="I96" s="13">
        <f t="shared" si="15"/>
        <v>14</v>
      </c>
      <c r="J96" s="13">
        <f t="shared" si="16"/>
        <v>6</v>
      </c>
      <c r="K96" s="13">
        <f t="shared" si="17"/>
        <v>8</v>
      </c>
    </row>
    <row r="97" spans="1:11" x14ac:dyDescent="0.25">
      <c r="A97" s="13">
        <f>'Raw Data'!A97</f>
        <v>95</v>
      </c>
      <c r="B97" s="13" t="str">
        <f>'Raw Data'!C97</f>
        <v xml:space="preserve"> Calmness     </v>
      </c>
      <c r="C97" s="13" t="str">
        <f t="shared" si="9"/>
        <v>Calmness</v>
      </c>
      <c r="D97" s="13" t="str">
        <f t="shared" si="10"/>
        <v xml:space="preserve"> Calmness     </v>
      </c>
      <c r="E97" s="13" t="str">
        <f t="shared" si="11"/>
        <v>Calmness</v>
      </c>
      <c r="F97" s="13" t="str">
        <f t="shared" si="12"/>
        <v>CALMNESS</v>
      </c>
      <c r="G97" s="13" t="str">
        <f t="shared" si="13"/>
        <v>calmness</v>
      </c>
      <c r="H97" s="13" t="str">
        <f t="shared" si="14"/>
        <v>Calmness</v>
      </c>
      <c r="I97" s="13">
        <f t="shared" si="15"/>
        <v>14</v>
      </c>
      <c r="J97" s="13">
        <f t="shared" si="16"/>
        <v>8</v>
      </c>
      <c r="K97" s="13">
        <f t="shared" si="17"/>
        <v>6</v>
      </c>
    </row>
    <row r="98" spans="1:11" x14ac:dyDescent="0.25">
      <c r="A98" s="13">
        <f>'Raw Data'!A98</f>
        <v>96</v>
      </c>
      <c r="B98" s="13" t="str">
        <f>'Raw Data'!C98</f>
        <v xml:space="preserve"> Confusion    </v>
      </c>
      <c r="C98" s="13" t="str">
        <f t="shared" si="9"/>
        <v>Confusion</v>
      </c>
      <c r="D98" s="13" t="str">
        <f t="shared" si="10"/>
        <v xml:space="preserve"> Confusion    </v>
      </c>
      <c r="E98" s="13" t="str">
        <f t="shared" si="11"/>
        <v>Confusion</v>
      </c>
      <c r="F98" s="13" t="str">
        <f t="shared" si="12"/>
        <v>CONFUSION</v>
      </c>
      <c r="G98" s="13" t="str">
        <f t="shared" si="13"/>
        <v>confusion</v>
      </c>
      <c r="H98" s="13" t="str">
        <f t="shared" si="14"/>
        <v>Confusion</v>
      </c>
      <c r="I98" s="13">
        <f t="shared" si="15"/>
        <v>14</v>
      </c>
      <c r="J98" s="13">
        <f t="shared" si="16"/>
        <v>9</v>
      </c>
      <c r="K98" s="13">
        <f t="shared" si="17"/>
        <v>5</v>
      </c>
    </row>
    <row r="99" spans="1:11" x14ac:dyDescent="0.25">
      <c r="A99" s="13">
        <f>'Raw Data'!A99</f>
        <v>97</v>
      </c>
      <c r="B99" s="13" t="str">
        <f>'Raw Data'!C99</f>
        <v xml:space="preserve"> Excitement   </v>
      </c>
      <c r="C99" s="13" t="str">
        <f t="shared" si="9"/>
        <v>Excitement</v>
      </c>
      <c r="D99" s="13" t="str">
        <f t="shared" si="10"/>
        <v xml:space="preserve"> Excitement   </v>
      </c>
      <c r="E99" s="13" t="str">
        <f t="shared" si="11"/>
        <v>Excitement</v>
      </c>
      <c r="F99" s="13" t="str">
        <f t="shared" si="12"/>
        <v>EXCITEMENT</v>
      </c>
      <c r="G99" s="13" t="str">
        <f t="shared" si="13"/>
        <v>excitement</v>
      </c>
      <c r="H99" s="13" t="str">
        <f t="shared" si="14"/>
        <v>Excitement</v>
      </c>
      <c r="I99" s="13">
        <f t="shared" si="15"/>
        <v>14</v>
      </c>
      <c r="J99" s="13">
        <f t="shared" si="16"/>
        <v>10</v>
      </c>
      <c r="K99" s="13">
        <f t="shared" si="17"/>
        <v>4</v>
      </c>
    </row>
    <row r="100" spans="1:11" x14ac:dyDescent="0.25">
      <c r="A100" s="13">
        <f>'Raw Data'!A100</f>
        <v>98</v>
      </c>
      <c r="B100" s="13" t="str">
        <f>'Raw Data'!C100</f>
        <v xml:space="preserve"> Kind         </v>
      </c>
      <c r="C100" s="13" t="str">
        <f t="shared" si="9"/>
        <v>Kind</v>
      </c>
      <c r="D100" s="13" t="str">
        <f t="shared" si="10"/>
        <v xml:space="preserve"> Kind         </v>
      </c>
      <c r="E100" s="13" t="str">
        <f t="shared" si="11"/>
        <v>Kind</v>
      </c>
      <c r="F100" s="13" t="str">
        <f t="shared" si="12"/>
        <v>KIND</v>
      </c>
      <c r="G100" s="13" t="str">
        <f t="shared" si="13"/>
        <v>kind</v>
      </c>
      <c r="H100" s="13" t="str">
        <f t="shared" si="14"/>
        <v>Kind</v>
      </c>
      <c r="I100" s="13">
        <f t="shared" si="15"/>
        <v>14</v>
      </c>
      <c r="J100" s="13">
        <f t="shared" si="16"/>
        <v>4</v>
      </c>
      <c r="K100" s="13">
        <f t="shared" si="17"/>
        <v>10</v>
      </c>
    </row>
    <row r="101" spans="1:11" x14ac:dyDescent="0.25">
      <c r="A101" s="13">
        <f>'Raw Data'!A101</f>
        <v>99</v>
      </c>
      <c r="B101" s="13" t="str">
        <f>'Raw Data'!C101</f>
        <v xml:space="preserve"> Pride        </v>
      </c>
      <c r="C101" s="13" t="str">
        <f t="shared" si="9"/>
        <v>Pride</v>
      </c>
      <c r="D101" s="13" t="str">
        <f t="shared" si="10"/>
        <v xml:space="preserve"> Pride        </v>
      </c>
      <c r="E101" s="13" t="str">
        <f t="shared" si="11"/>
        <v>Pride</v>
      </c>
      <c r="F101" s="13" t="str">
        <f t="shared" si="12"/>
        <v>PRIDE</v>
      </c>
      <c r="G101" s="13" t="str">
        <f t="shared" si="13"/>
        <v>pride</v>
      </c>
      <c r="H101" s="13" t="str">
        <f t="shared" si="14"/>
        <v>Pride</v>
      </c>
      <c r="I101" s="13">
        <f t="shared" si="15"/>
        <v>14</v>
      </c>
      <c r="J101" s="13">
        <f t="shared" si="16"/>
        <v>5</v>
      </c>
      <c r="K101" s="13">
        <f t="shared" si="17"/>
        <v>9</v>
      </c>
    </row>
    <row r="102" spans="1:11" x14ac:dyDescent="0.25">
      <c r="A102" s="13">
        <f>'Raw Data'!A102</f>
        <v>100</v>
      </c>
      <c r="B102" s="13" t="str">
        <f>'Raw Data'!C102</f>
        <v xml:space="preserve"> Shame        </v>
      </c>
      <c r="C102" s="13" t="str">
        <f t="shared" si="9"/>
        <v>Shame</v>
      </c>
      <c r="D102" s="13" t="str">
        <f t="shared" si="10"/>
        <v xml:space="preserve"> Shame        </v>
      </c>
      <c r="E102" s="13" t="str">
        <f t="shared" si="11"/>
        <v>Shame</v>
      </c>
      <c r="F102" s="13" t="str">
        <f t="shared" si="12"/>
        <v>SHAME</v>
      </c>
      <c r="G102" s="13" t="str">
        <f t="shared" si="13"/>
        <v>shame</v>
      </c>
      <c r="H102" s="13" t="str">
        <f t="shared" si="14"/>
        <v>Shame</v>
      </c>
      <c r="I102" s="13">
        <f t="shared" si="15"/>
        <v>14</v>
      </c>
      <c r="J102" s="13">
        <f t="shared" si="16"/>
        <v>5</v>
      </c>
      <c r="K102" s="13">
        <f t="shared" si="17"/>
        <v>9</v>
      </c>
    </row>
    <row r="103" spans="1:11" x14ac:dyDescent="0.25">
      <c r="A103" s="13">
        <f>'Raw Data'!A103</f>
        <v>101</v>
      </c>
      <c r="B103" s="13" t="str">
        <f>'Raw Data'!C103</f>
        <v xml:space="preserve"> Acceptance   </v>
      </c>
      <c r="C103" s="13" t="str">
        <f t="shared" si="9"/>
        <v>Acceptance</v>
      </c>
      <c r="D103" s="13" t="str">
        <f t="shared" si="10"/>
        <v xml:space="preserve"> Acceptance   </v>
      </c>
      <c r="E103" s="13" t="str">
        <f t="shared" si="11"/>
        <v>Acceptance</v>
      </c>
      <c r="F103" s="13" t="str">
        <f t="shared" si="12"/>
        <v>ACCEPTANCE</v>
      </c>
      <c r="G103" s="13" t="str">
        <f t="shared" si="13"/>
        <v>acceptance</v>
      </c>
      <c r="H103" s="13" t="str">
        <f t="shared" si="14"/>
        <v>Acceptance</v>
      </c>
      <c r="I103" s="13">
        <f t="shared" si="15"/>
        <v>14</v>
      </c>
      <c r="J103" s="13">
        <f t="shared" si="16"/>
        <v>10</v>
      </c>
      <c r="K103" s="13">
        <f t="shared" si="17"/>
        <v>4</v>
      </c>
    </row>
    <row r="104" spans="1:11" x14ac:dyDescent="0.25">
      <c r="A104" s="13">
        <f>'Raw Data'!A104</f>
        <v>102</v>
      </c>
      <c r="B104" s="13" t="str">
        <f>'Raw Data'!C104</f>
        <v xml:space="preserve"> Excitement   </v>
      </c>
      <c r="C104" s="13" t="str">
        <f t="shared" si="9"/>
        <v>Excitement</v>
      </c>
      <c r="D104" s="13" t="str">
        <f t="shared" si="10"/>
        <v xml:space="preserve"> Excitement   </v>
      </c>
      <c r="E104" s="13" t="str">
        <f t="shared" si="11"/>
        <v>Excitement</v>
      </c>
      <c r="F104" s="13" t="str">
        <f t="shared" si="12"/>
        <v>EXCITEMENT</v>
      </c>
      <c r="G104" s="13" t="str">
        <f t="shared" si="13"/>
        <v>excitement</v>
      </c>
      <c r="H104" s="13" t="str">
        <f t="shared" si="14"/>
        <v>Excitement</v>
      </c>
      <c r="I104" s="13">
        <f t="shared" si="15"/>
        <v>14</v>
      </c>
      <c r="J104" s="13">
        <f t="shared" si="16"/>
        <v>10</v>
      </c>
      <c r="K104" s="13">
        <f t="shared" si="17"/>
        <v>4</v>
      </c>
    </row>
    <row r="105" spans="1:11" x14ac:dyDescent="0.25">
      <c r="A105" s="13">
        <f>'Raw Data'!A105</f>
        <v>103</v>
      </c>
      <c r="B105" s="13" t="str">
        <f>'Raw Data'!C105</f>
        <v xml:space="preserve"> Bitter       </v>
      </c>
      <c r="C105" s="13" t="str">
        <f t="shared" si="9"/>
        <v>Bitter</v>
      </c>
      <c r="D105" s="13" t="str">
        <f t="shared" si="10"/>
        <v xml:space="preserve"> Bitter       </v>
      </c>
      <c r="E105" s="13" t="str">
        <f t="shared" si="11"/>
        <v>Bitter</v>
      </c>
      <c r="F105" s="13" t="str">
        <f t="shared" si="12"/>
        <v>BITTER</v>
      </c>
      <c r="G105" s="13" t="str">
        <f t="shared" si="13"/>
        <v>bitter</v>
      </c>
      <c r="H105" s="13" t="str">
        <f t="shared" si="14"/>
        <v>Bitter</v>
      </c>
      <c r="I105" s="13">
        <f t="shared" si="15"/>
        <v>14</v>
      </c>
      <c r="J105" s="13">
        <f t="shared" si="16"/>
        <v>6</v>
      </c>
      <c r="K105" s="13">
        <f t="shared" si="17"/>
        <v>8</v>
      </c>
    </row>
    <row r="106" spans="1:11" x14ac:dyDescent="0.25">
      <c r="A106" s="13">
        <f>'Raw Data'!A106</f>
        <v>104</v>
      </c>
      <c r="B106" s="13" t="str">
        <f>'Raw Data'!C106</f>
        <v xml:space="preserve"> Calmness     </v>
      </c>
      <c r="C106" s="13" t="str">
        <f t="shared" si="9"/>
        <v>Calmness</v>
      </c>
      <c r="D106" s="13" t="str">
        <f t="shared" si="10"/>
        <v xml:space="preserve"> Calmness     </v>
      </c>
      <c r="E106" s="13" t="str">
        <f t="shared" si="11"/>
        <v>Calmness</v>
      </c>
      <c r="F106" s="13" t="str">
        <f t="shared" si="12"/>
        <v>CALMNESS</v>
      </c>
      <c r="G106" s="13" t="str">
        <f t="shared" si="13"/>
        <v>calmness</v>
      </c>
      <c r="H106" s="13" t="str">
        <f t="shared" si="14"/>
        <v>Calmness</v>
      </c>
      <c r="I106" s="13">
        <f t="shared" si="15"/>
        <v>14</v>
      </c>
      <c r="J106" s="13">
        <f t="shared" si="16"/>
        <v>8</v>
      </c>
      <c r="K106" s="13">
        <f t="shared" si="17"/>
        <v>6</v>
      </c>
    </row>
    <row r="107" spans="1:11" x14ac:dyDescent="0.25">
      <c r="A107" s="13">
        <f>'Raw Data'!A107</f>
        <v>105</v>
      </c>
      <c r="B107" s="13" t="str">
        <f>'Raw Data'!C107</f>
        <v xml:space="preserve"> Confusion </v>
      </c>
      <c r="C107" s="13" t="str">
        <f t="shared" si="9"/>
        <v>Confusion</v>
      </c>
      <c r="D107" s="13" t="str">
        <f t="shared" si="10"/>
        <v xml:space="preserve"> Confusion </v>
      </c>
      <c r="E107" s="13" t="str">
        <f t="shared" si="11"/>
        <v>Confusion</v>
      </c>
      <c r="F107" s="13" t="str">
        <f t="shared" si="12"/>
        <v>CONFUSION</v>
      </c>
      <c r="G107" s="13" t="str">
        <f t="shared" si="13"/>
        <v>confusion</v>
      </c>
      <c r="H107" s="13" t="str">
        <f t="shared" si="14"/>
        <v>Confusion</v>
      </c>
      <c r="I107" s="13">
        <f t="shared" si="15"/>
        <v>11</v>
      </c>
      <c r="J107" s="13">
        <f t="shared" si="16"/>
        <v>9</v>
      </c>
      <c r="K107" s="13">
        <f t="shared" si="17"/>
        <v>2</v>
      </c>
    </row>
    <row r="108" spans="1:11" x14ac:dyDescent="0.25">
      <c r="A108" s="13">
        <f>'Raw Data'!A108</f>
        <v>106</v>
      </c>
      <c r="B108" s="13" t="str">
        <f>'Raw Data'!C108</f>
        <v xml:space="preserve"> Excitement </v>
      </c>
      <c r="C108" s="13" t="str">
        <f t="shared" si="9"/>
        <v>Excitement</v>
      </c>
      <c r="D108" s="13" t="str">
        <f t="shared" si="10"/>
        <v xml:space="preserve"> Excitement </v>
      </c>
      <c r="E108" s="13" t="str">
        <f t="shared" si="11"/>
        <v>Excitement</v>
      </c>
      <c r="F108" s="13" t="str">
        <f t="shared" si="12"/>
        <v>EXCITEMENT</v>
      </c>
      <c r="G108" s="13" t="str">
        <f t="shared" si="13"/>
        <v>excitement</v>
      </c>
      <c r="H108" s="13" t="str">
        <f t="shared" si="14"/>
        <v>Excitement</v>
      </c>
      <c r="I108" s="13">
        <f t="shared" si="15"/>
        <v>12</v>
      </c>
      <c r="J108" s="13">
        <f t="shared" si="16"/>
        <v>10</v>
      </c>
      <c r="K108" s="13">
        <f t="shared" si="17"/>
        <v>2</v>
      </c>
    </row>
    <row r="109" spans="1:11" x14ac:dyDescent="0.25">
      <c r="A109" s="13">
        <f>'Raw Data'!A109</f>
        <v>107</v>
      </c>
      <c r="B109" s="13" t="str">
        <f>'Raw Data'!C109</f>
        <v xml:space="preserve"> Kind         </v>
      </c>
      <c r="C109" s="13" t="str">
        <f t="shared" si="9"/>
        <v>Kind</v>
      </c>
      <c r="D109" s="13" t="str">
        <f t="shared" si="10"/>
        <v xml:space="preserve"> Kind         </v>
      </c>
      <c r="E109" s="13" t="str">
        <f t="shared" si="11"/>
        <v>Kind</v>
      </c>
      <c r="F109" s="13" t="str">
        <f t="shared" si="12"/>
        <v>KIND</v>
      </c>
      <c r="G109" s="13" t="str">
        <f t="shared" si="13"/>
        <v>kind</v>
      </c>
      <c r="H109" s="13" t="str">
        <f t="shared" si="14"/>
        <v>Kind</v>
      </c>
      <c r="I109" s="13">
        <f t="shared" si="15"/>
        <v>14</v>
      </c>
      <c r="J109" s="13">
        <f t="shared" si="16"/>
        <v>4</v>
      </c>
      <c r="K109" s="13">
        <f t="shared" si="17"/>
        <v>10</v>
      </c>
    </row>
    <row r="110" spans="1:11" x14ac:dyDescent="0.25">
      <c r="A110" s="13">
        <f>'Raw Data'!A110</f>
        <v>108</v>
      </c>
      <c r="B110" s="13" t="str">
        <f>'Raw Data'!C110</f>
        <v xml:space="preserve"> Pride        </v>
      </c>
      <c r="C110" s="13" t="str">
        <f t="shared" si="9"/>
        <v>Pride</v>
      </c>
      <c r="D110" s="13" t="str">
        <f t="shared" si="10"/>
        <v xml:space="preserve"> Pride        </v>
      </c>
      <c r="E110" s="13" t="str">
        <f t="shared" si="11"/>
        <v>Pride</v>
      </c>
      <c r="F110" s="13" t="str">
        <f t="shared" si="12"/>
        <v>PRIDE</v>
      </c>
      <c r="G110" s="13" t="str">
        <f t="shared" si="13"/>
        <v>pride</v>
      </c>
      <c r="H110" s="13" t="str">
        <f t="shared" si="14"/>
        <v>Pride</v>
      </c>
      <c r="I110" s="13">
        <f t="shared" si="15"/>
        <v>14</v>
      </c>
      <c r="J110" s="13">
        <f t="shared" si="16"/>
        <v>5</v>
      </c>
      <c r="K110" s="13">
        <f t="shared" si="17"/>
        <v>9</v>
      </c>
    </row>
    <row r="111" spans="1:11" x14ac:dyDescent="0.25">
      <c r="A111" s="13">
        <f>'Raw Data'!A111</f>
        <v>109</v>
      </c>
      <c r="B111" s="13" t="str">
        <f>'Raw Data'!C111</f>
        <v xml:space="preserve"> Shame </v>
      </c>
      <c r="C111" s="13" t="str">
        <f t="shared" si="9"/>
        <v>Shame</v>
      </c>
      <c r="D111" s="13" t="str">
        <f t="shared" si="10"/>
        <v xml:space="preserve"> Shame </v>
      </c>
      <c r="E111" s="13" t="str">
        <f t="shared" si="11"/>
        <v>Shame</v>
      </c>
      <c r="F111" s="13" t="str">
        <f t="shared" si="12"/>
        <v>SHAME</v>
      </c>
      <c r="G111" s="13" t="str">
        <f t="shared" si="13"/>
        <v>shame</v>
      </c>
      <c r="H111" s="13" t="str">
        <f t="shared" si="14"/>
        <v>Shame</v>
      </c>
      <c r="I111" s="13">
        <f t="shared" si="15"/>
        <v>7</v>
      </c>
      <c r="J111" s="13">
        <f t="shared" si="16"/>
        <v>5</v>
      </c>
      <c r="K111" s="13">
        <f t="shared" si="17"/>
        <v>2</v>
      </c>
    </row>
    <row r="112" spans="1:11" x14ac:dyDescent="0.25">
      <c r="A112" s="13">
        <f>'Raw Data'!A112</f>
        <v>110</v>
      </c>
      <c r="B112" s="13" t="str">
        <f>'Raw Data'!C112</f>
        <v xml:space="preserve"> Elation       </v>
      </c>
      <c r="C112" s="13" t="str">
        <f t="shared" si="9"/>
        <v>Elation</v>
      </c>
      <c r="D112" s="13" t="str">
        <f t="shared" si="10"/>
        <v xml:space="preserve"> Elation       </v>
      </c>
      <c r="E112" s="13" t="str">
        <f t="shared" si="11"/>
        <v>Elation</v>
      </c>
      <c r="F112" s="13" t="str">
        <f t="shared" si="12"/>
        <v>ELATION</v>
      </c>
      <c r="G112" s="13" t="str">
        <f t="shared" si="13"/>
        <v>elation</v>
      </c>
      <c r="H112" s="13" t="str">
        <f t="shared" si="14"/>
        <v>Elation</v>
      </c>
      <c r="I112" s="13">
        <f t="shared" si="15"/>
        <v>15</v>
      </c>
      <c r="J112" s="13">
        <f t="shared" si="16"/>
        <v>7</v>
      </c>
      <c r="K112" s="13">
        <f t="shared" si="17"/>
        <v>8</v>
      </c>
    </row>
    <row r="113" spans="1:11" x14ac:dyDescent="0.25">
      <c r="A113" s="13">
        <f>'Raw Data'!A113</f>
        <v>111</v>
      </c>
      <c r="B113" s="13" t="str">
        <f>'Raw Data'!C113</f>
        <v xml:space="preserve"> Euphoria      </v>
      </c>
      <c r="C113" s="13" t="str">
        <f t="shared" si="9"/>
        <v>Euphoria</v>
      </c>
      <c r="D113" s="13" t="str">
        <f t="shared" si="10"/>
        <v xml:space="preserve"> Euphoria      </v>
      </c>
      <c r="E113" s="13" t="str">
        <f t="shared" si="11"/>
        <v>Euphoria</v>
      </c>
      <c r="F113" s="13" t="str">
        <f t="shared" si="12"/>
        <v>EUPHORIA</v>
      </c>
      <c r="G113" s="13" t="str">
        <f t="shared" si="13"/>
        <v>euphoria</v>
      </c>
      <c r="H113" s="13" t="str">
        <f t="shared" si="14"/>
        <v>Euphoria</v>
      </c>
      <c r="I113" s="13">
        <f t="shared" si="15"/>
        <v>15</v>
      </c>
      <c r="J113" s="13">
        <f t="shared" si="16"/>
        <v>8</v>
      </c>
      <c r="K113" s="13">
        <f t="shared" si="17"/>
        <v>7</v>
      </c>
    </row>
    <row r="114" spans="1:11" x14ac:dyDescent="0.25">
      <c r="A114" s="13">
        <f>'Raw Data'!A114</f>
        <v>112</v>
      </c>
      <c r="B114" s="13" t="str">
        <f>'Raw Data'!C114</f>
        <v xml:space="preserve"> Contentment   </v>
      </c>
      <c r="C114" s="13" t="str">
        <f t="shared" si="9"/>
        <v>Contentment</v>
      </c>
      <c r="D114" s="13" t="str">
        <f t="shared" si="10"/>
        <v xml:space="preserve"> Contentment   </v>
      </c>
      <c r="E114" s="13" t="str">
        <f t="shared" si="11"/>
        <v>Contentment</v>
      </c>
      <c r="F114" s="13" t="str">
        <f t="shared" si="12"/>
        <v>CONTENTMENT</v>
      </c>
      <c r="G114" s="13" t="str">
        <f t="shared" si="13"/>
        <v>contentment</v>
      </c>
      <c r="H114" s="13" t="str">
        <f t="shared" si="14"/>
        <v>Contentment</v>
      </c>
      <c r="I114" s="13">
        <f t="shared" si="15"/>
        <v>15</v>
      </c>
      <c r="J114" s="13">
        <f t="shared" si="16"/>
        <v>11</v>
      </c>
      <c r="K114" s="13">
        <f t="shared" si="17"/>
        <v>4</v>
      </c>
    </row>
    <row r="115" spans="1:11" x14ac:dyDescent="0.25">
      <c r="A115" s="13">
        <f>'Raw Data'!A115</f>
        <v>113</v>
      </c>
      <c r="B115" s="13" t="str">
        <f>'Raw Data'!C115</f>
        <v xml:space="preserve"> Serenity      </v>
      </c>
      <c r="C115" s="13" t="str">
        <f t="shared" si="9"/>
        <v>Serenity</v>
      </c>
      <c r="D115" s="13" t="str">
        <f t="shared" si="10"/>
        <v xml:space="preserve"> Serenity      </v>
      </c>
      <c r="E115" s="13" t="str">
        <f t="shared" si="11"/>
        <v>Serenity</v>
      </c>
      <c r="F115" s="13" t="str">
        <f t="shared" si="12"/>
        <v>SERENITY</v>
      </c>
      <c r="G115" s="13" t="str">
        <f t="shared" si="13"/>
        <v>serenity</v>
      </c>
      <c r="H115" s="13" t="str">
        <f t="shared" si="14"/>
        <v>Serenity</v>
      </c>
      <c r="I115" s="13">
        <f t="shared" si="15"/>
        <v>15</v>
      </c>
      <c r="J115" s="13">
        <f t="shared" si="16"/>
        <v>8</v>
      </c>
      <c r="K115" s="13">
        <f t="shared" si="17"/>
        <v>7</v>
      </c>
    </row>
    <row r="116" spans="1:11" x14ac:dyDescent="0.25">
      <c r="A116" s="13">
        <f>'Raw Data'!A116</f>
        <v>114</v>
      </c>
      <c r="B116" s="13" t="str">
        <f>'Raw Data'!C116</f>
        <v xml:space="preserve"> Gratitude     </v>
      </c>
      <c r="C116" s="13" t="str">
        <f t="shared" si="9"/>
        <v>Gratitude</v>
      </c>
      <c r="D116" s="13" t="str">
        <f t="shared" si="10"/>
        <v xml:space="preserve"> Gratitude     </v>
      </c>
      <c r="E116" s="13" t="str">
        <f t="shared" si="11"/>
        <v>Gratitude</v>
      </c>
      <c r="F116" s="13" t="str">
        <f t="shared" si="12"/>
        <v>GRATITUDE</v>
      </c>
      <c r="G116" s="13" t="str">
        <f t="shared" si="13"/>
        <v>gratitude</v>
      </c>
      <c r="H116" s="13" t="str">
        <f t="shared" si="14"/>
        <v>Gratitude</v>
      </c>
      <c r="I116" s="13">
        <f t="shared" si="15"/>
        <v>15</v>
      </c>
      <c r="J116" s="13">
        <f t="shared" si="16"/>
        <v>9</v>
      </c>
      <c r="K116" s="13">
        <f t="shared" si="17"/>
        <v>6</v>
      </c>
    </row>
    <row r="117" spans="1:11" x14ac:dyDescent="0.25">
      <c r="A117" s="13">
        <f>'Raw Data'!A117</f>
        <v>115</v>
      </c>
      <c r="B117" s="13" t="str">
        <f>'Raw Data'!C117</f>
        <v xml:space="preserve"> Hope          </v>
      </c>
      <c r="C117" s="13" t="str">
        <f t="shared" si="9"/>
        <v>Hope</v>
      </c>
      <c r="D117" s="13" t="str">
        <f t="shared" si="10"/>
        <v xml:space="preserve"> Hope          </v>
      </c>
      <c r="E117" s="13" t="str">
        <f t="shared" si="11"/>
        <v>Hope</v>
      </c>
      <c r="F117" s="13" t="str">
        <f t="shared" si="12"/>
        <v>HOPE</v>
      </c>
      <c r="G117" s="13" t="str">
        <f t="shared" si="13"/>
        <v>hope</v>
      </c>
      <c r="H117" s="13" t="str">
        <f t="shared" si="14"/>
        <v>Hope</v>
      </c>
      <c r="I117" s="13">
        <f t="shared" si="15"/>
        <v>15</v>
      </c>
      <c r="J117" s="13">
        <f t="shared" si="16"/>
        <v>4</v>
      </c>
      <c r="K117" s="13">
        <f t="shared" si="17"/>
        <v>11</v>
      </c>
    </row>
    <row r="118" spans="1:11" x14ac:dyDescent="0.25">
      <c r="A118" s="13">
        <f>'Raw Data'!A118</f>
        <v>116</v>
      </c>
      <c r="B118" s="13" t="str">
        <f>'Raw Data'!C118</f>
        <v xml:space="preserve"> Empowerment   </v>
      </c>
      <c r="C118" s="13" t="str">
        <f t="shared" si="9"/>
        <v>Empowerment</v>
      </c>
      <c r="D118" s="13" t="str">
        <f t="shared" si="10"/>
        <v xml:space="preserve"> Empowerment   </v>
      </c>
      <c r="E118" s="13" t="str">
        <f t="shared" si="11"/>
        <v>Empowerment</v>
      </c>
      <c r="F118" s="13" t="str">
        <f t="shared" si="12"/>
        <v>EMPOWERMENT</v>
      </c>
      <c r="G118" s="13" t="str">
        <f t="shared" si="13"/>
        <v>empowerment</v>
      </c>
      <c r="H118" s="13" t="str">
        <f t="shared" si="14"/>
        <v>Empowerment</v>
      </c>
      <c r="I118" s="13">
        <f t="shared" si="15"/>
        <v>15</v>
      </c>
      <c r="J118" s="13">
        <f t="shared" si="16"/>
        <v>11</v>
      </c>
      <c r="K118" s="13">
        <f t="shared" si="17"/>
        <v>4</v>
      </c>
    </row>
    <row r="119" spans="1:11" x14ac:dyDescent="0.25">
      <c r="A119" s="13">
        <f>'Raw Data'!A119</f>
        <v>117</v>
      </c>
      <c r="B119" s="13" t="str">
        <f>'Raw Data'!C119</f>
        <v xml:space="preserve"> Compassion    </v>
      </c>
      <c r="C119" s="13" t="str">
        <f t="shared" si="9"/>
        <v>Compassion</v>
      </c>
      <c r="D119" s="13" t="str">
        <f t="shared" si="10"/>
        <v xml:space="preserve"> Compassion    </v>
      </c>
      <c r="E119" s="13" t="str">
        <f t="shared" si="11"/>
        <v>Compassion</v>
      </c>
      <c r="F119" s="13" t="str">
        <f t="shared" si="12"/>
        <v>COMPASSION</v>
      </c>
      <c r="G119" s="13" t="str">
        <f t="shared" si="13"/>
        <v>compassion</v>
      </c>
      <c r="H119" s="13" t="str">
        <f t="shared" si="14"/>
        <v>Compassion</v>
      </c>
      <c r="I119" s="13">
        <f t="shared" si="15"/>
        <v>15</v>
      </c>
      <c r="J119" s="13">
        <f t="shared" si="16"/>
        <v>10</v>
      </c>
      <c r="K119" s="13">
        <f t="shared" si="17"/>
        <v>5</v>
      </c>
    </row>
    <row r="120" spans="1:11" x14ac:dyDescent="0.25">
      <c r="A120" s="13">
        <f>'Raw Data'!A120</f>
        <v>118</v>
      </c>
      <c r="B120" s="13" t="str">
        <f>'Raw Data'!C120</f>
        <v xml:space="preserve"> Tenderness    </v>
      </c>
      <c r="C120" s="13" t="str">
        <f t="shared" si="9"/>
        <v>Tenderness</v>
      </c>
      <c r="D120" s="13" t="str">
        <f t="shared" si="10"/>
        <v xml:space="preserve"> Tenderness    </v>
      </c>
      <c r="E120" s="13" t="str">
        <f t="shared" si="11"/>
        <v>Tenderness</v>
      </c>
      <c r="F120" s="13" t="str">
        <f t="shared" si="12"/>
        <v>TENDERNESS</v>
      </c>
      <c r="G120" s="13" t="str">
        <f t="shared" si="13"/>
        <v>tenderness</v>
      </c>
      <c r="H120" s="13" t="str">
        <f t="shared" si="14"/>
        <v>Tenderness</v>
      </c>
      <c r="I120" s="13">
        <f t="shared" si="15"/>
        <v>15</v>
      </c>
      <c r="J120" s="13">
        <f t="shared" si="16"/>
        <v>10</v>
      </c>
      <c r="K120" s="13">
        <f t="shared" si="17"/>
        <v>5</v>
      </c>
    </row>
    <row r="121" spans="1:11" x14ac:dyDescent="0.25">
      <c r="A121" s="13">
        <f>'Raw Data'!A121</f>
        <v>119</v>
      </c>
      <c r="B121" s="13" t="str">
        <f>'Raw Data'!C121</f>
        <v xml:space="preserve"> Arousal       </v>
      </c>
      <c r="C121" s="13" t="str">
        <f t="shared" si="9"/>
        <v>Arousal</v>
      </c>
      <c r="D121" s="13" t="str">
        <f t="shared" si="10"/>
        <v xml:space="preserve"> Arousal       </v>
      </c>
      <c r="E121" s="13" t="str">
        <f t="shared" si="11"/>
        <v>Arousal</v>
      </c>
      <c r="F121" s="13" t="str">
        <f t="shared" si="12"/>
        <v>AROUSAL</v>
      </c>
      <c r="G121" s="13" t="str">
        <f t="shared" si="13"/>
        <v>arousal</v>
      </c>
      <c r="H121" s="13" t="str">
        <f t="shared" si="14"/>
        <v>Arousal</v>
      </c>
      <c r="I121" s="13">
        <f t="shared" si="15"/>
        <v>15</v>
      </c>
      <c r="J121" s="13">
        <f t="shared" si="16"/>
        <v>7</v>
      </c>
      <c r="K121" s="13">
        <f t="shared" si="17"/>
        <v>8</v>
      </c>
    </row>
    <row r="122" spans="1:11" x14ac:dyDescent="0.25">
      <c r="A122" s="13">
        <f>'Raw Data'!A122</f>
        <v>120</v>
      </c>
      <c r="B122" s="13" t="str">
        <f>'Raw Data'!C122</f>
        <v xml:space="preserve"> Enthusiasm    </v>
      </c>
      <c r="C122" s="13" t="str">
        <f t="shared" si="9"/>
        <v>Enthusiasm</v>
      </c>
      <c r="D122" s="13" t="str">
        <f t="shared" si="10"/>
        <v xml:space="preserve"> Enthusiasm    </v>
      </c>
      <c r="E122" s="13" t="str">
        <f t="shared" si="11"/>
        <v>Enthusiasm</v>
      </c>
      <c r="F122" s="13" t="str">
        <f t="shared" si="12"/>
        <v>ENTHUSIASM</v>
      </c>
      <c r="G122" s="13" t="str">
        <f t="shared" si="13"/>
        <v>enthusiasm</v>
      </c>
      <c r="H122" s="13" t="str">
        <f t="shared" si="14"/>
        <v>Enthusiasm</v>
      </c>
      <c r="I122" s="13">
        <f t="shared" si="15"/>
        <v>15</v>
      </c>
      <c r="J122" s="13">
        <f t="shared" si="16"/>
        <v>10</v>
      </c>
      <c r="K122" s="13">
        <f t="shared" si="17"/>
        <v>5</v>
      </c>
    </row>
    <row r="123" spans="1:11" x14ac:dyDescent="0.25">
      <c r="A123" s="13">
        <f>'Raw Data'!A123</f>
        <v>121</v>
      </c>
      <c r="B123" s="13" t="str">
        <f>'Raw Data'!C123</f>
        <v xml:space="preserve"> Fulfillment  </v>
      </c>
      <c r="C123" s="13" t="str">
        <f t="shared" si="9"/>
        <v>Fulfillment</v>
      </c>
      <c r="D123" s="13" t="str">
        <f t="shared" si="10"/>
        <v xml:space="preserve"> Fulfillment  </v>
      </c>
      <c r="E123" s="13" t="str">
        <f t="shared" si="11"/>
        <v>Fulfillment</v>
      </c>
      <c r="F123" s="13" t="str">
        <f t="shared" si="12"/>
        <v>FULFILLMENT</v>
      </c>
      <c r="G123" s="13" t="str">
        <f t="shared" si="13"/>
        <v>fulfillment</v>
      </c>
      <c r="H123" s="13" t="str">
        <f t="shared" si="14"/>
        <v>Fulfillment</v>
      </c>
      <c r="I123" s="13">
        <f t="shared" si="15"/>
        <v>14</v>
      </c>
      <c r="J123" s="13">
        <f t="shared" si="16"/>
        <v>11</v>
      </c>
      <c r="K123" s="13">
        <f t="shared" si="17"/>
        <v>3</v>
      </c>
    </row>
    <row r="124" spans="1:11" x14ac:dyDescent="0.25">
      <c r="A124" s="13">
        <f>'Raw Data'!A124</f>
        <v>122</v>
      </c>
      <c r="B124" s="13" t="str">
        <f>'Raw Data'!C124</f>
        <v xml:space="preserve"> Reverence     </v>
      </c>
      <c r="C124" s="13" t="str">
        <f t="shared" si="9"/>
        <v>Reverence</v>
      </c>
      <c r="D124" s="13" t="str">
        <f t="shared" si="10"/>
        <v xml:space="preserve"> Reverence     </v>
      </c>
      <c r="E124" s="13" t="str">
        <f t="shared" si="11"/>
        <v>Reverence</v>
      </c>
      <c r="F124" s="13" t="str">
        <f t="shared" si="12"/>
        <v>REVERENCE</v>
      </c>
      <c r="G124" s="13" t="str">
        <f t="shared" si="13"/>
        <v>reverence</v>
      </c>
      <c r="H124" s="13" t="str">
        <f t="shared" si="14"/>
        <v>Reverence</v>
      </c>
      <c r="I124" s="13">
        <f t="shared" si="15"/>
        <v>15</v>
      </c>
      <c r="J124" s="13">
        <f t="shared" si="16"/>
        <v>9</v>
      </c>
      <c r="K124" s="13">
        <f t="shared" si="17"/>
        <v>6</v>
      </c>
    </row>
    <row r="125" spans="1:11" x14ac:dyDescent="0.25">
      <c r="A125" s="13">
        <f>'Raw Data'!A125</f>
        <v>123</v>
      </c>
      <c r="B125" s="13" t="str">
        <f>'Raw Data'!C125</f>
        <v xml:space="preserve"> Elation       </v>
      </c>
      <c r="C125" s="13" t="str">
        <f t="shared" si="9"/>
        <v>Elation</v>
      </c>
      <c r="D125" s="13" t="str">
        <f t="shared" si="10"/>
        <v xml:space="preserve"> Elation       </v>
      </c>
      <c r="E125" s="13" t="str">
        <f t="shared" si="11"/>
        <v>Elation</v>
      </c>
      <c r="F125" s="13" t="str">
        <f t="shared" si="12"/>
        <v>ELATION</v>
      </c>
      <c r="G125" s="13" t="str">
        <f t="shared" si="13"/>
        <v>elation</v>
      </c>
      <c r="H125" s="13" t="str">
        <f t="shared" si="14"/>
        <v>Elation</v>
      </c>
      <c r="I125" s="13">
        <f t="shared" si="15"/>
        <v>15</v>
      </c>
      <c r="J125" s="13">
        <f t="shared" si="16"/>
        <v>7</v>
      </c>
      <c r="K125" s="13">
        <f t="shared" si="17"/>
        <v>8</v>
      </c>
    </row>
    <row r="126" spans="1:11" x14ac:dyDescent="0.25">
      <c r="A126" s="13">
        <f>'Raw Data'!A126</f>
        <v>124</v>
      </c>
      <c r="B126" s="13" t="str">
        <f>'Raw Data'!C126</f>
        <v xml:space="preserve"> Euphoria      </v>
      </c>
      <c r="C126" s="13" t="str">
        <f t="shared" si="9"/>
        <v>Euphoria</v>
      </c>
      <c r="D126" s="13" t="str">
        <f t="shared" si="10"/>
        <v xml:space="preserve"> Euphoria      </v>
      </c>
      <c r="E126" s="13" t="str">
        <f t="shared" si="11"/>
        <v>Euphoria</v>
      </c>
      <c r="F126" s="13" t="str">
        <f t="shared" si="12"/>
        <v>EUPHORIA</v>
      </c>
      <c r="G126" s="13" t="str">
        <f t="shared" si="13"/>
        <v>euphoria</v>
      </c>
      <c r="H126" s="13" t="str">
        <f t="shared" si="14"/>
        <v>Euphoria</v>
      </c>
      <c r="I126" s="13">
        <f t="shared" si="15"/>
        <v>15</v>
      </c>
      <c r="J126" s="13">
        <f t="shared" si="16"/>
        <v>8</v>
      </c>
      <c r="K126" s="13">
        <f t="shared" si="17"/>
        <v>7</v>
      </c>
    </row>
    <row r="127" spans="1:11" x14ac:dyDescent="0.25">
      <c r="A127" s="13">
        <f>'Raw Data'!A127</f>
        <v>125</v>
      </c>
      <c r="B127" s="13" t="str">
        <f>'Raw Data'!C127</f>
        <v xml:space="preserve"> Contentment   </v>
      </c>
      <c r="C127" s="13" t="str">
        <f t="shared" si="9"/>
        <v>Contentment</v>
      </c>
      <c r="D127" s="13" t="str">
        <f t="shared" si="10"/>
        <v xml:space="preserve"> Contentment   </v>
      </c>
      <c r="E127" s="13" t="str">
        <f t="shared" si="11"/>
        <v>Contentment</v>
      </c>
      <c r="F127" s="13" t="str">
        <f t="shared" si="12"/>
        <v>CONTENTMENT</v>
      </c>
      <c r="G127" s="13" t="str">
        <f t="shared" si="13"/>
        <v>contentment</v>
      </c>
      <c r="H127" s="13" t="str">
        <f t="shared" si="14"/>
        <v>Contentment</v>
      </c>
      <c r="I127" s="13">
        <f t="shared" si="15"/>
        <v>15</v>
      </c>
      <c r="J127" s="13">
        <f t="shared" si="16"/>
        <v>11</v>
      </c>
      <c r="K127" s="13">
        <f t="shared" si="17"/>
        <v>4</v>
      </c>
    </row>
    <row r="128" spans="1:11" x14ac:dyDescent="0.25">
      <c r="A128" s="13">
        <f>'Raw Data'!A128</f>
        <v>126</v>
      </c>
      <c r="B128" s="13" t="str">
        <f>'Raw Data'!C128</f>
        <v xml:space="preserve"> Serenity      </v>
      </c>
      <c r="C128" s="13" t="str">
        <f t="shared" si="9"/>
        <v>Serenity</v>
      </c>
      <c r="D128" s="13" t="str">
        <f t="shared" si="10"/>
        <v xml:space="preserve"> Serenity      </v>
      </c>
      <c r="E128" s="13" t="str">
        <f t="shared" si="11"/>
        <v>Serenity</v>
      </c>
      <c r="F128" s="13" t="str">
        <f t="shared" si="12"/>
        <v>SERENITY</v>
      </c>
      <c r="G128" s="13" t="str">
        <f t="shared" si="13"/>
        <v>serenity</v>
      </c>
      <c r="H128" s="13" t="str">
        <f t="shared" si="14"/>
        <v>Serenity</v>
      </c>
      <c r="I128" s="13">
        <f t="shared" si="15"/>
        <v>15</v>
      </c>
      <c r="J128" s="13">
        <f t="shared" si="16"/>
        <v>8</v>
      </c>
      <c r="K128" s="13">
        <f t="shared" si="17"/>
        <v>7</v>
      </c>
    </row>
    <row r="129" spans="1:11" x14ac:dyDescent="0.25">
      <c r="A129" s="13">
        <f>'Raw Data'!A129</f>
        <v>127</v>
      </c>
      <c r="B129" s="13" t="str">
        <f>'Raw Data'!C129</f>
        <v xml:space="preserve"> Gratitude     </v>
      </c>
      <c r="C129" s="13" t="str">
        <f t="shared" si="9"/>
        <v>Gratitude</v>
      </c>
      <c r="D129" s="13" t="str">
        <f t="shared" si="10"/>
        <v xml:space="preserve"> Gratitude     </v>
      </c>
      <c r="E129" s="13" t="str">
        <f t="shared" si="11"/>
        <v>Gratitude</v>
      </c>
      <c r="F129" s="13" t="str">
        <f t="shared" si="12"/>
        <v>GRATITUDE</v>
      </c>
      <c r="G129" s="13" t="str">
        <f t="shared" si="13"/>
        <v>gratitude</v>
      </c>
      <c r="H129" s="13" t="str">
        <f t="shared" si="14"/>
        <v>Gratitude</v>
      </c>
      <c r="I129" s="13">
        <f t="shared" si="15"/>
        <v>15</v>
      </c>
      <c r="J129" s="13">
        <f t="shared" si="16"/>
        <v>9</v>
      </c>
      <c r="K129" s="13">
        <f t="shared" si="17"/>
        <v>6</v>
      </c>
    </row>
    <row r="130" spans="1:11" x14ac:dyDescent="0.25">
      <c r="A130" s="13">
        <f>'Raw Data'!A130</f>
        <v>128</v>
      </c>
      <c r="B130" s="13" t="str">
        <f>'Raw Data'!C130</f>
        <v xml:space="preserve"> Hope          </v>
      </c>
      <c r="C130" s="13" t="str">
        <f t="shared" si="9"/>
        <v>Hope</v>
      </c>
      <c r="D130" s="13" t="str">
        <f t="shared" si="10"/>
        <v xml:space="preserve"> Hope          </v>
      </c>
      <c r="E130" s="13" t="str">
        <f t="shared" si="11"/>
        <v>Hope</v>
      </c>
      <c r="F130" s="13" t="str">
        <f t="shared" si="12"/>
        <v>HOPE</v>
      </c>
      <c r="G130" s="13" t="str">
        <f t="shared" si="13"/>
        <v>hope</v>
      </c>
      <c r="H130" s="13" t="str">
        <f t="shared" si="14"/>
        <v>Hope</v>
      </c>
      <c r="I130" s="13">
        <f t="shared" si="15"/>
        <v>15</v>
      </c>
      <c r="J130" s="13">
        <f t="shared" si="16"/>
        <v>4</v>
      </c>
      <c r="K130" s="13">
        <f t="shared" si="17"/>
        <v>11</v>
      </c>
    </row>
    <row r="131" spans="1:11" x14ac:dyDescent="0.25">
      <c r="A131" s="13">
        <f>'Raw Data'!A131</f>
        <v>129</v>
      </c>
      <c r="B131" s="13" t="str">
        <f>'Raw Data'!C131</f>
        <v xml:space="preserve"> Empowerment   </v>
      </c>
      <c r="C131" s="13" t="str">
        <f t="shared" si="9"/>
        <v>Empowerment</v>
      </c>
      <c r="D131" s="13" t="str">
        <f t="shared" si="10"/>
        <v xml:space="preserve"> Empowerment   </v>
      </c>
      <c r="E131" s="13" t="str">
        <f t="shared" si="11"/>
        <v>Empowerment</v>
      </c>
      <c r="F131" s="13" t="str">
        <f t="shared" si="12"/>
        <v>EMPOWERMENT</v>
      </c>
      <c r="G131" s="13" t="str">
        <f t="shared" si="13"/>
        <v>empowerment</v>
      </c>
      <c r="H131" s="13" t="str">
        <f t="shared" si="14"/>
        <v>Empowerment</v>
      </c>
      <c r="I131" s="13">
        <f t="shared" si="15"/>
        <v>15</v>
      </c>
      <c r="J131" s="13">
        <f t="shared" si="16"/>
        <v>11</v>
      </c>
      <c r="K131" s="13">
        <f t="shared" si="17"/>
        <v>4</v>
      </c>
    </row>
    <row r="132" spans="1:11" x14ac:dyDescent="0.25">
      <c r="A132" s="13">
        <f>'Raw Data'!A132</f>
        <v>130</v>
      </c>
      <c r="B132" s="13" t="str">
        <f>'Raw Data'!C132</f>
        <v xml:space="preserve"> Compassion    </v>
      </c>
      <c r="C132" s="13" t="str">
        <f t="shared" ref="C132:C195" si="18">TRIM(B132)</f>
        <v>Compassion</v>
      </c>
      <c r="D132" s="13" t="str">
        <f t="shared" ref="D132:D195" si="19">CLEAN(B132)</f>
        <v xml:space="preserve"> Compassion    </v>
      </c>
      <c r="E132" s="13" t="str">
        <f t="shared" ref="E132:E195" si="20">SUBSTITUTE(SUBSTITUTE(SUBSTITUTE(TRIM(B132),"Positive","Pos"),"Negative","Neg"),"Neutral","Neu")</f>
        <v>Compassion</v>
      </c>
      <c r="F132" s="13" t="str">
        <f t="shared" ref="F132:F195" si="21">UPPER(TRIM(B132))</f>
        <v>COMPASSION</v>
      </c>
      <c r="G132" s="13" t="str">
        <f t="shared" ref="G132:G195" si="22">LOWER(TRIM(B132))</f>
        <v>compassion</v>
      </c>
      <c r="H132" s="13" t="str">
        <f t="shared" ref="H132:H195" si="23">PROPER(TRIM(B132))</f>
        <v>Compassion</v>
      </c>
      <c r="I132" s="13">
        <f t="shared" ref="I132:I195" si="24">LEN(B132)</f>
        <v>15</v>
      </c>
      <c r="J132" s="13">
        <f t="shared" ref="J132:J195" si="25">LEN(TRIM(B132))</f>
        <v>10</v>
      </c>
      <c r="K132" s="13">
        <f t="shared" ref="K132:K195" si="26">I132-J132</f>
        <v>5</v>
      </c>
    </row>
    <row r="133" spans="1:11" x14ac:dyDescent="0.25">
      <c r="A133" s="13">
        <f>'Raw Data'!A133</f>
        <v>131</v>
      </c>
      <c r="B133" s="13" t="str">
        <f>'Raw Data'!C133</f>
        <v xml:space="preserve"> Tenderness    </v>
      </c>
      <c r="C133" s="13" t="str">
        <f t="shared" si="18"/>
        <v>Tenderness</v>
      </c>
      <c r="D133" s="13" t="str">
        <f t="shared" si="19"/>
        <v xml:space="preserve"> Tenderness    </v>
      </c>
      <c r="E133" s="13" t="str">
        <f t="shared" si="20"/>
        <v>Tenderness</v>
      </c>
      <c r="F133" s="13" t="str">
        <f t="shared" si="21"/>
        <v>TENDERNESS</v>
      </c>
      <c r="G133" s="13" t="str">
        <f t="shared" si="22"/>
        <v>tenderness</v>
      </c>
      <c r="H133" s="13" t="str">
        <f t="shared" si="23"/>
        <v>Tenderness</v>
      </c>
      <c r="I133" s="13">
        <f t="shared" si="24"/>
        <v>15</v>
      </c>
      <c r="J133" s="13">
        <f t="shared" si="25"/>
        <v>10</v>
      </c>
      <c r="K133" s="13">
        <f t="shared" si="26"/>
        <v>5</v>
      </c>
    </row>
    <row r="134" spans="1:11" x14ac:dyDescent="0.25">
      <c r="A134" s="13">
        <f>'Raw Data'!A134</f>
        <v>132</v>
      </c>
      <c r="B134" s="13" t="str">
        <f>'Raw Data'!C134</f>
        <v xml:space="preserve"> Arousal       </v>
      </c>
      <c r="C134" s="13" t="str">
        <f t="shared" si="18"/>
        <v>Arousal</v>
      </c>
      <c r="D134" s="13" t="str">
        <f t="shared" si="19"/>
        <v xml:space="preserve"> Arousal       </v>
      </c>
      <c r="E134" s="13" t="str">
        <f t="shared" si="20"/>
        <v>Arousal</v>
      </c>
      <c r="F134" s="13" t="str">
        <f t="shared" si="21"/>
        <v>AROUSAL</v>
      </c>
      <c r="G134" s="13" t="str">
        <f t="shared" si="22"/>
        <v>arousal</v>
      </c>
      <c r="H134" s="13" t="str">
        <f t="shared" si="23"/>
        <v>Arousal</v>
      </c>
      <c r="I134" s="13">
        <f t="shared" si="24"/>
        <v>15</v>
      </c>
      <c r="J134" s="13">
        <f t="shared" si="25"/>
        <v>7</v>
      </c>
      <c r="K134" s="13">
        <f t="shared" si="26"/>
        <v>8</v>
      </c>
    </row>
    <row r="135" spans="1:11" x14ac:dyDescent="0.25">
      <c r="A135" s="13">
        <f>'Raw Data'!A135</f>
        <v>133</v>
      </c>
      <c r="B135" s="13" t="str">
        <f>'Raw Data'!C135</f>
        <v xml:space="preserve"> Enthusiasm    </v>
      </c>
      <c r="C135" s="13" t="str">
        <f t="shared" si="18"/>
        <v>Enthusiasm</v>
      </c>
      <c r="D135" s="13" t="str">
        <f t="shared" si="19"/>
        <v xml:space="preserve"> Enthusiasm    </v>
      </c>
      <c r="E135" s="13" t="str">
        <f t="shared" si="20"/>
        <v>Enthusiasm</v>
      </c>
      <c r="F135" s="13" t="str">
        <f t="shared" si="21"/>
        <v>ENTHUSIASM</v>
      </c>
      <c r="G135" s="13" t="str">
        <f t="shared" si="22"/>
        <v>enthusiasm</v>
      </c>
      <c r="H135" s="13" t="str">
        <f t="shared" si="23"/>
        <v>Enthusiasm</v>
      </c>
      <c r="I135" s="13">
        <f t="shared" si="24"/>
        <v>15</v>
      </c>
      <c r="J135" s="13">
        <f t="shared" si="25"/>
        <v>10</v>
      </c>
      <c r="K135" s="13">
        <f t="shared" si="26"/>
        <v>5</v>
      </c>
    </row>
    <row r="136" spans="1:11" x14ac:dyDescent="0.25">
      <c r="A136" s="13">
        <f>'Raw Data'!A136</f>
        <v>134</v>
      </c>
      <c r="B136" s="13" t="str">
        <f>'Raw Data'!C136</f>
        <v xml:space="preserve"> Fulfillment  </v>
      </c>
      <c r="C136" s="13" t="str">
        <f t="shared" si="18"/>
        <v>Fulfillment</v>
      </c>
      <c r="D136" s="13" t="str">
        <f t="shared" si="19"/>
        <v xml:space="preserve"> Fulfillment  </v>
      </c>
      <c r="E136" s="13" t="str">
        <f t="shared" si="20"/>
        <v>Fulfillment</v>
      </c>
      <c r="F136" s="13" t="str">
        <f t="shared" si="21"/>
        <v>FULFILLMENT</v>
      </c>
      <c r="G136" s="13" t="str">
        <f t="shared" si="22"/>
        <v>fulfillment</v>
      </c>
      <c r="H136" s="13" t="str">
        <f t="shared" si="23"/>
        <v>Fulfillment</v>
      </c>
      <c r="I136" s="13">
        <f t="shared" si="24"/>
        <v>14</v>
      </c>
      <c r="J136" s="13">
        <f t="shared" si="25"/>
        <v>11</v>
      </c>
      <c r="K136" s="13">
        <f t="shared" si="26"/>
        <v>3</v>
      </c>
    </row>
    <row r="137" spans="1:11" x14ac:dyDescent="0.25">
      <c r="A137" s="13">
        <f>'Raw Data'!A137</f>
        <v>135</v>
      </c>
      <c r="B137" s="13" t="str">
        <f>'Raw Data'!C137</f>
        <v xml:space="preserve"> Reverence     </v>
      </c>
      <c r="C137" s="13" t="str">
        <f t="shared" si="18"/>
        <v>Reverence</v>
      </c>
      <c r="D137" s="13" t="str">
        <f t="shared" si="19"/>
        <v xml:space="preserve"> Reverence     </v>
      </c>
      <c r="E137" s="13" t="str">
        <f t="shared" si="20"/>
        <v>Reverence</v>
      </c>
      <c r="F137" s="13" t="str">
        <f t="shared" si="21"/>
        <v>REVERENCE</v>
      </c>
      <c r="G137" s="13" t="str">
        <f t="shared" si="22"/>
        <v>reverence</v>
      </c>
      <c r="H137" s="13" t="str">
        <f t="shared" si="23"/>
        <v>Reverence</v>
      </c>
      <c r="I137" s="13">
        <f t="shared" si="24"/>
        <v>15</v>
      </c>
      <c r="J137" s="13">
        <f t="shared" si="25"/>
        <v>9</v>
      </c>
      <c r="K137" s="13">
        <f t="shared" si="26"/>
        <v>6</v>
      </c>
    </row>
    <row r="138" spans="1:11" x14ac:dyDescent="0.25">
      <c r="A138" s="13">
        <f>'Raw Data'!A138</f>
        <v>136</v>
      </c>
      <c r="B138" s="13" t="str">
        <f>'Raw Data'!C138</f>
        <v xml:space="preserve"> Elation       </v>
      </c>
      <c r="C138" s="13" t="str">
        <f t="shared" si="18"/>
        <v>Elation</v>
      </c>
      <c r="D138" s="13" t="str">
        <f t="shared" si="19"/>
        <v xml:space="preserve"> Elation       </v>
      </c>
      <c r="E138" s="13" t="str">
        <f t="shared" si="20"/>
        <v>Elation</v>
      </c>
      <c r="F138" s="13" t="str">
        <f t="shared" si="21"/>
        <v>ELATION</v>
      </c>
      <c r="G138" s="13" t="str">
        <f t="shared" si="22"/>
        <v>elation</v>
      </c>
      <c r="H138" s="13" t="str">
        <f t="shared" si="23"/>
        <v>Elation</v>
      </c>
      <c r="I138" s="13">
        <f t="shared" si="24"/>
        <v>15</v>
      </c>
      <c r="J138" s="13">
        <f t="shared" si="25"/>
        <v>7</v>
      </c>
      <c r="K138" s="13">
        <f t="shared" si="26"/>
        <v>8</v>
      </c>
    </row>
    <row r="139" spans="1:11" x14ac:dyDescent="0.25">
      <c r="A139" s="13">
        <f>'Raw Data'!A139</f>
        <v>137</v>
      </c>
      <c r="B139" s="13" t="str">
        <f>'Raw Data'!C139</f>
        <v xml:space="preserve"> Elation       </v>
      </c>
      <c r="C139" s="13" t="str">
        <f t="shared" si="18"/>
        <v>Elation</v>
      </c>
      <c r="D139" s="13" t="str">
        <f t="shared" si="19"/>
        <v xml:space="preserve"> Elation       </v>
      </c>
      <c r="E139" s="13" t="str">
        <f t="shared" si="20"/>
        <v>Elation</v>
      </c>
      <c r="F139" s="13" t="str">
        <f t="shared" si="21"/>
        <v>ELATION</v>
      </c>
      <c r="G139" s="13" t="str">
        <f t="shared" si="22"/>
        <v>elation</v>
      </c>
      <c r="H139" s="13" t="str">
        <f t="shared" si="23"/>
        <v>Elation</v>
      </c>
      <c r="I139" s="13">
        <f t="shared" si="24"/>
        <v>15</v>
      </c>
      <c r="J139" s="13">
        <f t="shared" si="25"/>
        <v>7</v>
      </c>
      <c r="K139" s="13">
        <f t="shared" si="26"/>
        <v>8</v>
      </c>
    </row>
    <row r="140" spans="1:11" x14ac:dyDescent="0.25">
      <c r="A140" s="13">
        <f>'Raw Data'!A140</f>
        <v>138</v>
      </c>
      <c r="B140" s="13" t="str">
        <f>'Raw Data'!C140</f>
        <v xml:space="preserve"> Euphoria      </v>
      </c>
      <c r="C140" s="13" t="str">
        <f t="shared" si="18"/>
        <v>Euphoria</v>
      </c>
      <c r="D140" s="13" t="str">
        <f t="shared" si="19"/>
        <v xml:space="preserve"> Euphoria      </v>
      </c>
      <c r="E140" s="13" t="str">
        <f t="shared" si="20"/>
        <v>Euphoria</v>
      </c>
      <c r="F140" s="13" t="str">
        <f t="shared" si="21"/>
        <v>EUPHORIA</v>
      </c>
      <c r="G140" s="13" t="str">
        <f t="shared" si="22"/>
        <v>euphoria</v>
      </c>
      <c r="H140" s="13" t="str">
        <f t="shared" si="23"/>
        <v>Euphoria</v>
      </c>
      <c r="I140" s="13">
        <f t="shared" si="24"/>
        <v>15</v>
      </c>
      <c r="J140" s="13">
        <f t="shared" si="25"/>
        <v>8</v>
      </c>
      <c r="K140" s="13">
        <f t="shared" si="26"/>
        <v>7</v>
      </c>
    </row>
    <row r="141" spans="1:11" x14ac:dyDescent="0.25">
      <c r="A141" s="13">
        <f>'Raw Data'!A141</f>
        <v>139</v>
      </c>
      <c r="B141" s="13" t="str">
        <f>'Raw Data'!C141</f>
        <v xml:space="preserve"> Contentment   </v>
      </c>
      <c r="C141" s="13" t="str">
        <f t="shared" si="18"/>
        <v>Contentment</v>
      </c>
      <c r="D141" s="13" t="str">
        <f t="shared" si="19"/>
        <v xml:space="preserve"> Contentment   </v>
      </c>
      <c r="E141" s="13" t="str">
        <f t="shared" si="20"/>
        <v>Contentment</v>
      </c>
      <c r="F141" s="13" t="str">
        <f t="shared" si="21"/>
        <v>CONTENTMENT</v>
      </c>
      <c r="G141" s="13" t="str">
        <f t="shared" si="22"/>
        <v>contentment</v>
      </c>
      <c r="H141" s="13" t="str">
        <f t="shared" si="23"/>
        <v>Contentment</v>
      </c>
      <c r="I141" s="13">
        <f t="shared" si="24"/>
        <v>15</v>
      </c>
      <c r="J141" s="13">
        <f t="shared" si="25"/>
        <v>11</v>
      </c>
      <c r="K141" s="13">
        <f t="shared" si="26"/>
        <v>4</v>
      </c>
    </row>
    <row r="142" spans="1:11" x14ac:dyDescent="0.25">
      <c r="A142" s="13">
        <f>'Raw Data'!A142</f>
        <v>140</v>
      </c>
      <c r="B142" s="13" t="str">
        <f>'Raw Data'!C142</f>
        <v xml:space="preserve"> Serenity      </v>
      </c>
      <c r="C142" s="13" t="str">
        <f t="shared" si="18"/>
        <v>Serenity</v>
      </c>
      <c r="D142" s="13" t="str">
        <f t="shared" si="19"/>
        <v xml:space="preserve"> Serenity      </v>
      </c>
      <c r="E142" s="13" t="str">
        <f t="shared" si="20"/>
        <v>Serenity</v>
      </c>
      <c r="F142" s="13" t="str">
        <f t="shared" si="21"/>
        <v>SERENITY</v>
      </c>
      <c r="G142" s="13" t="str">
        <f t="shared" si="22"/>
        <v>serenity</v>
      </c>
      <c r="H142" s="13" t="str">
        <f t="shared" si="23"/>
        <v>Serenity</v>
      </c>
      <c r="I142" s="13">
        <f t="shared" si="24"/>
        <v>15</v>
      </c>
      <c r="J142" s="13">
        <f t="shared" si="25"/>
        <v>8</v>
      </c>
      <c r="K142" s="13">
        <f t="shared" si="26"/>
        <v>7</v>
      </c>
    </row>
    <row r="143" spans="1:11" x14ac:dyDescent="0.25">
      <c r="A143" s="13">
        <f>'Raw Data'!A143</f>
        <v>141</v>
      </c>
      <c r="B143" s="13" t="str">
        <f>'Raw Data'!C143</f>
        <v xml:space="preserve"> Gratitude     </v>
      </c>
      <c r="C143" s="13" t="str">
        <f t="shared" si="18"/>
        <v>Gratitude</v>
      </c>
      <c r="D143" s="13" t="str">
        <f t="shared" si="19"/>
        <v xml:space="preserve"> Gratitude     </v>
      </c>
      <c r="E143" s="13" t="str">
        <f t="shared" si="20"/>
        <v>Gratitude</v>
      </c>
      <c r="F143" s="13" t="str">
        <f t="shared" si="21"/>
        <v>GRATITUDE</v>
      </c>
      <c r="G143" s="13" t="str">
        <f t="shared" si="22"/>
        <v>gratitude</v>
      </c>
      <c r="H143" s="13" t="str">
        <f t="shared" si="23"/>
        <v>Gratitude</v>
      </c>
      <c r="I143" s="13">
        <f t="shared" si="24"/>
        <v>15</v>
      </c>
      <c r="J143" s="13">
        <f t="shared" si="25"/>
        <v>9</v>
      </c>
      <c r="K143" s="13">
        <f t="shared" si="26"/>
        <v>6</v>
      </c>
    </row>
    <row r="144" spans="1:11" x14ac:dyDescent="0.25">
      <c r="A144" s="13">
        <f>'Raw Data'!A144</f>
        <v>142</v>
      </c>
      <c r="B144" s="13" t="str">
        <f>'Raw Data'!C144</f>
        <v xml:space="preserve"> Hope          </v>
      </c>
      <c r="C144" s="13" t="str">
        <f t="shared" si="18"/>
        <v>Hope</v>
      </c>
      <c r="D144" s="13" t="str">
        <f t="shared" si="19"/>
        <v xml:space="preserve"> Hope          </v>
      </c>
      <c r="E144" s="13" t="str">
        <f t="shared" si="20"/>
        <v>Hope</v>
      </c>
      <c r="F144" s="13" t="str">
        <f t="shared" si="21"/>
        <v>HOPE</v>
      </c>
      <c r="G144" s="13" t="str">
        <f t="shared" si="22"/>
        <v>hope</v>
      </c>
      <c r="H144" s="13" t="str">
        <f t="shared" si="23"/>
        <v>Hope</v>
      </c>
      <c r="I144" s="13">
        <f t="shared" si="24"/>
        <v>15</v>
      </c>
      <c r="J144" s="13">
        <f t="shared" si="25"/>
        <v>4</v>
      </c>
      <c r="K144" s="13">
        <f t="shared" si="26"/>
        <v>11</v>
      </c>
    </row>
    <row r="145" spans="1:11" x14ac:dyDescent="0.25">
      <c r="A145" s="13">
        <f>'Raw Data'!A145</f>
        <v>143</v>
      </c>
      <c r="B145" s="13" t="str">
        <f>'Raw Data'!C145</f>
        <v xml:space="preserve"> Empowerment   </v>
      </c>
      <c r="C145" s="13" t="str">
        <f t="shared" si="18"/>
        <v>Empowerment</v>
      </c>
      <c r="D145" s="13" t="str">
        <f t="shared" si="19"/>
        <v xml:space="preserve"> Empowerment   </v>
      </c>
      <c r="E145" s="13" t="str">
        <f t="shared" si="20"/>
        <v>Empowerment</v>
      </c>
      <c r="F145" s="13" t="str">
        <f t="shared" si="21"/>
        <v>EMPOWERMENT</v>
      </c>
      <c r="G145" s="13" t="str">
        <f t="shared" si="22"/>
        <v>empowerment</v>
      </c>
      <c r="H145" s="13" t="str">
        <f t="shared" si="23"/>
        <v>Empowerment</v>
      </c>
      <c r="I145" s="13">
        <f t="shared" si="24"/>
        <v>15</v>
      </c>
      <c r="J145" s="13">
        <f t="shared" si="25"/>
        <v>11</v>
      </c>
      <c r="K145" s="13">
        <f t="shared" si="26"/>
        <v>4</v>
      </c>
    </row>
    <row r="146" spans="1:11" x14ac:dyDescent="0.25">
      <c r="A146" s="13">
        <f>'Raw Data'!A146</f>
        <v>144</v>
      </c>
      <c r="B146" s="13" t="str">
        <f>'Raw Data'!C146</f>
        <v xml:space="preserve"> Compassion</v>
      </c>
      <c r="C146" s="13" t="str">
        <f t="shared" si="18"/>
        <v>Compassion</v>
      </c>
      <c r="D146" s="13" t="str">
        <f t="shared" si="19"/>
        <v xml:space="preserve"> Compassion</v>
      </c>
      <c r="E146" s="13" t="str">
        <f t="shared" si="20"/>
        <v>Compassion</v>
      </c>
      <c r="F146" s="13" t="str">
        <f t="shared" si="21"/>
        <v>COMPASSION</v>
      </c>
      <c r="G146" s="13" t="str">
        <f t="shared" si="22"/>
        <v>compassion</v>
      </c>
      <c r="H146" s="13" t="str">
        <f t="shared" si="23"/>
        <v>Compassion</v>
      </c>
      <c r="I146" s="13">
        <f t="shared" si="24"/>
        <v>11</v>
      </c>
      <c r="J146" s="13">
        <f t="shared" si="25"/>
        <v>10</v>
      </c>
      <c r="K146" s="13">
        <f t="shared" si="26"/>
        <v>1</v>
      </c>
    </row>
    <row r="147" spans="1:11" x14ac:dyDescent="0.25">
      <c r="A147" s="13">
        <f>'Raw Data'!A147</f>
        <v>145</v>
      </c>
      <c r="B147" s="13" t="str">
        <f>'Raw Data'!C147</f>
        <v xml:space="preserve"> Tenderness    </v>
      </c>
      <c r="C147" s="13" t="str">
        <f t="shared" si="18"/>
        <v>Tenderness</v>
      </c>
      <c r="D147" s="13" t="str">
        <f t="shared" si="19"/>
        <v xml:space="preserve"> Tenderness    </v>
      </c>
      <c r="E147" s="13" t="str">
        <f t="shared" si="20"/>
        <v>Tenderness</v>
      </c>
      <c r="F147" s="13" t="str">
        <f t="shared" si="21"/>
        <v>TENDERNESS</v>
      </c>
      <c r="G147" s="13" t="str">
        <f t="shared" si="22"/>
        <v>tenderness</v>
      </c>
      <c r="H147" s="13" t="str">
        <f t="shared" si="23"/>
        <v>Tenderness</v>
      </c>
      <c r="I147" s="13">
        <f t="shared" si="24"/>
        <v>15</v>
      </c>
      <c r="J147" s="13">
        <f t="shared" si="25"/>
        <v>10</v>
      </c>
      <c r="K147" s="13">
        <f t="shared" si="26"/>
        <v>5</v>
      </c>
    </row>
    <row r="148" spans="1:11" x14ac:dyDescent="0.25">
      <c r="A148" s="13">
        <f>'Raw Data'!A148</f>
        <v>146</v>
      </c>
      <c r="B148" s="13" t="str">
        <f>'Raw Data'!C148</f>
        <v xml:space="preserve"> Arousal       </v>
      </c>
      <c r="C148" s="13" t="str">
        <f t="shared" si="18"/>
        <v>Arousal</v>
      </c>
      <c r="D148" s="13" t="str">
        <f t="shared" si="19"/>
        <v xml:space="preserve"> Arousal       </v>
      </c>
      <c r="E148" s="13" t="str">
        <f t="shared" si="20"/>
        <v>Arousal</v>
      </c>
      <c r="F148" s="13" t="str">
        <f t="shared" si="21"/>
        <v>AROUSAL</v>
      </c>
      <c r="G148" s="13" t="str">
        <f t="shared" si="22"/>
        <v>arousal</v>
      </c>
      <c r="H148" s="13" t="str">
        <f t="shared" si="23"/>
        <v>Arousal</v>
      </c>
      <c r="I148" s="13">
        <f t="shared" si="24"/>
        <v>15</v>
      </c>
      <c r="J148" s="13">
        <f t="shared" si="25"/>
        <v>7</v>
      </c>
      <c r="K148" s="13">
        <f t="shared" si="26"/>
        <v>8</v>
      </c>
    </row>
    <row r="149" spans="1:11" x14ac:dyDescent="0.25">
      <c r="A149" s="13">
        <f>'Raw Data'!A149</f>
        <v>147</v>
      </c>
      <c r="B149" s="13" t="str">
        <f>'Raw Data'!C149</f>
        <v xml:space="preserve"> Enthusiasm    </v>
      </c>
      <c r="C149" s="13" t="str">
        <f t="shared" si="18"/>
        <v>Enthusiasm</v>
      </c>
      <c r="D149" s="13" t="str">
        <f t="shared" si="19"/>
        <v xml:space="preserve"> Enthusiasm    </v>
      </c>
      <c r="E149" s="13" t="str">
        <f t="shared" si="20"/>
        <v>Enthusiasm</v>
      </c>
      <c r="F149" s="13" t="str">
        <f t="shared" si="21"/>
        <v>ENTHUSIASM</v>
      </c>
      <c r="G149" s="13" t="str">
        <f t="shared" si="22"/>
        <v>enthusiasm</v>
      </c>
      <c r="H149" s="13" t="str">
        <f t="shared" si="23"/>
        <v>Enthusiasm</v>
      </c>
      <c r="I149" s="13">
        <f t="shared" si="24"/>
        <v>15</v>
      </c>
      <c r="J149" s="13">
        <f t="shared" si="25"/>
        <v>10</v>
      </c>
      <c r="K149" s="13">
        <f t="shared" si="26"/>
        <v>5</v>
      </c>
    </row>
    <row r="150" spans="1:11" x14ac:dyDescent="0.25">
      <c r="A150" s="13">
        <f>'Raw Data'!A150</f>
        <v>148</v>
      </c>
      <c r="B150" s="13" t="str">
        <f>'Raw Data'!C150</f>
        <v xml:space="preserve"> Fulfillment   </v>
      </c>
      <c r="C150" s="13" t="str">
        <f t="shared" si="18"/>
        <v>Fulfillment</v>
      </c>
      <c r="D150" s="13" t="str">
        <f t="shared" si="19"/>
        <v xml:space="preserve"> Fulfillment   </v>
      </c>
      <c r="E150" s="13" t="str">
        <f t="shared" si="20"/>
        <v>Fulfillment</v>
      </c>
      <c r="F150" s="13" t="str">
        <f t="shared" si="21"/>
        <v>FULFILLMENT</v>
      </c>
      <c r="G150" s="13" t="str">
        <f t="shared" si="22"/>
        <v>fulfillment</v>
      </c>
      <c r="H150" s="13" t="str">
        <f t="shared" si="23"/>
        <v>Fulfillment</v>
      </c>
      <c r="I150" s="13">
        <f t="shared" si="24"/>
        <v>15</v>
      </c>
      <c r="J150" s="13">
        <f t="shared" si="25"/>
        <v>11</v>
      </c>
      <c r="K150" s="13">
        <f t="shared" si="26"/>
        <v>4</v>
      </c>
    </row>
    <row r="151" spans="1:11" x14ac:dyDescent="0.25">
      <c r="A151" s="13">
        <f>'Raw Data'!A151</f>
        <v>149</v>
      </c>
      <c r="B151" s="13" t="str">
        <f>'Raw Data'!C151</f>
        <v xml:space="preserve"> Reverence </v>
      </c>
      <c r="C151" s="13" t="str">
        <f t="shared" si="18"/>
        <v>Reverence</v>
      </c>
      <c r="D151" s="13" t="str">
        <f t="shared" si="19"/>
        <v xml:space="preserve"> Reverence </v>
      </c>
      <c r="E151" s="13" t="str">
        <f t="shared" si="20"/>
        <v>Reverence</v>
      </c>
      <c r="F151" s="13" t="str">
        <f t="shared" si="21"/>
        <v>REVERENCE</v>
      </c>
      <c r="G151" s="13" t="str">
        <f t="shared" si="22"/>
        <v>reverence</v>
      </c>
      <c r="H151" s="13" t="str">
        <f t="shared" si="23"/>
        <v>Reverence</v>
      </c>
      <c r="I151" s="13">
        <f t="shared" si="24"/>
        <v>11</v>
      </c>
      <c r="J151" s="13">
        <f t="shared" si="25"/>
        <v>9</v>
      </c>
      <c r="K151" s="13">
        <f t="shared" si="26"/>
        <v>2</v>
      </c>
    </row>
    <row r="152" spans="1:11" x14ac:dyDescent="0.25">
      <c r="A152" s="13">
        <f>'Raw Data'!A152</f>
        <v>150</v>
      </c>
      <c r="B152" s="13" t="str">
        <f>'Raw Data'!C152</f>
        <v xml:space="preserve"> Elation       </v>
      </c>
      <c r="C152" s="13" t="str">
        <f t="shared" si="18"/>
        <v>Elation</v>
      </c>
      <c r="D152" s="13" t="str">
        <f t="shared" si="19"/>
        <v xml:space="preserve"> Elation       </v>
      </c>
      <c r="E152" s="13" t="str">
        <f t="shared" si="20"/>
        <v>Elation</v>
      </c>
      <c r="F152" s="13" t="str">
        <f t="shared" si="21"/>
        <v>ELATION</v>
      </c>
      <c r="G152" s="13" t="str">
        <f t="shared" si="22"/>
        <v>elation</v>
      </c>
      <c r="H152" s="13" t="str">
        <f t="shared" si="23"/>
        <v>Elation</v>
      </c>
      <c r="I152" s="13">
        <f t="shared" si="24"/>
        <v>15</v>
      </c>
      <c r="J152" s="13">
        <f t="shared" si="25"/>
        <v>7</v>
      </c>
      <c r="K152" s="13">
        <f t="shared" si="26"/>
        <v>8</v>
      </c>
    </row>
    <row r="153" spans="1:11" x14ac:dyDescent="0.25">
      <c r="A153" s="13">
        <f>'Raw Data'!A153</f>
        <v>151</v>
      </c>
      <c r="B153" s="13" t="str">
        <f>'Raw Data'!C153</f>
        <v xml:space="preserve"> Euphoria      </v>
      </c>
      <c r="C153" s="13" t="str">
        <f t="shared" si="18"/>
        <v>Euphoria</v>
      </c>
      <c r="D153" s="13" t="str">
        <f t="shared" si="19"/>
        <v xml:space="preserve"> Euphoria      </v>
      </c>
      <c r="E153" s="13" t="str">
        <f t="shared" si="20"/>
        <v>Euphoria</v>
      </c>
      <c r="F153" s="13" t="str">
        <f t="shared" si="21"/>
        <v>EUPHORIA</v>
      </c>
      <c r="G153" s="13" t="str">
        <f t="shared" si="22"/>
        <v>euphoria</v>
      </c>
      <c r="H153" s="13" t="str">
        <f t="shared" si="23"/>
        <v>Euphoria</v>
      </c>
      <c r="I153" s="13">
        <f t="shared" si="24"/>
        <v>15</v>
      </c>
      <c r="J153" s="13">
        <f t="shared" si="25"/>
        <v>8</v>
      </c>
      <c r="K153" s="13">
        <f t="shared" si="26"/>
        <v>7</v>
      </c>
    </row>
    <row r="154" spans="1:11" x14ac:dyDescent="0.25">
      <c r="A154" s="13">
        <f>'Raw Data'!A154</f>
        <v>152</v>
      </c>
      <c r="B154" s="13" t="str">
        <f>'Raw Data'!C154</f>
        <v xml:space="preserve"> Contentment   </v>
      </c>
      <c r="C154" s="13" t="str">
        <f t="shared" si="18"/>
        <v>Contentment</v>
      </c>
      <c r="D154" s="13" t="str">
        <f t="shared" si="19"/>
        <v xml:space="preserve"> Contentment   </v>
      </c>
      <c r="E154" s="13" t="str">
        <f t="shared" si="20"/>
        <v>Contentment</v>
      </c>
      <c r="F154" s="13" t="str">
        <f t="shared" si="21"/>
        <v>CONTENTMENT</v>
      </c>
      <c r="G154" s="13" t="str">
        <f t="shared" si="22"/>
        <v>contentment</v>
      </c>
      <c r="H154" s="13" t="str">
        <f t="shared" si="23"/>
        <v>Contentment</v>
      </c>
      <c r="I154" s="13">
        <f t="shared" si="24"/>
        <v>15</v>
      </c>
      <c r="J154" s="13">
        <f t="shared" si="25"/>
        <v>11</v>
      </c>
      <c r="K154" s="13">
        <f t="shared" si="26"/>
        <v>4</v>
      </c>
    </row>
    <row r="155" spans="1:11" x14ac:dyDescent="0.25">
      <c r="A155" s="13">
        <f>'Raw Data'!A155</f>
        <v>153</v>
      </c>
      <c r="B155" s="13" t="str">
        <f>'Raw Data'!C155</f>
        <v xml:space="preserve"> Serenity      </v>
      </c>
      <c r="C155" s="13" t="str">
        <f t="shared" si="18"/>
        <v>Serenity</v>
      </c>
      <c r="D155" s="13" t="str">
        <f t="shared" si="19"/>
        <v xml:space="preserve"> Serenity      </v>
      </c>
      <c r="E155" s="13" t="str">
        <f t="shared" si="20"/>
        <v>Serenity</v>
      </c>
      <c r="F155" s="13" t="str">
        <f t="shared" si="21"/>
        <v>SERENITY</v>
      </c>
      <c r="G155" s="13" t="str">
        <f t="shared" si="22"/>
        <v>serenity</v>
      </c>
      <c r="H155" s="13" t="str">
        <f t="shared" si="23"/>
        <v>Serenity</v>
      </c>
      <c r="I155" s="13">
        <f t="shared" si="24"/>
        <v>15</v>
      </c>
      <c r="J155" s="13">
        <f t="shared" si="25"/>
        <v>8</v>
      </c>
      <c r="K155" s="13">
        <f t="shared" si="26"/>
        <v>7</v>
      </c>
    </row>
    <row r="156" spans="1:11" x14ac:dyDescent="0.25">
      <c r="A156" s="13">
        <f>'Raw Data'!A156</f>
        <v>154</v>
      </c>
      <c r="B156" s="13" t="str">
        <f>'Raw Data'!C156</f>
        <v xml:space="preserve"> Gratitude     </v>
      </c>
      <c r="C156" s="13" t="str">
        <f t="shared" si="18"/>
        <v>Gratitude</v>
      </c>
      <c r="D156" s="13" t="str">
        <f t="shared" si="19"/>
        <v xml:space="preserve"> Gratitude     </v>
      </c>
      <c r="E156" s="13" t="str">
        <f t="shared" si="20"/>
        <v>Gratitude</v>
      </c>
      <c r="F156" s="13" t="str">
        <f t="shared" si="21"/>
        <v>GRATITUDE</v>
      </c>
      <c r="G156" s="13" t="str">
        <f t="shared" si="22"/>
        <v>gratitude</v>
      </c>
      <c r="H156" s="13" t="str">
        <f t="shared" si="23"/>
        <v>Gratitude</v>
      </c>
      <c r="I156" s="13">
        <f t="shared" si="24"/>
        <v>15</v>
      </c>
      <c r="J156" s="13">
        <f t="shared" si="25"/>
        <v>9</v>
      </c>
      <c r="K156" s="13">
        <f t="shared" si="26"/>
        <v>6</v>
      </c>
    </row>
    <row r="157" spans="1:11" x14ac:dyDescent="0.25">
      <c r="A157" s="13">
        <f>'Raw Data'!A157</f>
        <v>155</v>
      </c>
      <c r="B157" s="13" t="str">
        <f>'Raw Data'!C157</f>
        <v xml:space="preserve"> Hope          </v>
      </c>
      <c r="C157" s="13" t="str">
        <f t="shared" si="18"/>
        <v>Hope</v>
      </c>
      <c r="D157" s="13" t="str">
        <f t="shared" si="19"/>
        <v xml:space="preserve"> Hope          </v>
      </c>
      <c r="E157" s="13" t="str">
        <f t="shared" si="20"/>
        <v>Hope</v>
      </c>
      <c r="F157" s="13" t="str">
        <f t="shared" si="21"/>
        <v>HOPE</v>
      </c>
      <c r="G157" s="13" t="str">
        <f t="shared" si="22"/>
        <v>hope</v>
      </c>
      <c r="H157" s="13" t="str">
        <f t="shared" si="23"/>
        <v>Hope</v>
      </c>
      <c r="I157" s="13">
        <f t="shared" si="24"/>
        <v>15</v>
      </c>
      <c r="J157" s="13">
        <f t="shared" si="25"/>
        <v>4</v>
      </c>
      <c r="K157" s="13">
        <f t="shared" si="26"/>
        <v>11</v>
      </c>
    </row>
    <row r="158" spans="1:11" x14ac:dyDescent="0.25">
      <c r="A158" s="13">
        <f>'Raw Data'!A158</f>
        <v>156</v>
      </c>
      <c r="B158" s="13" t="str">
        <f>'Raw Data'!C158</f>
        <v xml:space="preserve"> Empowerment   </v>
      </c>
      <c r="C158" s="13" t="str">
        <f t="shared" si="18"/>
        <v>Empowerment</v>
      </c>
      <c r="D158" s="13" t="str">
        <f t="shared" si="19"/>
        <v xml:space="preserve"> Empowerment   </v>
      </c>
      <c r="E158" s="13" t="str">
        <f t="shared" si="20"/>
        <v>Empowerment</v>
      </c>
      <c r="F158" s="13" t="str">
        <f t="shared" si="21"/>
        <v>EMPOWERMENT</v>
      </c>
      <c r="G158" s="13" t="str">
        <f t="shared" si="22"/>
        <v>empowerment</v>
      </c>
      <c r="H158" s="13" t="str">
        <f t="shared" si="23"/>
        <v>Empowerment</v>
      </c>
      <c r="I158" s="13">
        <f t="shared" si="24"/>
        <v>15</v>
      </c>
      <c r="J158" s="13">
        <f t="shared" si="25"/>
        <v>11</v>
      </c>
      <c r="K158" s="13">
        <f t="shared" si="26"/>
        <v>4</v>
      </c>
    </row>
    <row r="159" spans="1:11" x14ac:dyDescent="0.25">
      <c r="A159" s="13">
        <f>'Raw Data'!A159</f>
        <v>157</v>
      </c>
      <c r="B159" s="13" t="str">
        <f>'Raw Data'!C159</f>
        <v xml:space="preserve"> Compassion    </v>
      </c>
      <c r="C159" s="13" t="str">
        <f t="shared" si="18"/>
        <v>Compassion</v>
      </c>
      <c r="D159" s="13" t="str">
        <f t="shared" si="19"/>
        <v xml:space="preserve"> Compassion    </v>
      </c>
      <c r="E159" s="13" t="str">
        <f t="shared" si="20"/>
        <v>Compassion</v>
      </c>
      <c r="F159" s="13" t="str">
        <f t="shared" si="21"/>
        <v>COMPASSION</v>
      </c>
      <c r="G159" s="13" t="str">
        <f t="shared" si="22"/>
        <v>compassion</v>
      </c>
      <c r="H159" s="13" t="str">
        <f t="shared" si="23"/>
        <v>Compassion</v>
      </c>
      <c r="I159" s="13">
        <f t="shared" si="24"/>
        <v>15</v>
      </c>
      <c r="J159" s="13">
        <f t="shared" si="25"/>
        <v>10</v>
      </c>
      <c r="K159" s="13">
        <f t="shared" si="26"/>
        <v>5</v>
      </c>
    </row>
    <row r="160" spans="1:11" x14ac:dyDescent="0.25">
      <c r="A160" s="13">
        <f>'Raw Data'!A160</f>
        <v>158</v>
      </c>
      <c r="B160" s="13" t="str">
        <f>'Raw Data'!C160</f>
        <v xml:space="preserve"> Tenderness    </v>
      </c>
      <c r="C160" s="13" t="str">
        <f t="shared" si="18"/>
        <v>Tenderness</v>
      </c>
      <c r="D160" s="13" t="str">
        <f t="shared" si="19"/>
        <v xml:space="preserve"> Tenderness    </v>
      </c>
      <c r="E160" s="13" t="str">
        <f t="shared" si="20"/>
        <v>Tenderness</v>
      </c>
      <c r="F160" s="13" t="str">
        <f t="shared" si="21"/>
        <v>TENDERNESS</v>
      </c>
      <c r="G160" s="13" t="str">
        <f t="shared" si="22"/>
        <v>tenderness</v>
      </c>
      <c r="H160" s="13" t="str">
        <f t="shared" si="23"/>
        <v>Tenderness</v>
      </c>
      <c r="I160" s="13">
        <f t="shared" si="24"/>
        <v>15</v>
      </c>
      <c r="J160" s="13">
        <f t="shared" si="25"/>
        <v>10</v>
      </c>
      <c r="K160" s="13">
        <f t="shared" si="26"/>
        <v>5</v>
      </c>
    </row>
    <row r="161" spans="1:11" x14ac:dyDescent="0.25">
      <c r="A161" s="13">
        <f>'Raw Data'!A161</f>
        <v>159</v>
      </c>
      <c r="B161" s="13" t="str">
        <f>'Raw Data'!C161</f>
        <v xml:space="preserve"> Arousal       </v>
      </c>
      <c r="C161" s="13" t="str">
        <f t="shared" si="18"/>
        <v>Arousal</v>
      </c>
      <c r="D161" s="13" t="str">
        <f t="shared" si="19"/>
        <v xml:space="preserve"> Arousal       </v>
      </c>
      <c r="E161" s="13" t="str">
        <f t="shared" si="20"/>
        <v>Arousal</v>
      </c>
      <c r="F161" s="13" t="str">
        <f t="shared" si="21"/>
        <v>AROUSAL</v>
      </c>
      <c r="G161" s="13" t="str">
        <f t="shared" si="22"/>
        <v>arousal</v>
      </c>
      <c r="H161" s="13" t="str">
        <f t="shared" si="23"/>
        <v>Arousal</v>
      </c>
      <c r="I161" s="13">
        <f t="shared" si="24"/>
        <v>15</v>
      </c>
      <c r="J161" s="13">
        <f t="shared" si="25"/>
        <v>7</v>
      </c>
      <c r="K161" s="13">
        <f t="shared" si="26"/>
        <v>8</v>
      </c>
    </row>
    <row r="162" spans="1:11" x14ac:dyDescent="0.25">
      <c r="A162" s="13">
        <f>'Raw Data'!A162</f>
        <v>160</v>
      </c>
      <c r="B162" s="13" t="str">
        <f>'Raw Data'!C162</f>
        <v xml:space="preserve"> Enthusiasm    </v>
      </c>
      <c r="C162" s="13" t="str">
        <f t="shared" si="18"/>
        <v>Enthusiasm</v>
      </c>
      <c r="D162" s="13" t="str">
        <f t="shared" si="19"/>
        <v xml:space="preserve"> Enthusiasm    </v>
      </c>
      <c r="E162" s="13" t="str">
        <f t="shared" si="20"/>
        <v>Enthusiasm</v>
      </c>
      <c r="F162" s="13" t="str">
        <f t="shared" si="21"/>
        <v>ENTHUSIASM</v>
      </c>
      <c r="G162" s="13" t="str">
        <f t="shared" si="22"/>
        <v>enthusiasm</v>
      </c>
      <c r="H162" s="13" t="str">
        <f t="shared" si="23"/>
        <v>Enthusiasm</v>
      </c>
      <c r="I162" s="13">
        <f t="shared" si="24"/>
        <v>15</v>
      </c>
      <c r="J162" s="13">
        <f t="shared" si="25"/>
        <v>10</v>
      </c>
      <c r="K162" s="13">
        <f t="shared" si="26"/>
        <v>5</v>
      </c>
    </row>
    <row r="163" spans="1:11" x14ac:dyDescent="0.25">
      <c r="A163" s="13">
        <f>'Raw Data'!A163</f>
        <v>161</v>
      </c>
      <c r="B163" s="13" t="str">
        <f>'Raw Data'!C163</f>
        <v xml:space="preserve"> Fulfillment   </v>
      </c>
      <c r="C163" s="13" t="str">
        <f t="shared" si="18"/>
        <v>Fulfillment</v>
      </c>
      <c r="D163" s="13" t="str">
        <f t="shared" si="19"/>
        <v xml:space="preserve"> Fulfillment   </v>
      </c>
      <c r="E163" s="13" t="str">
        <f t="shared" si="20"/>
        <v>Fulfillment</v>
      </c>
      <c r="F163" s="13" t="str">
        <f t="shared" si="21"/>
        <v>FULFILLMENT</v>
      </c>
      <c r="G163" s="13" t="str">
        <f t="shared" si="22"/>
        <v>fulfillment</v>
      </c>
      <c r="H163" s="13" t="str">
        <f t="shared" si="23"/>
        <v>Fulfillment</v>
      </c>
      <c r="I163" s="13">
        <f t="shared" si="24"/>
        <v>15</v>
      </c>
      <c r="J163" s="13">
        <f t="shared" si="25"/>
        <v>11</v>
      </c>
      <c r="K163" s="13">
        <f t="shared" si="26"/>
        <v>4</v>
      </c>
    </row>
    <row r="164" spans="1:11" x14ac:dyDescent="0.25">
      <c r="A164" s="13">
        <f>'Raw Data'!A164</f>
        <v>162</v>
      </c>
      <c r="B164" s="13" t="str">
        <f>'Raw Data'!C164</f>
        <v xml:space="preserve"> Reverence </v>
      </c>
      <c r="C164" s="13" t="str">
        <f t="shared" si="18"/>
        <v>Reverence</v>
      </c>
      <c r="D164" s="13" t="str">
        <f t="shared" si="19"/>
        <v xml:space="preserve"> Reverence </v>
      </c>
      <c r="E164" s="13" t="str">
        <f t="shared" si="20"/>
        <v>Reverence</v>
      </c>
      <c r="F164" s="13" t="str">
        <f t="shared" si="21"/>
        <v>REVERENCE</v>
      </c>
      <c r="G164" s="13" t="str">
        <f t="shared" si="22"/>
        <v>reverence</v>
      </c>
      <c r="H164" s="13" t="str">
        <f t="shared" si="23"/>
        <v>Reverence</v>
      </c>
      <c r="I164" s="13">
        <f t="shared" si="24"/>
        <v>11</v>
      </c>
      <c r="J164" s="13">
        <f t="shared" si="25"/>
        <v>9</v>
      </c>
      <c r="K164" s="13">
        <f t="shared" si="26"/>
        <v>2</v>
      </c>
    </row>
    <row r="165" spans="1:11" x14ac:dyDescent="0.25">
      <c r="A165" s="13">
        <f>'Raw Data'!A165</f>
        <v>163</v>
      </c>
      <c r="B165" s="13" t="str">
        <f>'Raw Data'!C165</f>
        <v xml:space="preserve"> Elation   </v>
      </c>
      <c r="C165" s="13" t="str">
        <f t="shared" si="18"/>
        <v>Elation</v>
      </c>
      <c r="D165" s="13" t="str">
        <f t="shared" si="19"/>
        <v xml:space="preserve"> Elation   </v>
      </c>
      <c r="E165" s="13" t="str">
        <f t="shared" si="20"/>
        <v>Elation</v>
      </c>
      <c r="F165" s="13" t="str">
        <f t="shared" si="21"/>
        <v>ELATION</v>
      </c>
      <c r="G165" s="13" t="str">
        <f t="shared" si="22"/>
        <v>elation</v>
      </c>
      <c r="H165" s="13" t="str">
        <f t="shared" si="23"/>
        <v>Elation</v>
      </c>
      <c r="I165" s="13">
        <f t="shared" si="24"/>
        <v>11</v>
      </c>
      <c r="J165" s="13">
        <f t="shared" si="25"/>
        <v>7</v>
      </c>
      <c r="K165" s="13">
        <f t="shared" si="26"/>
        <v>4</v>
      </c>
    </row>
    <row r="166" spans="1:11" x14ac:dyDescent="0.25">
      <c r="A166" s="13">
        <f>'Raw Data'!A166</f>
        <v>164</v>
      </c>
      <c r="B166" s="13" t="str">
        <f>'Raw Data'!C166</f>
        <v xml:space="preserve"> Despair         </v>
      </c>
      <c r="C166" s="13" t="str">
        <f t="shared" si="18"/>
        <v>Despair</v>
      </c>
      <c r="D166" s="13" t="str">
        <f t="shared" si="19"/>
        <v xml:space="preserve"> Despair         </v>
      </c>
      <c r="E166" s="13" t="str">
        <f t="shared" si="20"/>
        <v>Despair</v>
      </c>
      <c r="F166" s="13" t="str">
        <f t="shared" si="21"/>
        <v>DESPAIR</v>
      </c>
      <c r="G166" s="13" t="str">
        <f t="shared" si="22"/>
        <v>despair</v>
      </c>
      <c r="H166" s="13" t="str">
        <f t="shared" si="23"/>
        <v>Despair</v>
      </c>
      <c r="I166" s="13">
        <f t="shared" si="24"/>
        <v>17</v>
      </c>
      <c r="J166" s="13">
        <f t="shared" si="25"/>
        <v>7</v>
      </c>
      <c r="K166" s="13">
        <f t="shared" si="26"/>
        <v>10</v>
      </c>
    </row>
    <row r="167" spans="1:11" x14ac:dyDescent="0.25">
      <c r="A167" s="13">
        <f>'Raw Data'!A167</f>
        <v>165</v>
      </c>
      <c r="B167" s="13" t="str">
        <f>'Raw Data'!C167</f>
        <v xml:space="preserve"> Grief           </v>
      </c>
      <c r="C167" s="13" t="str">
        <f t="shared" si="18"/>
        <v>Grief</v>
      </c>
      <c r="D167" s="13" t="str">
        <f t="shared" si="19"/>
        <v xml:space="preserve"> Grief           </v>
      </c>
      <c r="E167" s="13" t="str">
        <f t="shared" si="20"/>
        <v>Grief</v>
      </c>
      <c r="F167" s="13" t="str">
        <f t="shared" si="21"/>
        <v>GRIEF</v>
      </c>
      <c r="G167" s="13" t="str">
        <f t="shared" si="22"/>
        <v>grief</v>
      </c>
      <c r="H167" s="13" t="str">
        <f t="shared" si="23"/>
        <v>Grief</v>
      </c>
      <c r="I167" s="13">
        <f t="shared" si="24"/>
        <v>17</v>
      </c>
      <c r="J167" s="13">
        <f t="shared" si="25"/>
        <v>5</v>
      </c>
      <c r="K167" s="13">
        <f t="shared" si="26"/>
        <v>12</v>
      </c>
    </row>
    <row r="168" spans="1:11" x14ac:dyDescent="0.25">
      <c r="A168" s="13">
        <f>'Raw Data'!A168</f>
        <v>166</v>
      </c>
      <c r="B168" s="13" t="str">
        <f>'Raw Data'!C168</f>
        <v xml:space="preserve"> Loneliness      </v>
      </c>
      <c r="C168" s="13" t="str">
        <f t="shared" si="18"/>
        <v>Loneliness</v>
      </c>
      <c r="D168" s="13" t="str">
        <f t="shared" si="19"/>
        <v xml:space="preserve"> Loneliness      </v>
      </c>
      <c r="E168" s="13" t="str">
        <f t="shared" si="20"/>
        <v>Loneliness</v>
      </c>
      <c r="F168" s="13" t="str">
        <f t="shared" si="21"/>
        <v>LONELINESS</v>
      </c>
      <c r="G168" s="13" t="str">
        <f t="shared" si="22"/>
        <v>loneliness</v>
      </c>
      <c r="H168" s="13" t="str">
        <f t="shared" si="23"/>
        <v>Loneliness</v>
      </c>
      <c r="I168" s="13">
        <f t="shared" si="24"/>
        <v>17</v>
      </c>
      <c r="J168" s="13">
        <f t="shared" si="25"/>
        <v>10</v>
      </c>
      <c r="K168" s="13">
        <f t="shared" si="26"/>
        <v>7</v>
      </c>
    </row>
    <row r="169" spans="1:11" x14ac:dyDescent="0.25">
      <c r="A169" s="13">
        <f>'Raw Data'!A169</f>
        <v>167</v>
      </c>
      <c r="B169" s="13" t="str">
        <f>'Raw Data'!C169</f>
        <v xml:space="preserve"> Jealousy        </v>
      </c>
      <c r="C169" s="13" t="str">
        <f t="shared" si="18"/>
        <v>Jealousy</v>
      </c>
      <c r="D169" s="13" t="str">
        <f t="shared" si="19"/>
        <v xml:space="preserve"> Jealousy        </v>
      </c>
      <c r="E169" s="13" t="str">
        <f t="shared" si="20"/>
        <v>Jealousy</v>
      </c>
      <c r="F169" s="13" t="str">
        <f t="shared" si="21"/>
        <v>JEALOUSY</v>
      </c>
      <c r="G169" s="13" t="str">
        <f t="shared" si="22"/>
        <v>jealousy</v>
      </c>
      <c r="H169" s="13" t="str">
        <f t="shared" si="23"/>
        <v>Jealousy</v>
      </c>
      <c r="I169" s="13">
        <f t="shared" si="24"/>
        <v>17</v>
      </c>
      <c r="J169" s="13">
        <f t="shared" si="25"/>
        <v>8</v>
      </c>
      <c r="K169" s="13">
        <f t="shared" si="26"/>
        <v>9</v>
      </c>
    </row>
    <row r="170" spans="1:11" x14ac:dyDescent="0.25">
      <c r="A170" s="13">
        <f>'Raw Data'!A170</f>
        <v>168</v>
      </c>
      <c r="B170" s="13" t="str">
        <f>'Raw Data'!C170</f>
        <v xml:space="preserve"> Resentment      </v>
      </c>
      <c r="C170" s="13" t="str">
        <f t="shared" si="18"/>
        <v>Resentment</v>
      </c>
      <c r="D170" s="13" t="str">
        <f t="shared" si="19"/>
        <v xml:space="preserve"> Resentment      </v>
      </c>
      <c r="E170" s="13" t="str">
        <f t="shared" si="20"/>
        <v>Resentment</v>
      </c>
      <c r="F170" s="13" t="str">
        <f t="shared" si="21"/>
        <v>RESENTMENT</v>
      </c>
      <c r="G170" s="13" t="str">
        <f t="shared" si="22"/>
        <v>resentment</v>
      </c>
      <c r="H170" s="13" t="str">
        <f t="shared" si="23"/>
        <v>Resentment</v>
      </c>
      <c r="I170" s="13">
        <f t="shared" si="24"/>
        <v>17</v>
      </c>
      <c r="J170" s="13">
        <f t="shared" si="25"/>
        <v>10</v>
      </c>
      <c r="K170" s="13">
        <f t="shared" si="26"/>
        <v>7</v>
      </c>
    </row>
    <row r="171" spans="1:11" x14ac:dyDescent="0.25">
      <c r="A171" s="13">
        <f>'Raw Data'!A171</f>
        <v>169</v>
      </c>
      <c r="B171" s="13" t="str">
        <f>'Raw Data'!C171</f>
        <v xml:space="preserve"> Frustration     </v>
      </c>
      <c r="C171" s="13" t="str">
        <f t="shared" si="18"/>
        <v>Frustration</v>
      </c>
      <c r="D171" s="13" t="str">
        <f t="shared" si="19"/>
        <v xml:space="preserve"> Frustration     </v>
      </c>
      <c r="E171" s="13" t="str">
        <f t="shared" si="20"/>
        <v>Frustration</v>
      </c>
      <c r="F171" s="13" t="str">
        <f t="shared" si="21"/>
        <v>FRUSTRATION</v>
      </c>
      <c r="G171" s="13" t="str">
        <f t="shared" si="22"/>
        <v>frustration</v>
      </c>
      <c r="H171" s="13" t="str">
        <f t="shared" si="23"/>
        <v>Frustration</v>
      </c>
      <c r="I171" s="13">
        <f t="shared" si="24"/>
        <v>17</v>
      </c>
      <c r="J171" s="13">
        <f t="shared" si="25"/>
        <v>11</v>
      </c>
      <c r="K171" s="13">
        <f t="shared" si="26"/>
        <v>6</v>
      </c>
    </row>
    <row r="172" spans="1:11" x14ac:dyDescent="0.25">
      <c r="A172" s="13">
        <f>'Raw Data'!A172</f>
        <v>170</v>
      </c>
      <c r="B172" s="13" t="str">
        <f>'Raw Data'!C172</f>
        <v xml:space="preserve"> Boredom         </v>
      </c>
      <c r="C172" s="13" t="str">
        <f t="shared" si="18"/>
        <v>Boredom</v>
      </c>
      <c r="D172" s="13" t="str">
        <f t="shared" si="19"/>
        <v xml:space="preserve"> Boredom         </v>
      </c>
      <c r="E172" s="13" t="str">
        <f t="shared" si="20"/>
        <v>Boredom</v>
      </c>
      <c r="F172" s="13" t="str">
        <f t="shared" si="21"/>
        <v>BOREDOM</v>
      </c>
      <c r="G172" s="13" t="str">
        <f t="shared" si="22"/>
        <v>boredom</v>
      </c>
      <c r="H172" s="13" t="str">
        <f t="shared" si="23"/>
        <v>Boredom</v>
      </c>
      <c r="I172" s="13">
        <f t="shared" si="24"/>
        <v>17</v>
      </c>
      <c r="J172" s="13">
        <f t="shared" si="25"/>
        <v>7</v>
      </c>
      <c r="K172" s="13">
        <f t="shared" si="26"/>
        <v>10</v>
      </c>
    </row>
    <row r="173" spans="1:11" x14ac:dyDescent="0.25">
      <c r="A173" s="13">
        <f>'Raw Data'!A173</f>
        <v>171</v>
      </c>
      <c r="B173" s="13" t="str">
        <f>'Raw Data'!C173</f>
        <v xml:space="preserve"> Anxiety         </v>
      </c>
      <c r="C173" s="13" t="str">
        <f t="shared" si="18"/>
        <v>Anxiety</v>
      </c>
      <c r="D173" s="13" t="str">
        <f t="shared" si="19"/>
        <v xml:space="preserve"> Anxiety         </v>
      </c>
      <c r="E173" s="13" t="str">
        <f t="shared" si="20"/>
        <v>Anxiety</v>
      </c>
      <c r="F173" s="13" t="str">
        <f t="shared" si="21"/>
        <v>ANXIETY</v>
      </c>
      <c r="G173" s="13" t="str">
        <f t="shared" si="22"/>
        <v>anxiety</v>
      </c>
      <c r="H173" s="13" t="str">
        <f t="shared" si="23"/>
        <v>Anxiety</v>
      </c>
      <c r="I173" s="13">
        <f t="shared" si="24"/>
        <v>17</v>
      </c>
      <c r="J173" s="13">
        <f t="shared" si="25"/>
        <v>7</v>
      </c>
      <c r="K173" s="13">
        <f t="shared" si="26"/>
        <v>10</v>
      </c>
    </row>
    <row r="174" spans="1:11" x14ac:dyDescent="0.25">
      <c r="A174" s="13">
        <f>'Raw Data'!A174</f>
        <v>172</v>
      </c>
      <c r="B174" s="13" t="str">
        <f>'Raw Data'!C174</f>
        <v xml:space="preserve"> Intimidation    </v>
      </c>
      <c r="C174" s="13" t="str">
        <f t="shared" si="18"/>
        <v>Intimidation</v>
      </c>
      <c r="D174" s="13" t="str">
        <f t="shared" si="19"/>
        <v xml:space="preserve"> Intimidation    </v>
      </c>
      <c r="E174" s="13" t="str">
        <f t="shared" si="20"/>
        <v>Intimidation</v>
      </c>
      <c r="F174" s="13" t="str">
        <f t="shared" si="21"/>
        <v>INTIMIDATION</v>
      </c>
      <c r="G174" s="13" t="str">
        <f t="shared" si="22"/>
        <v>intimidation</v>
      </c>
      <c r="H174" s="13" t="str">
        <f t="shared" si="23"/>
        <v>Intimidation</v>
      </c>
      <c r="I174" s="13">
        <f t="shared" si="24"/>
        <v>17</v>
      </c>
      <c r="J174" s="13">
        <f t="shared" si="25"/>
        <v>12</v>
      </c>
      <c r="K174" s="13">
        <f t="shared" si="26"/>
        <v>5</v>
      </c>
    </row>
    <row r="175" spans="1:11" x14ac:dyDescent="0.25">
      <c r="A175" s="13">
        <f>'Raw Data'!A175</f>
        <v>173</v>
      </c>
      <c r="B175" s="13" t="str">
        <f>'Raw Data'!C175</f>
        <v xml:space="preserve"> Helplessness    </v>
      </c>
      <c r="C175" s="13" t="str">
        <f t="shared" si="18"/>
        <v>Helplessness</v>
      </c>
      <c r="D175" s="13" t="str">
        <f t="shared" si="19"/>
        <v xml:space="preserve"> Helplessness    </v>
      </c>
      <c r="E175" s="13" t="str">
        <f t="shared" si="20"/>
        <v>Helplessness</v>
      </c>
      <c r="F175" s="13" t="str">
        <f t="shared" si="21"/>
        <v>HELPLESSNESS</v>
      </c>
      <c r="G175" s="13" t="str">
        <f t="shared" si="22"/>
        <v>helplessness</v>
      </c>
      <c r="H175" s="13" t="str">
        <f t="shared" si="23"/>
        <v>Helplessness</v>
      </c>
      <c r="I175" s="13">
        <f t="shared" si="24"/>
        <v>17</v>
      </c>
      <c r="J175" s="13">
        <f t="shared" si="25"/>
        <v>12</v>
      </c>
      <c r="K175" s="13">
        <f t="shared" si="26"/>
        <v>5</v>
      </c>
    </row>
    <row r="176" spans="1:11" x14ac:dyDescent="0.25">
      <c r="A176" s="13">
        <f>'Raw Data'!A176</f>
        <v>174</v>
      </c>
      <c r="B176" s="13" t="str">
        <f>'Raw Data'!C176</f>
        <v xml:space="preserve"> Envy            </v>
      </c>
      <c r="C176" s="13" t="str">
        <f t="shared" si="18"/>
        <v>Envy</v>
      </c>
      <c r="D176" s="13" t="str">
        <f t="shared" si="19"/>
        <v xml:space="preserve"> Envy            </v>
      </c>
      <c r="E176" s="13" t="str">
        <f t="shared" si="20"/>
        <v>Envy</v>
      </c>
      <c r="F176" s="13" t="str">
        <f t="shared" si="21"/>
        <v>ENVY</v>
      </c>
      <c r="G176" s="13" t="str">
        <f t="shared" si="22"/>
        <v>envy</v>
      </c>
      <c r="H176" s="13" t="str">
        <f t="shared" si="23"/>
        <v>Envy</v>
      </c>
      <c r="I176" s="13">
        <f t="shared" si="24"/>
        <v>17</v>
      </c>
      <c r="J176" s="13">
        <f t="shared" si="25"/>
        <v>4</v>
      </c>
      <c r="K176" s="13">
        <f t="shared" si="26"/>
        <v>13</v>
      </c>
    </row>
    <row r="177" spans="1:11" x14ac:dyDescent="0.25">
      <c r="A177" s="13">
        <f>'Raw Data'!A177</f>
        <v>175</v>
      </c>
      <c r="B177" s="13" t="str">
        <f>'Raw Data'!C177</f>
        <v xml:space="preserve"> Regret         </v>
      </c>
      <c r="C177" s="13" t="str">
        <f t="shared" si="18"/>
        <v>Regret</v>
      </c>
      <c r="D177" s="13" t="str">
        <f t="shared" si="19"/>
        <v xml:space="preserve"> Regret         </v>
      </c>
      <c r="E177" s="13" t="str">
        <f t="shared" si="20"/>
        <v>Regret</v>
      </c>
      <c r="F177" s="13" t="str">
        <f t="shared" si="21"/>
        <v>REGRET</v>
      </c>
      <c r="G177" s="13" t="str">
        <f t="shared" si="22"/>
        <v>regret</v>
      </c>
      <c r="H177" s="13" t="str">
        <f t="shared" si="23"/>
        <v>Regret</v>
      </c>
      <c r="I177" s="13">
        <f t="shared" si="24"/>
        <v>16</v>
      </c>
      <c r="J177" s="13">
        <f t="shared" si="25"/>
        <v>6</v>
      </c>
      <c r="K177" s="13">
        <f t="shared" si="26"/>
        <v>10</v>
      </c>
    </row>
    <row r="178" spans="1:11" x14ac:dyDescent="0.25">
      <c r="A178" s="13">
        <f>'Raw Data'!A178</f>
        <v>176</v>
      </c>
      <c r="B178" s="13" t="str">
        <f>'Raw Data'!C178</f>
        <v xml:space="preserve"> Disgust         </v>
      </c>
      <c r="C178" s="13" t="str">
        <f t="shared" si="18"/>
        <v>Disgust</v>
      </c>
      <c r="D178" s="13" t="str">
        <f t="shared" si="19"/>
        <v xml:space="preserve"> Disgust         </v>
      </c>
      <c r="E178" s="13" t="str">
        <f t="shared" si="20"/>
        <v>Disgust</v>
      </c>
      <c r="F178" s="13" t="str">
        <f t="shared" si="21"/>
        <v>DISGUST</v>
      </c>
      <c r="G178" s="13" t="str">
        <f t="shared" si="22"/>
        <v>disgust</v>
      </c>
      <c r="H178" s="13" t="str">
        <f t="shared" si="23"/>
        <v>Disgust</v>
      </c>
      <c r="I178" s="13">
        <f t="shared" si="24"/>
        <v>17</v>
      </c>
      <c r="J178" s="13">
        <f t="shared" si="25"/>
        <v>7</v>
      </c>
      <c r="K178" s="13">
        <f t="shared" si="26"/>
        <v>10</v>
      </c>
    </row>
    <row r="179" spans="1:11" x14ac:dyDescent="0.25">
      <c r="A179" s="13">
        <f>'Raw Data'!A179</f>
        <v>177</v>
      </c>
      <c r="B179" s="13" t="str">
        <f>'Raw Data'!C179</f>
        <v xml:space="preserve"> Despair      </v>
      </c>
      <c r="C179" s="13" t="str">
        <f t="shared" si="18"/>
        <v>Despair</v>
      </c>
      <c r="D179" s="13" t="str">
        <f t="shared" si="19"/>
        <v xml:space="preserve"> Despair      </v>
      </c>
      <c r="E179" s="13" t="str">
        <f t="shared" si="20"/>
        <v>Despair</v>
      </c>
      <c r="F179" s="13" t="str">
        <f t="shared" si="21"/>
        <v>DESPAIR</v>
      </c>
      <c r="G179" s="13" t="str">
        <f t="shared" si="22"/>
        <v>despair</v>
      </c>
      <c r="H179" s="13" t="str">
        <f t="shared" si="23"/>
        <v>Despair</v>
      </c>
      <c r="I179" s="13">
        <f t="shared" si="24"/>
        <v>14</v>
      </c>
      <c r="J179" s="13">
        <f t="shared" si="25"/>
        <v>7</v>
      </c>
      <c r="K179" s="13">
        <f t="shared" si="26"/>
        <v>7</v>
      </c>
    </row>
    <row r="180" spans="1:11" x14ac:dyDescent="0.25">
      <c r="A180" s="13">
        <f>'Raw Data'!A180</f>
        <v>178</v>
      </c>
      <c r="B180" s="13" t="str">
        <f>'Raw Data'!C180</f>
        <v xml:space="preserve"> Grief           </v>
      </c>
      <c r="C180" s="13" t="str">
        <f t="shared" si="18"/>
        <v>Grief</v>
      </c>
      <c r="D180" s="13" t="str">
        <f t="shared" si="19"/>
        <v xml:space="preserve"> Grief           </v>
      </c>
      <c r="E180" s="13" t="str">
        <f t="shared" si="20"/>
        <v>Grief</v>
      </c>
      <c r="F180" s="13" t="str">
        <f t="shared" si="21"/>
        <v>GRIEF</v>
      </c>
      <c r="G180" s="13" t="str">
        <f t="shared" si="22"/>
        <v>grief</v>
      </c>
      <c r="H180" s="13" t="str">
        <f t="shared" si="23"/>
        <v>Grief</v>
      </c>
      <c r="I180" s="13">
        <f t="shared" si="24"/>
        <v>17</v>
      </c>
      <c r="J180" s="13">
        <f t="shared" si="25"/>
        <v>5</v>
      </c>
      <c r="K180" s="13">
        <f t="shared" si="26"/>
        <v>12</v>
      </c>
    </row>
    <row r="181" spans="1:11" x14ac:dyDescent="0.25">
      <c r="A181" s="13">
        <f>'Raw Data'!A181</f>
        <v>179</v>
      </c>
      <c r="B181" s="13" t="str">
        <f>'Raw Data'!C181</f>
        <v xml:space="preserve"> Loneliness </v>
      </c>
      <c r="C181" s="13" t="str">
        <f t="shared" si="18"/>
        <v>Loneliness</v>
      </c>
      <c r="D181" s="13" t="str">
        <f t="shared" si="19"/>
        <v xml:space="preserve"> Loneliness </v>
      </c>
      <c r="E181" s="13" t="str">
        <f t="shared" si="20"/>
        <v>Loneliness</v>
      </c>
      <c r="F181" s="13" t="str">
        <f t="shared" si="21"/>
        <v>LONELINESS</v>
      </c>
      <c r="G181" s="13" t="str">
        <f t="shared" si="22"/>
        <v>loneliness</v>
      </c>
      <c r="H181" s="13" t="str">
        <f t="shared" si="23"/>
        <v>Loneliness</v>
      </c>
      <c r="I181" s="13">
        <f t="shared" si="24"/>
        <v>12</v>
      </c>
      <c r="J181" s="13">
        <f t="shared" si="25"/>
        <v>10</v>
      </c>
      <c r="K181" s="13">
        <f t="shared" si="26"/>
        <v>2</v>
      </c>
    </row>
    <row r="182" spans="1:11" x14ac:dyDescent="0.25">
      <c r="A182" s="13">
        <f>'Raw Data'!A182</f>
        <v>180</v>
      </c>
      <c r="B182" s="13" t="str">
        <f>'Raw Data'!C182</f>
        <v xml:space="preserve"> Jealousy        </v>
      </c>
      <c r="C182" s="13" t="str">
        <f t="shared" si="18"/>
        <v>Jealousy</v>
      </c>
      <c r="D182" s="13" t="str">
        <f t="shared" si="19"/>
        <v xml:space="preserve"> Jealousy        </v>
      </c>
      <c r="E182" s="13" t="str">
        <f t="shared" si="20"/>
        <v>Jealousy</v>
      </c>
      <c r="F182" s="13" t="str">
        <f t="shared" si="21"/>
        <v>JEALOUSY</v>
      </c>
      <c r="G182" s="13" t="str">
        <f t="shared" si="22"/>
        <v>jealousy</v>
      </c>
      <c r="H182" s="13" t="str">
        <f t="shared" si="23"/>
        <v>Jealousy</v>
      </c>
      <c r="I182" s="13">
        <f t="shared" si="24"/>
        <v>17</v>
      </c>
      <c r="J182" s="13">
        <f t="shared" si="25"/>
        <v>8</v>
      </c>
      <c r="K182" s="13">
        <f t="shared" si="26"/>
        <v>9</v>
      </c>
    </row>
    <row r="183" spans="1:11" x14ac:dyDescent="0.25">
      <c r="A183" s="13">
        <f>'Raw Data'!A183</f>
        <v>181</v>
      </c>
      <c r="B183" s="13" t="str">
        <f>'Raw Data'!C183</f>
        <v xml:space="preserve"> Resentment      </v>
      </c>
      <c r="C183" s="13" t="str">
        <f t="shared" si="18"/>
        <v>Resentment</v>
      </c>
      <c r="D183" s="13" t="str">
        <f t="shared" si="19"/>
        <v xml:space="preserve"> Resentment      </v>
      </c>
      <c r="E183" s="13" t="str">
        <f t="shared" si="20"/>
        <v>Resentment</v>
      </c>
      <c r="F183" s="13" t="str">
        <f t="shared" si="21"/>
        <v>RESENTMENT</v>
      </c>
      <c r="G183" s="13" t="str">
        <f t="shared" si="22"/>
        <v>resentment</v>
      </c>
      <c r="H183" s="13" t="str">
        <f t="shared" si="23"/>
        <v>Resentment</v>
      </c>
      <c r="I183" s="13">
        <f t="shared" si="24"/>
        <v>17</v>
      </c>
      <c r="J183" s="13">
        <f t="shared" si="25"/>
        <v>10</v>
      </c>
      <c r="K183" s="13">
        <f t="shared" si="26"/>
        <v>7</v>
      </c>
    </row>
    <row r="184" spans="1:11" x14ac:dyDescent="0.25">
      <c r="A184" s="13">
        <f>'Raw Data'!A184</f>
        <v>182</v>
      </c>
      <c r="B184" s="13" t="str">
        <f>'Raw Data'!C184</f>
        <v xml:space="preserve"> Frustration </v>
      </c>
      <c r="C184" s="13" t="str">
        <f t="shared" si="18"/>
        <v>Frustration</v>
      </c>
      <c r="D184" s="13" t="str">
        <f t="shared" si="19"/>
        <v xml:space="preserve"> Frustration </v>
      </c>
      <c r="E184" s="13" t="str">
        <f t="shared" si="20"/>
        <v>Frustration</v>
      </c>
      <c r="F184" s="13" t="str">
        <f t="shared" si="21"/>
        <v>FRUSTRATION</v>
      </c>
      <c r="G184" s="13" t="str">
        <f t="shared" si="22"/>
        <v>frustration</v>
      </c>
      <c r="H184" s="13" t="str">
        <f t="shared" si="23"/>
        <v>Frustration</v>
      </c>
      <c r="I184" s="13">
        <f t="shared" si="24"/>
        <v>13</v>
      </c>
      <c r="J184" s="13">
        <f t="shared" si="25"/>
        <v>11</v>
      </c>
      <c r="K184" s="13">
        <f t="shared" si="26"/>
        <v>2</v>
      </c>
    </row>
    <row r="185" spans="1:11" x14ac:dyDescent="0.25">
      <c r="A185" s="13">
        <f>'Raw Data'!A185</f>
        <v>183</v>
      </c>
      <c r="B185" s="13" t="str">
        <f>'Raw Data'!C185</f>
        <v xml:space="preserve"> Boredom         </v>
      </c>
      <c r="C185" s="13" t="str">
        <f t="shared" si="18"/>
        <v>Boredom</v>
      </c>
      <c r="D185" s="13" t="str">
        <f t="shared" si="19"/>
        <v xml:space="preserve"> Boredom         </v>
      </c>
      <c r="E185" s="13" t="str">
        <f t="shared" si="20"/>
        <v>Boredom</v>
      </c>
      <c r="F185" s="13" t="str">
        <f t="shared" si="21"/>
        <v>BOREDOM</v>
      </c>
      <c r="G185" s="13" t="str">
        <f t="shared" si="22"/>
        <v>boredom</v>
      </c>
      <c r="H185" s="13" t="str">
        <f t="shared" si="23"/>
        <v>Boredom</v>
      </c>
      <c r="I185" s="13">
        <f t="shared" si="24"/>
        <v>17</v>
      </c>
      <c r="J185" s="13">
        <f t="shared" si="25"/>
        <v>7</v>
      </c>
      <c r="K185" s="13">
        <f t="shared" si="26"/>
        <v>10</v>
      </c>
    </row>
    <row r="186" spans="1:11" x14ac:dyDescent="0.25">
      <c r="A186" s="13">
        <f>'Raw Data'!A186</f>
        <v>184</v>
      </c>
      <c r="B186" s="13" t="str">
        <f>'Raw Data'!C186</f>
        <v xml:space="preserve"> Anxiety   </v>
      </c>
      <c r="C186" s="13" t="str">
        <f t="shared" si="18"/>
        <v>Anxiety</v>
      </c>
      <c r="D186" s="13" t="str">
        <f t="shared" si="19"/>
        <v xml:space="preserve"> Anxiety   </v>
      </c>
      <c r="E186" s="13" t="str">
        <f t="shared" si="20"/>
        <v>Anxiety</v>
      </c>
      <c r="F186" s="13" t="str">
        <f t="shared" si="21"/>
        <v>ANXIETY</v>
      </c>
      <c r="G186" s="13" t="str">
        <f t="shared" si="22"/>
        <v>anxiety</v>
      </c>
      <c r="H186" s="13" t="str">
        <f t="shared" si="23"/>
        <v>Anxiety</v>
      </c>
      <c r="I186" s="13">
        <f t="shared" si="24"/>
        <v>11</v>
      </c>
      <c r="J186" s="13">
        <f t="shared" si="25"/>
        <v>7</v>
      </c>
      <c r="K186" s="13">
        <f t="shared" si="26"/>
        <v>4</v>
      </c>
    </row>
    <row r="187" spans="1:11" x14ac:dyDescent="0.25">
      <c r="A187" s="13">
        <f>'Raw Data'!A187</f>
        <v>185</v>
      </c>
      <c r="B187" s="13" t="str">
        <f>'Raw Data'!C187</f>
        <v xml:space="preserve"> Intimidation </v>
      </c>
      <c r="C187" s="13" t="str">
        <f t="shared" si="18"/>
        <v>Intimidation</v>
      </c>
      <c r="D187" s="13" t="str">
        <f t="shared" si="19"/>
        <v xml:space="preserve"> Intimidation </v>
      </c>
      <c r="E187" s="13" t="str">
        <f t="shared" si="20"/>
        <v>Intimidation</v>
      </c>
      <c r="F187" s="13" t="str">
        <f t="shared" si="21"/>
        <v>INTIMIDATION</v>
      </c>
      <c r="G187" s="13" t="str">
        <f t="shared" si="22"/>
        <v>intimidation</v>
      </c>
      <c r="H187" s="13" t="str">
        <f t="shared" si="23"/>
        <v>Intimidation</v>
      </c>
      <c r="I187" s="13">
        <f t="shared" si="24"/>
        <v>14</v>
      </c>
      <c r="J187" s="13">
        <f t="shared" si="25"/>
        <v>12</v>
      </c>
      <c r="K187" s="13">
        <f t="shared" si="26"/>
        <v>2</v>
      </c>
    </row>
    <row r="188" spans="1:11" x14ac:dyDescent="0.25">
      <c r="A188" s="13">
        <f>'Raw Data'!A188</f>
        <v>186</v>
      </c>
      <c r="B188" s="13" t="str">
        <f>'Raw Data'!C188</f>
        <v xml:space="preserve"> Helplessness </v>
      </c>
      <c r="C188" s="13" t="str">
        <f t="shared" si="18"/>
        <v>Helplessness</v>
      </c>
      <c r="D188" s="13" t="str">
        <f t="shared" si="19"/>
        <v xml:space="preserve"> Helplessness </v>
      </c>
      <c r="E188" s="13" t="str">
        <f t="shared" si="20"/>
        <v>Helplessness</v>
      </c>
      <c r="F188" s="13" t="str">
        <f t="shared" si="21"/>
        <v>HELPLESSNESS</v>
      </c>
      <c r="G188" s="13" t="str">
        <f t="shared" si="22"/>
        <v>helplessness</v>
      </c>
      <c r="H188" s="13" t="str">
        <f t="shared" si="23"/>
        <v>Helplessness</v>
      </c>
      <c r="I188" s="13">
        <f t="shared" si="24"/>
        <v>14</v>
      </c>
      <c r="J188" s="13">
        <f t="shared" si="25"/>
        <v>12</v>
      </c>
      <c r="K188" s="13">
        <f t="shared" si="26"/>
        <v>2</v>
      </c>
    </row>
    <row r="189" spans="1:11" x14ac:dyDescent="0.25">
      <c r="A189" s="13">
        <f>'Raw Data'!A189</f>
        <v>187</v>
      </c>
      <c r="B189" s="13" t="str">
        <f>'Raw Data'!C189</f>
        <v xml:space="preserve"> Envy            </v>
      </c>
      <c r="C189" s="13" t="str">
        <f t="shared" si="18"/>
        <v>Envy</v>
      </c>
      <c r="D189" s="13" t="str">
        <f t="shared" si="19"/>
        <v xml:space="preserve"> Envy            </v>
      </c>
      <c r="E189" s="13" t="str">
        <f t="shared" si="20"/>
        <v>Envy</v>
      </c>
      <c r="F189" s="13" t="str">
        <f t="shared" si="21"/>
        <v>ENVY</v>
      </c>
      <c r="G189" s="13" t="str">
        <f t="shared" si="22"/>
        <v>envy</v>
      </c>
      <c r="H189" s="13" t="str">
        <f t="shared" si="23"/>
        <v>Envy</v>
      </c>
      <c r="I189" s="13">
        <f t="shared" si="24"/>
        <v>17</v>
      </c>
      <c r="J189" s="13">
        <f t="shared" si="25"/>
        <v>4</v>
      </c>
      <c r="K189" s="13">
        <f t="shared" si="26"/>
        <v>13</v>
      </c>
    </row>
    <row r="190" spans="1:11" x14ac:dyDescent="0.25">
      <c r="A190" s="13">
        <f>'Raw Data'!A190</f>
        <v>188</v>
      </c>
      <c r="B190" s="13" t="str">
        <f>'Raw Data'!C190</f>
        <v xml:space="preserve"> Regret         </v>
      </c>
      <c r="C190" s="13" t="str">
        <f t="shared" si="18"/>
        <v>Regret</v>
      </c>
      <c r="D190" s="13" t="str">
        <f t="shared" si="19"/>
        <v xml:space="preserve"> Regret         </v>
      </c>
      <c r="E190" s="13" t="str">
        <f t="shared" si="20"/>
        <v>Regret</v>
      </c>
      <c r="F190" s="13" t="str">
        <f t="shared" si="21"/>
        <v>REGRET</v>
      </c>
      <c r="G190" s="13" t="str">
        <f t="shared" si="22"/>
        <v>regret</v>
      </c>
      <c r="H190" s="13" t="str">
        <f t="shared" si="23"/>
        <v>Regret</v>
      </c>
      <c r="I190" s="13">
        <f t="shared" si="24"/>
        <v>16</v>
      </c>
      <c r="J190" s="13">
        <f t="shared" si="25"/>
        <v>6</v>
      </c>
      <c r="K190" s="13">
        <f t="shared" si="26"/>
        <v>10</v>
      </c>
    </row>
    <row r="191" spans="1:11" x14ac:dyDescent="0.25">
      <c r="A191" s="13">
        <f>'Raw Data'!A191</f>
        <v>189</v>
      </c>
      <c r="B191" s="13" t="str">
        <f>'Raw Data'!C191</f>
        <v xml:space="preserve"> Disgust         </v>
      </c>
      <c r="C191" s="13" t="str">
        <f t="shared" si="18"/>
        <v>Disgust</v>
      </c>
      <c r="D191" s="13" t="str">
        <f t="shared" si="19"/>
        <v xml:space="preserve"> Disgust         </v>
      </c>
      <c r="E191" s="13" t="str">
        <f t="shared" si="20"/>
        <v>Disgust</v>
      </c>
      <c r="F191" s="13" t="str">
        <f t="shared" si="21"/>
        <v>DISGUST</v>
      </c>
      <c r="G191" s="13" t="str">
        <f t="shared" si="22"/>
        <v>disgust</v>
      </c>
      <c r="H191" s="13" t="str">
        <f t="shared" si="23"/>
        <v>Disgust</v>
      </c>
      <c r="I191" s="13">
        <f t="shared" si="24"/>
        <v>17</v>
      </c>
      <c r="J191" s="13">
        <f t="shared" si="25"/>
        <v>7</v>
      </c>
      <c r="K191" s="13">
        <f t="shared" si="26"/>
        <v>10</v>
      </c>
    </row>
    <row r="192" spans="1:11" x14ac:dyDescent="0.25">
      <c r="A192" s="13">
        <f>'Raw Data'!A192</f>
        <v>190</v>
      </c>
      <c r="B192" s="13" t="str">
        <f>'Raw Data'!C192</f>
        <v xml:space="preserve"> Despair         </v>
      </c>
      <c r="C192" s="13" t="str">
        <f t="shared" si="18"/>
        <v>Despair</v>
      </c>
      <c r="D192" s="13" t="str">
        <f t="shared" si="19"/>
        <v xml:space="preserve"> Despair         </v>
      </c>
      <c r="E192" s="13" t="str">
        <f t="shared" si="20"/>
        <v>Despair</v>
      </c>
      <c r="F192" s="13" t="str">
        <f t="shared" si="21"/>
        <v>DESPAIR</v>
      </c>
      <c r="G192" s="13" t="str">
        <f t="shared" si="22"/>
        <v>despair</v>
      </c>
      <c r="H192" s="13" t="str">
        <f t="shared" si="23"/>
        <v>Despair</v>
      </c>
      <c r="I192" s="13">
        <f t="shared" si="24"/>
        <v>17</v>
      </c>
      <c r="J192" s="13">
        <f t="shared" si="25"/>
        <v>7</v>
      </c>
      <c r="K192" s="13">
        <f t="shared" si="26"/>
        <v>10</v>
      </c>
    </row>
    <row r="193" spans="1:11" x14ac:dyDescent="0.25">
      <c r="A193" s="13">
        <f>'Raw Data'!A193</f>
        <v>191</v>
      </c>
      <c r="B193" s="13" t="str">
        <f>'Raw Data'!C193</f>
        <v xml:space="preserve"> Grief           </v>
      </c>
      <c r="C193" s="13" t="str">
        <f t="shared" si="18"/>
        <v>Grief</v>
      </c>
      <c r="D193" s="13" t="str">
        <f t="shared" si="19"/>
        <v xml:space="preserve"> Grief           </v>
      </c>
      <c r="E193" s="13" t="str">
        <f t="shared" si="20"/>
        <v>Grief</v>
      </c>
      <c r="F193" s="13" t="str">
        <f t="shared" si="21"/>
        <v>GRIEF</v>
      </c>
      <c r="G193" s="13" t="str">
        <f t="shared" si="22"/>
        <v>grief</v>
      </c>
      <c r="H193" s="13" t="str">
        <f t="shared" si="23"/>
        <v>Grief</v>
      </c>
      <c r="I193" s="13">
        <f t="shared" si="24"/>
        <v>17</v>
      </c>
      <c r="J193" s="13">
        <f t="shared" si="25"/>
        <v>5</v>
      </c>
      <c r="K193" s="13">
        <f t="shared" si="26"/>
        <v>12</v>
      </c>
    </row>
    <row r="194" spans="1:11" x14ac:dyDescent="0.25">
      <c r="A194" s="13">
        <f>'Raw Data'!A194</f>
        <v>192</v>
      </c>
      <c r="B194" s="13" t="str">
        <f>'Raw Data'!C194</f>
        <v xml:space="preserve"> Loneliness </v>
      </c>
      <c r="C194" s="13" t="str">
        <f t="shared" si="18"/>
        <v>Loneliness</v>
      </c>
      <c r="D194" s="13" t="str">
        <f t="shared" si="19"/>
        <v xml:space="preserve"> Loneliness </v>
      </c>
      <c r="E194" s="13" t="str">
        <f t="shared" si="20"/>
        <v>Loneliness</v>
      </c>
      <c r="F194" s="13" t="str">
        <f t="shared" si="21"/>
        <v>LONELINESS</v>
      </c>
      <c r="G194" s="13" t="str">
        <f t="shared" si="22"/>
        <v>loneliness</v>
      </c>
      <c r="H194" s="13" t="str">
        <f t="shared" si="23"/>
        <v>Loneliness</v>
      </c>
      <c r="I194" s="13">
        <f t="shared" si="24"/>
        <v>12</v>
      </c>
      <c r="J194" s="13">
        <f t="shared" si="25"/>
        <v>10</v>
      </c>
      <c r="K194" s="13">
        <f t="shared" si="26"/>
        <v>2</v>
      </c>
    </row>
    <row r="195" spans="1:11" x14ac:dyDescent="0.25">
      <c r="A195" s="13">
        <f>'Raw Data'!A195</f>
        <v>193</v>
      </c>
      <c r="B195" s="13" t="str">
        <f>'Raw Data'!C195</f>
        <v xml:space="preserve"> Jealousy    </v>
      </c>
      <c r="C195" s="13" t="str">
        <f t="shared" si="18"/>
        <v>Jealousy</v>
      </c>
      <c r="D195" s="13" t="str">
        <f t="shared" si="19"/>
        <v xml:space="preserve"> Jealousy    </v>
      </c>
      <c r="E195" s="13" t="str">
        <f t="shared" si="20"/>
        <v>Jealousy</v>
      </c>
      <c r="F195" s="13" t="str">
        <f t="shared" si="21"/>
        <v>JEALOUSY</v>
      </c>
      <c r="G195" s="13" t="str">
        <f t="shared" si="22"/>
        <v>jealousy</v>
      </c>
      <c r="H195" s="13" t="str">
        <f t="shared" si="23"/>
        <v>Jealousy</v>
      </c>
      <c r="I195" s="13">
        <f t="shared" si="24"/>
        <v>13</v>
      </c>
      <c r="J195" s="13">
        <f t="shared" si="25"/>
        <v>8</v>
      </c>
      <c r="K195" s="13">
        <f t="shared" si="26"/>
        <v>5</v>
      </c>
    </row>
    <row r="196" spans="1:11" x14ac:dyDescent="0.25">
      <c r="A196" s="13">
        <f>'Raw Data'!A196</f>
        <v>194</v>
      </c>
      <c r="B196" s="13" t="str">
        <f>'Raw Data'!C196</f>
        <v xml:space="preserve"> Resentment      </v>
      </c>
      <c r="C196" s="13" t="str">
        <f t="shared" ref="C196:C259" si="27">TRIM(B196)</f>
        <v>Resentment</v>
      </c>
      <c r="D196" s="13" t="str">
        <f t="shared" ref="D196:D259" si="28">CLEAN(B196)</f>
        <v xml:space="preserve"> Resentment      </v>
      </c>
      <c r="E196" s="13" t="str">
        <f t="shared" ref="E196:E259" si="29">SUBSTITUTE(SUBSTITUTE(SUBSTITUTE(TRIM(B196),"Positive","Pos"),"Negative","Neg"),"Neutral","Neu")</f>
        <v>Resentment</v>
      </c>
      <c r="F196" s="13" t="str">
        <f t="shared" ref="F196:F259" si="30">UPPER(TRIM(B196))</f>
        <v>RESENTMENT</v>
      </c>
      <c r="G196" s="13" t="str">
        <f t="shared" ref="G196:G259" si="31">LOWER(TRIM(B196))</f>
        <v>resentment</v>
      </c>
      <c r="H196" s="13" t="str">
        <f t="shared" ref="H196:H259" si="32">PROPER(TRIM(B196))</f>
        <v>Resentment</v>
      </c>
      <c r="I196" s="13">
        <f t="shared" ref="I196:I259" si="33">LEN(B196)</f>
        <v>17</v>
      </c>
      <c r="J196" s="13">
        <f t="shared" ref="J196:J259" si="34">LEN(TRIM(B196))</f>
        <v>10</v>
      </c>
      <c r="K196" s="13">
        <f t="shared" ref="K196:K259" si="35">I196-J196</f>
        <v>7</v>
      </c>
    </row>
    <row r="197" spans="1:11" x14ac:dyDescent="0.25">
      <c r="A197" s="13">
        <f>'Raw Data'!A197</f>
        <v>195</v>
      </c>
      <c r="B197" s="13" t="str">
        <f>'Raw Data'!C197</f>
        <v xml:space="preserve"> Frustration     </v>
      </c>
      <c r="C197" s="13" t="str">
        <f t="shared" si="27"/>
        <v>Frustration</v>
      </c>
      <c r="D197" s="13" t="str">
        <f t="shared" si="28"/>
        <v xml:space="preserve"> Frustration     </v>
      </c>
      <c r="E197" s="13" t="str">
        <f t="shared" si="29"/>
        <v>Frustration</v>
      </c>
      <c r="F197" s="13" t="str">
        <f t="shared" si="30"/>
        <v>FRUSTRATION</v>
      </c>
      <c r="G197" s="13" t="str">
        <f t="shared" si="31"/>
        <v>frustration</v>
      </c>
      <c r="H197" s="13" t="str">
        <f t="shared" si="32"/>
        <v>Frustration</v>
      </c>
      <c r="I197" s="13">
        <f t="shared" si="33"/>
        <v>17</v>
      </c>
      <c r="J197" s="13">
        <f t="shared" si="34"/>
        <v>11</v>
      </c>
      <c r="K197" s="13">
        <f t="shared" si="35"/>
        <v>6</v>
      </c>
    </row>
    <row r="198" spans="1:11" x14ac:dyDescent="0.25">
      <c r="A198" s="13">
        <f>'Raw Data'!A198</f>
        <v>196</v>
      </c>
      <c r="B198" s="13" t="str">
        <f>'Raw Data'!C198</f>
        <v xml:space="preserve"> Boredom         </v>
      </c>
      <c r="C198" s="13" t="str">
        <f t="shared" si="27"/>
        <v>Boredom</v>
      </c>
      <c r="D198" s="13" t="str">
        <f t="shared" si="28"/>
        <v xml:space="preserve"> Boredom         </v>
      </c>
      <c r="E198" s="13" t="str">
        <f t="shared" si="29"/>
        <v>Boredom</v>
      </c>
      <c r="F198" s="13" t="str">
        <f t="shared" si="30"/>
        <v>BOREDOM</v>
      </c>
      <c r="G198" s="13" t="str">
        <f t="shared" si="31"/>
        <v>boredom</v>
      </c>
      <c r="H198" s="13" t="str">
        <f t="shared" si="32"/>
        <v>Boredom</v>
      </c>
      <c r="I198" s="13">
        <f t="shared" si="33"/>
        <v>17</v>
      </c>
      <c r="J198" s="13">
        <f t="shared" si="34"/>
        <v>7</v>
      </c>
      <c r="K198" s="13">
        <f t="shared" si="35"/>
        <v>10</v>
      </c>
    </row>
    <row r="199" spans="1:11" x14ac:dyDescent="0.25">
      <c r="A199" s="13">
        <f>'Raw Data'!A199</f>
        <v>197</v>
      </c>
      <c r="B199" s="13" t="str">
        <f>'Raw Data'!C199</f>
        <v xml:space="preserve"> Curiosity       </v>
      </c>
      <c r="C199" s="13" t="str">
        <f t="shared" si="27"/>
        <v>Curiosity</v>
      </c>
      <c r="D199" s="13" t="str">
        <f t="shared" si="28"/>
        <v xml:space="preserve"> Curiosity       </v>
      </c>
      <c r="E199" s="13" t="str">
        <f t="shared" si="29"/>
        <v>Curiosity</v>
      </c>
      <c r="F199" s="13" t="str">
        <f t="shared" si="30"/>
        <v>CURIOSITY</v>
      </c>
      <c r="G199" s="13" t="str">
        <f t="shared" si="31"/>
        <v>curiosity</v>
      </c>
      <c r="H199" s="13" t="str">
        <f t="shared" si="32"/>
        <v>Curiosity</v>
      </c>
      <c r="I199" s="13">
        <f t="shared" si="33"/>
        <v>17</v>
      </c>
      <c r="J199" s="13">
        <f t="shared" si="34"/>
        <v>9</v>
      </c>
      <c r="K199" s="13">
        <f t="shared" si="35"/>
        <v>8</v>
      </c>
    </row>
    <row r="200" spans="1:11" x14ac:dyDescent="0.25">
      <c r="A200" s="13">
        <f>'Raw Data'!A200</f>
        <v>198</v>
      </c>
      <c r="B200" s="13" t="str">
        <f>'Raw Data'!C200</f>
        <v xml:space="preserve"> Indifference    </v>
      </c>
      <c r="C200" s="13" t="str">
        <f t="shared" si="27"/>
        <v>Indifference</v>
      </c>
      <c r="D200" s="13" t="str">
        <f t="shared" si="28"/>
        <v xml:space="preserve"> Indifference    </v>
      </c>
      <c r="E200" s="13" t="str">
        <f t="shared" si="29"/>
        <v>Indifference</v>
      </c>
      <c r="F200" s="13" t="str">
        <f t="shared" si="30"/>
        <v>INDIFFERENCE</v>
      </c>
      <c r="G200" s="13" t="str">
        <f t="shared" si="31"/>
        <v>indifference</v>
      </c>
      <c r="H200" s="13" t="str">
        <f t="shared" si="32"/>
        <v>Indifference</v>
      </c>
      <c r="I200" s="13">
        <f t="shared" si="33"/>
        <v>17</v>
      </c>
      <c r="J200" s="13">
        <f t="shared" si="34"/>
        <v>12</v>
      </c>
      <c r="K200" s="13">
        <f t="shared" si="35"/>
        <v>5</v>
      </c>
    </row>
    <row r="201" spans="1:11" x14ac:dyDescent="0.25">
      <c r="A201" s="13">
        <f>'Raw Data'!A201</f>
        <v>199</v>
      </c>
      <c r="B201" s="13" t="str">
        <f>'Raw Data'!C201</f>
        <v xml:space="preserve"> Confusion       </v>
      </c>
      <c r="C201" s="13" t="str">
        <f t="shared" si="27"/>
        <v>Confusion</v>
      </c>
      <c r="D201" s="13" t="str">
        <f t="shared" si="28"/>
        <v xml:space="preserve"> Confusion       </v>
      </c>
      <c r="E201" s="13" t="str">
        <f t="shared" si="29"/>
        <v>Confusion</v>
      </c>
      <c r="F201" s="13" t="str">
        <f t="shared" si="30"/>
        <v>CONFUSION</v>
      </c>
      <c r="G201" s="13" t="str">
        <f t="shared" si="31"/>
        <v>confusion</v>
      </c>
      <c r="H201" s="13" t="str">
        <f t="shared" si="32"/>
        <v>Confusion</v>
      </c>
      <c r="I201" s="13">
        <f t="shared" si="33"/>
        <v>17</v>
      </c>
      <c r="J201" s="13">
        <f t="shared" si="34"/>
        <v>9</v>
      </c>
      <c r="K201" s="13">
        <f t="shared" si="35"/>
        <v>8</v>
      </c>
    </row>
    <row r="202" spans="1:11" x14ac:dyDescent="0.25">
      <c r="A202" s="13">
        <f>'Raw Data'!A202</f>
        <v>200</v>
      </c>
      <c r="B202" s="13" t="str">
        <f>'Raw Data'!C202</f>
        <v xml:space="preserve"> Numbness        </v>
      </c>
      <c r="C202" s="13" t="str">
        <f t="shared" si="27"/>
        <v>Numbness</v>
      </c>
      <c r="D202" s="13" t="str">
        <f t="shared" si="28"/>
        <v xml:space="preserve"> Numbness        </v>
      </c>
      <c r="E202" s="13" t="str">
        <f t="shared" si="29"/>
        <v>Numbness</v>
      </c>
      <c r="F202" s="13" t="str">
        <f t="shared" si="30"/>
        <v>NUMBNESS</v>
      </c>
      <c r="G202" s="13" t="str">
        <f t="shared" si="31"/>
        <v>numbness</v>
      </c>
      <c r="H202" s="13" t="str">
        <f t="shared" si="32"/>
        <v>Numbness</v>
      </c>
      <c r="I202" s="13">
        <f t="shared" si="33"/>
        <v>17</v>
      </c>
      <c r="J202" s="13">
        <f t="shared" si="34"/>
        <v>8</v>
      </c>
      <c r="K202" s="13">
        <f t="shared" si="35"/>
        <v>9</v>
      </c>
    </row>
    <row r="203" spans="1:11" x14ac:dyDescent="0.25">
      <c r="A203" s="13">
        <f>'Raw Data'!A203</f>
        <v>201</v>
      </c>
      <c r="B203" s="13" t="str">
        <f>'Raw Data'!C203</f>
        <v xml:space="preserve"> Melancholy      </v>
      </c>
      <c r="C203" s="13" t="str">
        <f t="shared" si="27"/>
        <v>Melancholy</v>
      </c>
      <c r="D203" s="13" t="str">
        <f t="shared" si="28"/>
        <v xml:space="preserve"> Melancholy      </v>
      </c>
      <c r="E203" s="13" t="str">
        <f t="shared" si="29"/>
        <v>Melancholy</v>
      </c>
      <c r="F203" s="13" t="str">
        <f t="shared" si="30"/>
        <v>MELANCHOLY</v>
      </c>
      <c r="G203" s="13" t="str">
        <f t="shared" si="31"/>
        <v>melancholy</v>
      </c>
      <c r="H203" s="13" t="str">
        <f t="shared" si="32"/>
        <v>Melancholy</v>
      </c>
      <c r="I203" s="13">
        <f t="shared" si="33"/>
        <v>17</v>
      </c>
      <c r="J203" s="13">
        <f t="shared" si="34"/>
        <v>10</v>
      </c>
      <c r="K203" s="13">
        <f t="shared" si="35"/>
        <v>7</v>
      </c>
    </row>
    <row r="204" spans="1:11" x14ac:dyDescent="0.25">
      <c r="A204" s="13">
        <f>'Raw Data'!A204</f>
        <v>202</v>
      </c>
      <c r="B204" s="13" t="str">
        <f>'Raw Data'!C204</f>
        <v xml:space="preserve"> Nostalgia       </v>
      </c>
      <c r="C204" s="13" t="str">
        <f t="shared" si="27"/>
        <v>Nostalgia</v>
      </c>
      <c r="D204" s="13" t="str">
        <f t="shared" si="28"/>
        <v xml:space="preserve"> Nostalgia       </v>
      </c>
      <c r="E204" s="13" t="str">
        <f t="shared" si="29"/>
        <v>Nostalgia</v>
      </c>
      <c r="F204" s="13" t="str">
        <f t="shared" si="30"/>
        <v>NOSTALGIA</v>
      </c>
      <c r="G204" s="13" t="str">
        <f t="shared" si="31"/>
        <v>nostalgia</v>
      </c>
      <c r="H204" s="13" t="str">
        <f t="shared" si="32"/>
        <v>Nostalgia</v>
      </c>
      <c r="I204" s="13">
        <f t="shared" si="33"/>
        <v>17</v>
      </c>
      <c r="J204" s="13">
        <f t="shared" si="34"/>
        <v>9</v>
      </c>
      <c r="K204" s="13">
        <f t="shared" si="35"/>
        <v>8</v>
      </c>
    </row>
    <row r="205" spans="1:11" x14ac:dyDescent="0.25">
      <c r="A205" s="13">
        <f>'Raw Data'!A205</f>
        <v>203</v>
      </c>
      <c r="B205" s="13" t="str">
        <f>'Raw Data'!C205</f>
        <v xml:space="preserve"> Ambivalence     </v>
      </c>
      <c r="C205" s="13" t="str">
        <f t="shared" si="27"/>
        <v>Ambivalence</v>
      </c>
      <c r="D205" s="13" t="str">
        <f t="shared" si="28"/>
        <v xml:space="preserve"> Ambivalence     </v>
      </c>
      <c r="E205" s="13" t="str">
        <f t="shared" si="29"/>
        <v>Ambivalence</v>
      </c>
      <c r="F205" s="13" t="str">
        <f t="shared" si="30"/>
        <v>AMBIVALENCE</v>
      </c>
      <c r="G205" s="13" t="str">
        <f t="shared" si="31"/>
        <v>ambivalence</v>
      </c>
      <c r="H205" s="13" t="str">
        <f t="shared" si="32"/>
        <v>Ambivalence</v>
      </c>
      <c r="I205" s="13">
        <f t="shared" si="33"/>
        <v>17</v>
      </c>
      <c r="J205" s="13">
        <f t="shared" si="34"/>
        <v>11</v>
      </c>
      <c r="K205" s="13">
        <f t="shared" si="35"/>
        <v>6</v>
      </c>
    </row>
    <row r="206" spans="1:11" x14ac:dyDescent="0.25">
      <c r="A206" s="13">
        <f>'Raw Data'!A206</f>
        <v>204</v>
      </c>
      <c r="B206" s="13" t="str">
        <f>'Raw Data'!C206</f>
        <v xml:space="preserve"> Acceptance      </v>
      </c>
      <c r="C206" s="13" t="str">
        <f t="shared" si="27"/>
        <v>Acceptance</v>
      </c>
      <c r="D206" s="13" t="str">
        <f t="shared" si="28"/>
        <v xml:space="preserve"> Acceptance      </v>
      </c>
      <c r="E206" s="13" t="str">
        <f t="shared" si="29"/>
        <v>Acceptance</v>
      </c>
      <c r="F206" s="13" t="str">
        <f t="shared" si="30"/>
        <v>ACCEPTANCE</v>
      </c>
      <c r="G206" s="13" t="str">
        <f t="shared" si="31"/>
        <v>acceptance</v>
      </c>
      <c r="H206" s="13" t="str">
        <f t="shared" si="32"/>
        <v>Acceptance</v>
      </c>
      <c r="I206" s="13">
        <f t="shared" si="33"/>
        <v>17</v>
      </c>
      <c r="J206" s="13">
        <f t="shared" si="34"/>
        <v>10</v>
      </c>
      <c r="K206" s="13">
        <f t="shared" si="35"/>
        <v>7</v>
      </c>
    </row>
    <row r="207" spans="1:11" x14ac:dyDescent="0.25">
      <c r="A207" s="13">
        <f>'Raw Data'!A207</f>
        <v>205</v>
      </c>
      <c r="B207" s="13" t="str">
        <f>'Raw Data'!C207</f>
        <v xml:space="preserve"> Determination   </v>
      </c>
      <c r="C207" s="13" t="str">
        <f t="shared" si="27"/>
        <v>Determination</v>
      </c>
      <c r="D207" s="13" t="str">
        <f t="shared" si="28"/>
        <v xml:space="preserve"> Determination   </v>
      </c>
      <c r="E207" s="13" t="str">
        <f t="shared" si="29"/>
        <v>Determination</v>
      </c>
      <c r="F207" s="13" t="str">
        <f t="shared" si="30"/>
        <v>DETERMINATION</v>
      </c>
      <c r="G207" s="13" t="str">
        <f t="shared" si="31"/>
        <v>determination</v>
      </c>
      <c r="H207" s="13" t="str">
        <f t="shared" si="32"/>
        <v>Determination</v>
      </c>
      <c r="I207" s="13">
        <f t="shared" si="33"/>
        <v>17</v>
      </c>
      <c r="J207" s="13">
        <f t="shared" si="34"/>
        <v>13</v>
      </c>
      <c r="K207" s="13">
        <f t="shared" si="35"/>
        <v>4</v>
      </c>
    </row>
    <row r="208" spans="1:11" x14ac:dyDescent="0.25">
      <c r="A208" s="13">
        <f>'Raw Data'!A208</f>
        <v>206</v>
      </c>
      <c r="B208" s="13" t="str">
        <f>'Raw Data'!C208</f>
        <v xml:space="preserve"> Serenity        </v>
      </c>
      <c r="C208" s="13" t="str">
        <f t="shared" si="27"/>
        <v>Serenity</v>
      </c>
      <c r="D208" s="13" t="str">
        <f t="shared" si="28"/>
        <v xml:space="preserve"> Serenity        </v>
      </c>
      <c r="E208" s="13" t="str">
        <f t="shared" si="29"/>
        <v>Serenity</v>
      </c>
      <c r="F208" s="13" t="str">
        <f t="shared" si="30"/>
        <v>SERENITY</v>
      </c>
      <c r="G208" s="13" t="str">
        <f t="shared" si="31"/>
        <v>serenity</v>
      </c>
      <c r="H208" s="13" t="str">
        <f t="shared" si="32"/>
        <v>Serenity</v>
      </c>
      <c r="I208" s="13">
        <f t="shared" si="33"/>
        <v>17</v>
      </c>
      <c r="J208" s="13">
        <f t="shared" si="34"/>
        <v>8</v>
      </c>
      <c r="K208" s="13">
        <f t="shared" si="35"/>
        <v>9</v>
      </c>
    </row>
    <row r="209" spans="1:11" x14ac:dyDescent="0.25">
      <c r="A209" s="13">
        <f>'Raw Data'!A209</f>
        <v>207</v>
      </c>
      <c r="B209" s="13" t="str">
        <f>'Raw Data'!C209</f>
        <v xml:space="preserve"> Curiosity       </v>
      </c>
      <c r="C209" s="13" t="str">
        <f t="shared" si="27"/>
        <v>Curiosity</v>
      </c>
      <c r="D209" s="13" t="str">
        <f t="shared" si="28"/>
        <v xml:space="preserve"> Curiosity       </v>
      </c>
      <c r="E209" s="13" t="str">
        <f t="shared" si="29"/>
        <v>Curiosity</v>
      </c>
      <c r="F209" s="13" t="str">
        <f t="shared" si="30"/>
        <v>CURIOSITY</v>
      </c>
      <c r="G209" s="13" t="str">
        <f t="shared" si="31"/>
        <v>curiosity</v>
      </c>
      <c r="H209" s="13" t="str">
        <f t="shared" si="32"/>
        <v>Curiosity</v>
      </c>
      <c r="I209" s="13">
        <f t="shared" si="33"/>
        <v>17</v>
      </c>
      <c r="J209" s="13">
        <f t="shared" si="34"/>
        <v>9</v>
      </c>
      <c r="K209" s="13">
        <f t="shared" si="35"/>
        <v>8</v>
      </c>
    </row>
    <row r="210" spans="1:11" x14ac:dyDescent="0.25">
      <c r="A210" s="13">
        <f>'Raw Data'!A210</f>
        <v>208</v>
      </c>
      <c r="B210" s="13" t="str">
        <f>'Raw Data'!C210</f>
        <v xml:space="preserve"> Indifference    </v>
      </c>
      <c r="C210" s="13" t="str">
        <f t="shared" si="27"/>
        <v>Indifference</v>
      </c>
      <c r="D210" s="13" t="str">
        <f t="shared" si="28"/>
        <v xml:space="preserve"> Indifference    </v>
      </c>
      <c r="E210" s="13" t="str">
        <f t="shared" si="29"/>
        <v>Indifference</v>
      </c>
      <c r="F210" s="13" t="str">
        <f t="shared" si="30"/>
        <v>INDIFFERENCE</v>
      </c>
      <c r="G210" s="13" t="str">
        <f t="shared" si="31"/>
        <v>indifference</v>
      </c>
      <c r="H210" s="13" t="str">
        <f t="shared" si="32"/>
        <v>Indifference</v>
      </c>
      <c r="I210" s="13">
        <f t="shared" si="33"/>
        <v>17</v>
      </c>
      <c r="J210" s="13">
        <f t="shared" si="34"/>
        <v>12</v>
      </c>
      <c r="K210" s="13">
        <f t="shared" si="35"/>
        <v>5</v>
      </c>
    </row>
    <row r="211" spans="1:11" x14ac:dyDescent="0.25">
      <c r="A211" s="13">
        <f>'Raw Data'!A211</f>
        <v>209</v>
      </c>
      <c r="B211" s="13" t="str">
        <f>'Raw Data'!C211</f>
        <v xml:space="preserve"> Confusion       </v>
      </c>
      <c r="C211" s="13" t="str">
        <f t="shared" si="27"/>
        <v>Confusion</v>
      </c>
      <c r="D211" s="13" t="str">
        <f t="shared" si="28"/>
        <v xml:space="preserve"> Confusion       </v>
      </c>
      <c r="E211" s="13" t="str">
        <f t="shared" si="29"/>
        <v>Confusion</v>
      </c>
      <c r="F211" s="13" t="str">
        <f t="shared" si="30"/>
        <v>CONFUSION</v>
      </c>
      <c r="G211" s="13" t="str">
        <f t="shared" si="31"/>
        <v>confusion</v>
      </c>
      <c r="H211" s="13" t="str">
        <f t="shared" si="32"/>
        <v>Confusion</v>
      </c>
      <c r="I211" s="13">
        <f t="shared" si="33"/>
        <v>17</v>
      </c>
      <c r="J211" s="13">
        <f t="shared" si="34"/>
        <v>9</v>
      </c>
      <c r="K211" s="13">
        <f t="shared" si="35"/>
        <v>8</v>
      </c>
    </row>
    <row r="212" spans="1:11" x14ac:dyDescent="0.25">
      <c r="A212" s="13">
        <f>'Raw Data'!A212</f>
        <v>210</v>
      </c>
      <c r="B212" s="13" t="str">
        <f>'Raw Data'!C212</f>
        <v xml:space="preserve"> Numbness        </v>
      </c>
      <c r="C212" s="13" t="str">
        <f t="shared" si="27"/>
        <v>Numbness</v>
      </c>
      <c r="D212" s="13" t="str">
        <f t="shared" si="28"/>
        <v xml:space="preserve"> Numbness        </v>
      </c>
      <c r="E212" s="13" t="str">
        <f t="shared" si="29"/>
        <v>Numbness</v>
      </c>
      <c r="F212" s="13" t="str">
        <f t="shared" si="30"/>
        <v>NUMBNESS</v>
      </c>
      <c r="G212" s="13" t="str">
        <f t="shared" si="31"/>
        <v>numbness</v>
      </c>
      <c r="H212" s="13" t="str">
        <f t="shared" si="32"/>
        <v>Numbness</v>
      </c>
      <c r="I212" s="13">
        <f t="shared" si="33"/>
        <v>17</v>
      </c>
      <c r="J212" s="13">
        <f t="shared" si="34"/>
        <v>8</v>
      </c>
      <c r="K212" s="13">
        <f t="shared" si="35"/>
        <v>9</v>
      </c>
    </row>
    <row r="213" spans="1:11" x14ac:dyDescent="0.25">
      <c r="A213" s="13">
        <f>'Raw Data'!A213</f>
        <v>211</v>
      </c>
      <c r="B213" s="13" t="str">
        <f>'Raw Data'!C213</f>
        <v xml:space="preserve"> Melancholy      </v>
      </c>
      <c r="C213" s="13" t="str">
        <f t="shared" si="27"/>
        <v>Melancholy</v>
      </c>
      <c r="D213" s="13" t="str">
        <f t="shared" si="28"/>
        <v xml:space="preserve"> Melancholy      </v>
      </c>
      <c r="E213" s="13" t="str">
        <f t="shared" si="29"/>
        <v>Melancholy</v>
      </c>
      <c r="F213" s="13" t="str">
        <f t="shared" si="30"/>
        <v>MELANCHOLY</v>
      </c>
      <c r="G213" s="13" t="str">
        <f t="shared" si="31"/>
        <v>melancholy</v>
      </c>
      <c r="H213" s="13" t="str">
        <f t="shared" si="32"/>
        <v>Melancholy</v>
      </c>
      <c r="I213" s="13">
        <f t="shared" si="33"/>
        <v>17</v>
      </c>
      <c r="J213" s="13">
        <f t="shared" si="34"/>
        <v>10</v>
      </c>
      <c r="K213" s="13">
        <f t="shared" si="35"/>
        <v>7</v>
      </c>
    </row>
    <row r="214" spans="1:11" x14ac:dyDescent="0.25">
      <c r="A214" s="13">
        <f>'Raw Data'!A214</f>
        <v>212</v>
      </c>
      <c r="B214" s="13" t="str">
        <f>'Raw Data'!C214</f>
        <v xml:space="preserve"> Nostalgia       </v>
      </c>
      <c r="C214" s="13" t="str">
        <f t="shared" si="27"/>
        <v>Nostalgia</v>
      </c>
      <c r="D214" s="13" t="str">
        <f t="shared" si="28"/>
        <v xml:space="preserve"> Nostalgia       </v>
      </c>
      <c r="E214" s="13" t="str">
        <f t="shared" si="29"/>
        <v>Nostalgia</v>
      </c>
      <c r="F214" s="13" t="str">
        <f t="shared" si="30"/>
        <v>NOSTALGIA</v>
      </c>
      <c r="G214" s="13" t="str">
        <f t="shared" si="31"/>
        <v>nostalgia</v>
      </c>
      <c r="H214" s="13" t="str">
        <f t="shared" si="32"/>
        <v>Nostalgia</v>
      </c>
      <c r="I214" s="13">
        <f t="shared" si="33"/>
        <v>17</v>
      </c>
      <c r="J214" s="13">
        <f t="shared" si="34"/>
        <v>9</v>
      </c>
      <c r="K214" s="13">
        <f t="shared" si="35"/>
        <v>8</v>
      </c>
    </row>
    <row r="215" spans="1:11" x14ac:dyDescent="0.25">
      <c r="A215" s="13">
        <f>'Raw Data'!A215</f>
        <v>213</v>
      </c>
      <c r="B215" s="13" t="str">
        <f>'Raw Data'!C215</f>
        <v xml:space="preserve"> Ambivalence     </v>
      </c>
      <c r="C215" s="13" t="str">
        <f t="shared" si="27"/>
        <v>Ambivalence</v>
      </c>
      <c r="D215" s="13" t="str">
        <f t="shared" si="28"/>
        <v xml:space="preserve"> Ambivalence     </v>
      </c>
      <c r="E215" s="13" t="str">
        <f t="shared" si="29"/>
        <v>Ambivalence</v>
      </c>
      <c r="F215" s="13" t="str">
        <f t="shared" si="30"/>
        <v>AMBIVALENCE</v>
      </c>
      <c r="G215" s="13" t="str">
        <f t="shared" si="31"/>
        <v>ambivalence</v>
      </c>
      <c r="H215" s="13" t="str">
        <f t="shared" si="32"/>
        <v>Ambivalence</v>
      </c>
      <c r="I215" s="13">
        <f t="shared" si="33"/>
        <v>17</v>
      </c>
      <c r="J215" s="13">
        <f t="shared" si="34"/>
        <v>11</v>
      </c>
      <c r="K215" s="13">
        <f t="shared" si="35"/>
        <v>6</v>
      </c>
    </row>
    <row r="216" spans="1:11" x14ac:dyDescent="0.25">
      <c r="A216" s="13">
        <f>'Raw Data'!A216</f>
        <v>214</v>
      </c>
      <c r="B216" s="13" t="str">
        <f>'Raw Data'!C216</f>
        <v xml:space="preserve"> Acceptance      </v>
      </c>
      <c r="C216" s="13" t="str">
        <f t="shared" si="27"/>
        <v>Acceptance</v>
      </c>
      <c r="D216" s="13" t="str">
        <f t="shared" si="28"/>
        <v xml:space="preserve"> Acceptance      </v>
      </c>
      <c r="E216" s="13" t="str">
        <f t="shared" si="29"/>
        <v>Acceptance</v>
      </c>
      <c r="F216" s="13" t="str">
        <f t="shared" si="30"/>
        <v>ACCEPTANCE</v>
      </c>
      <c r="G216" s="13" t="str">
        <f t="shared" si="31"/>
        <v>acceptance</v>
      </c>
      <c r="H216" s="13" t="str">
        <f t="shared" si="32"/>
        <v>Acceptance</v>
      </c>
      <c r="I216" s="13">
        <f t="shared" si="33"/>
        <v>17</v>
      </c>
      <c r="J216" s="13">
        <f t="shared" si="34"/>
        <v>10</v>
      </c>
      <c r="K216" s="13">
        <f t="shared" si="35"/>
        <v>7</v>
      </c>
    </row>
    <row r="217" spans="1:11" x14ac:dyDescent="0.25">
      <c r="A217" s="13">
        <f>'Raw Data'!A217</f>
        <v>215</v>
      </c>
      <c r="B217" s="13" t="str">
        <f>'Raw Data'!C217</f>
        <v xml:space="preserve"> Determination   </v>
      </c>
      <c r="C217" s="13" t="str">
        <f t="shared" si="27"/>
        <v>Determination</v>
      </c>
      <c r="D217" s="13" t="str">
        <f t="shared" si="28"/>
        <v xml:space="preserve"> Determination   </v>
      </c>
      <c r="E217" s="13" t="str">
        <f t="shared" si="29"/>
        <v>Determination</v>
      </c>
      <c r="F217" s="13" t="str">
        <f t="shared" si="30"/>
        <v>DETERMINATION</v>
      </c>
      <c r="G217" s="13" t="str">
        <f t="shared" si="31"/>
        <v>determination</v>
      </c>
      <c r="H217" s="13" t="str">
        <f t="shared" si="32"/>
        <v>Determination</v>
      </c>
      <c r="I217" s="13">
        <f t="shared" si="33"/>
        <v>17</v>
      </c>
      <c r="J217" s="13">
        <f t="shared" si="34"/>
        <v>13</v>
      </c>
      <c r="K217" s="13">
        <f t="shared" si="35"/>
        <v>4</v>
      </c>
    </row>
    <row r="218" spans="1:11" x14ac:dyDescent="0.25">
      <c r="A218" s="13">
        <f>'Raw Data'!A218</f>
        <v>216</v>
      </c>
      <c r="B218" s="13" t="str">
        <f>'Raw Data'!C218</f>
        <v xml:space="preserve"> Serenity        </v>
      </c>
      <c r="C218" s="13" t="str">
        <f t="shared" si="27"/>
        <v>Serenity</v>
      </c>
      <c r="D218" s="13" t="str">
        <f t="shared" si="28"/>
        <v xml:space="preserve"> Serenity        </v>
      </c>
      <c r="E218" s="13" t="str">
        <f t="shared" si="29"/>
        <v>Serenity</v>
      </c>
      <c r="F218" s="13" t="str">
        <f t="shared" si="30"/>
        <v>SERENITY</v>
      </c>
      <c r="G218" s="13" t="str">
        <f t="shared" si="31"/>
        <v>serenity</v>
      </c>
      <c r="H218" s="13" t="str">
        <f t="shared" si="32"/>
        <v>Serenity</v>
      </c>
      <c r="I218" s="13">
        <f t="shared" si="33"/>
        <v>17</v>
      </c>
      <c r="J218" s="13">
        <f t="shared" si="34"/>
        <v>8</v>
      </c>
      <c r="K218" s="13">
        <f t="shared" si="35"/>
        <v>9</v>
      </c>
    </row>
    <row r="219" spans="1:11" x14ac:dyDescent="0.25">
      <c r="A219" s="13">
        <f>'Raw Data'!A219</f>
        <v>217</v>
      </c>
      <c r="B219" s="13" t="str">
        <f>'Raw Data'!C219</f>
        <v xml:space="preserve"> Curiosity       </v>
      </c>
      <c r="C219" s="13" t="str">
        <f t="shared" si="27"/>
        <v>Curiosity</v>
      </c>
      <c r="D219" s="13" t="str">
        <f t="shared" si="28"/>
        <v xml:space="preserve"> Curiosity       </v>
      </c>
      <c r="E219" s="13" t="str">
        <f t="shared" si="29"/>
        <v>Curiosity</v>
      </c>
      <c r="F219" s="13" t="str">
        <f t="shared" si="30"/>
        <v>CURIOSITY</v>
      </c>
      <c r="G219" s="13" t="str">
        <f t="shared" si="31"/>
        <v>curiosity</v>
      </c>
      <c r="H219" s="13" t="str">
        <f t="shared" si="32"/>
        <v>Curiosity</v>
      </c>
      <c r="I219" s="13">
        <f t="shared" si="33"/>
        <v>17</v>
      </c>
      <c r="J219" s="13">
        <f t="shared" si="34"/>
        <v>9</v>
      </c>
      <c r="K219" s="13">
        <f t="shared" si="35"/>
        <v>8</v>
      </c>
    </row>
    <row r="220" spans="1:11" x14ac:dyDescent="0.25">
      <c r="A220" s="13">
        <f>'Raw Data'!A220</f>
        <v>218</v>
      </c>
      <c r="B220" s="13" t="str">
        <f>'Raw Data'!C220</f>
        <v xml:space="preserve"> Indifference    </v>
      </c>
      <c r="C220" s="13" t="str">
        <f t="shared" si="27"/>
        <v>Indifference</v>
      </c>
      <c r="D220" s="13" t="str">
        <f t="shared" si="28"/>
        <v xml:space="preserve"> Indifference    </v>
      </c>
      <c r="E220" s="13" t="str">
        <f t="shared" si="29"/>
        <v>Indifference</v>
      </c>
      <c r="F220" s="13" t="str">
        <f t="shared" si="30"/>
        <v>INDIFFERENCE</v>
      </c>
      <c r="G220" s="13" t="str">
        <f t="shared" si="31"/>
        <v>indifference</v>
      </c>
      <c r="H220" s="13" t="str">
        <f t="shared" si="32"/>
        <v>Indifference</v>
      </c>
      <c r="I220" s="13">
        <f t="shared" si="33"/>
        <v>17</v>
      </c>
      <c r="J220" s="13">
        <f t="shared" si="34"/>
        <v>12</v>
      </c>
      <c r="K220" s="13">
        <f t="shared" si="35"/>
        <v>5</v>
      </c>
    </row>
    <row r="221" spans="1:11" x14ac:dyDescent="0.25">
      <c r="A221" s="13">
        <f>'Raw Data'!A221</f>
        <v>219</v>
      </c>
      <c r="B221" s="13" t="str">
        <f>'Raw Data'!C221</f>
        <v xml:space="preserve"> Confusion       </v>
      </c>
      <c r="C221" s="13" t="str">
        <f t="shared" si="27"/>
        <v>Confusion</v>
      </c>
      <c r="D221" s="13" t="str">
        <f t="shared" si="28"/>
        <v xml:space="preserve"> Confusion       </v>
      </c>
      <c r="E221" s="13" t="str">
        <f t="shared" si="29"/>
        <v>Confusion</v>
      </c>
      <c r="F221" s="13" t="str">
        <f t="shared" si="30"/>
        <v>CONFUSION</v>
      </c>
      <c r="G221" s="13" t="str">
        <f t="shared" si="31"/>
        <v>confusion</v>
      </c>
      <c r="H221" s="13" t="str">
        <f t="shared" si="32"/>
        <v>Confusion</v>
      </c>
      <c r="I221" s="13">
        <f t="shared" si="33"/>
        <v>17</v>
      </c>
      <c r="J221" s="13">
        <f t="shared" si="34"/>
        <v>9</v>
      </c>
      <c r="K221" s="13">
        <f t="shared" si="35"/>
        <v>8</v>
      </c>
    </row>
    <row r="222" spans="1:11" x14ac:dyDescent="0.25">
      <c r="A222" s="13">
        <f>'Raw Data'!A222</f>
        <v>220</v>
      </c>
      <c r="B222" s="13" t="str">
        <f>'Raw Data'!C222</f>
        <v xml:space="preserve"> Numbness        </v>
      </c>
      <c r="C222" s="13" t="str">
        <f t="shared" si="27"/>
        <v>Numbness</v>
      </c>
      <c r="D222" s="13" t="str">
        <f t="shared" si="28"/>
        <v xml:space="preserve"> Numbness        </v>
      </c>
      <c r="E222" s="13" t="str">
        <f t="shared" si="29"/>
        <v>Numbness</v>
      </c>
      <c r="F222" s="13" t="str">
        <f t="shared" si="30"/>
        <v>NUMBNESS</v>
      </c>
      <c r="G222" s="13" t="str">
        <f t="shared" si="31"/>
        <v>numbness</v>
      </c>
      <c r="H222" s="13" t="str">
        <f t="shared" si="32"/>
        <v>Numbness</v>
      </c>
      <c r="I222" s="13">
        <f t="shared" si="33"/>
        <v>17</v>
      </c>
      <c r="J222" s="13">
        <f t="shared" si="34"/>
        <v>8</v>
      </c>
      <c r="K222" s="13">
        <f t="shared" si="35"/>
        <v>9</v>
      </c>
    </row>
    <row r="223" spans="1:11" x14ac:dyDescent="0.25">
      <c r="A223" s="13">
        <f>'Raw Data'!A223</f>
        <v>221</v>
      </c>
      <c r="B223" s="13" t="str">
        <f>'Raw Data'!C223</f>
        <v xml:space="preserve"> Melancholy      </v>
      </c>
      <c r="C223" s="13" t="str">
        <f t="shared" si="27"/>
        <v>Melancholy</v>
      </c>
      <c r="D223" s="13" t="str">
        <f t="shared" si="28"/>
        <v xml:space="preserve"> Melancholy      </v>
      </c>
      <c r="E223" s="13" t="str">
        <f t="shared" si="29"/>
        <v>Melancholy</v>
      </c>
      <c r="F223" s="13" t="str">
        <f t="shared" si="30"/>
        <v>MELANCHOLY</v>
      </c>
      <c r="G223" s="13" t="str">
        <f t="shared" si="31"/>
        <v>melancholy</v>
      </c>
      <c r="H223" s="13" t="str">
        <f t="shared" si="32"/>
        <v>Melancholy</v>
      </c>
      <c r="I223" s="13">
        <f t="shared" si="33"/>
        <v>17</v>
      </c>
      <c r="J223" s="13">
        <f t="shared" si="34"/>
        <v>10</v>
      </c>
      <c r="K223" s="13">
        <f t="shared" si="35"/>
        <v>7</v>
      </c>
    </row>
    <row r="224" spans="1:11" x14ac:dyDescent="0.25">
      <c r="A224" s="13">
        <f>'Raw Data'!A224</f>
        <v>222</v>
      </c>
      <c r="B224" s="13" t="str">
        <f>'Raw Data'!C224</f>
        <v xml:space="preserve"> Nostalgia       </v>
      </c>
      <c r="C224" s="13" t="str">
        <f t="shared" si="27"/>
        <v>Nostalgia</v>
      </c>
      <c r="D224" s="13" t="str">
        <f t="shared" si="28"/>
        <v xml:space="preserve"> Nostalgia       </v>
      </c>
      <c r="E224" s="13" t="str">
        <f t="shared" si="29"/>
        <v>Nostalgia</v>
      </c>
      <c r="F224" s="13" t="str">
        <f t="shared" si="30"/>
        <v>NOSTALGIA</v>
      </c>
      <c r="G224" s="13" t="str">
        <f t="shared" si="31"/>
        <v>nostalgia</v>
      </c>
      <c r="H224" s="13" t="str">
        <f t="shared" si="32"/>
        <v>Nostalgia</v>
      </c>
      <c r="I224" s="13">
        <f t="shared" si="33"/>
        <v>17</v>
      </c>
      <c r="J224" s="13">
        <f t="shared" si="34"/>
        <v>9</v>
      </c>
      <c r="K224" s="13">
        <f t="shared" si="35"/>
        <v>8</v>
      </c>
    </row>
    <row r="225" spans="1:11" x14ac:dyDescent="0.25">
      <c r="A225" s="13">
        <f>'Raw Data'!A225</f>
        <v>223</v>
      </c>
      <c r="B225" s="13" t="str">
        <f>'Raw Data'!C225</f>
        <v xml:space="preserve"> Ambivalence     </v>
      </c>
      <c r="C225" s="13" t="str">
        <f t="shared" si="27"/>
        <v>Ambivalence</v>
      </c>
      <c r="D225" s="13" t="str">
        <f t="shared" si="28"/>
        <v xml:space="preserve"> Ambivalence     </v>
      </c>
      <c r="E225" s="13" t="str">
        <f t="shared" si="29"/>
        <v>Ambivalence</v>
      </c>
      <c r="F225" s="13" t="str">
        <f t="shared" si="30"/>
        <v>AMBIVALENCE</v>
      </c>
      <c r="G225" s="13" t="str">
        <f t="shared" si="31"/>
        <v>ambivalence</v>
      </c>
      <c r="H225" s="13" t="str">
        <f t="shared" si="32"/>
        <v>Ambivalence</v>
      </c>
      <c r="I225" s="13">
        <f t="shared" si="33"/>
        <v>17</v>
      </c>
      <c r="J225" s="13">
        <f t="shared" si="34"/>
        <v>11</v>
      </c>
      <c r="K225" s="13">
        <f t="shared" si="35"/>
        <v>6</v>
      </c>
    </row>
    <row r="226" spans="1:11" x14ac:dyDescent="0.25">
      <c r="A226" s="13">
        <f>'Raw Data'!A226</f>
        <v>224</v>
      </c>
      <c r="B226" s="13" t="str">
        <f>'Raw Data'!C226</f>
        <v xml:space="preserve"> Acceptance      </v>
      </c>
      <c r="C226" s="13" t="str">
        <f t="shared" si="27"/>
        <v>Acceptance</v>
      </c>
      <c r="D226" s="13" t="str">
        <f t="shared" si="28"/>
        <v xml:space="preserve"> Acceptance      </v>
      </c>
      <c r="E226" s="13" t="str">
        <f t="shared" si="29"/>
        <v>Acceptance</v>
      </c>
      <c r="F226" s="13" t="str">
        <f t="shared" si="30"/>
        <v>ACCEPTANCE</v>
      </c>
      <c r="G226" s="13" t="str">
        <f t="shared" si="31"/>
        <v>acceptance</v>
      </c>
      <c r="H226" s="13" t="str">
        <f t="shared" si="32"/>
        <v>Acceptance</v>
      </c>
      <c r="I226" s="13">
        <f t="shared" si="33"/>
        <v>17</v>
      </c>
      <c r="J226" s="13">
        <f t="shared" si="34"/>
        <v>10</v>
      </c>
      <c r="K226" s="13">
        <f t="shared" si="35"/>
        <v>7</v>
      </c>
    </row>
    <row r="227" spans="1:11" x14ac:dyDescent="0.25">
      <c r="A227" s="13">
        <f>'Raw Data'!A227</f>
        <v>225</v>
      </c>
      <c r="B227" s="13" t="str">
        <f>'Raw Data'!C227</f>
        <v xml:space="preserve"> Determination   </v>
      </c>
      <c r="C227" s="13" t="str">
        <f t="shared" si="27"/>
        <v>Determination</v>
      </c>
      <c r="D227" s="13" t="str">
        <f t="shared" si="28"/>
        <v xml:space="preserve"> Determination   </v>
      </c>
      <c r="E227" s="13" t="str">
        <f t="shared" si="29"/>
        <v>Determination</v>
      </c>
      <c r="F227" s="13" t="str">
        <f t="shared" si="30"/>
        <v>DETERMINATION</v>
      </c>
      <c r="G227" s="13" t="str">
        <f t="shared" si="31"/>
        <v>determination</v>
      </c>
      <c r="H227" s="13" t="str">
        <f t="shared" si="32"/>
        <v>Determination</v>
      </c>
      <c r="I227" s="13">
        <f t="shared" si="33"/>
        <v>17</v>
      </c>
      <c r="J227" s="13">
        <f t="shared" si="34"/>
        <v>13</v>
      </c>
      <c r="K227" s="13">
        <f t="shared" si="35"/>
        <v>4</v>
      </c>
    </row>
    <row r="228" spans="1:11" x14ac:dyDescent="0.25">
      <c r="A228" s="13">
        <f>'Raw Data'!A228</f>
        <v>226</v>
      </c>
      <c r="B228" s="13" t="str">
        <f>'Raw Data'!C228</f>
        <v xml:space="preserve"> Serenity        </v>
      </c>
      <c r="C228" s="13" t="str">
        <f t="shared" si="27"/>
        <v>Serenity</v>
      </c>
      <c r="D228" s="13" t="str">
        <f t="shared" si="28"/>
        <v xml:space="preserve"> Serenity        </v>
      </c>
      <c r="E228" s="13" t="str">
        <f t="shared" si="29"/>
        <v>Serenity</v>
      </c>
      <c r="F228" s="13" t="str">
        <f t="shared" si="30"/>
        <v>SERENITY</v>
      </c>
      <c r="G228" s="13" t="str">
        <f t="shared" si="31"/>
        <v>serenity</v>
      </c>
      <c r="H228" s="13" t="str">
        <f t="shared" si="32"/>
        <v>Serenity</v>
      </c>
      <c r="I228" s="13">
        <f t="shared" si="33"/>
        <v>17</v>
      </c>
      <c r="J228" s="13">
        <f t="shared" si="34"/>
        <v>8</v>
      </c>
      <c r="K228" s="13">
        <f t="shared" si="35"/>
        <v>9</v>
      </c>
    </row>
    <row r="229" spans="1:11" x14ac:dyDescent="0.25">
      <c r="A229" s="13">
        <f>'Raw Data'!A229</f>
        <v>227</v>
      </c>
      <c r="B229" s="13" t="str">
        <f>'Raw Data'!C229</f>
        <v xml:space="preserve"> Indifference    </v>
      </c>
      <c r="C229" s="13" t="str">
        <f t="shared" si="27"/>
        <v>Indifference</v>
      </c>
      <c r="D229" s="13" t="str">
        <f t="shared" si="28"/>
        <v xml:space="preserve"> Indifference    </v>
      </c>
      <c r="E229" s="13" t="str">
        <f t="shared" si="29"/>
        <v>Indifference</v>
      </c>
      <c r="F229" s="13" t="str">
        <f t="shared" si="30"/>
        <v>INDIFFERENCE</v>
      </c>
      <c r="G229" s="13" t="str">
        <f t="shared" si="31"/>
        <v>indifference</v>
      </c>
      <c r="H229" s="13" t="str">
        <f t="shared" si="32"/>
        <v>Indifference</v>
      </c>
      <c r="I229" s="13">
        <f t="shared" si="33"/>
        <v>17</v>
      </c>
      <c r="J229" s="13">
        <f t="shared" si="34"/>
        <v>12</v>
      </c>
      <c r="K229" s="13">
        <f t="shared" si="35"/>
        <v>5</v>
      </c>
    </row>
    <row r="230" spans="1:11" x14ac:dyDescent="0.25">
      <c r="A230" s="13">
        <f>'Raw Data'!A230</f>
        <v>228</v>
      </c>
      <c r="B230" s="13" t="str">
        <f>'Raw Data'!C230</f>
        <v xml:space="preserve"> Confusion       </v>
      </c>
      <c r="C230" s="13" t="str">
        <f t="shared" si="27"/>
        <v>Confusion</v>
      </c>
      <c r="D230" s="13" t="str">
        <f t="shared" si="28"/>
        <v xml:space="preserve"> Confusion       </v>
      </c>
      <c r="E230" s="13" t="str">
        <f t="shared" si="29"/>
        <v>Confusion</v>
      </c>
      <c r="F230" s="13" t="str">
        <f t="shared" si="30"/>
        <v>CONFUSION</v>
      </c>
      <c r="G230" s="13" t="str">
        <f t="shared" si="31"/>
        <v>confusion</v>
      </c>
      <c r="H230" s="13" t="str">
        <f t="shared" si="32"/>
        <v>Confusion</v>
      </c>
      <c r="I230" s="13">
        <f t="shared" si="33"/>
        <v>17</v>
      </c>
      <c r="J230" s="13">
        <f t="shared" si="34"/>
        <v>9</v>
      </c>
      <c r="K230" s="13">
        <f t="shared" si="35"/>
        <v>8</v>
      </c>
    </row>
    <row r="231" spans="1:11" x14ac:dyDescent="0.25">
      <c r="A231" s="13">
        <f>'Raw Data'!A231</f>
        <v>229</v>
      </c>
      <c r="B231" s="13" t="str">
        <f>'Raw Data'!C231</f>
        <v xml:space="preserve"> Numbness        </v>
      </c>
      <c r="C231" s="13" t="str">
        <f t="shared" si="27"/>
        <v>Numbness</v>
      </c>
      <c r="D231" s="13" t="str">
        <f t="shared" si="28"/>
        <v xml:space="preserve"> Numbness        </v>
      </c>
      <c r="E231" s="13" t="str">
        <f t="shared" si="29"/>
        <v>Numbness</v>
      </c>
      <c r="F231" s="13" t="str">
        <f t="shared" si="30"/>
        <v>NUMBNESS</v>
      </c>
      <c r="G231" s="13" t="str">
        <f t="shared" si="31"/>
        <v>numbness</v>
      </c>
      <c r="H231" s="13" t="str">
        <f t="shared" si="32"/>
        <v>Numbness</v>
      </c>
      <c r="I231" s="13">
        <f t="shared" si="33"/>
        <v>17</v>
      </c>
      <c r="J231" s="13">
        <f t="shared" si="34"/>
        <v>8</v>
      </c>
      <c r="K231" s="13">
        <f t="shared" si="35"/>
        <v>9</v>
      </c>
    </row>
    <row r="232" spans="1:11" x14ac:dyDescent="0.25">
      <c r="A232" s="13">
        <f>'Raw Data'!A232</f>
        <v>230</v>
      </c>
      <c r="B232" s="13" t="str">
        <f>'Raw Data'!C232</f>
        <v xml:space="preserve"> Melancholy      </v>
      </c>
      <c r="C232" s="13" t="str">
        <f t="shared" si="27"/>
        <v>Melancholy</v>
      </c>
      <c r="D232" s="13" t="str">
        <f t="shared" si="28"/>
        <v xml:space="preserve"> Melancholy      </v>
      </c>
      <c r="E232" s="13" t="str">
        <f t="shared" si="29"/>
        <v>Melancholy</v>
      </c>
      <c r="F232" s="13" t="str">
        <f t="shared" si="30"/>
        <v>MELANCHOLY</v>
      </c>
      <c r="G232" s="13" t="str">
        <f t="shared" si="31"/>
        <v>melancholy</v>
      </c>
      <c r="H232" s="13" t="str">
        <f t="shared" si="32"/>
        <v>Melancholy</v>
      </c>
      <c r="I232" s="13">
        <f t="shared" si="33"/>
        <v>17</v>
      </c>
      <c r="J232" s="13">
        <f t="shared" si="34"/>
        <v>10</v>
      </c>
      <c r="K232" s="13">
        <f t="shared" si="35"/>
        <v>7</v>
      </c>
    </row>
    <row r="233" spans="1:11" x14ac:dyDescent="0.25">
      <c r="A233" s="13">
        <f>'Raw Data'!A233</f>
        <v>231</v>
      </c>
      <c r="B233" s="13" t="str">
        <f>'Raw Data'!C233</f>
        <v xml:space="preserve"> Nostalgia       </v>
      </c>
      <c r="C233" s="13" t="str">
        <f t="shared" si="27"/>
        <v>Nostalgia</v>
      </c>
      <c r="D233" s="13" t="str">
        <f t="shared" si="28"/>
        <v xml:space="preserve"> Nostalgia       </v>
      </c>
      <c r="E233" s="13" t="str">
        <f t="shared" si="29"/>
        <v>Nostalgia</v>
      </c>
      <c r="F233" s="13" t="str">
        <f t="shared" si="30"/>
        <v>NOSTALGIA</v>
      </c>
      <c r="G233" s="13" t="str">
        <f t="shared" si="31"/>
        <v>nostalgia</v>
      </c>
      <c r="H233" s="13" t="str">
        <f t="shared" si="32"/>
        <v>Nostalgia</v>
      </c>
      <c r="I233" s="13">
        <f t="shared" si="33"/>
        <v>17</v>
      </c>
      <c r="J233" s="13">
        <f t="shared" si="34"/>
        <v>9</v>
      </c>
      <c r="K233" s="13">
        <f t="shared" si="35"/>
        <v>8</v>
      </c>
    </row>
    <row r="234" spans="1:11" x14ac:dyDescent="0.25">
      <c r="A234" s="13">
        <f>'Raw Data'!A234</f>
        <v>232</v>
      </c>
      <c r="B234" s="13" t="str">
        <f>'Raw Data'!C234</f>
        <v xml:space="preserve"> Ambivalence     </v>
      </c>
      <c r="C234" s="13" t="str">
        <f t="shared" si="27"/>
        <v>Ambivalence</v>
      </c>
      <c r="D234" s="13" t="str">
        <f t="shared" si="28"/>
        <v xml:space="preserve"> Ambivalence     </v>
      </c>
      <c r="E234" s="13" t="str">
        <f t="shared" si="29"/>
        <v>Ambivalence</v>
      </c>
      <c r="F234" s="13" t="str">
        <f t="shared" si="30"/>
        <v>AMBIVALENCE</v>
      </c>
      <c r="G234" s="13" t="str">
        <f t="shared" si="31"/>
        <v>ambivalence</v>
      </c>
      <c r="H234" s="13" t="str">
        <f t="shared" si="32"/>
        <v>Ambivalence</v>
      </c>
      <c r="I234" s="13">
        <f t="shared" si="33"/>
        <v>17</v>
      </c>
      <c r="J234" s="13">
        <f t="shared" si="34"/>
        <v>11</v>
      </c>
      <c r="K234" s="13">
        <f t="shared" si="35"/>
        <v>6</v>
      </c>
    </row>
    <row r="235" spans="1:11" x14ac:dyDescent="0.25">
      <c r="A235" s="13">
        <f>'Raw Data'!A235</f>
        <v>233</v>
      </c>
      <c r="B235" s="13" t="str">
        <f>'Raw Data'!C235</f>
        <v xml:space="preserve"> Acceptance      </v>
      </c>
      <c r="C235" s="13" t="str">
        <f t="shared" si="27"/>
        <v>Acceptance</v>
      </c>
      <c r="D235" s="13" t="str">
        <f t="shared" si="28"/>
        <v xml:space="preserve"> Acceptance      </v>
      </c>
      <c r="E235" s="13" t="str">
        <f t="shared" si="29"/>
        <v>Acceptance</v>
      </c>
      <c r="F235" s="13" t="str">
        <f t="shared" si="30"/>
        <v>ACCEPTANCE</v>
      </c>
      <c r="G235" s="13" t="str">
        <f t="shared" si="31"/>
        <v>acceptance</v>
      </c>
      <c r="H235" s="13" t="str">
        <f t="shared" si="32"/>
        <v>Acceptance</v>
      </c>
      <c r="I235" s="13">
        <f t="shared" si="33"/>
        <v>17</v>
      </c>
      <c r="J235" s="13">
        <f t="shared" si="34"/>
        <v>10</v>
      </c>
      <c r="K235" s="13">
        <f t="shared" si="35"/>
        <v>7</v>
      </c>
    </row>
    <row r="236" spans="1:11" x14ac:dyDescent="0.25">
      <c r="A236" s="13">
        <f>'Raw Data'!A236</f>
        <v>234</v>
      </c>
      <c r="B236" s="13" t="str">
        <f>'Raw Data'!C236</f>
        <v xml:space="preserve"> Determination   </v>
      </c>
      <c r="C236" s="13" t="str">
        <f t="shared" si="27"/>
        <v>Determination</v>
      </c>
      <c r="D236" s="13" t="str">
        <f t="shared" si="28"/>
        <v xml:space="preserve"> Determination   </v>
      </c>
      <c r="E236" s="13" t="str">
        <f t="shared" si="29"/>
        <v>Determination</v>
      </c>
      <c r="F236" s="13" t="str">
        <f t="shared" si="30"/>
        <v>DETERMINATION</v>
      </c>
      <c r="G236" s="13" t="str">
        <f t="shared" si="31"/>
        <v>determination</v>
      </c>
      <c r="H236" s="13" t="str">
        <f t="shared" si="32"/>
        <v>Determination</v>
      </c>
      <c r="I236" s="13">
        <f t="shared" si="33"/>
        <v>17</v>
      </c>
      <c r="J236" s="13">
        <f t="shared" si="34"/>
        <v>13</v>
      </c>
      <c r="K236" s="13">
        <f t="shared" si="35"/>
        <v>4</v>
      </c>
    </row>
    <row r="237" spans="1:11" x14ac:dyDescent="0.25">
      <c r="A237" s="13">
        <f>'Raw Data'!A237</f>
        <v>235</v>
      </c>
      <c r="B237" s="13" t="str">
        <f>'Raw Data'!C237</f>
        <v xml:space="preserve"> Serenity        </v>
      </c>
      <c r="C237" s="13" t="str">
        <f t="shared" si="27"/>
        <v>Serenity</v>
      </c>
      <c r="D237" s="13" t="str">
        <f t="shared" si="28"/>
        <v xml:space="preserve"> Serenity        </v>
      </c>
      <c r="E237" s="13" t="str">
        <f t="shared" si="29"/>
        <v>Serenity</v>
      </c>
      <c r="F237" s="13" t="str">
        <f t="shared" si="30"/>
        <v>SERENITY</v>
      </c>
      <c r="G237" s="13" t="str">
        <f t="shared" si="31"/>
        <v>serenity</v>
      </c>
      <c r="H237" s="13" t="str">
        <f t="shared" si="32"/>
        <v>Serenity</v>
      </c>
      <c r="I237" s="13">
        <f t="shared" si="33"/>
        <v>17</v>
      </c>
      <c r="J237" s="13">
        <f t="shared" si="34"/>
        <v>8</v>
      </c>
      <c r="K237" s="13">
        <f t="shared" si="35"/>
        <v>9</v>
      </c>
    </row>
    <row r="238" spans="1:11" x14ac:dyDescent="0.25">
      <c r="A238" s="13">
        <f>'Raw Data'!A238</f>
        <v>236</v>
      </c>
      <c r="B238" s="13" t="str">
        <f>'Raw Data'!C238</f>
        <v xml:space="preserve"> Curiosity       </v>
      </c>
      <c r="C238" s="13" t="str">
        <f t="shared" si="27"/>
        <v>Curiosity</v>
      </c>
      <c r="D238" s="13" t="str">
        <f t="shared" si="28"/>
        <v xml:space="preserve"> Curiosity       </v>
      </c>
      <c r="E238" s="13" t="str">
        <f t="shared" si="29"/>
        <v>Curiosity</v>
      </c>
      <c r="F238" s="13" t="str">
        <f t="shared" si="30"/>
        <v>CURIOSITY</v>
      </c>
      <c r="G238" s="13" t="str">
        <f t="shared" si="31"/>
        <v>curiosity</v>
      </c>
      <c r="H238" s="13" t="str">
        <f t="shared" si="32"/>
        <v>Curiosity</v>
      </c>
      <c r="I238" s="13">
        <f t="shared" si="33"/>
        <v>17</v>
      </c>
      <c r="J238" s="13">
        <f t="shared" si="34"/>
        <v>9</v>
      </c>
      <c r="K238" s="13">
        <f t="shared" si="35"/>
        <v>8</v>
      </c>
    </row>
    <row r="239" spans="1:11" x14ac:dyDescent="0.25">
      <c r="A239" s="13">
        <f>'Raw Data'!A239</f>
        <v>237</v>
      </c>
      <c r="B239" s="13" t="str">
        <f>'Raw Data'!C239</f>
        <v xml:space="preserve"> Indifference    </v>
      </c>
      <c r="C239" s="13" t="str">
        <f t="shared" si="27"/>
        <v>Indifference</v>
      </c>
      <c r="D239" s="13" t="str">
        <f t="shared" si="28"/>
        <v xml:space="preserve"> Indifference    </v>
      </c>
      <c r="E239" s="13" t="str">
        <f t="shared" si="29"/>
        <v>Indifference</v>
      </c>
      <c r="F239" s="13" t="str">
        <f t="shared" si="30"/>
        <v>INDIFFERENCE</v>
      </c>
      <c r="G239" s="13" t="str">
        <f t="shared" si="31"/>
        <v>indifference</v>
      </c>
      <c r="H239" s="13" t="str">
        <f t="shared" si="32"/>
        <v>Indifference</v>
      </c>
      <c r="I239" s="13">
        <f t="shared" si="33"/>
        <v>17</v>
      </c>
      <c r="J239" s="13">
        <f t="shared" si="34"/>
        <v>12</v>
      </c>
      <c r="K239" s="13">
        <f t="shared" si="35"/>
        <v>5</v>
      </c>
    </row>
    <row r="240" spans="1:11" x14ac:dyDescent="0.25">
      <c r="A240" s="13">
        <f>'Raw Data'!A240</f>
        <v>238</v>
      </c>
      <c r="B240" s="13" t="str">
        <f>'Raw Data'!C240</f>
        <v xml:space="preserve"> Confusion       </v>
      </c>
      <c r="C240" s="13" t="str">
        <f t="shared" si="27"/>
        <v>Confusion</v>
      </c>
      <c r="D240" s="13" t="str">
        <f t="shared" si="28"/>
        <v xml:space="preserve"> Confusion       </v>
      </c>
      <c r="E240" s="13" t="str">
        <f t="shared" si="29"/>
        <v>Confusion</v>
      </c>
      <c r="F240" s="13" t="str">
        <f t="shared" si="30"/>
        <v>CONFUSION</v>
      </c>
      <c r="G240" s="13" t="str">
        <f t="shared" si="31"/>
        <v>confusion</v>
      </c>
      <c r="H240" s="13" t="str">
        <f t="shared" si="32"/>
        <v>Confusion</v>
      </c>
      <c r="I240" s="13">
        <f t="shared" si="33"/>
        <v>17</v>
      </c>
      <c r="J240" s="13">
        <f t="shared" si="34"/>
        <v>9</v>
      </c>
      <c r="K240" s="13">
        <f t="shared" si="35"/>
        <v>8</v>
      </c>
    </row>
    <row r="241" spans="1:11" x14ac:dyDescent="0.25">
      <c r="A241" s="13">
        <f>'Raw Data'!A241</f>
        <v>239</v>
      </c>
      <c r="B241" s="13" t="str">
        <f>'Raw Data'!C241</f>
        <v xml:space="preserve"> Numbness        </v>
      </c>
      <c r="C241" s="13" t="str">
        <f t="shared" si="27"/>
        <v>Numbness</v>
      </c>
      <c r="D241" s="13" t="str">
        <f t="shared" si="28"/>
        <v xml:space="preserve"> Numbness        </v>
      </c>
      <c r="E241" s="13" t="str">
        <f t="shared" si="29"/>
        <v>Numbness</v>
      </c>
      <c r="F241" s="13" t="str">
        <f t="shared" si="30"/>
        <v>NUMBNESS</v>
      </c>
      <c r="G241" s="13" t="str">
        <f t="shared" si="31"/>
        <v>numbness</v>
      </c>
      <c r="H241" s="13" t="str">
        <f t="shared" si="32"/>
        <v>Numbness</v>
      </c>
      <c r="I241" s="13">
        <f t="shared" si="33"/>
        <v>17</v>
      </c>
      <c r="J241" s="13">
        <f t="shared" si="34"/>
        <v>8</v>
      </c>
      <c r="K241" s="13">
        <f t="shared" si="35"/>
        <v>9</v>
      </c>
    </row>
    <row r="242" spans="1:11" x14ac:dyDescent="0.25">
      <c r="A242" s="13">
        <f>'Raw Data'!A242</f>
        <v>240</v>
      </c>
      <c r="B242" s="13" t="str">
        <f>'Raw Data'!C242</f>
        <v xml:space="preserve"> Melancholy      </v>
      </c>
      <c r="C242" s="13" t="str">
        <f t="shared" si="27"/>
        <v>Melancholy</v>
      </c>
      <c r="D242" s="13" t="str">
        <f t="shared" si="28"/>
        <v xml:space="preserve"> Melancholy      </v>
      </c>
      <c r="E242" s="13" t="str">
        <f t="shared" si="29"/>
        <v>Melancholy</v>
      </c>
      <c r="F242" s="13" t="str">
        <f t="shared" si="30"/>
        <v>MELANCHOLY</v>
      </c>
      <c r="G242" s="13" t="str">
        <f t="shared" si="31"/>
        <v>melancholy</v>
      </c>
      <c r="H242" s="13" t="str">
        <f t="shared" si="32"/>
        <v>Melancholy</v>
      </c>
      <c r="I242" s="13">
        <f t="shared" si="33"/>
        <v>17</v>
      </c>
      <c r="J242" s="13">
        <f t="shared" si="34"/>
        <v>10</v>
      </c>
      <c r="K242" s="13">
        <f t="shared" si="35"/>
        <v>7</v>
      </c>
    </row>
    <row r="243" spans="1:11" x14ac:dyDescent="0.25">
      <c r="A243" s="13">
        <f>'Raw Data'!A243</f>
        <v>241</v>
      </c>
      <c r="B243" s="13" t="str">
        <f>'Raw Data'!C243</f>
        <v xml:space="preserve"> Nostalgia       </v>
      </c>
      <c r="C243" s="13" t="str">
        <f t="shared" si="27"/>
        <v>Nostalgia</v>
      </c>
      <c r="D243" s="13" t="str">
        <f t="shared" si="28"/>
        <v xml:space="preserve"> Nostalgia       </v>
      </c>
      <c r="E243" s="13" t="str">
        <f t="shared" si="29"/>
        <v>Nostalgia</v>
      </c>
      <c r="F243" s="13" t="str">
        <f t="shared" si="30"/>
        <v>NOSTALGIA</v>
      </c>
      <c r="G243" s="13" t="str">
        <f t="shared" si="31"/>
        <v>nostalgia</v>
      </c>
      <c r="H243" s="13" t="str">
        <f t="shared" si="32"/>
        <v>Nostalgia</v>
      </c>
      <c r="I243" s="13">
        <f t="shared" si="33"/>
        <v>17</v>
      </c>
      <c r="J243" s="13">
        <f t="shared" si="34"/>
        <v>9</v>
      </c>
      <c r="K243" s="13">
        <f t="shared" si="35"/>
        <v>8</v>
      </c>
    </row>
    <row r="244" spans="1:11" x14ac:dyDescent="0.25">
      <c r="A244" s="13">
        <f>'Raw Data'!A244</f>
        <v>242</v>
      </c>
      <c r="B244" s="13" t="str">
        <f>'Raw Data'!C244</f>
        <v xml:space="preserve"> Ambivalence     </v>
      </c>
      <c r="C244" s="13" t="str">
        <f t="shared" si="27"/>
        <v>Ambivalence</v>
      </c>
      <c r="D244" s="13" t="str">
        <f t="shared" si="28"/>
        <v xml:space="preserve"> Ambivalence     </v>
      </c>
      <c r="E244" s="13" t="str">
        <f t="shared" si="29"/>
        <v>Ambivalence</v>
      </c>
      <c r="F244" s="13" t="str">
        <f t="shared" si="30"/>
        <v>AMBIVALENCE</v>
      </c>
      <c r="G244" s="13" t="str">
        <f t="shared" si="31"/>
        <v>ambivalence</v>
      </c>
      <c r="H244" s="13" t="str">
        <f t="shared" si="32"/>
        <v>Ambivalence</v>
      </c>
      <c r="I244" s="13">
        <f t="shared" si="33"/>
        <v>17</v>
      </c>
      <c r="J244" s="13">
        <f t="shared" si="34"/>
        <v>11</v>
      </c>
      <c r="K244" s="13">
        <f t="shared" si="35"/>
        <v>6</v>
      </c>
    </row>
    <row r="245" spans="1:11" x14ac:dyDescent="0.25">
      <c r="A245" s="13">
        <f>'Raw Data'!A245</f>
        <v>243</v>
      </c>
      <c r="B245" s="13" t="str">
        <f>'Raw Data'!C245</f>
        <v xml:space="preserve"> Acceptance      </v>
      </c>
      <c r="C245" s="13" t="str">
        <f t="shared" si="27"/>
        <v>Acceptance</v>
      </c>
      <c r="D245" s="13" t="str">
        <f t="shared" si="28"/>
        <v xml:space="preserve"> Acceptance      </v>
      </c>
      <c r="E245" s="13" t="str">
        <f t="shared" si="29"/>
        <v>Acceptance</v>
      </c>
      <c r="F245" s="13" t="str">
        <f t="shared" si="30"/>
        <v>ACCEPTANCE</v>
      </c>
      <c r="G245" s="13" t="str">
        <f t="shared" si="31"/>
        <v>acceptance</v>
      </c>
      <c r="H245" s="13" t="str">
        <f t="shared" si="32"/>
        <v>Acceptance</v>
      </c>
      <c r="I245" s="13">
        <f t="shared" si="33"/>
        <v>17</v>
      </c>
      <c r="J245" s="13">
        <f t="shared" si="34"/>
        <v>10</v>
      </c>
      <c r="K245" s="13">
        <f t="shared" si="35"/>
        <v>7</v>
      </c>
    </row>
    <row r="246" spans="1:11" x14ac:dyDescent="0.25">
      <c r="A246" s="13">
        <f>'Raw Data'!A246</f>
        <v>244</v>
      </c>
      <c r="B246" s="13" t="str">
        <f>'Raw Data'!C246</f>
        <v xml:space="preserve"> Determination   </v>
      </c>
      <c r="C246" s="13" t="str">
        <f t="shared" si="27"/>
        <v>Determination</v>
      </c>
      <c r="D246" s="13" t="str">
        <f t="shared" si="28"/>
        <v xml:space="preserve"> Determination   </v>
      </c>
      <c r="E246" s="13" t="str">
        <f t="shared" si="29"/>
        <v>Determination</v>
      </c>
      <c r="F246" s="13" t="str">
        <f t="shared" si="30"/>
        <v>DETERMINATION</v>
      </c>
      <c r="G246" s="13" t="str">
        <f t="shared" si="31"/>
        <v>determination</v>
      </c>
      <c r="H246" s="13" t="str">
        <f t="shared" si="32"/>
        <v>Determination</v>
      </c>
      <c r="I246" s="13">
        <f t="shared" si="33"/>
        <v>17</v>
      </c>
      <c r="J246" s="13">
        <f t="shared" si="34"/>
        <v>13</v>
      </c>
      <c r="K246" s="13">
        <f t="shared" si="35"/>
        <v>4</v>
      </c>
    </row>
    <row r="247" spans="1:11" x14ac:dyDescent="0.25">
      <c r="A247" s="13">
        <f>'Raw Data'!A247</f>
        <v>245</v>
      </c>
      <c r="B247" s="13" t="str">
        <f>'Raw Data'!C247</f>
        <v xml:space="preserve"> Serenity        </v>
      </c>
      <c r="C247" s="13" t="str">
        <f t="shared" si="27"/>
        <v>Serenity</v>
      </c>
      <c r="D247" s="13" t="str">
        <f t="shared" si="28"/>
        <v xml:space="preserve"> Serenity        </v>
      </c>
      <c r="E247" s="13" t="str">
        <f t="shared" si="29"/>
        <v>Serenity</v>
      </c>
      <c r="F247" s="13" t="str">
        <f t="shared" si="30"/>
        <v>SERENITY</v>
      </c>
      <c r="G247" s="13" t="str">
        <f t="shared" si="31"/>
        <v>serenity</v>
      </c>
      <c r="H247" s="13" t="str">
        <f t="shared" si="32"/>
        <v>Serenity</v>
      </c>
      <c r="I247" s="13">
        <f t="shared" si="33"/>
        <v>17</v>
      </c>
      <c r="J247" s="13">
        <f t="shared" si="34"/>
        <v>8</v>
      </c>
      <c r="K247" s="13">
        <f t="shared" si="35"/>
        <v>9</v>
      </c>
    </row>
    <row r="248" spans="1:11" x14ac:dyDescent="0.25">
      <c r="A248" s="13">
        <f>'Raw Data'!A248</f>
        <v>246</v>
      </c>
      <c r="B248" s="13" t="str">
        <f>'Raw Data'!C248</f>
        <v xml:space="preserve"> Curiosity       </v>
      </c>
      <c r="C248" s="13" t="str">
        <f t="shared" si="27"/>
        <v>Curiosity</v>
      </c>
      <c r="D248" s="13" t="str">
        <f t="shared" si="28"/>
        <v xml:space="preserve"> Curiosity       </v>
      </c>
      <c r="E248" s="13" t="str">
        <f t="shared" si="29"/>
        <v>Curiosity</v>
      </c>
      <c r="F248" s="13" t="str">
        <f t="shared" si="30"/>
        <v>CURIOSITY</v>
      </c>
      <c r="G248" s="13" t="str">
        <f t="shared" si="31"/>
        <v>curiosity</v>
      </c>
      <c r="H248" s="13" t="str">
        <f t="shared" si="32"/>
        <v>Curiosity</v>
      </c>
      <c r="I248" s="13">
        <f t="shared" si="33"/>
        <v>17</v>
      </c>
      <c r="J248" s="13">
        <f t="shared" si="34"/>
        <v>9</v>
      </c>
      <c r="K248" s="13">
        <f t="shared" si="35"/>
        <v>8</v>
      </c>
    </row>
    <row r="249" spans="1:11" x14ac:dyDescent="0.25">
      <c r="A249" s="13">
        <f>'Raw Data'!A249</f>
        <v>247</v>
      </c>
      <c r="B249" s="13" t="str">
        <f>'Raw Data'!C249</f>
        <v xml:space="preserve"> Numbness </v>
      </c>
      <c r="C249" s="13" t="str">
        <f t="shared" si="27"/>
        <v>Numbness</v>
      </c>
      <c r="D249" s="13" t="str">
        <f t="shared" si="28"/>
        <v xml:space="preserve"> Numbness </v>
      </c>
      <c r="E249" s="13" t="str">
        <f t="shared" si="29"/>
        <v>Numbness</v>
      </c>
      <c r="F249" s="13" t="str">
        <f t="shared" si="30"/>
        <v>NUMBNESS</v>
      </c>
      <c r="G249" s="13" t="str">
        <f t="shared" si="31"/>
        <v>numbness</v>
      </c>
      <c r="H249" s="13" t="str">
        <f t="shared" si="32"/>
        <v>Numbness</v>
      </c>
      <c r="I249" s="13">
        <f t="shared" si="33"/>
        <v>10</v>
      </c>
      <c r="J249" s="13">
        <f t="shared" si="34"/>
        <v>8</v>
      </c>
      <c r="K249" s="13">
        <f t="shared" si="35"/>
        <v>2</v>
      </c>
    </row>
    <row r="250" spans="1:11" x14ac:dyDescent="0.25">
      <c r="A250" s="13">
        <f>'Raw Data'!A250</f>
        <v>248</v>
      </c>
      <c r="B250" s="13" t="str">
        <f>'Raw Data'!C250</f>
        <v xml:space="preserve"> Zest </v>
      </c>
      <c r="C250" s="13" t="str">
        <f t="shared" si="27"/>
        <v>Zest</v>
      </c>
      <c r="D250" s="13" t="str">
        <f t="shared" si="28"/>
        <v xml:space="preserve"> Zest </v>
      </c>
      <c r="E250" s="13" t="str">
        <f t="shared" si="29"/>
        <v>Zest</v>
      </c>
      <c r="F250" s="13" t="str">
        <f t="shared" si="30"/>
        <v>ZEST</v>
      </c>
      <c r="G250" s="13" t="str">
        <f t="shared" si="31"/>
        <v>zest</v>
      </c>
      <c r="H250" s="13" t="str">
        <f t="shared" si="32"/>
        <v>Zest</v>
      </c>
      <c r="I250" s="13">
        <f t="shared" si="33"/>
        <v>6</v>
      </c>
      <c r="J250" s="13">
        <f t="shared" si="34"/>
        <v>4</v>
      </c>
      <c r="K250" s="13">
        <f t="shared" si="35"/>
        <v>2</v>
      </c>
    </row>
    <row r="251" spans="1:11" x14ac:dyDescent="0.25">
      <c r="A251" s="13">
        <f>'Raw Data'!A251</f>
        <v>249</v>
      </c>
      <c r="B251" s="13" t="str">
        <f>'Raw Data'!C251</f>
        <v xml:space="preserve"> Contentment </v>
      </c>
      <c r="C251" s="13" t="str">
        <f t="shared" si="27"/>
        <v>Contentment</v>
      </c>
      <c r="D251" s="13" t="str">
        <f t="shared" si="28"/>
        <v xml:space="preserve"> Contentment </v>
      </c>
      <c r="E251" s="13" t="str">
        <f t="shared" si="29"/>
        <v>Contentment</v>
      </c>
      <c r="F251" s="13" t="str">
        <f t="shared" si="30"/>
        <v>CONTENTMENT</v>
      </c>
      <c r="G251" s="13" t="str">
        <f t="shared" si="31"/>
        <v>contentment</v>
      </c>
      <c r="H251" s="13" t="str">
        <f t="shared" si="32"/>
        <v>Contentment</v>
      </c>
      <c r="I251" s="13">
        <f t="shared" si="33"/>
        <v>13</v>
      </c>
      <c r="J251" s="13">
        <f t="shared" si="34"/>
        <v>11</v>
      </c>
      <c r="K251" s="13">
        <f t="shared" si="35"/>
        <v>2</v>
      </c>
    </row>
    <row r="252" spans="1:11" x14ac:dyDescent="0.25">
      <c r="A252" s="13">
        <f>'Raw Data'!A252</f>
        <v>250</v>
      </c>
      <c r="B252" s="13" t="str">
        <f>'Raw Data'!C252</f>
        <v xml:space="preserve"> Hopeful </v>
      </c>
      <c r="C252" s="13" t="str">
        <f t="shared" si="27"/>
        <v>Hopeful</v>
      </c>
      <c r="D252" s="13" t="str">
        <f t="shared" si="28"/>
        <v xml:space="preserve"> Hopeful </v>
      </c>
      <c r="E252" s="13" t="str">
        <f t="shared" si="29"/>
        <v>Hopeful</v>
      </c>
      <c r="F252" s="13" t="str">
        <f t="shared" si="30"/>
        <v>HOPEFUL</v>
      </c>
      <c r="G252" s="13" t="str">
        <f t="shared" si="31"/>
        <v>hopeful</v>
      </c>
      <c r="H252" s="13" t="str">
        <f t="shared" si="32"/>
        <v>Hopeful</v>
      </c>
      <c r="I252" s="13">
        <f t="shared" si="33"/>
        <v>9</v>
      </c>
      <c r="J252" s="13">
        <f t="shared" si="34"/>
        <v>7</v>
      </c>
      <c r="K252" s="13">
        <f t="shared" si="35"/>
        <v>2</v>
      </c>
    </row>
    <row r="253" spans="1:11" x14ac:dyDescent="0.25">
      <c r="A253" s="13">
        <f>'Raw Data'!A253</f>
        <v>251</v>
      </c>
      <c r="B253" s="13" t="str">
        <f>'Raw Data'!C253</f>
        <v xml:space="preserve"> Proud </v>
      </c>
      <c r="C253" s="13" t="str">
        <f t="shared" si="27"/>
        <v>Proud</v>
      </c>
      <c r="D253" s="13" t="str">
        <f t="shared" si="28"/>
        <v xml:space="preserve"> Proud </v>
      </c>
      <c r="E253" s="13" t="str">
        <f t="shared" si="29"/>
        <v>Proud</v>
      </c>
      <c r="F253" s="13" t="str">
        <f t="shared" si="30"/>
        <v>PROUD</v>
      </c>
      <c r="G253" s="13" t="str">
        <f t="shared" si="31"/>
        <v>proud</v>
      </c>
      <c r="H253" s="13" t="str">
        <f t="shared" si="32"/>
        <v>Proud</v>
      </c>
      <c r="I253" s="13">
        <f t="shared" si="33"/>
        <v>7</v>
      </c>
      <c r="J253" s="13">
        <f t="shared" si="34"/>
        <v>5</v>
      </c>
      <c r="K253" s="13">
        <f t="shared" si="35"/>
        <v>2</v>
      </c>
    </row>
    <row r="254" spans="1:11" x14ac:dyDescent="0.25">
      <c r="A254" s="13">
        <f>'Raw Data'!A254</f>
        <v>252</v>
      </c>
      <c r="B254" s="13" t="str">
        <f>'Raw Data'!C254</f>
        <v xml:space="preserve"> Grateful </v>
      </c>
      <c r="C254" s="13" t="str">
        <f t="shared" si="27"/>
        <v>Grateful</v>
      </c>
      <c r="D254" s="13" t="str">
        <f t="shared" si="28"/>
        <v xml:space="preserve"> Grateful </v>
      </c>
      <c r="E254" s="13" t="str">
        <f t="shared" si="29"/>
        <v>Grateful</v>
      </c>
      <c r="F254" s="13" t="str">
        <f t="shared" si="30"/>
        <v>GRATEFUL</v>
      </c>
      <c r="G254" s="13" t="str">
        <f t="shared" si="31"/>
        <v>grateful</v>
      </c>
      <c r="H254" s="13" t="str">
        <f t="shared" si="32"/>
        <v>Grateful</v>
      </c>
      <c r="I254" s="13">
        <f t="shared" si="33"/>
        <v>10</v>
      </c>
      <c r="J254" s="13">
        <f t="shared" si="34"/>
        <v>8</v>
      </c>
      <c r="K254" s="13">
        <f t="shared" si="35"/>
        <v>2</v>
      </c>
    </row>
    <row r="255" spans="1:11" x14ac:dyDescent="0.25">
      <c r="A255" s="13">
        <f>'Raw Data'!A255</f>
        <v>253</v>
      </c>
      <c r="B255" s="13" t="str">
        <f>'Raw Data'!C255</f>
        <v xml:space="preserve"> Empathetic </v>
      </c>
      <c r="C255" s="13" t="str">
        <f t="shared" si="27"/>
        <v>Empathetic</v>
      </c>
      <c r="D255" s="13" t="str">
        <f t="shared" si="28"/>
        <v xml:space="preserve"> Empathetic </v>
      </c>
      <c r="E255" s="13" t="str">
        <f t="shared" si="29"/>
        <v>Empathetic</v>
      </c>
      <c r="F255" s="13" t="str">
        <f t="shared" si="30"/>
        <v>EMPATHETIC</v>
      </c>
      <c r="G255" s="13" t="str">
        <f t="shared" si="31"/>
        <v>empathetic</v>
      </c>
      <c r="H255" s="13" t="str">
        <f t="shared" si="32"/>
        <v>Empathetic</v>
      </c>
      <c r="I255" s="13">
        <f t="shared" si="33"/>
        <v>12</v>
      </c>
      <c r="J255" s="13">
        <f t="shared" si="34"/>
        <v>10</v>
      </c>
      <c r="K255" s="13">
        <f t="shared" si="35"/>
        <v>2</v>
      </c>
    </row>
    <row r="256" spans="1:11" x14ac:dyDescent="0.25">
      <c r="A256" s="13">
        <f>'Raw Data'!A256</f>
        <v>254</v>
      </c>
      <c r="B256" s="13" t="str">
        <f>'Raw Data'!C256</f>
        <v xml:space="preserve"> Compassionate </v>
      </c>
      <c r="C256" s="13" t="str">
        <f t="shared" si="27"/>
        <v>Compassionate</v>
      </c>
      <c r="D256" s="13" t="str">
        <f t="shared" si="28"/>
        <v xml:space="preserve"> Compassionate </v>
      </c>
      <c r="E256" s="13" t="str">
        <f t="shared" si="29"/>
        <v>Compassionate</v>
      </c>
      <c r="F256" s="13" t="str">
        <f t="shared" si="30"/>
        <v>COMPASSIONATE</v>
      </c>
      <c r="G256" s="13" t="str">
        <f t="shared" si="31"/>
        <v>compassionate</v>
      </c>
      <c r="H256" s="13" t="str">
        <f t="shared" si="32"/>
        <v>Compassionate</v>
      </c>
      <c r="I256" s="13">
        <f t="shared" si="33"/>
        <v>15</v>
      </c>
      <c r="J256" s="13">
        <f t="shared" si="34"/>
        <v>13</v>
      </c>
      <c r="K256" s="13">
        <f t="shared" si="35"/>
        <v>2</v>
      </c>
    </row>
    <row r="257" spans="1:11" x14ac:dyDescent="0.25">
      <c r="A257" s="13">
        <f>'Raw Data'!A257</f>
        <v>255</v>
      </c>
      <c r="B257" s="13" t="str">
        <f>'Raw Data'!C257</f>
        <v xml:space="preserve"> Playful </v>
      </c>
      <c r="C257" s="13" t="str">
        <f t="shared" si="27"/>
        <v>Playful</v>
      </c>
      <c r="D257" s="13" t="str">
        <f t="shared" si="28"/>
        <v xml:space="preserve"> Playful </v>
      </c>
      <c r="E257" s="13" t="str">
        <f t="shared" si="29"/>
        <v>Playful</v>
      </c>
      <c r="F257" s="13" t="str">
        <f t="shared" si="30"/>
        <v>PLAYFUL</v>
      </c>
      <c r="G257" s="13" t="str">
        <f t="shared" si="31"/>
        <v>playful</v>
      </c>
      <c r="H257" s="13" t="str">
        <f t="shared" si="32"/>
        <v>Playful</v>
      </c>
      <c r="I257" s="13">
        <f t="shared" si="33"/>
        <v>9</v>
      </c>
      <c r="J257" s="13">
        <f t="shared" si="34"/>
        <v>7</v>
      </c>
      <c r="K257" s="13">
        <f t="shared" si="35"/>
        <v>2</v>
      </c>
    </row>
    <row r="258" spans="1:11" x14ac:dyDescent="0.25">
      <c r="A258" s="13">
        <f>'Raw Data'!A258</f>
        <v>256</v>
      </c>
      <c r="B258" s="13" t="str">
        <f>'Raw Data'!C258</f>
        <v xml:space="preserve"> Free-spirited </v>
      </c>
      <c r="C258" s="13" t="str">
        <f t="shared" si="27"/>
        <v>Free-spirited</v>
      </c>
      <c r="D258" s="13" t="str">
        <f t="shared" si="28"/>
        <v xml:space="preserve"> Free-spirited </v>
      </c>
      <c r="E258" s="13" t="str">
        <f t="shared" si="29"/>
        <v>Free-spirited</v>
      </c>
      <c r="F258" s="13" t="str">
        <f t="shared" si="30"/>
        <v>FREE-SPIRITED</v>
      </c>
      <c r="G258" s="13" t="str">
        <f t="shared" si="31"/>
        <v>free-spirited</v>
      </c>
      <c r="H258" s="13" t="str">
        <f t="shared" si="32"/>
        <v>Free-Spirited</v>
      </c>
      <c r="I258" s="13">
        <f t="shared" si="33"/>
        <v>15</v>
      </c>
      <c r="J258" s="13">
        <f t="shared" si="34"/>
        <v>13</v>
      </c>
      <c r="K258" s="13">
        <f t="shared" si="35"/>
        <v>2</v>
      </c>
    </row>
    <row r="259" spans="1:11" x14ac:dyDescent="0.25">
      <c r="A259" s="13">
        <f>'Raw Data'!A259</f>
        <v>257</v>
      </c>
      <c r="B259" s="13" t="str">
        <f>'Raw Data'!C259</f>
        <v xml:space="preserve"> Inspired </v>
      </c>
      <c r="C259" s="13" t="str">
        <f t="shared" si="27"/>
        <v>Inspired</v>
      </c>
      <c r="D259" s="13" t="str">
        <f t="shared" si="28"/>
        <v xml:space="preserve"> Inspired </v>
      </c>
      <c r="E259" s="13" t="str">
        <f t="shared" si="29"/>
        <v>Inspired</v>
      </c>
      <c r="F259" s="13" t="str">
        <f t="shared" si="30"/>
        <v>INSPIRED</v>
      </c>
      <c r="G259" s="13" t="str">
        <f t="shared" si="31"/>
        <v>inspired</v>
      </c>
      <c r="H259" s="13" t="str">
        <f t="shared" si="32"/>
        <v>Inspired</v>
      </c>
      <c r="I259" s="13">
        <f t="shared" si="33"/>
        <v>10</v>
      </c>
      <c r="J259" s="13">
        <f t="shared" si="34"/>
        <v>8</v>
      </c>
      <c r="K259" s="13">
        <f t="shared" si="35"/>
        <v>2</v>
      </c>
    </row>
    <row r="260" spans="1:11" x14ac:dyDescent="0.25">
      <c r="A260" s="13">
        <f>'Raw Data'!A260</f>
        <v>258</v>
      </c>
      <c r="B260" s="13" t="str">
        <f>'Raw Data'!C260</f>
        <v xml:space="preserve"> Hopeful </v>
      </c>
      <c r="C260" s="13" t="str">
        <f t="shared" ref="C260:C323" si="36">TRIM(B260)</f>
        <v>Hopeful</v>
      </c>
      <c r="D260" s="13" t="str">
        <f t="shared" ref="D260:D323" si="37">CLEAN(B260)</f>
        <v xml:space="preserve"> Hopeful </v>
      </c>
      <c r="E260" s="13" t="str">
        <f t="shared" ref="E260:E323" si="38">SUBSTITUTE(SUBSTITUTE(SUBSTITUTE(TRIM(B260),"Positive","Pos"),"Negative","Neg"),"Neutral","Neu")</f>
        <v>Hopeful</v>
      </c>
      <c r="F260" s="13" t="str">
        <f t="shared" ref="F260:F323" si="39">UPPER(TRIM(B260))</f>
        <v>HOPEFUL</v>
      </c>
      <c r="G260" s="13" t="str">
        <f t="shared" ref="G260:G323" si="40">LOWER(TRIM(B260))</f>
        <v>hopeful</v>
      </c>
      <c r="H260" s="13" t="str">
        <f t="shared" ref="H260:H323" si="41">PROPER(TRIM(B260))</f>
        <v>Hopeful</v>
      </c>
      <c r="I260" s="13">
        <f t="shared" ref="I260:I323" si="42">LEN(B260)</f>
        <v>9</v>
      </c>
      <c r="J260" s="13">
        <f t="shared" ref="J260:J323" si="43">LEN(TRIM(B260))</f>
        <v>7</v>
      </c>
      <c r="K260" s="13">
        <f t="shared" ref="K260:K323" si="44">I260-J260</f>
        <v>2</v>
      </c>
    </row>
    <row r="261" spans="1:11" x14ac:dyDescent="0.25">
      <c r="A261" s="13">
        <f>'Raw Data'!A261</f>
        <v>259</v>
      </c>
      <c r="B261" s="13" t="str">
        <f>'Raw Data'!C261</f>
        <v xml:space="preserve"> Confident </v>
      </c>
      <c r="C261" s="13" t="str">
        <f t="shared" si="36"/>
        <v>Confident</v>
      </c>
      <c r="D261" s="13" t="str">
        <f t="shared" si="37"/>
        <v xml:space="preserve"> Confident </v>
      </c>
      <c r="E261" s="13" t="str">
        <f t="shared" si="38"/>
        <v>Confident</v>
      </c>
      <c r="F261" s="13" t="str">
        <f t="shared" si="39"/>
        <v>CONFIDENT</v>
      </c>
      <c r="G261" s="13" t="str">
        <f t="shared" si="40"/>
        <v>confident</v>
      </c>
      <c r="H261" s="13" t="str">
        <f t="shared" si="41"/>
        <v>Confident</v>
      </c>
      <c r="I261" s="13">
        <f t="shared" si="42"/>
        <v>11</v>
      </c>
      <c r="J261" s="13">
        <f t="shared" si="43"/>
        <v>9</v>
      </c>
      <c r="K261" s="13">
        <f t="shared" si="44"/>
        <v>2</v>
      </c>
    </row>
    <row r="262" spans="1:11" x14ac:dyDescent="0.25">
      <c r="A262" s="13">
        <f>'Raw Data'!A262</f>
        <v>260</v>
      </c>
      <c r="B262" s="13" t="str">
        <f>'Raw Data'!C262</f>
        <v xml:space="preserve"> Serenity </v>
      </c>
      <c r="C262" s="13" t="str">
        <f t="shared" si="36"/>
        <v>Serenity</v>
      </c>
      <c r="D262" s="13" t="str">
        <f t="shared" si="37"/>
        <v xml:space="preserve"> Serenity </v>
      </c>
      <c r="E262" s="13" t="str">
        <f t="shared" si="38"/>
        <v>Serenity</v>
      </c>
      <c r="F262" s="13" t="str">
        <f t="shared" si="39"/>
        <v>SERENITY</v>
      </c>
      <c r="G262" s="13" t="str">
        <f t="shared" si="40"/>
        <v>serenity</v>
      </c>
      <c r="H262" s="13" t="str">
        <f t="shared" si="41"/>
        <v>Serenity</v>
      </c>
      <c r="I262" s="13">
        <f t="shared" si="42"/>
        <v>10</v>
      </c>
      <c r="J262" s="13">
        <f t="shared" si="43"/>
        <v>8</v>
      </c>
      <c r="K262" s="13">
        <f t="shared" si="44"/>
        <v>2</v>
      </c>
    </row>
    <row r="263" spans="1:11" x14ac:dyDescent="0.25">
      <c r="A263" s="13">
        <f>'Raw Data'!A263</f>
        <v>261</v>
      </c>
      <c r="B263" s="13" t="str">
        <f>'Raw Data'!C263</f>
        <v xml:space="preserve"> Curiosity </v>
      </c>
      <c r="C263" s="13" t="str">
        <f t="shared" si="36"/>
        <v>Curiosity</v>
      </c>
      <c r="D263" s="13" t="str">
        <f t="shared" si="37"/>
        <v xml:space="preserve"> Curiosity </v>
      </c>
      <c r="E263" s="13" t="str">
        <f t="shared" si="38"/>
        <v>Curiosity</v>
      </c>
      <c r="F263" s="13" t="str">
        <f t="shared" si="39"/>
        <v>CURIOSITY</v>
      </c>
      <c r="G263" s="13" t="str">
        <f t="shared" si="40"/>
        <v>curiosity</v>
      </c>
      <c r="H263" s="13" t="str">
        <f t="shared" si="41"/>
        <v>Curiosity</v>
      </c>
      <c r="I263" s="13">
        <f t="shared" si="42"/>
        <v>11</v>
      </c>
      <c r="J263" s="13">
        <f t="shared" si="43"/>
        <v>9</v>
      </c>
      <c r="K263" s="13">
        <f t="shared" si="44"/>
        <v>2</v>
      </c>
    </row>
    <row r="264" spans="1:11" x14ac:dyDescent="0.25">
      <c r="A264" s="13">
        <f>'Raw Data'!A264</f>
        <v>262</v>
      </c>
      <c r="B264" s="13" t="str">
        <f>'Raw Data'!C264</f>
        <v xml:space="preserve"> Ambivalence </v>
      </c>
      <c r="C264" s="13" t="str">
        <f t="shared" si="36"/>
        <v>Ambivalence</v>
      </c>
      <c r="D264" s="13" t="str">
        <f t="shared" si="37"/>
        <v xml:space="preserve"> Ambivalence </v>
      </c>
      <c r="E264" s="13" t="str">
        <f t="shared" si="38"/>
        <v>Ambivalence</v>
      </c>
      <c r="F264" s="13" t="str">
        <f t="shared" si="39"/>
        <v>AMBIVALENCE</v>
      </c>
      <c r="G264" s="13" t="str">
        <f t="shared" si="40"/>
        <v>ambivalence</v>
      </c>
      <c r="H264" s="13" t="str">
        <f t="shared" si="41"/>
        <v>Ambivalence</v>
      </c>
      <c r="I264" s="13">
        <f t="shared" si="42"/>
        <v>13</v>
      </c>
      <c r="J264" s="13">
        <f t="shared" si="43"/>
        <v>11</v>
      </c>
      <c r="K264" s="13">
        <f t="shared" si="44"/>
        <v>2</v>
      </c>
    </row>
    <row r="265" spans="1:11" x14ac:dyDescent="0.25">
      <c r="A265" s="13">
        <f>'Raw Data'!A265</f>
        <v>263</v>
      </c>
      <c r="B265" s="13" t="str">
        <f>'Raw Data'!C265</f>
        <v xml:space="preserve"> Grateful </v>
      </c>
      <c r="C265" s="13" t="str">
        <f t="shared" si="36"/>
        <v>Grateful</v>
      </c>
      <c r="D265" s="13" t="str">
        <f t="shared" si="37"/>
        <v xml:space="preserve"> Grateful </v>
      </c>
      <c r="E265" s="13" t="str">
        <f t="shared" si="38"/>
        <v>Grateful</v>
      </c>
      <c r="F265" s="13" t="str">
        <f t="shared" si="39"/>
        <v>GRATEFUL</v>
      </c>
      <c r="G265" s="13" t="str">
        <f t="shared" si="40"/>
        <v>grateful</v>
      </c>
      <c r="H265" s="13" t="str">
        <f t="shared" si="41"/>
        <v>Grateful</v>
      </c>
      <c r="I265" s="13">
        <f t="shared" si="42"/>
        <v>10</v>
      </c>
      <c r="J265" s="13">
        <f t="shared" si="43"/>
        <v>8</v>
      </c>
      <c r="K265" s="13">
        <f t="shared" si="44"/>
        <v>2</v>
      </c>
    </row>
    <row r="266" spans="1:11" x14ac:dyDescent="0.25">
      <c r="A266" s="13">
        <f>'Raw Data'!A266</f>
        <v>264</v>
      </c>
      <c r="B266" s="13" t="str">
        <f>'Raw Data'!C266</f>
        <v xml:space="preserve"> Zest </v>
      </c>
      <c r="C266" s="13" t="str">
        <f t="shared" si="36"/>
        <v>Zest</v>
      </c>
      <c r="D266" s="13" t="str">
        <f t="shared" si="37"/>
        <v xml:space="preserve"> Zest </v>
      </c>
      <c r="E266" s="13" t="str">
        <f t="shared" si="38"/>
        <v>Zest</v>
      </c>
      <c r="F266" s="13" t="str">
        <f t="shared" si="39"/>
        <v>ZEST</v>
      </c>
      <c r="G266" s="13" t="str">
        <f t="shared" si="40"/>
        <v>zest</v>
      </c>
      <c r="H266" s="13" t="str">
        <f t="shared" si="41"/>
        <v>Zest</v>
      </c>
      <c r="I266" s="13">
        <f t="shared" si="42"/>
        <v>6</v>
      </c>
      <c r="J266" s="13">
        <f t="shared" si="43"/>
        <v>4</v>
      </c>
      <c r="K266" s="13">
        <f t="shared" si="44"/>
        <v>2</v>
      </c>
    </row>
    <row r="267" spans="1:11" x14ac:dyDescent="0.25">
      <c r="A267" s="13">
        <f>'Raw Data'!A267</f>
        <v>265</v>
      </c>
      <c r="B267" s="13" t="str">
        <f>'Raw Data'!C267</f>
        <v xml:space="preserve"> Compassionate </v>
      </c>
      <c r="C267" s="13" t="str">
        <f t="shared" si="36"/>
        <v>Compassionate</v>
      </c>
      <c r="D267" s="13" t="str">
        <f t="shared" si="37"/>
        <v xml:space="preserve"> Compassionate </v>
      </c>
      <c r="E267" s="13" t="str">
        <f t="shared" si="38"/>
        <v>Compassionate</v>
      </c>
      <c r="F267" s="13" t="str">
        <f t="shared" si="39"/>
        <v>COMPASSIONATE</v>
      </c>
      <c r="G267" s="13" t="str">
        <f t="shared" si="40"/>
        <v>compassionate</v>
      </c>
      <c r="H267" s="13" t="str">
        <f t="shared" si="41"/>
        <v>Compassionate</v>
      </c>
      <c r="I267" s="13">
        <f t="shared" si="42"/>
        <v>15</v>
      </c>
      <c r="J267" s="13">
        <f t="shared" si="43"/>
        <v>13</v>
      </c>
      <c r="K267" s="13">
        <f t="shared" si="44"/>
        <v>2</v>
      </c>
    </row>
    <row r="268" spans="1:11" x14ac:dyDescent="0.25">
      <c r="A268" s="13">
        <f>'Raw Data'!A268</f>
        <v>266</v>
      </c>
      <c r="B268" s="13" t="str">
        <f>'Raw Data'!C268</f>
        <v xml:space="preserve"> Proud </v>
      </c>
      <c r="C268" s="13" t="str">
        <f t="shared" si="36"/>
        <v>Proud</v>
      </c>
      <c r="D268" s="13" t="str">
        <f t="shared" si="37"/>
        <v xml:space="preserve"> Proud </v>
      </c>
      <c r="E268" s="13" t="str">
        <f t="shared" si="38"/>
        <v>Proud</v>
      </c>
      <c r="F268" s="13" t="str">
        <f t="shared" si="39"/>
        <v>PROUD</v>
      </c>
      <c r="G268" s="13" t="str">
        <f t="shared" si="40"/>
        <v>proud</v>
      </c>
      <c r="H268" s="13" t="str">
        <f t="shared" si="41"/>
        <v>Proud</v>
      </c>
      <c r="I268" s="13">
        <f t="shared" si="42"/>
        <v>7</v>
      </c>
      <c r="J268" s="13">
        <f t="shared" si="43"/>
        <v>5</v>
      </c>
      <c r="K268" s="13">
        <f t="shared" si="44"/>
        <v>2</v>
      </c>
    </row>
    <row r="269" spans="1:11" x14ac:dyDescent="0.25">
      <c r="A269" s="13">
        <f>'Raw Data'!A269</f>
        <v>267</v>
      </c>
      <c r="B269" s="13" t="str">
        <f>'Raw Data'!C269</f>
        <v xml:space="preserve"> Hopeful </v>
      </c>
      <c r="C269" s="13" t="str">
        <f t="shared" si="36"/>
        <v>Hopeful</v>
      </c>
      <c r="D269" s="13" t="str">
        <f t="shared" si="37"/>
        <v xml:space="preserve"> Hopeful </v>
      </c>
      <c r="E269" s="13" t="str">
        <f t="shared" si="38"/>
        <v>Hopeful</v>
      </c>
      <c r="F269" s="13" t="str">
        <f t="shared" si="39"/>
        <v>HOPEFUL</v>
      </c>
      <c r="G269" s="13" t="str">
        <f t="shared" si="40"/>
        <v>hopeful</v>
      </c>
      <c r="H269" s="13" t="str">
        <f t="shared" si="41"/>
        <v>Hopeful</v>
      </c>
      <c r="I269" s="13">
        <f t="shared" si="42"/>
        <v>9</v>
      </c>
      <c r="J269" s="13">
        <f t="shared" si="43"/>
        <v>7</v>
      </c>
      <c r="K269" s="13">
        <f t="shared" si="44"/>
        <v>2</v>
      </c>
    </row>
    <row r="270" spans="1:11" x14ac:dyDescent="0.25">
      <c r="A270" s="13">
        <f>'Raw Data'!A270</f>
        <v>268</v>
      </c>
      <c r="B270" s="13" t="str">
        <f>'Raw Data'!C270</f>
        <v xml:space="preserve"> Playful </v>
      </c>
      <c r="C270" s="13" t="str">
        <f t="shared" si="36"/>
        <v>Playful</v>
      </c>
      <c r="D270" s="13" t="str">
        <f t="shared" si="37"/>
        <v xml:space="preserve"> Playful </v>
      </c>
      <c r="E270" s="13" t="str">
        <f t="shared" si="38"/>
        <v>Playful</v>
      </c>
      <c r="F270" s="13" t="str">
        <f t="shared" si="39"/>
        <v>PLAYFUL</v>
      </c>
      <c r="G270" s="13" t="str">
        <f t="shared" si="40"/>
        <v>playful</v>
      </c>
      <c r="H270" s="13" t="str">
        <f t="shared" si="41"/>
        <v>Playful</v>
      </c>
      <c r="I270" s="13">
        <f t="shared" si="42"/>
        <v>9</v>
      </c>
      <c r="J270" s="13">
        <f t="shared" si="43"/>
        <v>7</v>
      </c>
      <c r="K270" s="13">
        <f t="shared" si="44"/>
        <v>2</v>
      </c>
    </row>
    <row r="271" spans="1:11" x14ac:dyDescent="0.25">
      <c r="A271" s="13">
        <f>'Raw Data'!A271</f>
        <v>269</v>
      </c>
      <c r="B271" s="13" t="str">
        <f>'Raw Data'!C271</f>
        <v xml:space="preserve"> Inspired </v>
      </c>
      <c r="C271" s="13" t="str">
        <f t="shared" si="36"/>
        <v>Inspired</v>
      </c>
      <c r="D271" s="13" t="str">
        <f t="shared" si="37"/>
        <v xml:space="preserve"> Inspired </v>
      </c>
      <c r="E271" s="13" t="str">
        <f t="shared" si="38"/>
        <v>Inspired</v>
      </c>
      <c r="F271" s="13" t="str">
        <f t="shared" si="39"/>
        <v>INSPIRED</v>
      </c>
      <c r="G271" s="13" t="str">
        <f t="shared" si="40"/>
        <v>inspired</v>
      </c>
      <c r="H271" s="13" t="str">
        <f t="shared" si="41"/>
        <v>Inspired</v>
      </c>
      <c r="I271" s="13">
        <f t="shared" si="42"/>
        <v>10</v>
      </c>
      <c r="J271" s="13">
        <f t="shared" si="43"/>
        <v>8</v>
      </c>
      <c r="K271" s="13">
        <f t="shared" si="44"/>
        <v>2</v>
      </c>
    </row>
    <row r="272" spans="1:11" x14ac:dyDescent="0.25">
      <c r="A272" s="13">
        <f>'Raw Data'!A272</f>
        <v>270</v>
      </c>
      <c r="B272" s="13" t="str">
        <f>'Raw Data'!C272</f>
        <v xml:space="preserve"> Contentment </v>
      </c>
      <c r="C272" s="13" t="str">
        <f t="shared" si="36"/>
        <v>Contentment</v>
      </c>
      <c r="D272" s="13" t="str">
        <f t="shared" si="37"/>
        <v xml:space="preserve"> Contentment </v>
      </c>
      <c r="E272" s="13" t="str">
        <f t="shared" si="38"/>
        <v>Contentment</v>
      </c>
      <c r="F272" s="13" t="str">
        <f t="shared" si="39"/>
        <v>CONTENTMENT</v>
      </c>
      <c r="G272" s="13" t="str">
        <f t="shared" si="40"/>
        <v>contentment</v>
      </c>
      <c r="H272" s="13" t="str">
        <f t="shared" si="41"/>
        <v>Contentment</v>
      </c>
      <c r="I272" s="13">
        <f t="shared" si="42"/>
        <v>13</v>
      </c>
      <c r="J272" s="13">
        <f t="shared" si="43"/>
        <v>11</v>
      </c>
      <c r="K272" s="13">
        <f t="shared" si="44"/>
        <v>2</v>
      </c>
    </row>
    <row r="273" spans="1:11" x14ac:dyDescent="0.25">
      <c r="A273" s="13">
        <f>'Raw Data'!A273</f>
        <v>271</v>
      </c>
      <c r="B273" s="13" t="str">
        <f>'Raw Data'!C273</f>
        <v xml:space="preserve"> Empathetic </v>
      </c>
      <c r="C273" s="13" t="str">
        <f t="shared" si="36"/>
        <v>Empathetic</v>
      </c>
      <c r="D273" s="13" t="str">
        <f t="shared" si="37"/>
        <v xml:space="preserve"> Empathetic </v>
      </c>
      <c r="E273" s="13" t="str">
        <f t="shared" si="38"/>
        <v>Empathetic</v>
      </c>
      <c r="F273" s="13" t="str">
        <f t="shared" si="39"/>
        <v>EMPATHETIC</v>
      </c>
      <c r="G273" s="13" t="str">
        <f t="shared" si="40"/>
        <v>empathetic</v>
      </c>
      <c r="H273" s="13" t="str">
        <f t="shared" si="41"/>
        <v>Empathetic</v>
      </c>
      <c r="I273" s="13">
        <f t="shared" si="42"/>
        <v>12</v>
      </c>
      <c r="J273" s="13">
        <f t="shared" si="43"/>
        <v>10</v>
      </c>
      <c r="K273" s="13">
        <f t="shared" si="44"/>
        <v>2</v>
      </c>
    </row>
    <row r="274" spans="1:11" x14ac:dyDescent="0.25">
      <c r="A274" s="13">
        <f>'Raw Data'!A274</f>
        <v>272</v>
      </c>
      <c r="B274" s="13" t="str">
        <f>'Raw Data'!C274</f>
        <v xml:space="preserve"> Free-spirited </v>
      </c>
      <c r="C274" s="13" t="str">
        <f t="shared" si="36"/>
        <v>Free-spirited</v>
      </c>
      <c r="D274" s="13" t="str">
        <f t="shared" si="37"/>
        <v xml:space="preserve"> Free-spirited </v>
      </c>
      <c r="E274" s="13" t="str">
        <f t="shared" si="38"/>
        <v>Free-spirited</v>
      </c>
      <c r="F274" s="13" t="str">
        <f t="shared" si="39"/>
        <v>FREE-SPIRITED</v>
      </c>
      <c r="G274" s="13" t="str">
        <f t="shared" si="40"/>
        <v>free-spirited</v>
      </c>
      <c r="H274" s="13" t="str">
        <f t="shared" si="41"/>
        <v>Free-Spirited</v>
      </c>
      <c r="I274" s="13">
        <f t="shared" si="42"/>
        <v>15</v>
      </c>
      <c r="J274" s="13">
        <f t="shared" si="43"/>
        <v>13</v>
      </c>
      <c r="K274" s="13">
        <f t="shared" si="44"/>
        <v>2</v>
      </c>
    </row>
    <row r="275" spans="1:11" x14ac:dyDescent="0.25">
      <c r="A275" s="13">
        <f>'Raw Data'!A275</f>
        <v>273</v>
      </c>
      <c r="B275" s="13" t="str">
        <f>'Raw Data'!C275</f>
        <v xml:space="preserve"> Grateful </v>
      </c>
      <c r="C275" s="13" t="str">
        <f t="shared" si="36"/>
        <v>Grateful</v>
      </c>
      <c r="D275" s="13" t="str">
        <f t="shared" si="37"/>
        <v xml:space="preserve"> Grateful </v>
      </c>
      <c r="E275" s="13" t="str">
        <f t="shared" si="38"/>
        <v>Grateful</v>
      </c>
      <c r="F275" s="13" t="str">
        <f t="shared" si="39"/>
        <v>GRATEFUL</v>
      </c>
      <c r="G275" s="13" t="str">
        <f t="shared" si="40"/>
        <v>grateful</v>
      </c>
      <c r="H275" s="13" t="str">
        <f t="shared" si="41"/>
        <v>Grateful</v>
      </c>
      <c r="I275" s="13">
        <f t="shared" si="42"/>
        <v>10</v>
      </c>
      <c r="J275" s="13">
        <f t="shared" si="43"/>
        <v>8</v>
      </c>
      <c r="K275" s="13">
        <f t="shared" si="44"/>
        <v>2</v>
      </c>
    </row>
    <row r="276" spans="1:11" x14ac:dyDescent="0.25">
      <c r="A276" s="13">
        <f>'Raw Data'!A276</f>
        <v>274</v>
      </c>
      <c r="B276" s="13" t="str">
        <f>'Raw Data'!C276</f>
        <v xml:space="preserve"> Confident </v>
      </c>
      <c r="C276" s="13" t="str">
        <f t="shared" si="36"/>
        <v>Confident</v>
      </c>
      <c r="D276" s="13" t="str">
        <f t="shared" si="37"/>
        <v xml:space="preserve"> Confident </v>
      </c>
      <c r="E276" s="13" t="str">
        <f t="shared" si="38"/>
        <v>Confident</v>
      </c>
      <c r="F276" s="13" t="str">
        <f t="shared" si="39"/>
        <v>CONFIDENT</v>
      </c>
      <c r="G276" s="13" t="str">
        <f t="shared" si="40"/>
        <v>confident</v>
      </c>
      <c r="H276" s="13" t="str">
        <f t="shared" si="41"/>
        <v>Confident</v>
      </c>
      <c r="I276" s="13">
        <f t="shared" si="42"/>
        <v>11</v>
      </c>
      <c r="J276" s="13">
        <f t="shared" si="43"/>
        <v>9</v>
      </c>
      <c r="K276" s="13">
        <f t="shared" si="44"/>
        <v>2</v>
      </c>
    </row>
    <row r="277" spans="1:11" x14ac:dyDescent="0.25">
      <c r="A277" s="13">
        <f>'Raw Data'!A277</f>
        <v>275</v>
      </c>
      <c r="B277" s="13" t="str">
        <f>'Raw Data'!C277</f>
        <v xml:space="preserve"> Hopeful </v>
      </c>
      <c r="C277" s="13" t="str">
        <f t="shared" si="36"/>
        <v>Hopeful</v>
      </c>
      <c r="D277" s="13" t="str">
        <f t="shared" si="37"/>
        <v xml:space="preserve"> Hopeful </v>
      </c>
      <c r="E277" s="13" t="str">
        <f t="shared" si="38"/>
        <v>Hopeful</v>
      </c>
      <c r="F277" s="13" t="str">
        <f t="shared" si="39"/>
        <v>HOPEFUL</v>
      </c>
      <c r="G277" s="13" t="str">
        <f t="shared" si="40"/>
        <v>hopeful</v>
      </c>
      <c r="H277" s="13" t="str">
        <f t="shared" si="41"/>
        <v>Hopeful</v>
      </c>
      <c r="I277" s="13">
        <f t="shared" si="42"/>
        <v>9</v>
      </c>
      <c r="J277" s="13">
        <f t="shared" si="43"/>
        <v>7</v>
      </c>
      <c r="K277" s="13">
        <f t="shared" si="44"/>
        <v>2</v>
      </c>
    </row>
    <row r="278" spans="1:11" x14ac:dyDescent="0.25">
      <c r="A278" s="13">
        <f>'Raw Data'!A278</f>
        <v>276</v>
      </c>
      <c r="B278" s="13" t="str">
        <f>'Raw Data'!C278</f>
        <v xml:space="preserve"> Playful </v>
      </c>
      <c r="C278" s="13" t="str">
        <f t="shared" si="36"/>
        <v>Playful</v>
      </c>
      <c r="D278" s="13" t="str">
        <f t="shared" si="37"/>
        <v xml:space="preserve"> Playful </v>
      </c>
      <c r="E278" s="13" t="str">
        <f t="shared" si="38"/>
        <v>Playful</v>
      </c>
      <c r="F278" s="13" t="str">
        <f t="shared" si="39"/>
        <v>PLAYFUL</v>
      </c>
      <c r="G278" s="13" t="str">
        <f t="shared" si="40"/>
        <v>playful</v>
      </c>
      <c r="H278" s="13" t="str">
        <f t="shared" si="41"/>
        <v>Playful</v>
      </c>
      <c r="I278" s="13">
        <f t="shared" si="42"/>
        <v>9</v>
      </c>
      <c r="J278" s="13">
        <f t="shared" si="43"/>
        <v>7</v>
      </c>
      <c r="K278" s="13">
        <f t="shared" si="44"/>
        <v>2</v>
      </c>
    </row>
    <row r="279" spans="1:11" x14ac:dyDescent="0.25">
      <c r="A279" s="13">
        <f>'Raw Data'!A279</f>
        <v>277</v>
      </c>
      <c r="B279" s="13" t="str">
        <f>'Raw Data'!C279</f>
        <v xml:space="preserve"> Inspired </v>
      </c>
      <c r="C279" s="13" t="str">
        <f t="shared" si="36"/>
        <v>Inspired</v>
      </c>
      <c r="D279" s="13" t="str">
        <f t="shared" si="37"/>
        <v xml:space="preserve"> Inspired </v>
      </c>
      <c r="E279" s="13" t="str">
        <f t="shared" si="38"/>
        <v>Inspired</v>
      </c>
      <c r="F279" s="13" t="str">
        <f t="shared" si="39"/>
        <v>INSPIRED</v>
      </c>
      <c r="G279" s="13" t="str">
        <f t="shared" si="40"/>
        <v>inspired</v>
      </c>
      <c r="H279" s="13" t="str">
        <f t="shared" si="41"/>
        <v>Inspired</v>
      </c>
      <c r="I279" s="13">
        <f t="shared" si="42"/>
        <v>10</v>
      </c>
      <c r="J279" s="13">
        <f t="shared" si="43"/>
        <v>8</v>
      </c>
      <c r="K279" s="13">
        <f t="shared" si="44"/>
        <v>2</v>
      </c>
    </row>
    <row r="280" spans="1:11" x14ac:dyDescent="0.25">
      <c r="A280" s="13">
        <f>'Raw Data'!A280</f>
        <v>278</v>
      </c>
      <c r="B280" s="13" t="str">
        <f>'Raw Data'!C280</f>
        <v xml:space="preserve"> Hopeful </v>
      </c>
      <c r="C280" s="13" t="str">
        <f t="shared" si="36"/>
        <v>Hopeful</v>
      </c>
      <c r="D280" s="13" t="str">
        <f t="shared" si="37"/>
        <v xml:space="preserve"> Hopeful </v>
      </c>
      <c r="E280" s="13" t="str">
        <f t="shared" si="38"/>
        <v>Hopeful</v>
      </c>
      <c r="F280" s="13" t="str">
        <f t="shared" si="39"/>
        <v>HOPEFUL</v>
      </c>
      <c r="G280" s="13" t="str">
        <f t="shared" si="40"/>
        <v>hopeful</v>
      </c>
      <c r="H280" s="13" t="str">
        <f t="shared" si="41"/>
        <v>Hopeful</v>
      </c>
      <c r="I280" s="13">
        <f t="shared" si="42"/>
        <v>9</v>
      </c>
      <c r="J280" s="13">
        <f t="shared" si="43"/>
        <v>7</v>
      </c>
      <c r="K280" s="13">
        <f t="shared" si="44"/>
        <v>2</v>
      </c>
    </row>
    <row r="281" spans="1:11" x14ac:dyDescent="0.25">
      <c r="A281" s="13">
        <f>'Raw Data'!A281</f>
        <v>279</v>
      </c>
      <c r="B281" s="13" t="str">
        <f>'Raw Data'!C281</f>
        <v xml:space="preserve"> Compassionate </v>
      </c>
      <c r="C281" s="13" t="str">
        <f t="shared" si="36"/>
        <v>Compassionate</v>
      </c>
      <c r="D281" s="13" t="str">
        <f t="shared" si="37"/>
        <v xml:space="preserve"> Compassionate </v>
      </c>
      <c r="E281" s="13" t="str">
        <f t="shared" si="38"/>
        <v>Compassionate</v>
      </c>
      <c r="F281" s="13" t="str">
        <f t="shared" si="39"/>
        <v>COMPASSIONATE</v>
      </c>
      <c r="G281" s="13" t="str">
        <f t="shared" si="40"/>
        <v>compassionate</v>
      </c>
      <c r="H281" s="13" t="str">
        <f t="shared" si="41"/>
        <v>Compassionate</v>
      </c>
      <c r="I281" s="13">
        <f t="shared" si="42"/>
        <v>15</v>
      </c>
      <c r="J281" s="13">
        <f t="shared" si="43"/>
        <v>13</v>
      </c>
      <c r="K281" s="13">
        <f t="shared" si="44"/>
        <v>2</v>
      </c>
    </row>
    <row r="282" spans="1:11" x14ac:dyDescent="0.25">
      <c r="A282" s="13">
        <f>'Raw Data'!A282</f>
        <v>280</v>
      </c>
      <c r="B282" s="13" t="str">
        <f>'Raw Data'!C282</f>
        <v xml:space="preserve"> Proud </v>
      </c>
      <c r="C282" s="13" t="str">
        <f t="shared" si="36"/>
        <v>Proud</v>
      </c>
      <c r="D282" s="13" t="str">
        <f t="shared" si="37"/>
        <v xml:space="preserve"> Proud </v>
      </c>
      <c r="E282" s="13" t="str">
        <f t="shared" si="38"/>
        <v>Proud</v>
      </c>
      <c r="F282" s="13" t="str">
        <f t="shared" si="39"/>
        <v>PROUD</v>
      </c>
      <c r="G282" s="13" t="str">
        <f t="shared" si="40"/>
        <v>proud</v>
      </c>
      <c r="H282" s="13" t="str">
        <f t="shared" si="41"/>
        <v>Proud</v>
      </c>
      <c r="I282" s="13">
        <f t="shared" si="42"/>
        <v>7</v>
      </c>
      <c r="J282" s="13">
        <f t="shared" si="43"/>
        <v>5</v>
      </c>
      <c r="K282" s="13">
        <f t="shared" si="44"/>
        <v>2</v>
      </c>
    </row>
    <row r="283" spans="1:11" x14ac:dyDescent="0.25">
      <c r="A283" s="13">
        <f>'Raw Data'!A283</f>
        <v>281</v>
      </c>
      <c r="B283" s="13" t="str">
        <f>'Raw Data'!C283</f>
        <v xml:space="preserve"> Hopeful </v>
      </c>
      <c r="C283" s="13" t="str">
        <f t="shared" si="36"/>
        <v>Hopeful</v>
      </c>
      <c r="D283" s="13" t="str">
        <f t="shared" si="37"/>
        <v xml:space="preserve"> Hopeful </v>
      </c>
      <c r="E283" s="13" t="str">
        <f t="shared" si="38"/>
        <v>Hopeful</v>
      </c>
      <c r="F283" s="13" t="str">
        <f t="shared" si="39"/>
        <v>HOPEFUL</v>
      </c>
      <c r="G283" s="13" t="str">
        <f t="shared" si="40"/>
        <v>hopeful</v>
      </c>
      <c r="H283" s="13" t="str">
        <f t="shared" si="41"/>
        <v>Hopeful</v>
      </c>
      <c r="I283" s="13">
        <f t="shared" si="42"/>
        <v>9</v>
      </c>
      <c r="J283" s="13">
        <f t="shared" si="43"/>
        <v>7</v>
      </c>
      <c r="K283" s="13">
        <f t="shared" si="44"/>
        <v>2</v>
      </c>
    </row>
    <row r="284" spans="1:11" x14ac:dyDescent="0.25">
      <c r="A284" s="13">
        <f>'Raw Data'!A284</f>
        <v>282</v>
      </c>
      <c r="B284" s="13" t="str">
        <f>'Raw Data'!C284</f>
        <v xml:space="preserve"> Playful </v>
      </c>
      <c r="C284" s="13" t="str">
        <f t="shared" si="36"/>
        <v>Playful</v>
      </c>
      <c r="D284" s="13" t="str">
        <f t="shared" si="37"/>
        <v xml:space="preserve"> Playful </v>
      </c>
      <c r="E284" s="13" t="str">
        <f t="shared" si="38"/>
        <v>Playful</v>
      </c>
      <c r="F284" s="13" t="str">
        <f t="shared" si="39"/>
        <v>PLAYFUL</v>
      </c>
      <c r="G284" s="13" t="str">
        <f t="shared" si="40"/>
        <v>playful</v>
      </c>
      <c r="H284" s="13" t="str">
        <f t="shared" si="41"/>
        <v>Playful</v>
      </c>
      <c r="I284" s="13">
        <f t="shared" si="42"/>
        <v>9</v>
      </c>
      <c r="J284" s="13">
        <f t="shared" si="43"/>
        <v>7</v>
      </c>
      <c r="K284" s="13">
        <f t="shared" si="44"/>
        <v>2</v>
      </c>
    </row>
    <row r="285" spans="1:11" x14ac:dyDescent="0.25">
      <c r="A285" s="13">
        <f>'Raw Data'!A285</f>
        <v>283</v>
      </c>
      <c r="B285" s="13" t="str">
        <f>'Raw Data'!C285</f>
        <v xml:space="preserve"> Inspired </v>
      </c>
      <c r="C285" s="13" t="str">
        <f t="shared" si="36"/>
        <v>Inspired</v>
      </c>
      <c r="D285" s="13" t="str">
        <f t="shared" si="37"/>
        <v xml:space="preserve"> Inspired </v>
      </c>
      <c r="E285" s="13" t="str">
        <f t="shared" si="38"/>
        <v>Inspired</v>
      </c>
      <c r="F285" s="13" t="str">
        <f t="shared" si="39"/>
        <v>INSPIRED</v>
      </c>
      <c r="G285" s="13" t="str">
        <f t="shared" si="40"/>
        <v>inspired</v>
      </c>
      <c r="H285" s="13" t="str">
        <f t="shared" si="41"/>
        <v>Inspired</v>
      </c>
      <c r="I285" s="13">
        <f t="shared" si="42"/>
        <v>10</v>
      </c>
      <c r="J285" s="13">
        <f t="shared" si="43"/>
        <v>8</v>
      </c>
      <c r="K285" s="13">
        <f t="shared" si="44"/>
        <v>2</v>
      </c>
    </row>
    <row r="286" spans="1:11" x14ac:dyDescent="0.25">
      <c r="A286" s="13">
        <f>'Raw Data'!A286</f>
        <v>284</v>
      </c>
      <c r="B286" s="13" t="str">
        <f>'Raw Data'!C286</f>
        <v xml:space="preserve"> Contentment </v>
      </c>
      <c r="C286" s="13" t="str">
        <f t="shared" si="36"/>
        <v>Contentment</v>
      </c>
      <c r="D286" s="13" t="str">
        <f t="shared" si="37"/>
        <v xml:space="preserve"> Contentment </v>
      </c>
      <c r="E286" s="13" t="str">
        <f t="shared" si="38"/>
        <v>Contentment</v>
      </c>
      <c r="F286" s="13" t="str">
        <f t="shared" si="39"/>
        <v>CONTENTMENT</v>
      </c>
      <c r="G286" s="13" t="str">
        <f t="shared" si="40"/>
        <v>contentment</v>
      </c>
      <c r="H286" s="13" t="str">
        <f t="shared" si="41"/>
        <v>Contentment</v>
      </c>
      <c r="I286" s="13">
        <f t="shared" si="42"/>
        <v>13</v>
      </c>
      <c r="J286" s="13">
        <f t="shared" si="43"/>
        <v>11</v>
      </c>
      <c r="K286" s="13">
        <f t="shared" si="44"/>
        <v>2</v>
      </c>
    </row>
    <row r="287" spans="1:11" x14ac:dyDescent="0.25">
      <c r="A287" s="13">
        <f>'Raw Data'!A287</f>
        <v>285</v>
      </c>
      <c r="B287" s="13" t="str">
        <f>'Raw Data'!C287</f>
        <v xml:space="preserve"> Empathetic </v>
      </c>
      <c r="C287" s="13" t="str">
        <f t="shared" si="36"/>
        <v>Empathetic</v>
      </c>
      <c r="D287" s="13" t="str">
        <f t="shared" si="37"/>
        <v xml:space="preserve"> Empathetic </v>
      </c>
      <c r="E287" s="13" t="str">
        <f t="shared" si="38"/>
        <v>Empathetic</v>
      </c>
      <c r="F287" s="13" t="str">
        <f t="shared" si="39"/>
        <v>EMPATHETIC</v>
      </c>
      <c r="G287" s="13" t="str">
        <f t="shared" si="40"/>
        <v>empathetic</v>
      </c>
      <c r="H287" s="13" t="str">
        <f t="shared" si="41"/>
        <v>Empathetic</v>
      </c>
      <c r="I287" s="13">
        <f t="shared" si="42"/>
        <v>12</v>
      </c>
      <c r="J287" s="13">
        <f t="shared" si="43"/>
        <v>10</v>
      </c>
      <c r="K287" s="13">
        <f t="shared" si="44"/>
        <v>2</v>
      </c>
    </row>
    <row r="288" spans="1:11" x14ac:dyDescent="0.25">
      <c r="A288" s="13">
        <f>'Raw Data'!A288</f>
        <v>286</v>
      </c>
      <c r="B288" s="13" t="str">
        <f>'Raw Data'!C288</f>
        <v xml:space="preserve"> Free-spirited </v>
      </c>
      <c r="C288" s="13" t="str">
        <f t="shared" si="36"/>
        <v>Free-spirited</v>
      </c>
      <c r="D288" s="13" t="str">
        <f t="shared" si="37"/>
        <v xml:space="preserve"> Free-spirited </v>
      </c>
      <c r="E288" s="13" t="str">
        <f t="shared" si="38"/>
        <v>Free-spirited</v>
      </c>
      <c r="F288" s="13" t="str">
        <f t="shared" si="39"/>
        <v>FREE-SPIRITED</v>
      </c>
      <c r="G288" s="13" t="str">
        <f t="shared" si="40"/>
        <v>free-spirited</v>
      </c>
      <c r="H288" s="13" t="str">
        <f t="shared" si="41"/>
        <v>Free-Spirited</v>
      </c>
      <c r="I288" s="13">
        <f t="shared" si="42"/>
        <v>15</v>
      </c>
      <c r="J288" s="13">
        <f t="shared" si="43"/>
        <v>13</v>
      </c>
      <c r="K288" s="13">
        <f t="shared" si="44"/>
        <v>2</v>
      </c>
    </row>
    <row r="289" spans="1:11" x14ac:dyDescent="0.25">
      <c r="A289" s="13">
        <f>'Raw Data'!A289</f>
        <v>287</v>
      </c>
      <c r="B289" s="13" t="str">
        <f>'Raw Data'!C289</f>
        <v xml:space="preserve"> Grateful </v>
      </c>
      <c r="C289" s="13" t="str">
        <f t="shared" si="36"/>
        <v>Grateful</v>
      </c>
      <c r="D289" s="13" t="str">
        <f t="shared" si="37"/>
        <v xml:space="preserve"> Grateful </v>
      </c>
      <c r="E289" s="13" t="str">
        <f t="shared" si="38"/>
        <v>Grateful</v>
      </c>
      <c r="F289" s="13" t="str">
        <f t="shared" si="39"/>
        <v>GRATEFUL</v>
      </c>
      <c r="G289" s="13" t="str">
        <f t="shared" si="40"/>
        <v>grateful</v>
      </c>
      <c r="H289" s="13" t="str">
        <f t="shared" si="41"/>
        <v>Grateful</v>
      </c>
      <c r="I289" s="13">
        <f t="shared" si="42"/>
        <v>10</v>
      </c>
      <c r="J289" s="13">
        <f t="shared" si="43"/>
        <v>8</v>
      </c>
      <c r="K289" s="13">
        <f t="shared" si="44"/>
        <v>2</v>
      </c>
    </row>
    <row r="290" spans="1:11" x14ac:dyDescent="0.25">
      <c r="A290" s="13">
        <f>'Raw Data'!A290</f>
        <v>288</v>
      </c>
      <c r="B290" s="13" t="str">
        <f>'Raw Data'!C290</f>
        <v xml:space="preserve"> Confident </v>
      </c>
      <c r="C290" s="13" t="str">
        <f t="shared" si="36"/>
        <v>Confident</v>
      </c>
      <c r="D290" s="13" t="str">
        <f t="shared" si="37"/>
        <v xml:space="preserve"> Confident </v>
      </c>
      <c r="E290" s="13" t="str">
        <f t="shared" si="38"/>
        <v>Confident</v>
      </c>
      <c r="F290" s="13" t="str">
        <f t="shared" si="39"/>
        <v>CONFIDENT</v>
      </c>
      <c r="G290" s="13" t="str">
        <f t="shared" si="40"/>
        <v>confident</v>
      </c>
      <c r="H290" s="13" t="str">
        <f t="shared" si="41"/>
        <v>Confident</v>
      </c>
      <c r="I290" s="13">
        <f t="shared" si="42"/>
        <v>11</v>
      </c>
      <c r="J290" s="13">
        <f t="shared" si="43"/>
        <v>9</v>
      </c>
      <c r="K290" s="13">
        <f t="shared" si="44"/>
        <v>2</v>
      </c>
    </row>
    <row r="291" spans="1:11" x14ac:dyDescent="0.25">
      <c r="A291" s="13">
        <f>'Raw Data'!A291</f>
        <v>289</v>
      </c>
      <c r="B291" s="13" t="str">
        <f>'Raw Data'!C291</f>
        <v xml:space="preserve"> Hopeful </v>
      </c>
      <c r="C291" s="13" t="str">
        <f t="shared" si="36"/>
        <v>Hopeful</v>
      </c>
      <c r="D291" s="13" t="str">
        <f t="shared" si="37"/>
        <v xml:space="preserve"> Hopeful </v>
      </c>
      <c r="E291" s="13" t="str">
        <f t="shared" si="38"/>
        <v>Hopeful</v>
      </c>
      <c r="F291" s="13" t="str">
        <f t="shared" si="39"/>
        <v>HOPEFUL</v>
      </c>
      <c r="G291" s="13" t="str">
        <f t="shared" si="40"/>
        <v>hopeful</v>
      </c>
      <c r="H291" s="13" t="str">
        <f t="shared" si="41"/>
        <v>Hopeful</v>
      </c>
      <c r="I291" s="13">
        <f t="shared" si="42"/>
        <v>9</v>
      </c>
      <c r="J291" s="13">
        <f t="shared" si="43"/>
        <v>7</v>
      </c>
      <c r="K291" s="13">
        <f t="shared" si="44"/>
        <v>2</v>
      </c>
    </row>
    <row r="292" spans="1:11" x14ac:dyDescent="0.25">
      <c r="A292" s="13">
        <f>'Raw Data'!A292</f>
        <v>290</v>
      </c>
      <c r="B292" s="13" t="str">
        <f>'Raw Data'!C292</f>
        <v xml:space="preserve"> Playful </v>
      </c>
      <c r="C292" s="13" t="str">
        <f t="shared" si="36"/>
        <v>Playful</v>
      </c>
      <c r="D292" s="13" t="str">
        <f t="shared" si="37"/>
        <v xml:space="preserve"> Playful </v>
      </c>
      <c r="E292" s="13" t="str">
        <f t="shared" si="38"/>
        <v>Playful</v>
      </c>
      <c r="F292" s="13" t="str">
        <f t="shared" si="39"/>
        <v>PLAYFUL</v>
      </c>
      <c r="G292" s="13" t="str">
        <f t="shared" si="40"/>
        <v>playful</v>
      </c>
      <c r="H292" s="13" t="str">
        <f t="shared" si="41"/>
        <v>Playful</v>
      </c>
      <c r="I292" s="13">
        <f t="shared" si="42"/>
        <v>9</v>
      </c>
      <c r="J292" s="13">
        <f t="shared" si="43"/>
        <v>7</v>
      </c>
      <c r="K292" s="13">
        <f t="shared" si="44"/>
        <v>2</v>
      </c>
    </row>
    <row r="293" spans="1:11" x14ac:dyDescent="0.25">
      <c r="A293" s="13">
        <f>'Raw Data'!A293</f>
        <v>291</v>
      </c>
      <c r="B293" s="13" t="str">
        <f>'Raw Data'!C293</f>
        <v xml:space="preserve"> Inspired </v>
      </c>
      <c r="C293" s="13" t="str">
        <f t="shared" si="36"/>
        <v>Inspired</v>
      </c>
      <c r="D293" s="13" t="str">
        <f t="shared" si="37"/>
        <v xml:space="preserve"> Inspired </v>
      </c>
      <c r="E293" s="13" t="str">
        <f t="shared" si="38"/>
        <v>Inspired</v>
      </c>
      <c r="F293" s="13" t="str">
        <f t="shared" si="39"/>
        <v>INSPIRED</v>
      </c>
      <c r="G293" s="13" t="str">
        <f t="shared" si="40"/>
        <v>inspired</v>
      </c>
      <c r="H293" s="13" t="str">
        <f t="shared" si="41"/>
        <v>Inspired</v>
      </c>
      <c r="I293" s="13">
        <f t="shared" si="42"/>
        <v>10</v>
      </c>
      <c r="J293" s="13">
        <f t="shared" si="43"/>
        <v>8</v>
      </c>
      <c r="K293" s="13">
        <f t="shared" si="44"/>
        <v>2</v>
      </c>
    </row>
    <row r="294" spans="1:11" x14ac:dyDescent="0.25">
      <c r="A294" s="13">
        <f>'Raw Data'!A294</f>
        <v>292</v>
      </c>
      <c r="B294" s="13" t="str">
        <f>'Raw Data'!C294</f>
        <v xml:space="preserve"> Hopeful </v>
      </c>
      <c r="C294" s="13" t="str">
        <f t="shared" si="36"/>
        <v>Hopeful</v>
      </c>
      <c r="D294" s="13" t="str">
        <f t="shared" si="37"/>
        <v xml:space="preserve"> Hopeful </v>
      </c>
      <c r="E294" s="13" t="str">
        <f t="shared" si="38"/>
        <v>Hopeful</v>
      </c>
      <c r="F294" s="13" t="str">
        <f t="shared" si="39"/>
        <v>HOPEFUL</v>
      </c>
      <c r="G294" s="13" t="str">
        <f t="shared" si="40"/>
        <v>hopeful</v>
      </c>
      <c r="H294" s="13" t="str">
        <f t="shared" si="41"/>
        <v>Hopeful</v>
      </c>
      <c r="I294" s="13">
        <f t="shared" si="42"/>
        <v>9</v>
      </c>
      <c r="J294" s="13">
        <f t="shared" si="43"/>
        <v>7</v>
      </c>
      <c r="K294" s="13">
        <f t="shared" si="44"/>
        <v>2</v>
      </c>
    </row>
    <row r="295" spans="1:11" x14ac:dyDescent="0.25">
      <c r="A295" s="13">
        <f>'Raw Data'!A295</f>
        <v>293</v>
      </c>
      <c r="B295" s="13" t="str">
        <f>'Raw Data'!C295</f>
        <v xml:space="preserve"> Compassionate </v>
      </c>
      <c r="C295" s="13" t="str">
        <f t="shared" si="36"/>
        <v>Compassionate</v>
      </c>
      <c r="D295" s="13" t="str">
        <f t="shared" si="37"/>
        <v xml:space="preserve"> Compassionate </v>
      </c>
      <c r="E295" s="13" t="str">
        <f t="shared" si="38"/>
        <v>Compassionate</v>
      </c>
      <c r="F295" s="13" t="str">
        <f t="shared" si="39"/>
        <v>COMPASSIONATE</v>
      </c>
      <c r="G295" s="13" t="str">
        <f t="shared" si="40"/>
        <v>compassionate</v>
      </c>
      <c r="H295" s="13" t="str">
        <f t="shared" si="41"/>
        <v>Compassionate</v>
      </c>
      <c r="I295" s="13">
        <f t="shared" si="42"/>
        <v>15</v>
      </c>
      <c r="J295" s="13">
        <f t="shared" si="43"/>
        <v>13</v>
      </c>
      <c r="K295" s="13">
        <f t="shared" si="44"/>
        <v>2</v>
      </c>
    </row>
    <row r="296" spans="1:11" x14ac:dyDescent="0.25">
      <c r="A296" s="13">
        <f>'Raw Data'!A296</f>
        <v>294</v>
      </c>
      <c r="B296" s="13" t="str">
        <f>'Raw Data'!C296</f>
        <v xml:space="preserve"> Proud </v>
      </c>
      <c r="C296" s="13" t="str">
        <f t="shared" si="36"/>
        <v>Proud</v>
      </c>
      <c r="D296" s="13" t="str">
        <f t="shared" si="37"/>
        <v xml:space="preserve"> Proud </v>
      </c>
      <c r="E296" s="13" t="str">
        <f t="shared" si="38"/>
        <v>Proud</v>
      </c>
      <c r="F296" s="13" t="str">
        <f t="shared" si="39"/>
        <v>PROUD</v>
      </c>
      <c r="G296" s="13" t="str">
        <f t="shared" si="40"/>
        <v>proud</v>
      </c>
      <c r="H296" s="13" t="str">
        <f t="shared" si="41"/>
        <v>Proud</v>
      </c>
      <c r="I296" s="13">
        <f t="shared" si="42"/>
        <v>7</v>
      </c>
      <c r="J296" s="13">
        <f t="shared" si="43"/>
        <v>5</v>
      </c>
      <c r="K296" s="13">
        <f t="shared" si="44"/>
        <v>2</v>
      </c>
    </row>
    <row r="297" spans="1:11" x14ac:dyDescent="0.25">
      <c r="A297" s="13">
        <f>'Raw Data'!A297</f>
        <v>295</v>
      </c>
      <c r="B297" s="13" t="str">
        <f>'Raw Data'!C297</f>
        <v xml:space="preserve"> Hopeful </v>
      </c>
      <c r="C297" s="13" t="str">
        <f t="shared" si="36"/>
        <v>Hopeful</v>
      </c>
      <c r="D297" s="13" t="str">
        <f t="shared" si="37"/>
        <v xml:space="preserve"> Hopeful </v>
      </c>
      <c r="E297" s="13" t="str">
        <f t="shared" si="38"/>
        <v>Hopeful</v>
      </c>
      <c r="F297" s="13" t="str">
        <f t="shared" si="39"/>
        <v>HOPEFUL</v>
      </c>
      <c r="G297" s="13" t="str">
        <f t="shared" si="40"/>
        <v>hopeful</v>
      </c>
      <c r="H297" s="13" t="str">
        <f t="shared" si="41"/>
        <v>Hopeful</v>
      </c>
      <c r="I297" s="13">
        <f t="shared" si="42"/>
        <v>9</v>
      </c>
      <c r="J297" s="13">
        <f t="shared" si="43"/>
        <v>7</v>
      </c>
      <c r="K297" s="13">
        <f t="shared" si="44"/>
        <v>2</v>
      </c>
    </row>
    <row r="298" spans="1:11" x14ac:dyDescent="0.25">
      <c r="A298" s="13">
        <f>'Raw Data'!A298</f>
        <v>296</v>
      </c>
      <c r="B298" s="13" t="str">
        <f>'Raw Data'!C298</f>
        <v xml:space="preserve"> Playful </v>
      </c>
      <c r="C298" s="13" t="str">
        <f t="shared" si="36"/>
        <v>Playful</v>
      </c>
      <c r="D298" s="13" t="str">
        <f t="shared" si="37"/>
        <v xml:space="preserve"> Playful </v>
      </c>
      <c r="E298" s="13" t="str">
        <f t="shared" si="38"/>
        <v>Playful</v>
      </c>
      <c r="F298" s="13" t="str">
        <f t="shared" si="39"/>
        <v>PLAYFUL</v>
      </c>
      <c r="G298" s="13" t="str">
        <f t="shared" si="40"/>
        <v>playful</v>
      </c>
      <c r="H298" s="13" t="str">
        <f t="shared" si="41"/>
        <v>Playful</v>
      </c>
      <c r="I298" s="13">
        <f t="shared" si="42"/>
        <v>9</v>
      </c>
      <c r="J298" s="13">
        <f t="shared" si="43"/>
        <v>7</v>
      </c>
      <c r="K298" s="13">
        <f t="shared" si="44"/>
        <v>2</v>
      </c>
    </row>
    <row r="299" spans="1:11" x14ac:dyDescent="0.25">
      <c r="A299" s="13">
        <f>'Raw Data'!A299</f>
        <v>297</v>
      </c>
      <c r="B299" s="13" t="str">
        <f>'Raw Data'!C299</f>
        <v xml:space="preserve"> Despair </v>
      </c>
      <c r="C299" s="13" t="str">
        <f t="shared" si="36"/>
        <v>Despair</v>
      </c>
      <c r="D299" s="13" t="str">
        <f t="shared" si="37"/>
        <v xml:space="preserve"> Despair </v>
      </c>
      <c r="E299" s="13" t="str">
        <f t="shared" si="38"/>
        <v>Despair</v>
      </c>
      <c r="F299" s="13" t="str">
        <f t="shared" si="39"/>
        <v>DESPAIR</v>
      </c>
      <c r="G299" s="13" t="str">
        <f t="shared" si="40"/>
        <v>despair</v>
      </c>
      <c r="H299" s="13" t="str">
        <f t="shared" si="41"/>
        <v>Despair</v>
      </c>
      <c r="I299" s="13">
        <f t="shared" si="42"/>
        <v>9</v>
      </c>
      <c r="J299" s="13">
        <f t="shared" si="43"/>
        <v>7</v>
      </c>
      <c r="K299" s="13">
        <f t="shared" si="44"/>
        <v>2</v>
      </c>
    </row>
    <row r="300" spans="1:11" x14ac:dyDescent="0.25">
      <c r="A300" s="13">
        <f>'Raw Data'!A300</f>
        <v>298</v>
      </c>
      <c r="B300" s="13" t="str">
        <f>'Raw Data'!C300</f>
        <v xml:space="preserve"> Bitterness </v>
      </c>
      <c r="C300" s="13" t="str">
        <f t="shared" si="36"/>
        <v>Bitterness</v>
      </c>
      <c r="D300" s="13" t="str">
        <f t="shared" si="37"/>
        <v xml:space="preserve"> Bitterness </v>
      </c>
      <c r="E300" s="13" t="str">
        <f t="shared" si="38"/>
        <v>Bitterness</v>
      </c>
      <c r="F300" s="13" t="str">
        <f t="shared" si="39"/>
        <v>BITTERNESS</v>
      </c>
      <c r="G300" s="13" t="str">
        <f t="shared" si="40"/>
        <v>bitterness</v>
      </c>
      <c r="H300" s="13" t="str">
        <f t="shared" si="41"/>
        <v>Bitterness</v>
      </c>
      <c r="I300" s="13">
        <f t="shared" si="42"/>
        <v>12</v>
      </c>
      <c r="J300" s="13">
        <f t="shared" si="43"/>
        <v>10</v>
      </c>
      <c r="K300" s="13">
        <f t="shared" si="44"/>
        <v>2</v>
      </c>
    </row>
    <row r="301" spans="1:11" x14ac:dyDescent="0.25">
      <c r="A301" s="13">
        <f>'Raw Data'!A301</f>
        <v>299</v>
      </c>
      <c r="B301" s="13" t="str">
        <f>'Raw Data'!C301</f>
        <v xml:space="preserve"> Loneliness </v>
      </c>
      <c r="C301" s="13" t="str">
        <f t="shared" si="36"/>
        <v>Loneliness</v>
      </c>
      <c r="D301" s="13" t="str">
        <f t="shared" si="37"/>
        <v xml:space="preserve"> Loneliness </v>
      </c>
      <c r="E301" s="13" t="str">
        <f t="shared" si="38"/>
        <v>Loneliness</v>
      </c>
      <c r="F301" s="13" t="str">
        <f t="shared" si="39"/>
        <v>LONELINESS</v>
      </c>
      <c r="G301" s="13" t="str">
        <f t="shared" si="40"/>
        <v>loneliness</v>
      </c>
      <c r="H301" s="13" t="str">
        <f t="shared" si="41"/>
        <v>Loneliness</v>
      </c>
      <c r="I301" s="13">
        <f t="shared" si="42"/>
        <v>12</v>
      </c>
      <c r="J301" s="13">
        <f t="shared" si="43"/>
        <v>10</v>
      </c>
      <c r="K301" s="13">
        <f t="shared" si="44"/>
        <v>2</v>
      </c>
    </row>
    <row r="302" spans="1:11" x14ac:dyDescent="0.25">
      <c r="A302" s="13">
        <f>'Raw Data'!A302</f>
        <v>300</v>
      </c>
      <c r="B302" s="13" t="str">
        <f>'Raw Data'!C302</f>
        <v xml:space="preserve"> Yearning </v>
      </c>
      <c r="C302" s="13" t="str">
        <f t="shared" si="36"/>
        <v>Yearning</v>
      </c>
      <c r="D302" s="13" t="str">
        <f t="shared" si="37"/>
        <v xml:space="preserve"> Yearning </v>
      </c>
      <c r="E302" s="13" t="str">
        <f t="shared" si="38"/>
        <v>Yearning</v>
      </c>
      <c r="F302" s="13" t="str">
        <f t="shared" si="39"/>
        <v>YEARNING</v>
      </c>
      <c r="G302" s="13" t="str">
        <f t="shared" si="40"/>
        <v>yearning</v>
      </c>
      <c r="H302" s="13" t="str">
        <f t="shared" si="41"/>
        <v>Yearning</v>
      </c>
      <c r="I302" s="13">
        <f t="shared" si="42"/>
        <v>10</v>
      </c>
      <c r="J302" s="13">
        <f t="shared" si="43"/>
        <v>8</v>
      </c>
      <c r="K302" s="13">
        <f t="shared" si="44"/>
        <v>2</v>
      </c>
    </row>
    <row r="303" spans="1:11" x14ac:dyDescent="0.25">
      <c r="A303" s="13">
        <f>'Raw Data'!A303</f>
        <v>301</v>
      </c>
      <c r="B303" s="13" t="str">
        <f>'Raw Data'!C303</f>
        <v xml:space="preserve"> Fearful </v>
      </c>
      <c r="C303" s="13" t="str">
        <f t="shared" si="36"/>
        <v>Fearful</v>
      </c>
      <c r="D303" s="13" t="str">
        <f t="shared" si="37"/>
        <v xml:space="preserve"> Fearful </v>
      </c>
      <c r="E303" s="13" t="str">
        <f t="shared" si="38"/>
        <v>Fearful</v>
      </c>
      <c r="F303" s="13" t="str">
        <f t="shared" si="39"/>
        <v>FEARFUL</v>
      </c>
      <c r="G303" s="13" t="str">
        <f t="shared" si="40"/>
        <v>fearful</v>
      </c>
      <c r="H303" s="13" t="str">
        <f t="shared" si="41"/>
        <v>Fearful</v>
      </c>
      <c r="I303" s="13">
        <f t="shared" si="42"/>
        <v>9</v>
      </c>
      <c r="J303" s="13">
        <f t="shared" si="43"/>
        <v>7</v>
      </c>
      <c r="K303" s="13">
        <f t="shared" si="44"/>
        <v>2</v>
      </c>
    </row>
    <row r="304" spans="1:11" x14ac:dyDescent="0.25">
      <c r="A304" s="13">
        <f>'Raw Data'!A304</f>
        <v>302</v>
      </c>
      <c r="B304" s="13" t="str">
        <f>'Raw Data'!C304</f>
        <v xml:space="preserve"> Apprehensive </v>
      </c>
      <c r="C304" s="13" t="str">
        <f t="shared" si="36"/>
        <v>Apprehensive</v>
      </c>
      <c r="D304" s="13" t="str">
        <f t="shared" si="37"/>
        <v xml:space="preserve"> Apprehensive </v>
      </c>
      <c r="E304" s="13" t="str">
        <f t="shared" si="38"/>
        <v>Apprehensive</v>
      </c>
      <c r="F304" s="13" t="str">
        <f t="shared" si="39"/>
        <v>APPREHENSIVE</v>
      </c>
      <c r="G304" s="13" t="str">
        <f t="shared" si="40"/>
        <v>apprehensive</v>
      </c>
      <c r="H304" s="13" t="str">
        <f t="shared" si="41"/>
        <v>Apprehensive</v>
      </c>
      <c r="I304" s="13">
        <f t="shared" si="42"/>
        <v>14</v>
      </c>
      <c r="J304" s="13">
        <f t="shared" si="43"/>
        <v>12</v>
      </c>
      <c r="K304" s="13">
        <f t="shared" si="44"/>
        <v>2</v>
      </c>
    </row>
    <row r="305" spans="1:11" x14ac:dyDescent="0.25">
      <c r="A305" s="13">
        <f>'Raw Data'!A305</f>
        <v>303</v>
      </c>
      <c r="B305" s="13" t="str">
        <f>'Raw Data'!C305</f>
        <v xml:space="preserve"> Overwhelmed </v>
      </c>
      <c r="C305" s="13" t="str">
        <f t="shared" si="36"/>
        <v>Overwhelmed</v>
      </c>
      <c r="D305" s="13" t="str">
        <f t="shared" si="37"/>
        <v xml:space="preserve"> Overwhelmed </v>
      </c>
      <c r="E305" s="13" t="str">
        <f t="shared" si="38"/>
        <v>Overwhelmed</v>
      </c>
      <c r="F305" s="13" t="str">
        <f t="shared" si="39"/>
        <v>OVERWHELMED</v>
      </c>
      <c r="G305" s="13" t="str">
        <f t="shared" si="40"/>
        <v>overwhelmed</v>
      </c>
      <c r="H305" s="13" t="str">
        <f t="shared" si="41"/>
        <v>Overwhelmed</v>
      </c>
      <c r="I305" s="13">
        <f t="shared" si="42"/>
        <v>13</v>
      </c>
      <c r="J305" s="13">
        <f t="shared" si="43"/>
        <v>11</v>
      </c>
      <c r="K305" s="13">
        <f t="shared" si="44"/>
        <v>2</v>
      </c>
    </row>
    <row r="306" spans="1:11" x14ac:dyDescent="0.25">
      <c r="A306" s="13">
        <f>'Raw Data'!A306</f>
        <v>304</v>
      </c>
      <c r="B306" s="13" t="str">
        <f>'Raw Data'!C306</f>
        <v xml:space="preserve"> Jealous </v>
      </c>
      <c r="C306" s="13" t="str">
        <f t="shared" si="36"/>
        <v>Jealous</v>
      </c>
      <c r="D306" s="13" t="str">
        <f t="shared" si="37"/>
        <v xml:space="preserve"> Jealous </v>
      </c>
      <c r="E306" s="13" t="str">
        <f t="shared" si="38"/>
        <v>Jealous</v>
      </c>
      <c r="F306" s="13" t="str">
        <f t="shared" si="39"/>
        <v>JEALOUS</v>
      </c>
      <c r="G306" s="13" t="str">
        <f t="shared" si="40"/>
        <v>jealous</v>
      </c>
      <c r="H306" s="13" t="str">
        <f t="shared" si="41"/>
        <v>Jealous</v>
      </c>
      <c r="I306" s="13">
        <f t="shared" si="42"/>
        <v>9</v>
      </c>
      <c r="J306" s="13">
        <f t="shared" si="43"/>
        <v>7</v>
      </c>
      <c r="K306" s="13">
        <f t="shared" si="44"/>
        <v>2</v>
      </c>
    </row>
    <row r="307" spans="1:11" x14ac:dyDescent="0.25">
      <c r="A307" s="13">
        <f>'Raw Data'!A307</f>
        <v>305</v>
      </c>
      <c r="B307" s="13" t="str">
        <f>'Raw Data'!C307</f>
        <v xml:space="preserve"> Devastated </v>
      </c>
      <c r="C307" s="13" t="str">
        <f t="shared" si="36"/>
        <v>Devastated</v>
      </c>
      <c r="D307" s="13" t="str">
        <f t="shared" si="37"/>
        <v xml:space="preserve"> Devastated </v>
      </c>
      <c r="E307" s="13" t="str">
        <f t="shared" si="38"/>
        <v>Devastated</v>
      </c>
      <c r="F307" s="13" t="str">
        <f t="shared" si="39"/>
        <v>DEVASTATED</v>
      </c>
      <c r="G307" s="13" t="str">
        <f t="shared" si="40"/>
        <v>devastated</v>
      </c>
      <c r="H307" s="13" t="str">
        <f t="shared" si="41"/>
        <v>Devastated</v>
      </c>
      <c r="I307" s="13">
        <f t="shared" si="42"/>
        <v>12</v>
      </c>
      <c r="J307" s="13">
        <f t="shared" si="43"/>
        <v>10</v>
      </c>
      <c r="K307" s="13">
        <f t="shared" si="44"/>
        <v>2</v>
      </c>
    </row>
    <row r="308" spans="1:11" x14ac:dyDescent="0.25">
      <c r="A308" s="13">
        <f>'Raw Data'!A308</f>
        <v>306</v>
      </c>
      <c r="B308" s="13" t="str">
        <f>'Raw Data'!C308</f>
        <v xml:space="preserve"> Frustrated </v>
      </c>
      <c r="C308" s="13" t="str">
        <f t="shared" si="36"/>
        <v>Frustrated</v>
      </c>
      <c r="D308" s="13" t="str">
        <f t="shared" si="37"/>
        <v xml:space="preserve"> Frustrated </v>
      </c>
      <c r="E308" s="13" t="str">
        <f t="shared" si="38"/>
        <v>Frustrated</v>
      </c>
      <c r="F308" s="13" t="str">
        <f t="shared" si="39"/>
        <v>FRUSTRATED</v>
      </c>
      <c r="G308" s="13" t="str">
        <f t="shared" si="40"/>
        <v>frustrated</v>
      </c>
      <c r="H308" s="13" t="str">
        <f t="shared" si="41"/>
        <v>Frustrated</v>
      </c>
      <c r="I308" s="13">
        <f t="shared" si="42"/>
        <v>12</v>
      </c>
      <c r="J308" s="13">
        <f t="shared" si="43"/>
        <v>10</v>
      </c>
      <c r="K308" s="13">
        <f t="shared" si="44"/>
        <v>2</v>
      </c>
    </row>
    <row r="309" spans="1:11" x14ac:dyDescent="0.25">
      <c r="A309" s="13">
        <f>'Raw Data'!A309</f>
        <v>307</v>
      </c>
      <c r="B309" s="13" t="str">
        <f>'Raw Data'!C309</f>
        <v xml:space="preserve"> Envious </v>
      </c>
      <c r="C309" s="13" t="str">
        <f t="shared" si="36"/>
        <v>Envious</v>
      </c>
      <c r="D309" s="13" t="str">
        <f t="shared" si="37"/>
        <v xml:space="preserve"> Envious </v>
      </c>
      <c r="E309" s="13" t="str">
        <f t="shared" si="38"/>
        <v>Envious</v>
      </c>
      <c r="F309" s="13" t="str">
        <f t="shared" si="39"/>
        <v>ENVIOUS</v>
      </c>
      <c r="G309" s="13" t="str">
        <f t="shared" si="40"/>
        <v>envious</v>
      </c>
      <c r="H309" s="13" t="str">
        <f t="shared" si="41"/>
        <v>Envious</v>
      </c>
      <c r="I309" s="13">
        <f t="shared" si="42"/>
        <v>9</v>
      </c>
      <c r="J309" s="13">
        <f t="shared" si="43"/>
        <v>7</v>
      </c>
      <c r="K309" s="13">
        <f t="shared" si="44"/>
        <v>2</v>
      </c>
    </row>
    <row r="310" spans="1:11" x14ac:dyDescent="0.25">
      <c r="A310" s="13">
        <f>'Raw Data'!A310</f>
        <v>308</v>
      </c>
      <c r="B310" s="13" t="str">
        <f>'Raw Data'!C310</f>
        <v xml:space="preserve"> Dismissive </v>
      </c>
      <c r="C310" s="13" t="str">
        <f t="shared" si="36"/>
        <v>Dismissive</v>
      </c>
      <c r="D310" s="13" t="str">
        <f t="shared" si="37"/>
        <v xml:space="preserve"> Dismissive </v>
      </c>
      <c r="E310" s="13" t="str">
        <f t="shared" si="38"/>
        <v>Dismissive</v>
      </c>
      <c r="F310" s="13" t="str">
        <f t="shared" si="39"/>
        <v>DISMISSIVE</v>
      </c>
      <c r="G310" s="13" t="str">
        <f t="shared" si="40"/>
        <v>dismissive</v>
      </c>
      <c r="H310" s="13" t="str">
        <f t="shared" si="41"/>
        <v>Dismissive</v>
      </c>
      <c r="I310" s="13">
        <f t="shared" si="42"/>
        <v>12</v>
      </c>
      <c r="J310" s="13">
        <f t="shared" si="43"/>
        <v>10</v>
      </c>
      <c r="K310" s="13">
        <f t="shared" si="44"/>
        <v>2</v>
      </c>
    </row>
    <row r="311" spans="1:11" x14ac:dyDescent="0.25">
      <c r="A311" s="13">
        <f>'Raw Data'!A311</f>
        <v>309</v>
      </c>
      <c r="B311" s="13" t="str">
        <f>'Raw Data'!C311</f>
        <v xml:space="preserve"> Frustrated </v>
      </c>
      <c r="C311" s="13" t="str">
        <f t="shared" si="36"/>
        <v>Frustrated</v>
      </c>
      <c r="D311" s="13" t="str">
        <f t="shared" si="37"/>
        <v xml:space="preserve"> Frustrated </v>
      </c>
      <c r="E311" s="13" t="str">
        <f t="shared" si="38"/>
        <v>Frustrated</v>
      </c>
      <c r="F311" s="13" t="str">
        <f t="shared" si="39"/>
        <v>FRUSTRATED</v>
      </c>
      <c r="G311" s="13" t="str">
        <f t="shared" si="40"/>
        <v>frustrated</v>
      </c>
      <c r="H311" s="13" t="str">
        <f t="shared" si="41"/>
        <v>Frustrated</v>
      </c>
      <c r="I311" s="13">
        <f t="shared" si="42"/>
        <v>12</v>
      </c>
      <c r="J311" s="13">
        <f t="shared" si="43"/>
        <v>10</v>
      </c>
      <c r="K311" s="13">
        <f t="shared" si="44"/>
        <v>2</v>
      </c>
    </row>
    <row r="312" spans="1:11" x14ac:dyDescent="0.25">
      <c r="A312" s="13">
        <f>'Raw Data'!A312</f>
        <v>310</v>
      </c>
      <c r="B312" s="13" t="str">
        <f>'Raw Data'!C312</f>
        <v xml:space="preserve"> Loneliness </v>
      </c>
      <c r="C312" s="13" t="str">
        <f t="shared" si="36"/>
        <v>Loneliness</v>
      </c>
      <c r="D312" s="13" t="str">
        <f t="shared" si="37"/>
        <v xml:space="preserve"> Loneliness </v>
      </c>
      <c r="E312" s="13" t="str">
        <f t="shared" si="38"/>
        <v>Loneliness</v>
      </c>
      <c r="F312" s="13" t="str">
        <f t="shared" si="39"/>
        <v>LONELINESS</v>
      </c>
      <c r="G312" s="13" t="str">
        <f t="shared" si="40"/>
        <v>loneliness</v>
      </c>
      <c r="H312" s="13" t="str">
        <f t="shared" si="41"/>
        <v>Loneliness</v>
      </c>
      <c r="I312" s="13">
        <f t="shared" si="42"/>
        <v>12</v>
      </c>
      <c r="J312" s="13">
        <f t="shared" si="43"/>
        <v>10</v>
      </c>
      <c r="K312" s="13">
        <f t="shared" si="44"/>
        <v>2</v>
      </c>
    </row>
    <row r="313" spans="1:11" x14ac:dyDescent="0.25">
      <c r="A313" s="13">
        <f>'Raw Data'!A313</f>
        <v>311</v>
      </c>
      <c r="B313" s="13" t="str">
        <f>'Raw Data'!C313</f>
        <v xml:space="preserve"> Fearful </v>
      </c>
      <c r="C313" s="13" t="str">
        <f t="shared" si="36"/>
        <v>Fearful</v>
      </c>
      <c r="D313" s="13" t="str">
        <f t="shared" si="37"/>
        <v xml:space="preserve"> Fearful </v>
      </c>
      <c r="E313" s="13" t="str">
        <f t="shared" si="38"/>
        <v>Fearful</v>
      </c>
      <c r="F313" s="13" t="str">
        <f t="shared" si="39"/>
        <v>FEARFUL</v>
      </c>
      <c r="G313" s="13" t="str">
        <f t="shared" si="40"/>
        <v>fearful</v>
      </c>
      <c r="H313" s="13" t="str">
        <f t="shared" si="41"/>
        <v>Fearful</v>
      </c>
      <c r="I313" s="13">
        <f t="shared" si="42"/>
        <v>9</v>
      </c>
      <c r="J313" s="13">
        <f t="shared" si="43"/>
        <v>7</v>
      </c>
      <c r="K313" s="13">
        <f t="shared" si="44"/>
        <v>2</v>
      </c>
    </row>
    <row r="314" spans="1:11" x14ac:dyDescent="0.25">
      <c r="A314" s="13">
        <f>'Raw Data'!A314</f>
        <v>312</v>
      </c>
      <c r="B314" s="13" t="str">
        <f>'Raw Data'!C314</f>
        <v xml:space="preserve"> Bitterness </v>
      </c>
      <c r="C314" s="13" t="str">
        <f t="shared" si="36"/>
        <v>Bitterness</v>
      </c>
      <c r="D314" s="13" t="str">
        <f t="shared" si="37"/>
        <v xml:space="preserve"> Bitterness </v>
      </c>
      <c r="E314" s="13" t="str">
        <f t="shared" si="38"/>
        <v>Bitterness</v>
      </c>
      <c r="F314" s="13" t="str">
        <f t="shared" si="39"/>
        <v>BITTERNESS</v>
      </c>
      <c r="G314" s="13" t="str">
        <f t="shared" si="40"/>
        <v>bitterness</v>
      </c>
      <c r="H314" s="13" t="str">
        <f t="shared" si="41"/>
        <v>Bitterness</v>
      </c>
      <c r="I314" s="13">
        <f t="shared" si="42"/>
        <v>12</v>
      </c>
      <c r="J314" s="13">
        <f t="shared" si="43"/>
        <v>10</v>
      </c>
      <c r="K314" s="13">
        <f t="shared" si="44"/>
        <v>2</v>
      </c>
    </row>
    <row r="315" spans="1:11" x14ac:dyDescent="0.25">
      <c r="A315" s="13">
        <f>'Raw Data'!A315</f>
        <v>313</v>
      </c>
      <c r="B315" s="13" t="str">
        <f>'Raw Data'!C315</f>
        <v xml:space="preserve"> Overwhelmed </v>
      </c>
      <c r="C315" s="13" t="str">
        <f t="shared" si="36"/>
        <v>Overwhelmed</v>
      </c>
      <c r="D315" s="13" t="str">
        <f t="shared" si="37"/>
        <v xml:space="preserve"> Overwhelmed </v>
      </c>
      <c r="E315" s="13" t="str">
        <f t="shared" si="38"/>
        <v>Overwhelmed</v>
      </c>
      <c r="F315" s="13" t="str">
        <f t="shared" si="39"/>
        <v>OVERWHELMED</v>
      </c>
      <c r="G315" s="13" t="str">
        <f t="shared" si="40"/>
        <v>overwhelmed</v>
      </c>
      <c r="H315" s="13" t="str">
        <f t="shared" si="41"/>
        <v>Overwhelmed</v>
      </c>
      <c r="I315" s="13">
        <f t="shared" si="42"/>
        <v>13</v>
      </c>
      <c r="J315" s="13">
        <f t="shared" si="43"/>
        <v>11</v>
      </c>
      <c r="K315" s="13">
        <f t="shared" si="44"/>
        <v>2</v>
      </c>
    </row>
    <row r="316" spans="1:11" x14ac:dyDescent="0.25">
      <c r="A316" s="13">
        <f>'Raw Data'!A316</f>
        <v>314</v>
      </c>
      <c r="B316" s="13" t="str">
        <f>'Raw Data'!C316</f>
        <v xml:space="preserve"> Jealous </v>
      </c>
      <c r="C316" s="13" t="str">
        <f t="shared" si="36"/>
        <v>Jealous</v>
      </c>
      <c r="D316" s="13" t="str">
        <f t="shared" si="37"/>
        <v xml:space="preserve"> Jealous </v>
      </c>
      <c r="E316" s="13" t="str">
        <f t="shared" si="38"/>
        <v>Jealous</v>
      </c>
      <c r="F316" s="13" t="str">
        <f t="shared" si="39"/>
        <v>JEALOUS</v>
      </c>
      <c r="G316" s="13" t="str">
        <f t="shared" si="40"/>
        <v>jealous</v>
      </c>
      <c r="H316" s="13" t="str">
        <f t="shared" si="41"/>
        <v>Jealous</v>
      </c>
      <c r="I316" s="13">
        <f t="shared" si="42"/>
        <v>9</v>
      </c>
      <c r="J316" s="13">
        <f t="shared" si="43"/>
        <v>7</v>
      </c>
      <c r="K316" s="13">
        <f t="shared" si="44"/>
        <v>2</v>
      </c>
    </row>
    <row r="317" spans="1:11" x14ac:dyDescent="0.25">
      <c r="A317" s="13">
        <f>'Raw Data'!A317</f>
        <v>315</v>
      </c>
      <c r="B317" s="13" t="str">
        <f>'Raw Data'!C317</f>
        <v xml:space="preserve"> Devastated </v>
      </c>
      <c r="C317" s="13" t="str">
        <f t="shared" si="36"/>
        <v>Devastated</v>
      </c>
      <c r="D317" s="13" t="str">
        <f t="shared" si="37"/>
        <v xml:space="preserve"> Devastated </v>
      </c>
      <c r="E317" s="13" t="str">
        <f t="shared" si="38"/>
        <v>Devastated</v>
      </c>
      <c r="F317" s="13" t="str">
        <f t="shared" si="39"/>
        <v>DEVASTATED</v>
      </c>
      <c r="G317" s="13" t="str">
        <f t="shared" si="40"/>
        <v>devastated</v>
      </c>
      <c r="H317" s="13" t="str">
        <f t="shared" si="41"/>
        <v>Devastated</v>
      </c>
      <c r="I317" s="13">
        <f t="shared" si="42"/>
        <v>12</v>
      </c>
      <c r="J317" s="13">
        <f t="shared" si="43"/>
        <v>10</v>
      </c>
      <c r="K317" s="13">
        <f t="shared" si="44"/>
        <v>2</v>
      </c>
    </row>
    <row r="318" spans="1:11" x14ac:dyDescent="0.25">
      <c r="A318" s="13">
        <f>'Raw Data'!A318</f>
        <v>316</v>
      </c>
      <c r="B318" s="13" t="str">
        <f>'Raw Data'!C318</f>
        <v xml:space="preserve"> Frustrated </v>
      </c>
      <c r="C318" s="13" t="str">
        <f t="shared" si="36"/>
        <v>Frustrated</v>
      </c>
      <c r="D318" s="13" t="str">
        <f t="shared" si="37"/>
        <v xml:space="preserve"> Frustrated </v>
      </c>
      <c r="E318" s="13" t="str">
        <f t="shared" si="38"/>
        <v>Frustrated</v>
      </c>
      <c r="F318" s="13" t="str">
        <f t="shared" si="39"/>
        <v>FRUSTRATED</v>
      </c>
      <c r="G318" s="13" t="str">
        <f t="shared" si="40"/>
        <v>frustrated</v>
      </c>
      <c r="H318" s="13" t="str">
        <f t="shared" si="41"/>
        <v>Frustrated</v>
      </c>
      <c r="I318" s="13">
        <f t="shared" si="42"/>
        <v>12</v>
      </c>
      <c r="J318" s="13">
        <f t="shared" si="43"/>
        <v>10</v>
      </c>
      <c r="K318" s="13">
        <f t="shared" si="44"/>
        <v>2</v>
      </c>
    </row>
    <row r="319" spans="1:11" x14ac:dyDescent="0.25">
      <c r="A319" s="13">
        <f>'Raw Data'!A319</f>
        <v>317</v>
      </c>
      <c r="B319" s="13" t="str">
        <f>'Raw Data'!C319</f>
        <v xml:space="preserve"> Envious </v>
      </c>
      <c r="C319" s="13" t="str">
        <f t="shared" si="36"/>
        <v>Envious</v>
      </c>
      <c r="D319" s="13" t="str">
        <f t="shared" si="37"/>
        <v xml:space="preserve"> Envious </v>
      </c>
      <c r="E319" s="13" t="str">
        <f t="shared" si="38"/>
        <v>Envious</v>
      </c>
      <c r="F319" s="13" t="str">
        <f t="shared" si="39"/>
        <v>ENVIOUS</v>
      </c>
      <c r="G319" s="13" t="str">
        <f t="shared" si="40"/>
        <v>envious</v>
      </c>
      <c r="H319" s="13" t="str">
        <f t="shared" si="41"/>
        <v>Envious</v>
      </c>
      <c r="I319" s="13">
        <f t="shared" si="42"/>
        <v>9</v>
      </c>
      <c r="J319" s="13">
        <f t="shared" si="43"/>
        <v>7</v>
      </c>
      <c r="K319" s="13">
        <f t="shared" si="44"/>
        <v>2</v>
      </c>
    </row>
    <row r="320" spans="1:11" x14ac:dyDescent="0.25">
      <c r="A320" s="13">
        <f>'Raw Data'!A320</f>
        <v>318</v>
      </c>
      <c r="B320" s="13" t="str">
        <f>'Raw Data'!C320</f>
        <v xml:space="preserve"> Dismissive </v>
      </c>
      <c r="C320" s="13" t="str">
        <f t="shared" si="36"/>
        <v>Dismissive</v>
      </c>
      <c r="D320" s="13" t="str">
        <f t="shared" si="37"/>
        <v xml:space="preserve"> Dismissive </v>
      </c>
      <c r="E320" s="13" t="str">
        <f t="shared" si="38"/>
        <v>Dismissive</v>
      </c>
      <c r="F320" s="13" t="str">
        <f t="shared" si="39"/>
        <v>DISMISSIVE</v>
      </c>
      <c r="G320" s="13" t="str">
        <f t="shared" si="40"/>
        <v>dismissive</v>
      </c>
      <c r="H320" s="13" t="str">
        <f t="shared" si="41"/>
        <v>Dismissive</v>
      </c>
      <c r="I320" s="13">
        <f t="shared" si="42"/>
        <v>12</v>
      </c>
      <c r="J320" s="13">
        <f t="shared" si="43"/>
        <v>10</v>
      </c>
      <c r="K320" s="13">
        <f t="shared" si="44"/>
        <v>2</v>
      </c>
    </row>
    <row r="321" spans="1:11" x14ac:dyDescent="0.25">
      <c r="A321" s="13">
        <f>'Raw Data'!A321</f>
        <v>319</v>
      </c>
      <c r="B321" s="13" t="str">
        <f>'Raw Data'!C321</f>
        <v xml:space="preserve"> Despair </v>
      </c>
      <c r="C321" s="13" t="str">
        <f t="shared" si="36"/>
        <v>Despair</v>
      </c>
      <c r="D321" s="13" t="str">
        <f t="shared" si="37"/>
        <v xml:space="preserve"> Despair </v>
      </c>
      <c r="E321" s="13" t="str">
        <f t="shared" si="38"/>
        <v>Despair</v>
      </c>
      <c r="F321" s="13" t="str">
        <f t="shared" si="39"/>
        <v>DESPAIR</v>
      </c>
      <c r="G321" s="13" t="str">
        <f t="shared" si="40"/>
        <v>despair</v>
      </c>
      <c r="H321" s="13" t="str">
        <f t="shared" si="41"/>
        <v>Despair</v>
      </c>
      <c r="I321" s="13">
        <f t="shared" si="42"/>
        <v>9</v>
      </c>
      <c r="J321" s="13">
        <f t="shared" si="43"/>
        <v>7</v>
      </c>
      <c r="K321" s="13">
        <f t="shared" si="44"/>
        <v>2</v>
      </c>
    </row>
    <row r="322" spans="1:11" x14ac:dyDescent="0.25">
      <c r="A322" s="13">
        <f>'Raw Data'!A322</f>
        <v>320</v>
      </c>
      <c r="B322" s="13" t="str">
        <f>'Raw Data'!C322</f>
        <v xml:space="preserve"> Bitterness </v>
      </c>
      <c r="C322" s="13" t="str">
        <f t="shared" si="36"/>
        <v>Bitterness</v>
      </c>
      <c r="D322" s="13" t="str">
        <f t="shared" si="37"/>
        <v xml:space="preserve"> Bitterness </v>
      </c>
      <c r="E322" s="13" t="str">
        <f t="shared" si="38"/>
        <v>Bitterness</v>
      </c>
      <c r="F322" s="13" t="str">
        <f t="shared" si="39"/>
        <v>BITTERNESS</v>
      </c>
      <c r="G322" s="13" t="str">
        <f t="shared" si="40"/>
        <v>bitterness</v>
      </c>
      <c r="H322" s="13" t="str">
        <f t="shared" si="41"/>
        <v>Bitterness</v>
      </c>
      <c r="I322" s="13">
        <f t="shared" si="42"/>
        <v>12</v>
      </c>
      <c r="J322" s="13">
        <f t="shared" si="43"/>
        <v>10</v>
      </c>
      <c r="K322" s="13">
        <f t="shared" si="44"/>
        <v>2</v>
      </c>
    </row>
    <row r="323" spans="1:11" x14ac:dyDescent="0.25">
      <c r="A323" s="13">
        <f>'Raw Data'!A323</f>
        <v>321</v>
      </c>
      <c r="B323" s="13" t="str">
        <f>'Raw Data'!C323</f>
        <v xml:space="preserve"> Loneliness </v>
      </c>
      <c r="C323" s="13" t="str">
        <f t="shared" si="36"/>
        <v>Loneliness</v>
      </c>
      <c r="D323" s="13" t="str">
        <f t="shared" si="37"/>
        <v xml:space="preserve"> Loneliness </v>
      </c>
      <c r="E323" s="13" t="str">
        <f t="shared" si="38"/>
        <v>Loneliness</v>
      </c>
      <c r="F323" s="13" t="str">
        <f t="shared" si="39"/>
        <v>LONELINESS</v>
      </c>
      <c r="G323" s="13" t="str">
        <f t="shared" si="40"/>
        <v>loneliness</v>
      </c>
      <c r="H323" s="13" t="str">
        <f t="shared" si="41"/>
        <v>Loneliness</v>
      </c>
      <c r="I323" s="13">
        <f t="shared" si="42"/>
        <v>12</v>
      </c>
      <c r="J323" s="13">
        <f t="shared" si="43"/>
        <v>10</v>
      </c>
      <c r="K323" s="13">
        <f t="shared" si="44"/>
        <v>2</v>
      </c>
    </row>
    <row r="324" spans="1:11" x14ac:dyDescent="0.25">
      <c r="A324" s="13">
        <f>'Raw Data'!A324</f>
        <v>322</v>
      </c>
      <c r="B324" s="13" t="str">
        <f>'Raw Data'!C324</f>
        <v xml:space="preserve"> Yearning </v>
      </c>
      <c r="C324" s="13" t="str">
        <f t="shared" ref="C324:C387" si="45">TRIM(B324)</f>
        <v>Yearning</v>
      </c>
      <c r="D324" s="13" t="str">
        <f t="shared" ref="D324:D387" si="46">CLEAN(B324)</f>
        <v xml:space="preserve"> Yearning </v>
      </c>
      <c r="E324" s="13" t="str">
        <f t="shared" ref="E324:E387" si="47">SUBSTITUTE(SUBSTITUTE(SUBSTITUTE(TRIM(B324),"Positive","Pos"),"Negative","Neg"),"Neutral","Neu")</f>
        <v>Yearning</v>
      </c>
      <c r="F324" s="13" t="str">
        <f t="shared" ref="F324:F387" si="48">UPPER(TRIM(B324))</f>
        <v>YEARNING</v>
      </c>
      <c r="G324" s="13" t="str">
        <f t="shared" ref="G324:G387" si="49">LOWER(TRIM(B324))</f>
        <v>yearning</v>
      </c>
      <c r="H324" s="13" t="str">
        <f t="shared" ref="H324:H387" si="50">PROPER(TRIM(B324))</f>
        <v>Yearning</v>
      </c>
      <c r="I324" s="13">
        <f t="shared" ref="I324:I387" si="51">LEN(B324)</f>
        <v>10</v>
      </c>
      <c r="J324" s="13">
        <f t="shared" ref="J324:J387" si="52">LEN(TRIM(B324))</f>
        <v>8</v>
      </c>
      <c r="K324" s="13">
        <f t="shared" ref="K324:K387" si="53">I324-J324</f>
        <v>2</v>
      </c>
    </row>
    <row r="325" spans="1:11" x14ac:dyDescent="0.25">
      <c r="A325" s="13">
        <f>'Raw Data'!A325</f>
        <v>323</v>
      </c>
      <c r="B325" s="13" t="str">
        <f>'Raw Data'!C325</f>
        <v xml:space="preserve"> Fearful </v>
      </c>
      <c r="C325" s="13" t="str">
        <f t="shared" si="45"/>
        <v>Fearful</v>
      </c>
      <c r="D325" s="13" t="str">
        <f t="shared" si="46"/>
        <v xml:space="preserve"> Fearful </v>
      </c>
      <c r="E325" s="13" t="str">
        <f t="shared" si="47"/>
        <v>Fearful</v>
      </c>
      <c r="F325" s="13" t="str">
        <f t="shared" si="48"/>
        <v>FEARFUL</v>
      </c>
      <c r="G325" s="13" t="str">
        <f t="shared" si="49"/>
        <v>fearful</v>
      </c>
      <c r="H325" s="13" t="str">
        <f t="shared" si="50"/>
        <v>Fearful</v>
      </c>
      <c r="I325" s="13">
        <f t="shared" si="51"/>
        <v>9</v>
      </c>
      <c r="J325" s="13">
        <f t="shared" si="52"/>
        <v>7</v>
      </c>
      <c r="K325" s="13">
        <f t="shared" si="53"/>
        <v>2</v>
      </c>
    </row>
    <row r="326" spans="1:11" x14ac:dyDescent="0.25">
      <c r="A326" s="13">
        <f>'Raw Data'!A326</f>
        <v>324</v>
      </c>
      <c r="B326" s="13" t="str">
        <f>'Raw Data'!C326</f>
        <v xml:space="preserve"> Apprehensive </v>
      </c>
      <c r="C326" s="13" t="str">
        <f t="shared" si="45"/>
        <v>Apprehensive</v>
      </c>
      <c r="D326" s="13" t="str">
        <f t="shared" si="46"/>
        <v xml:space="preserve"> Apprehensive </v>
      </c>
      <c r="E326" s="13" t="str">
        <f t="shared" si="47"/>
        <v>Apprehensive</v>
      </c>
      <c r="F326" s="13" t="str">
        <f t="shared" si="48"/>
        <v>APPREHENSIVE</v>
      </c>
      <c r="G326" s="13" t="str">
        <f t="shared" si="49"/>
        <v>apprehensive</v>
      </c>
      <c r="H326" s="13" t="str">
        <f t="shared" si="50"/>
        <v>Apprehensive</v>
      </c>
      <c r="I326" s="13">
        <f t="shared" si="51"/>
        <v>14</v>
      </c>
      <c r="J326" s="13">
        <f t="shared" si="52"/>
        <v>12</v>
      </c>
      <c r="K326" s="13">
        <f t="shared" si="53"/>
        <v>2</v>
      </c>
    </row>
    <row r="327" spans="1:11" x14ac:dyDescent="0.25">
      <c r="A327" s="13">
        <f>'Raw Data'!A327</f>
        <v>325</v>
      </c>
      <c r="B327" s="13" t="str">
        <f>'Raw Data'!C327</f>
        <v xml:space="preserve"> Overwhelmed </v>
      </c>
      <c r="C327" s="13" t="str">
        <f t="shared" si="45"/>
        <v>Overwhelmed</v>
      </c>
      <c r="D327" s="13" t="str">
        <f t="shared" si="46"/>
        <v xml:space="preserve"> Overwhelmed </v>
      </c>
      <c r="E327" s="13" t="str">
        <f t="shared" si="47"/>
        <v>Overwhelmed</v>
      </c>
      <c r="F327" s="13" t="str">
        <f t="shared" si="48"/>
        <v>OVERWHELMED</v>
      </c>
      <c r="G327" s="13" t="str">
        <f t="shared" si="49"/>
        <v>overwhelmed</v>
      </c>
      <c r="H327" s="13" t="str">
        <f t="shared" si="50"/>
        <v>Overwhelmed</v>
      </c>
      <c r="I327" s="13">
        <f t="shared" si="51"/>
        <v>13</v>
      </c>
      <c r="J327" s="13">
        <f t="shared" si="52"/>
        <v>11</v>
      </c>
      <c r="K327" s="13">
        <f t="shared" si="53"/>
        <v>2</v>
      </c>
    </row>
    <row r="328" spans="1:11" x14ac:dyDescent="0.25">
      <c r="A328" s="13">
        <f>'Raw Data'!A328</f>
        <v>326</v>
      </c>
      <c r="B328" s="13" t="str">
        <f>'Raw Data'!C328</f>
        <v xml:space="preserve"> Jealous </v>
      </c>
      <c r="C328" s="13" t="str">
        <f t="shared" si="45"/>
        <v>Jealous</v>
      </c>
      <c r="D328" s="13" t="str">
        <f t="shared" si="46"/>
        <v xml:space="preserve"> Jealous </v>
      </c>
      <c r="E328" s="13" t="str">
        <f t="shared" si="47"/>
        <v>Jealous</v>
      </c>
      <c r="F328" s="13" t="str">
        <f t="shared" si="48"/>
        <v>JEALOUS</v>
      </c>
      <c r="G328" s="13" t="str">
        <f t="shared" si="49"/>
        <v>jealous</v>
      </c>
      <c r="H328" s="13" t="str">
        <f t="shared" si="50"/>
        <v>Jealous</v>
      </c>
      <c r="I328" s="13">
        <f t="shared" si="51"/>
        <v>9</v>
      </c>
      <c r="J328" s="13">
        <f t="shared" si="52"/>
        <v>7</v>
      </c>
      <c r="K328" s="13">
        <f t="shared" si="53"/>
        <v>2</v>
      </c>
    </row>
    <row r="329" spans="1:11" x14ac:dyDescent="0.25">
      <c r="A329" s="13">
        <f>'Raw Data'!A329</f>
        <v>327</v>
      </c>
      <c r="B329" s="13" t="str">
        <f>'Raw Data'!C329</f>
        <v xml:space="preserve"> Devastated </v>
      </c>
      <c r="C329" s="13" t="str">
        <f t="shared" si="45"/>
        <v>Devastated</v>
      </c>
      <c r="D329" s="13" t="str">
        <f t="shared" si="46"/>
        <v xml:space="preserve"> Devastated </v>
      </c>
      <c r="E329" s="13" t="str">
        <f t="shared" si="47"/>
        <v>Devastated</v>
      </c>
      <c r="F329" s="13" t="str">
        <f t="shared" si="48"/>
        <v>DEVASTATED</v>
      </c>
      <c r="G329" s="13" t="str">
        <f t="shared" si="49"/>
        <v>devastated</v>
      </c>
      <c r="H329" s="13" t="str">
        <f t="shared" si="50"/>
        <v>Devastated</v>
      </c>
      <c r="I329" s="13">
        <f t="shared" si="51"/>
        <v>12</v>
      </c>
      <c r="J329" s="13">
        <f t="shared" si="52"/>
        <v>10</v>
      </c>
      <c r="K329" s="13">
        <f t="shared" si="53"/>
        <v>2</v>
      </c>
    </row>
    <row r="330" spans="1:11" x14ac:dyDescent="0.25">
      <c r="A330" s="13">
        <f>'Raw Data'!A330</f>
        <v>328</v>
      </c>
      <c r="B330" s="13" t="str">
        <f>'Raw Data'!C330</f>
        <v xml:space="preserve"> Frustrated </v>
      </c>
      <c r="C330" s="13" t="str">
        <f t="shared" si="45"/>
        <v>Frustrated</v>
      </c>
      <c r="D330" s="13" t="str">
        <f t="shared" si="46"/>
        <v xml:space="preserve"> Frustrated </v>
      </c>
      <c r="E330" s="13" t="str">
        <f t="shared" si="47"/>
        <v>Frustrated</v>
      </c>
      <c r="F330" s="13" t="str">
        <f t="shared" si="48"/>
        <v>FRUSTRATED</v>
      </c>
      <c r="G330" s="13" t="str">
        <f t="shared" si="49"/>
        <v>frustrated</v>
      </c>
      <c r="H330" s="13" t="str">
        <f t="shared" si="50"/>
        <v>Frustrated</v>
      </c>
      <c r="I330" s="13">
        <f t="shared" si="51"/>
        <v>12</v>
      </c>
      <c r="J330" s="13">
        <f t="shared" si="52"/>
        <v>10</v>
      </c>
      <c r="K330" s="13">
        <f t="shared" si="53"/>
        <v>2</v>
      </c>
    </row>
    <row r="331" spans="1:11" x14ac:dyDescent="0.25">
      <c r="A331" s="13">
        <f>'Raw Data'!A331</f>
        <v>329</v>
      </c>
      <c r="B331" s="13" t="str">
        <f>'Raw Data'!C331</f>
        <v xml:space="preserve"> Envious </v>
      </c>
      <c r="C331" s="13" t="str">
        <f t="shared" si="45"/>
        <v>Envious</v>
      </c>
      <c r="D331" s="13" t="str">
        <f t="shared" si="46"/>
        <v xml:space="preserve"> Envious </v>
      </c>
      <c r="E331" s="13" t="str">
        <f t="shared" si="47"/>
        <v>Envious</v>
      </c>
      <c r="F331" s="13" t="str">
        <f t="shared" si="48"/>
        <v>ENVIOUS</v>
      </c>
      <c r="G331" s="13" t="str">
        <f t="shared" si="49"/>
        <v>envious</v>
      </c>
      <c r="H331" s="13" t="str">
        <f t="shared" si="50"/>
        <v>Envious</v>
      </c>
      <c r="I331" s="13">
        <f t="shared" si="51"/>
        <v>9</v>
      </c>
      <c r="J331" s="13">
        <f t="shared" si="52"/>
        <v>7</v>
      </c>
      <c r="K331" s="13">
        <f t="shared" si="53"/>
        <v>2</v>
      </c>
    </row>
    <row r="332" spans="1:11" x14ac:dyDescent="0.25">
      <c r="A332" s="13">
        <f>'Raw Data'!A332</f>
        <v>330</v>
      </c>
      <c r="B332" s="13" t="str">
        <f>'Raw Data'!C332</f>
        <v xml:space="preserve"> Dismissive </v>
      </c>
      <c r="C332" s="13" t="str">
        <f t="shared" si="45"/>
        <v>Dismissive</v>
      </c>
      <c r="D332" s="13" t="str">
        <f t="shared" si="46"/>
        <v xml:space="preserve"> Dismissive </v>
      </c>
      <c r="E332" s="13" t="str">
        <f t="shared" si="47"/>
        <v>Dismissive</v>
      </c>
      <c r="F332" s="13" t="str">
        <f t="shared" si="48"/>
        <v>DISMISSIVE</v>
      </c>
      <c r="G332" s="13" t="str">
        <f t="shared" si="49"/>
        <v>dismissive</v>
      </c>
      <c r="H332" s="13" t="str">
        <f t="shared" si="50"/>
        <v>Dismissive</v>
      </c>
      <c r="I332" s="13">
        <f t="shared" si="51"/>
        <v>12</v>
      </c>
      <c r="J332" s="13">
        <f t="shared" si="52"/>
        <v>10</v>
      </c>
      <c r="K332" s="13">
        <f t="shared" si="53"/>
        <v>2</v>
      </c>
    </row>
    <row r="333" spans="1:11" x14ac:dyDescent="0.25">
      <c r="A333" s="13">
        <f>'Raw Data'!A333</f>
        <v>331</v>
      </c>
      <c r="B333" s="13" t="str">
        <f>'Raw Data'!C333</f>
        <v xml:space="preserve"> Frustrated </v>
      </c>
      <c r="C333" s="13" t="str">
        <f t="shared" si="45"/>
        <v>Frustrated</v>
      </c>
      <c r="D333" s="13" t="str">
        <f t="shared" si="46"/>
        <v xml:space="preserve"> Frustrated </v>
      </c>
      <c r="E333" s="13" t="str">
        <f t="shared" si="47"/>
        <v>Frustrated</v>
      </c>
      <c r="F333" s="13" t="str">
        <f t="shared" si="48"/>
        <v>FRUSTRATED</v>
      </c>
      <c r="G333" s="13" t="str">
        <f t="shared" si="49"/>
        <v>frustrated</v>
      </c>
      <c r="H333" s="13" t="str">
        <f t="shared" si="50"/>
        <v>Frustrated</v>
      </c>
      <c r="I333" s="13">
        <f t="shared" si="51"/>
        <v>12</v>
      </c>
      <c r="J333" s="13">
        <f t="shared" si="52"/>
        <v>10</v>
      </c>
      <c r="K333" s="13">
        <f t="shared" si="53"/>
        <v>2</v>
      </c>
    </row>
    <row r="334" spans="1:11" x14ac:dyDescent="0.25">
      <c r="A334" s="13">
        <f>'Raw Data'!A334</f>
        <v>332</v>
      </c>
      <c r="B334" s="13" t="str">
        <f>'Raw Data'!C334</f>
        <v xml:space="preserve"> Loneliness </v>
      </c>
      <c r="C334" s="13" t="str">
        <f t="shared" si="45"/>
        <v>Loneliness</v>
      </c>
      <c r="D334" s="13" t="str">
        <f t="shared" si="46"/>
        <v xml:space="preserve"> Loneliness </v>
      </c>
      <c r="E334" s="13" t="str">
        <f t="shared" si="47"/>
        <v>Loneliness</v>
      </c>
      <c r="F334" s="13" t="str">
        <f t="shared" si="48"/>
        <v>LONELINESS</v>
      </c>
      <c r="G334" s="13" t="str">
        <f t="shared" si="49"/>
        <v>loneliness</v>
      </c>
      <c r="H334" s="13" t="str">
        <f t="shared" si="50"/>
        <v>Loneliness</v>
      </c>
      <c r="I334" s="13">
        <f t="shared" si="51"/>
        <v>12</v>
      </c>
      <c r="J334" s="13">
        <f t="shared" si="52"/>
        <v>10</v>
      </c>
      <c r="K334" s="13">
        <f t="shared" si="53"/>
        <v>2</v>
      </c>
    </row>
    <row r="335" spans="1:11" x14ac:dyDescent="0.25">
      <c r="A335" s="13">
        <f>'Raw Data'!A335</f>
        <v>333</v>
      </c>
      <c r="B335" s="13" t="str">
        <f>'Raw Data'!C335</f>
        <v xml:space="preserve"> Awe           </v>
      </c>
      <c r="C335" s="13" t="str">
        <f t="shared" si="45"/>
        <v>Awe</v>
      </c>
      <c r="D335" s="13" t="str">
        <f t="shared" si="46"/>
        <v xml:space="preserve"> Awe           </v>
      </c>
      <c r="E335" s="13" t="str">
        <f t="shared" si="47"/>
        <v>Awe</v>
      </c>
      <c r="F335" s="13" t="str">
        <f t="shared" si="48"/>
        <v>AWE</v>
      </c>
      <c r="G335" s="13" t="str">
        <f t="shared" si="49"/>
        <v>awe</v>
      </c>
      <c r="H335" s="13" t="str">
        <f t="shared" si="50"/>
        <v>Awe</v>
      </c>
      <c r="I335" s="13">
        <f t="shared" si="51"/>
        <v>15</v>
      </c>
      <c r="J335" s="13">
        <f t="shared" si="52"/>
        <v>3</v>
      </c>
      <c r="K335" s="13">
        <f t="shared" si="53"/>
        <v>12</v>
      </c>
    </row>
    <row r="336" spans="1:11" x14ac:dyDescent="0.25">
      <c r="A336" s="13">
        <f>'Raw Data'!A336</f>
        <v>334</v>
      </c>
      <c r="B336" s="13" t="str">
        <f>'Raw Data'!C336</f>
        <v xml:space="preserve"> Determination </v>
      </c>
      <c r="C336" s="13" t="str">
        <f t="shared" si="45"/>
        <v>Determination</v>
      </c>
      <c r="D336" s="13" t="str">
        <f t="shared" si="46"/>
        <v xml:space="preserve"> Determination </v>
      </c>
      <c r="E336" s="13" t="str">
        <f t="shared" si="47"/>
        <v>Determination</v>
      </c>
      <c r="F336" s="13" t="str">
        <f t="shared" si="48"/>
        <v>DETERMINATION</v>
      </c>
      <c r="G336" s="13" t="str">
        <f t="shared" si="49"/>
        <v>determination</v>
      </c>
      <c r="H336" s="13" t="str">
        <f t="shared" si="50"/>
        <v>Determination</v>
      </c>
      <c r="I336" s="13">
        <f t="shared" si="51"/>
        <v>15</v>
      </c>
      <c r="J336" s="13">
        <f t="shared" si="52"/>
        <v>13</v>
      </c>
      <c r="K336" s="13">
        <f t="shared" si="53"/>
        <v>2</v>
      </c>
    </row>
    <row r="337" spans="1:11" x14ac:dyDescent="0.25">
      <c r="A337" s="13">
        <f>'Raw Data'!A337</f>
        <v>335</v>
      </c>
      <c r="B337" s="13" t="str">
        <f>'Raw Data'!C337</f>
        <v xml:space="preserve"> Nostalgia      </v>
      </c>
      <c r="C337" s="13" t="str">
        <f t="shared" si="45"/>
        <v>Nostalgia</v>
      </c>
      <c r="D337" s="13" t="str">
        <f t="shared" si="46"/>
        <v xml:space="preserve"> Nostalgia      </v>
      </c>
      <c r="E337" s="13" t="str">
        <f t="shared" si="47"/>
        <v>Nostalgia</v>
      </c>
      <c r="F337" s="13" t="str">
        <f t="shared" si="48"/>
        <v>NOSTALGIA</v>
      </c>
      <c r="G337" s="13" t="str">
        <f t="shared" si="49"/>
        <v>nostalgia</v>
      </c>
      <c r="H337" s="13" t="str">
        <f t="shared" si="50"/>
        <v>Nostalgia</v>
      </c>
      <c r="I337" s="13">
        <f t="shared" si="51"/>
        <v>16</v>
      </c>
      <c r="J337" s="13">
        <f t="shared" si="52"/>
        <v>9</v>
      </c>
      <c r="K337" s="13">
        <f t="shared" si="53"/>
        <v>7</v>
      </c>
    </row>
    <row r="338" spans="1:11" x14ac:dyDescent="0.25">
      <c r="A338" s="13">
        <f>'Raw Data'!A338</f>
        <v>336</v>
      </c>
      <c r="B338" s="13" t="str">
        <f>'Raw Data'!C338</f>
        <v xml:space="preserve"> Thrill        </v>
      </c>
      <c r="C338" s="13" t="str">
        <f t="shared" si="45"/>
        <v>Thrill</v>
      </c>
      <c r="D338" s="13" t="str">
        <f t="shared" si="46"/>
        <v xml:space="preserve"> Thrill        </v>
      </c>
      <c r="E338" s="13" t="str">
        <f t="shared" si="47"/>
        <v>Thrill</v>
      </c>
      <c r="F338" s="13" t="str">
        <f t="shared" si="48"/>
        <v>THRILL</v>
      </c>
      <c r="G338" s="13" t="str">
        <f t="shared" si="49"/>
        <v>thrill</v>
      </c>
      <c r="H338" s="13" t="str">
        <f t="shared" si="50"/>
        <v>Thrill</v>
      </c>
      <c r="I338" s="13">
        <f t="shared" si="51"/>
        <v>15</v>
      </c>
      <c r="J338" s="13">
        <f t="shared" si="52"/>
        <v>6</v>
      </c>
      <c r="K338" s="13">
        <f t="shared" si="53"/>
        <v>9</v>
      </c>
    </row>
    <row r="339" spans="1:11" x14ac:dyDescent="0.25">
      <c r="A339" s="13">
        <f>'Raw Data'!A339</f>
        <v>337</v>
      </c>
      <c r="B339" s="13" t="str">
        <f>'Raw Data'!C339</f>
        <v xml:space="preserve"> Calmness      </v>
      </c>
      <c r="C339" s="13" t="str">
        <f t="shared" si="45"/>
        <v>Calmness</v>
      </c>
      <c r="D339" s="13" t="str">
        <f t="shared" si="46"/>
        <v xml:space="preserve"> Calmness      </v>
      </c>
      <c r="E339" s="13" t="str">
        <f t="shared" si="47"/>
        <v>Calmness</v>
      </c>
      <c r="F339" s="13" t="str">
        <f t="shared" si="48"/>
        <v>CALMNESS</v>
      </c>
      <c r="G339" s="13" t="str">
        <f t="shared" si="49"/>
        <v>calmness</v>
      </c>
      <c r="H339" s="13" t="str">
        <f t="shared" si="50"/>
        <v>Calmness</v>
      </c>
      <c r="I339" s="13">
        <f t="shared" si="51"/>
        <v>15</v>
      </c>
      <c r="J339" s="13">
        <f t="shared" si="52"/>
        <v>8</v>
      </c>
      <c r="K339" s="13">
        <f t="shared" si="53"/>
        <v>7</v>
      </c>
    </row>
    <row r="340" spans="1:11" x14ac:dyDescent="0.25">
      <c r="A340" s="13">
        <f>'Raw Data'!A340</f>
        <v>338</v>
      </c>
      <c r="B340" s="13" t="str">
        <f>'Raw Data'!C340</f>
        <v xml:space="preserve"> Overwhelmed   </v>
      </c>
      <c r="C340" s="13" t="str">
        <f t="shared" si="45"/>
        <v>Overwhelmed</v>
      </c>
      <c r="D340" s="13" t="str">
        <f t="shared" si="46"/>
        <v xml:space="preserve"> Overwhelmed   </v>
      </c>
      <c r="E340" s="13" t="str">
        <f t="shared" si="47"/>
        <v>Overwhelmed</v>
      </c>
      <c r="F340" s="13" t="str">
        <f t="shared" si="48"/>
        <v>OVERWHELMED</v>
      </c>
      <c r="G340" s="13" t="str">
        <f t="shared" si="49"/>
        <v>overwhelmed</v>
      </c>
      <c r="H340" s="13" t="str">
        <f t="shared" si="50"/>
        <v>Overwhelmed</v>
      </c>
      <c r="I340" s="13">
        <f t="shared" si="51"/>
        <v>15</v>
      </c>
      <c r="J340" s="13">
        <f t="shared" si="52"/>
        <v>11</v>
      </c>
      <c r="K340" s="13">
        <f t="shared" si="53"/>
        <v>4</v>
      </c>
    </row>
    <row r="341" spans="1:11" x14ac:dyDescent="0.25">
      <c r="A341" s="13">
        <f>'Raw Data'!A341</f>
        <v>339</v>
      </c>
      <c r="B341" s="13" t="str">
        <f>'Raw Data'!C341</f>
        <v xml:space="preserve"> Excitement </v>
      </c>
      <c r="C341" s="13" t="str">
        <f t="shared" si="45"/>
        <v>Excitement</v>
      </c>
      <c r="D341" s="13" t="str">
        <f t="shared" si="46"/>
        <v xml:space="preserve"> Excitement </v>
      </c>
      <c r="E341" s="13" t="str">
        <f t="shared" si="47"/>
        <v>Excitement</v>
      </c>
      <c r="F341" s="13" t="str">
        <f t="shared" si="48"/>
        <v>EXCITEMENT</v>
      </c>
      <c r="G341" s="13" t="str">
        <f t="shared" si="49"/>
        <v>excitement</v>
      </c>
      <c r="H341" s="13" t="str">
        <f t="shared" si="50"/>
        <v>Excitement</v>
      </c>
      <c r="I341" s="13">
        <f t="shared" si="51"/>
        <v>12</v>
      </c>
      <c r="J341" s="13">
        <f t="shared" si="52"/>
        <v>10</v>
      </c>
      <c r="K341" s="13">
        <f t="shared" si="53"/>
        <v>2</v>
      </c>
    </row>
    <row r="342" spans="1:11" x14ac:dyDescent="0.25">
      <c r="A342" s="13">
        <f>'Raw Data'!A342</f>
        <v>340</v>
      </c>
      <c r="B342" s="13" t="str">
        <f>'Raw Data'!C342</f>
        <v xml:space="preserve"> Gratitude   </v>
      </c>
      <c r="C342" s="13" t="str">
        <f t="shared" si="45"/>
        <v>Gratitude</v>
      </c>
      <c r="D342" s="13" t="str">
        <f t="shared" si="46"/>
        <v xml:space="preserve"> Gratitude   </v>
      </c>
      <c r="E342" s="13" t="str">
        <f t="shared" si="47"/>
        <v>Gratitude</v>
      </c>
      <c r="F342" s="13" t="str">
        <f t="shared" si="48"/>
        <v>GRATITUDE</v>
      </c>
      <c r="G342" s="13" t="str">
        <f t="shared" si="49"/>
        <v>gratitude</v>
      </c>
      <c r="H342" s="13" t="str">
        <f t="shared" si="50"/>
        <v>Gratitude</v>
      </c>
      <c r="I342" s="13">
        <f t="shared" si="51"/>
        <v>13</v>
      </c>
      <c r="J342" s="13">
        <f t="shared" si="52"/>
        <v>9</v>
      </c>
      <c r="K342" s="13">
        <f t="shared" si="53"/>
        <v>4</v>
      </c>
    </row>
    <row r="343" spans="1:11" x14ac:dyDescent="0.25">
      <c r="A343" s="13">
        <f>'Raw Data'!A343</f>
        <v>341</v>
      </c>
      <c r="B343" s="13" t="str">
        <f>'Raw Data'!C343</f>
        <v xml:space="preserve"> Bittersweet </v>
      </c>
      <c r="C343" s="13" t="str">
        <f t="shared" si="45"/>
        <v>Bittersweet</v>
      </c>
      <c r="D343" s="13" t="str">
        <f t="shared" si="46"/>
        <v xml:space="preserve"> Bittersweet </v>
      </c>
      <c r="E343" s="13" t="str">
        <f t="shared" si="47"/>
        <v>Bittersweet</v>
      </c>
      <c r="F343" s="13" t="str">
        <f t="shared" si="48"/>
        <v>BITTERSWEET</v>
      </c>
      <c r="G343" s="13" t="str">
        <f t="shared" si="49"/>
        <v>bittersweet</v>
      </c>
      <c r="H343" s="13" t="str">
        <f t="shared" si="50"/>
        <v>Bittersweet</v>
      </c>
      <c r="I343" s="13">
        <f t="shared" si="51"/>
        <v>13</v>
      </c>
      <c r="J343" s="13">
        <f t="shared" si="52"/>
        <v>11</v>
      </c>
      <c r="K343" s="13">
        <f t="shared" si="53"/>
        <v>2</v>
      </c>
    </row>
    <row r="344" spans="1:11" x14ac:dyDescent="0.25">
      <c r="A344" s="13">
        <f>'Raw Data'!A344</f>
        <v>342</v>
      </c>
      <c r="B344" s="13" t="str">
        <f>'Raw Data'!C344</f>
        <v xml:space="preserve"> Curiosity     </v>
      </c>
      <c r="C344" s="13" t="str">
        <f t="shared" si="45"/>
        <v>Curiosity</v>
      </c>
      <c r="D344" s="13" t="str">
        <f t="shared" si="46"/>
        <v xml:space="preserve"> Curiosity     </v>
      </c>
      <c r="E344" s="13" t="str">
        <f t="shared" si="47"/>
        <v>Curiosity</v>
      </c>
      <c r="F344" s="13" t="str">
        <f t="shared" si="48"/>
        <v>CURIOSITY</v>
      </c>
      <c r="G344" s="13" t="str">
        <f t="shared" si="49"/>
        <v>curiosity</v>
      </c>
      <c r="H344" s="13" t="str">
        <f t="shared" si="50"/>
        <v>Curiosity</v>
      </c>
      <c r="I344" s="13">
        <f t="shared" si="51"/>
        <v>15</v>
      </c>
      <c r="J344" s="13">
        <f t="shared" si="52"/>
        <v>9</v>
      </c>
      <c r="K344" s="13">
        <f t="shared" si="53"/>
        <v>6</v>
      </c>
    </row>
    <row r="345" spans="1:11" x14ac:dyDescent="0.25">
      <c r="A345" s="13">
        <f>'Raw Data'!A345</f>
        <v>343</v>
      </c>
      <c r="B345" s="13" t="str">
        <f>'Raw Data'!C345</f>
        <v xml:space="preserve"> Admiration    </v>
      </c>
      <c r="C345" s="13" t="str">
        <f t="shared" si="45"/>
        <v>Admiration</v>
      </c>
      <c r="D345" s="13" t="str">
        <f t="shared" si="46"/>
        <v xml:space="preserve"> Admiration    </v>
      </c>
      <c r="E345" s="13" t="str">
        <f t="shared" si="47"/>
        <v>Admiration</v>
      </c>
      <c r="F345" s="13" t="str">
        <f t="shared" si="48"/>
        <v>ADMIRATION</v>
      </c>
      <c r="G345" s="13" t="str">
        <f t="shared" si="49"/>
        <v>admiration</v>
      </c>
      <c r="H345" s="13" t="str">
        <f t="shared" si="50"/>
        <v>Admiration</v>
      </c>
      <c r="I345" s="13">
        <f t="shared" si="51"/>
        <v>15</v>
      </c>
      <c r="J345" s="13">
        <f t="shared" si="52"/>
        <v>10</v>
      </c>
      <c r="K345" s="13">
        <f t="shared" si="53"/>
        <v>5</v>
      </c>
    </row>
    <row r="346" spans="1:11" x14ac:dyDescent="0.25">
      <c r="A346" s="13">
        <f>'Raw Data'!A346</f>
        <v>344</v>
      </c>
      <c r="B346" s="13" t="str">
        <f>'Raw Data'!C346</f>
        <v xml:space="preserve"> Overjoyed     </v>
      </c>
      <c r="C346" s="13" t="str">
        <f t="shared" si="45"/>
        <v>Overjoyed</v>
      </c>
      <c r="D346" s="13" t="str">
        <f t="shared" si="46"/>
        <v xml:space="preserve"> Overjoyed     </v>
      </c>
      <c r="E346" s="13" t="str">
        <f t="shared" si="47"/>
        <v>Overjoyed</v>
      </c>
      <c r="F346" s="13" t="str">
        <f t="shared" si="48"/>
        <v>OVERJOYED</v>
      </c>
      <c r="G346" s="13" t="str">
        <f t="shared" si="49"/>
        <v>overjoyed</v>
      </c>
      <c r="H346" s="13" t="str">
        <f t="shared" si="50"/>
        <v>Overjoyed</v>
      </c>
      <c r="I346" s="13">
        <f t="shared" si="51"/>
        <v>15</v>
      </c>
      <c r="J346" s="13">
        <f t="shared" si="52"/>
        <v>9</v>
      </c>
      <c r="K346" s="13">
        <f t="shared" si="53"/>
        <v>6</v>
      </c>
    </row>
    <row r="347" spans="1:11" x14ac:dyDescent="0.25">
      <c r="A347" s="13">
        <f>'Raw Data'!A347</f>
        <v>345</v>
      </c>
      <c r="B347" s="13" t="str">
        <f>'Raw Data'!C347</f>
        <v xml:space="preserve"> Inspiration   </v>
      </c>
      <c r="C347" s="13" t="str">
        <f t="shared" si="45"/>
        <v>Inspiration</v>
      </c>
      <c r="D347" s="13" t="str">
        <f t="shared" si="46"/>
        <v xml:space="preserve"> Inspiration   </v>
      </c>
      <c r="E347" s="13" t="str">
        <f t="shared" si="47"/>
        <v>Inspiration</v>
      </c>
      <c r="F347" s="13" t="str">
        <f t="shared" si="48"/>
        <v>INSPIRATION</v>
      </c>
      <c r="G347" s="13" t="str">
        <f t="shared" si="49"/>
        <v>inspiration</v>
      </c>
      <c r="H347" s="13" t="str">
        <f t="shared" si="50"/>
        <v>Inspiration</v>
      </c>
      <c r="I347" s="13">
        <f t="shared" si="51"/>
        <v>15</v>
      </c>
      <c r="J347" s="13">
        <f t="shared" si="52"/>
        <v>11</v>
      </c>
      <c r="K347" s="13">
        <f t="shared" si="53"/>
        <v>4</v>
      </c>
    </row>
    <row r="348" spans="1:11" x14ac:dyDescent="0.25">
      <c r="A348" s="13">
        <f>'Raw Data'!A348</f>
        <v>346</v>
      </c>
      <c r="B348" s="13" t="str">
        <f>'Raw Data'!C348</f>
        <v xml:space="preserve"> Motivation    </v>
      </c>
      <c r="C348" s="13" t="str">
        <f t="shared" si="45"/>
        <v>Motivation</v>
      </c>
      <c r="D348" s="13" t="str">
        <f t="shared" si="46"/>
        <v xml:space="preserve"> Motivation    </v>
      </c>
      <c r="E348" s="13" t="str">
        <f t="shared" si="47"/>
        <v>Motivation</v>
      </c>
      <c r="F348" s="13" t="str">
        <f t="shared" si="48"/>
        <v>MOTIVATION</v>
      </c>
      <c r="G348" s="13" t="str">
        <f t="shared" si="49"/>
        <v>motivation</v>
      </c>
      <c r="H348" s="13" t="str">
        <f t="shared" si="50"/>
        <v>Motivation</v>
      </c>
      <c r="I348" s="13">
        <f t="shared" si="51"/>
        <v>15</v>
      </c>
      <c r="J348" s="13">
        <f t="shared" si="52"/>
        <v>10</v>
      </c>
      <c r="K348" s="13">
        <f t="shared" si="53"/>
        <v>5</v>
      </c>
    </row>
    <row r="349" spans="1:11" x14ac:dyDescent="0.25">
      <c r="A349" s="13">
        <f>'Raw Data'!A349</f>
        <v>347</v>
      </c>
      <c r="B349" s="13" t="str">
        <f>'Raw Data'!C349</f>
        <v xml:space="preserve"> Gratitude     </v>
      </c>
      <c r="C349" s="13" t="str">
        <f t="shared" si="45"/>
        <v>Gratitude</v>
      </c>
      <c r="D349" s="13" t="str">
        <f t="shared" si="46"/>
        <v xml:space="preserve"> Gratitude     </v>
      </c>
      <c r="E349" s="13" t="str">
        <f t="shared" si="47"/>
        <v>Gratitude</v>
      </c>
      <c r="F349" s="13" t="str">
        <f t="shared" si="48"/>
        <v>GRATITUDE</v>
      </c>
      <c r="G349" s="13" t="str">
        <f t="shared" si="49"/>
        <v>gratitude</v>
      </c>
      <c r="H349" s="13" t="str">
        <f t="shared" si="50"/>
        <v>Gratitude</v>
      </c>
      <c r="I349" s="13">
        <f t="shared" si="51"/>
        <v>15</v>
      </c>
      <c r="J349" s="13">
        <f t="shared" si="52"/>
        <v>9</v>
      </c>
      <c r="K349" s="13">
        <f t="shared" si="53"/>
        <v>6</v>
      </c>
    </row>
    <row r="350" spans="1:11" x14ac:dyDescent="0.25">
      <c r="A350" s="13">
        <f>'Raw Data'!A350</f>
        <v>348</v>
      </c>
      <c r="B350" s="13" t="str">
        <f>'Raw Data'!C350</f>
        <v xml:space="preserve"> Empowerment   </v>
      </c>
      <c r="C350" s="13" t="str">
        <f t="shared" si="45"/>
        <v>Empowerment</v>
      </c>
      <c r="D350" s="13" t="str">
        <f t="shared" si="46"/>
        <v xml:space="preserve"> Empowerment   </v>
      </c>
      <c r="E350" s="13" t="str">
        <f t="shared" si="47"/>
        <v>Empowerment</v>
      </c>
      <c r="F350" s="13" t="str">
        <f t="shared" si="48"/>
        <v>EMPOWERMENT</v>
      </c>
      <c r="G350" s="13" t="str">
        <f t="shared" si="49"/>
        <v>empowerment</v>
      </c>
      <c r="H350" s="13" t="str">
        <f t="shared" si="50"/>
        <v>Empowerment</v>
      </c>
      <c r="I350" s="13">
        <f t="shared" si="51"/>
        <v>15</v>
      </c>
      <c r="J350" s="13">
        <f t="shared" si="52"/>
        <v>11</v>
      </c>
      <c r="K350" s="13">
        <f t="shared" si="53"/>
        <v>4</v>
      </c>
    </row>
    <row r="351" spans="1:11" x14ac:dyDescent="0.25">
      <c r="A351" s="13">
        <f>'Raw Data'!A351</f>
        <v>349</v>
      </c>
      <c r="B351" s="13" t="str">
        <f>'Raw Data'!C351</f>
        <v xml:space="preserve"> Amusement     </v>
      </c>
      <c r="C351" s="13" t="str">
        <f t="shared" si="45"/>
        <v>Amusement</v>
      </c>
      <c r="D351" s="13" t="str">
        <f t="shared" si="46"/>
        <v xml:space="preserve"> Amusement     </v>
      </c>
      <c r="E351" s="13" t="str">
        <f t="shared" si="47"/>
        <v>Amusement</v>
      </c>
      <c r="F351" s="13" t="str">
        <f t="shared" si="48"/>
        <v>AMUSEMENT</v>
      </c>
      <c r="G351" s="13" t="str">
        <f t="shared" si="49"/>
        <v>amusement</v>
      </c>
      <c r="H351" s="13" t="str">
        <f t="shared" si="50"/>
        <v>Amusement</v>
      </c>
      <c r="I351" s="13">
        <f t="shared" si="51"/>
        <v>15</v>
      </c>
      <c r="J351" s="13">
        <f t="shared" si="52"/>
        <v>9</v>
      </c>
      <c r="K351" s="13">
        <f t="shared" si="53"/>
        <v>6</v>
      </c>
    </row>
    <row r="352" spans="1:11" x14ac:dyDescent="0.25">
      <c r="A352" s="13">
        <f>'Raw Data'!A352</f>
        <v>350</v>
      </c>
      <c r="B352" s="13" t="str">
        <f>'Raw Data'!C352</f>
        <v xml:space="preserve"> Contemplation </v>
      </c>
      <c r="C352" s="13" t="str">
        <f t="shared" si="45"/>
        <v>Contemplation</v>
      </c>
      <c r="D352" s="13" t="str">
        <f t="shared" si="46"/>
        <v xml:space="preserve"> Contemplation </v>
      </c>
      <c r="E352" s="13" t="str">
        <f t="shared" si="47"/>
        <v>Contemplation</v>
      </c>
      <c r="F352" s="13" t="str">
        <f t="shared" si="48"/>
        <v>CONTEMPLATION</v>
      </c>
      <c r="G352" s="13" t="str">
        <f t="shared" si="49"/>
        <v>contemplation</v>
      </c>
      <c r="H352" s="13" t="str">
        <f t="shared" si="50"/>
        <v>Contemplation</v>
      </c>
      <c r="I352" s="13">
        <f t="shared" si="51"/>
        <v>15</v>
      </c>
      <c r="J352" s="13">
        <f t="shared" si="52"/>
        <v>13</v>
      </c>
      <c r="K352" s="13">
        <f t="shared" si="53"/>
        <v>2</v>
      </c>
    </row>
    <row r="353" spans="1:11" x14ac:dyDescent="0.25">
      <c r="A353" s="13">
        <f>'Raw Data'!A353</f>
        <v>351</v>
      </c>
      <c r="B353" s="13" t="str">
        <f>'Raw Data'!C353</f>
        <v xml:space="preserve"> JoyfulReunion </v>
      </c>
      <c r="C353" s="13" t="str">
        <f t="shared" si="45"/>
        <v>JoyfulReunion</v>
      </c>
      <c r="D353" s="13" t="str">
        <f t="shared" si="46"/>
        <v xml:space="preserve"> JoyfulReunion </v>
      </c>
      <c r="E353" s="13" t="str">
        <f t="shared" si="47"/>
        <v>JoyfulReunion</v>
      </c>
      <c r="F353" s="13" t="str">
        <f t="shared" si="48"/>
        <v>JOYFULREUNION</v>
      </c>
      <c r="G353" s="13" t="str">
        <f t="shared" si="49"/>
        <v>joyfulreunion</v>
      </c>
      <c r="H353" s="13" t="str">
        <f t="shared" si="50"/>
        <v>Joyfulreunion</v>
      </c>
      <c r="I353" s="13">
        <f t="shared" si="51"/>
        <v>15</v>
      </c>
      <c r="J353" s="13">
        <f t="shared" si="52"/>
        <v>13</v>
      </c>
      <c r="K353" s="13">
        <f t="shared" si="53"/>
        <v>2</v>
      </c>
    </row>
    <row r="354" spans="1:11" x14ac:dyDescent="0.25">
      <c r="A354" s="13">
        <f>'Raw Data'!A354</f>
        <v>352</v>
      </c>
      <c r="B354" s="13" t="str">
        <f>'Raw Data'!C354</f>
        <v xml:space="preserve"> Excitement    </v>
      </c>
      <c r="C354" s="13" t="str">
        <f t="shared" si="45"/>
        <v>Excitement</v>
      </c>
      <c r="D354" s="13" t="str">
        <f t="shared" si="46"/>
        <v xml:space="preserve"> Excitement    </v>
      </c>
      <c r="E354" s="13" t="str">
        <f t="shared" si="47"/>
        <v>Excitement</v>
      </c>
      <c r="F354" s="13" t="str">
        <f t="shared" si="48"/>
        <v>EXCITEMENT</v>
      </c>
      <c r="G354" s="13" t="str">
        <f t="shared" si="49"/>
        <v>excitement</v>
      </c>
      <c r="H354" s="13" t="str">
        <f t="shared" si="50"/>
        <v>Excitement</v>
      </c>
      <c r="I354" s="13">
        <f t="shared" si="51"/>
        <v>15</v>
      </c>
      <c r="J354" s="13">
        <f t="shared" si="52"/>
        <v>10</v>
      </c>
      <c r="K354" s="13">
        <f t="shared" si="53"/>
        <v>5</v>
      </c>
    </row>
    <row r="355" spans="1:11" x14ac:dyDescent="0.25">
      <c r="A355" s="13">
        <f>'Raw Data'!A355</f>
        <v>353</v>
      </c>
      <c r="B355" s="13" t="str">
        <f>'Raw Data'!C355</f>
        <v xml:space="preserve"> Satisfaction  </v>
      </c>
      <c r="C355" s="13" t="str">
        <f t="shared" si="45"/>
        <v>Satisfaction</v>
      </c>
      <c r="D355" s="13" t="str">
        <f t="shared" si="46"/>
        <v xml:space="preserve"> Satisfaction  </v>
      </c>
      <c r="E355" s="13" t="str">
        <f t="shared" si="47"/>
        <v>Satisfaction</v>
      </c>
      <c r="F355" s="13" t="str">
        <f t="shared" si="48"/>
        <v>SATISFACTION</v>
      </c>
      <c r="G355" s="13" t="str">
        <f t="shared" si="49"/>
        <v>satisfaction</v>
      </c>
      <c r="H355" s="13" t="str">
        <f t="shared" si="50"/>
        <v>Satisfaction</v>
      </c>
      <c r="I355" s="13">
        <f t="shared" si="51"/>
        <v>15</v>
      </c>
      <c r="J355" s="13">
        <f t="shared" si="52"/>
        <v>12</v>
      </c>
      <c r="K355" s="13">
        <f t="shared" si="53"/>
        <v>3</v>
      </c>
    </row>
    <row r="356" spans="1:11" x14ac:dyDescent="0.25">
      <c r="A356" s="13">
        <f>'Raw Data'!A356</f>
        <v>354</v>
      </c>
      <c r="B356" s="13" t="str">
        <f>'Raw Data'!C356</f>
        <v xml:space="preserve"> Blessed       </v>
      </c>
      <c r="C356" s="13" t="str">
        <f t="shared" si="45"/>
        <v>Blessed</v>
      </c>
      <c r="D356" s="13" t="str">
        <f t="shared" si="46"/>
        <v xml:space="preserve"> Blessed       </v>
      </c>
      <c r="E356" s="13" t="str">
        <f t="shared" si="47"/>
        <v>Blessed</v>
      </c>
      <c r="F356" s="13" t="str">
        <f t="shared" si="48"/>
        <v>BLESSED</v>
      </c>
      <c r="G356" s="13" t="str">
        <f t="shared" si="49"/>
        <v>blessed</v>
      </c>
      <c r="H356" s="13" t="str">
        <f t="shared" si="50"/>
        <v>Blessed</v>
      </c>
      <c r="I356" s="13">
        <f t="shared" si="51"/>
        <v>15</v>
      </c>
      <c r="J356" s="13">
        <f t="shared" si="52"/>
        <v>7</v>
      </c>
      <c r="K356" s="13">
        <f t="shared" si="53"/>
        <v>8</v>
      </c>
    </row>
    <row r="357" spans="1:11" x14ac:dyDescent="0.25">
      <c r="A357" s="13">
        <f>'Raw Data'!A357</f>
        <v>355</v>
      </c>
      <c r="B357" s="13" t="str">
        <f>'Raw Data'!C357</f>
        <v xml:space="preserve"> Serenity      </v>
      </c>
      <c r="C357" s="13" t="str">
        <f t="shared" si="45"/>
        <v>Serenity</v>
      </c>
      <c r="D357" s="13" t="str">
        <f t="shared" si="46"/>
        <v xml:space="preserve"> Serenity      </v>
      </c>
      <c r="E357" s="13" t="str">
        <f t="shared" si="47"/>
        <v>Serenity</v>
      </c>
      <c r="F357" s="13" t="str">
        <f t="shared" si="48"/>
        <v>SERENITY</v>
      </c>
      <c r="G357" s="13" t="str">
        <f t="shared" si="49"/>
        <v>serenity</v>
      </c>
      <c r="H357" s="13" t="str">
        <f t="shared" si="50"/>
        <v>Serenity</v>
      </c>
      <c r="I357" s="13">
        <f t="shared" si="51"/>
        <v>15</v>
      </c>
      <c r="J357" s="13">
        <f t="shared" si="52"/>
        <v>8</v>
      </c>
      <c r="K357" s="13">
        <f t="shared" si="53"/>
        <v>7</v>
      </c>
    </row>
    <row r="358" spans="1:11" x14ac:dyDescent="0.25">
      <c r="A358" s="13">
        <f>'Raw Data'!A358</f>
        <v>356</v>
      </c>
      <c r="B358" s="13" t="str">
        <f>'Raw Data'!C358</f>
        <v xml:space="preserve"> Anticipation  </v>
      </c>
      <c r="C358" s="13" t="str">
        <f t="shared" si="45"/>
        <v>Anticipation</v>
      </c>
      <c r="D358" s="13" t="str">
        <f t="shared" si="46"/>
        <v xml:space="preserve"> Anticipation  </v>
      </c>
      <c r="E358" s="13" t="str">
        <f t="shared" si="47"/>
        <v>Anticipation</v>
      </c>
      <c r="F358" s="13" t="str">
        <f t="shared" si="48"/>
        <v>ANTICIPATION</v>
      </c>
      <c r="G358" s="13" t="str">
        <f t="shared" si="49"/>
        <v>anticipation</v>
      </c>
      <c r="H358" s="13" t="str">
        <f t="shared" si="50"/>
        <v>Anticipation</v>
      </c>
      <c r="I358" s="13">
        <f t="shared" si="51"/>
        <v>15</v>
      </c>
      <c r="J358" s="13">
        <f t="shared" si="52"/>
        <v>12</v>
      </c>
      <c r="K358" s="13">
        <f t="shared" si="53"/>
        <v>3</v>
      </c>
    </row>
    <row r="359" spans="1:11" x14ac:dyDescent="0.25">
      <c r="A359" s="13">
        <f>'Raw Data'!A359</f>
        <v>357</v>
      </c>
      <c r="B359" s="13" t="str">
        <f>'Raw Data'!C359</f>
        <v xml:space="preserve"> Reflection    </v>
      </c>
      <c r="C359" s="13" t="str">
        <f t="shared" si="45"/>
        <v>Reflection</v>
      </c>
      <c r="D359" s="13" t="str">
        <f t="shared" si="46"/>
        <v xml:space="preserve"> Reflection    </v>
      </c>
      <c r="E359" s="13" t="str">
        <f t="shared" si="47"/>
        <v>Reflection</v>
      </c>
      <c r="F359" s="13" t="str">
        <f t="shared" si="48"/>
        <v>REFLECTION</v>
      </c>
      <c r="G359" s="13" t="str">
        <f t="shared" si="49"/>
        <v>reflection</v>
      </c>
      <c r="H359" s="13" t="str">
        <f t="shared" si="50"/>
        <v>Reflection</v>
      </c>
      <c r="I359" s="13">
        <f t="shared" si="51"/>
        <v>15</v>
      </c>
      <c r="J359" s="13">
        <f t="shared" si="52"/>
        <v>10</v>
      </c>
      <c r="K359" s="13">
        <f t="shared" si="53"/>
        <v>5</v>
      </c>
    </row>
    <row r="360" spans="1:11" x14ac:dyDescent="0.25">
      <c r="A360" s="13">
        <f>'Raw Data'!A360</f>
        <v>358</v>
      </c>
      <c r="B360" s="13" t="str">
        <f>'Raw Data'!C360</f>
        <v xml:space="preserve"> Nostalgia     </v>
      </c>
      <c r="C360" s="13" t="str">
        <f t="shared" si="45"/>
        <v>Nostalgia</v>
      </c>
      <c r="D360" s="13" t="str">
        <f t="shared" si="46"/>
        <v xml:space="preserve"> Nostalgia     </v>
      </c>
      <c r="E360" s="13" t="str">
        <f t="shared" si="47"/>
        <v>Nostalgia</v>
      </c>
      <c r="F360" s="13" t="str">
        <f t="shared" si="48"/>
        <v>NOSTALGIA</v>
      </c>
      <c r="G360" s="13" t="str">
        <f t="shared" si="49"/>
        <v>nostalgia</v>
      </c>
      <c r="H360" s="13" t="str">
        <f t="shared" si="50"/>
        <v>Nostalgia</v>
      </c>
      <c r="I360" s="13">
        <f t="shared" si="51"/>
        <v>15</v>
      </c>
      <c r="J360" s="13">
        <f t="shared" si="52"/>
        <v>9</v>
      </c>
      <c r="K360" s="13">
        <f t="shared" si="53"/>
        <v>6</v>
      </c>
    </row>
    <row r="361" spans="1:11" x14ac:dyDescent="0.25">
      <c r="A361" s="13">
        <f>'Raw Data'!A361</f>
        <v>359</v>
      </c>
      <c r="B361" s="13" t="str">
        <f>'Raw Data'!C361</f>
        <v xml:space="preserve"> Appreciation  </v>
      </c>
      <c r="C361" s="13" t="str">
        <f t="shared" si="45"/>
        <v>Appreciation</v>
      </c>
      <c r="D361" s="13" t="str">
        <f t="shared" si="46"/>
        <v xml:space="preserve"> Appreciation  </v>
      </c>
      <c r="E361" s="13" t="str">
        <f t="shared" si="47"/>
        <v>Appreciation</v>
      </c>
      <c r="F361" s="13" t="str">
        <f t="shared" si="48"/>
        <v>APPRECIATION</v>
      </c>
      <c r="G361" s="13" t="str">
        <f t="shared" si="49"/>
        <v>appreciation</v>
      </c>
      <c r="H361" s="13" t="str">
        <f t="shared" si="50"/>
        <v>Appreciation</v>
      </c>
      <c r="I361" s="13">
        <f t="shared" si="51"/>
        <v>15</v>
      </c>
      <c r="J361" s="13">
        <f t="shared" si="52"/>
        <v>12</v>
      </c>
      <c r="K361" s="13">
        <f t="shared" si="53"/>
        <v>3</v>
      </c>
    </row>
    <row r="362" spans="1:11" x14ac:dyDescent="0.25">
      <c r="A362" s="13">
        <f>'Raw Data'!A362</f>
        <v>360</v>
      </c>
      <c r="B362" s="13" t="str">
        <f>'Raw Data'!C362</f>
        <v xml:space="preserve"> Confidence    </v>
      </c>
      <c r="C362" s="13" t="str">
        <f t="shared" si="45"/>
        <v>Confidence</v>
      </c>
      <c r="D362" s="13" t="str">
        <f t="shared" si="46"/>
        <v xml:space="preserve"> Confidence    </v>
      </c>
      <c r="E362" s="13" t="str">
        <f t="shared" si="47"/>
        <v>Confidence</v>
      </c>
      <c r="F362" s="13" t="str">
        <f t="shared" si="48"/>
        <v>CONFIDENCE</v>
      </c>
      <c r="G362" s="13" t="str">
        <f t="shared" si="49"/>
        <v>confidence</v>
      </c>
      <c r="H362" s="13" t="str">
        <f t="shared" si="50"/>
        <v>Confidence</v>
      </c>
      <c r="I362" s="13">
        <f t="shared" si="51"/>
        <v>15</v>
      </c>
      <c r="J362" s="13">
        <f t="shared" si="52"/>
        <v>10</v>
      </c>
      <c r="K362" s="13">
        <f t="shared" si="53"/>
        <v>5</v>
      </c>
    </row>
    <row r="363" spans="1:11" x14ac:dyDescent="0.25">
      <c r="A363" s="13">
        <f>'Raw Data'!A363</f>
        <v>361</v>
      </c>
      <c r="B363" s="13" t="str">
        <f>'Raw Data'!C363</f>
        <v xml:space="preserve"> Contentment   </v>
      </c>
      <c r="C363" s="13" t="str">
        <f t="shared" si="45"/>
        <v>Contentment</v>
      </c>
      <c r="D363" s="13" t="str">
        <f t="shared" si="46"/>
        <v xml:space="preserve"> Contentment   </v>
      </c>
      <c r="E363" s="13" t="str">
        <f t="shared" si="47"/>
        <v>Contentment</v>
      </c>
      <c r="F363" s="13" t="str">
        <f t="shared" si="48"/>
        <v>CONTENTMENT</v>
      </c>
      <c r="G363" s="13" t="str">
        <f t="shared" si="49"/>
        <v>contentment</v>
      </c>
      <c r="H363" s="13" t="str">
        <f t="shared" si="50"/>
        <v>Contentment</v>
      </c>
      <c r="I363" s="13">
        <f t="shared" si="51"/>
        <v>15</v>
      </c>
      <c r="J363" s="13">
        <f t="shared" si="52"/>
        <v>11</v>
      </c>
      <c r="K363" s="13">
        <f t="shared" si="53"/>
        <v>4</v>
      </c>
    </row>
    <row r="364" spans="1:11" x14ac:dyDescent="0.25">
      <c r="A364" s="13">
        <f>'Raw Data'!A364</f>
        <v>362</v>
      </c>
      <c r="B364" s="13" t="str">
        <f>'Raw Data'!C364</f>
        <v xml:space="preserve"> Enthusiasm    </v>
      </c>
      <c r="C364" s="13" t="str">
        <f t="shared" si="45"/>
        <v>Enthusiasm</v>
      </c>
      <c r="D364" s="13" t="str">
        <f t="shared" si="46"/>
        <v xml:space="preserve"> Enthusiasm    </v>
      </c>
      <c r="E364" s="13" t="str">
        <f t="shared" si="47"/>
        <v>Enthusiasm</v>
      </c>
      <c r="F364" s="13" t="str">
        <f t="shared" si="48"/>
        <v>ENTHUSIASM</v>
      </c>
      <c r="G364" s="13" t="str">
        <f t="shared" si="49"/>
        <v>enthusiasm</v>
      </c>
      <c r="H364" s="13" t="str">
        <f t="shared" si="50"/>
        <v>Enthusiasm</v>
      </c>
      <c r="I364" s="13">
        <f t="shared" si="51"/>
        <v>15</v>
      </c>
      <c r="J364" s="13">
        <f t="shared" si="52"/>
        <v>10</v>
      </c>
      <c r="K364" s="13">
        <f t="shared" si="53"/>
        <v>5</v>
      </c>
    </row>
    <row r="365" spans="1:11" x14ac:dyDescent="0.25">
      <c r="A365" s="13">
        <f>'Raw Data'!A365</f>
        <v>363</v>
      </c>
      <c r="B365" s="13" t="str">
        <f>'Raw Data'!C365</f>
        <v xml:space="preserve"> Surprise      </v>
      </c>
      <c r="C365" s="13" t="str">
        <f t="shared" si="45"/>
        <v>Surprise</v>
      </c>
      <c r="D365" s="13" t="str">
        <f t="shared" si="46"/>
        <v xml:space="preserve"> Surprise      </v>
      </c>
      <c r="E365" s="13" t="str">
        <f t="shared" si="47"/>
        <v>Surprise</v>
      </c>
      <c r="F365" s="13" t="str">
        <f t="shared" si="48"/>
        <v>SURPRISE</v>
      </c>
      <c r="G365" s="13" t="str">
        <f t="shared" si="49"/>
        <v>surprise</v>
      </c>
      <c r="H365" s="13" t="str">
        <f t="shared" si="50"/>
        <v>Surprise</v>
      </c>
      <c r="I365" s="13">
        <f t="shared" si="51"/>
        <v>15</v>
      </c>
      <c r="J365" s="13">
        <f t="shared" si="52"/>
        <v>8</v>
      </c>
      <c r="K365" s="13">
        <f t="shared" si="53"/>
        <v>7</v>
      </c>
    </row>
    <row r="366" spans="1:11" x14ac:dyDescent="0.25">
      <c r="A366" s="13">
        <f>'Raw Data'!A366</f>
        <v>364</v>
      </c>
      <c r="B366" s="13" t="str">
        <f>'Raw Data'!C366</f>
        <v xml:space="preserve"> Accomplishment </v>
      </c>
      <c r="C366" s="13" t="str">
        <f t="shared" si="45"/>
        <v>Accomplishment</v>
      </c>
      <c r="D366" s="13" t="str">
        <f t="shared" si="46"/>
        <v xml:space="preserve"> Accomplishment </v>
      </c>
      <c r="E366" s="13" t="str">
        <f t="shared" si="47"/>
        <v>Accomplishment</v>
      </c>
      <c r="F366" s="13" t="str">
        <f t="shared" si="48"/>
        <v>ACCOMPLISHMENT</v>
      </c>
      <c r="G366" s="13" t="str">
        <f t="shared" si="49"/>
        <v>accomplishment</v>
      </c>
      <c r="H366" s="13" t="str">
        <f t="shared" si="50"/>
        <v>Accomplishment</v>
      </c>
      <c r="I366" s="13">
        <f t="shared" si="51"/>
        <v>16</v>
      </c>
      <c r="J366" s="13">
        <f t="shared" si="52"/>
        <v>14</v>
      </c>
      <c r="K366" s="13">
        <f t="shared" si="53"/>
        <v>2</v>
      </c>
    </row>
    <row r="367" spans="1:11" x14ac:dyDescent="0.25">
      <c r="A367" s="13">
        <f>'Raw Data'!A367</f>
        <v>365</v>
      </c>
      <c r="B367" s="13" t="str">
        <f>'Raw Data'!C367</f>
        <v xml:space="preserve"> Wonderment    </v>
      </c>
      <c r="C367" s="13" t="str">
        <f t="shared" si="45"/>
        <v>Wonderment</v>
      </c>
      <c r="D367" s="13" t="str">
        <f t="shared" si="46"/>
        <v xml:space="preserve"> Wonderment    </v>
      </c>
      <c r="E367" s="13" t="str">
        <f t="shared" si="47"/>
        <v>Wonderment</v>
      </c>
      <c r="F367" s="13" t="str">
        <f t="shared" si="48"/>
        <v>WONDERMENT</v>
      </c>
      <c r="G367" s="13" t="str">
        <f t="shared" si="49"/>
        <v>wonderment</v>
      </c>
      <c r="H367" s="13" t="str">
        <f t="shared" si="50"/>
        <v>Wonderment</v>
      </c>
      <c r="I367" s="13">
        <f t="shared" si="51"/>
        <v>15</v>
      </c>
      <c r="J367" s="13">
        <f t="shared" si="52"/>
        <v>10</v>
      </c>
      <c r="K367" s="13">
        <f t="shared" si="53"/>
        <v>5</v>
      </c>
    </row>
    <row r="368" spans="1:11" x14ac:dyDescent="0.25">
      <c r="A368" s="13">
        <f>'Raw Data'!A368</f>
        <v>366</v>
      </c>
      <c r="B368" s="13" t="str">
        <f>'Raw Data'!C368</f>
        <v xml:space="preserve"> Optimism      </v>
      </c>
      <c r="C368" s="13" t="str">
        <f t="shared" si="45"/>
        <v>Optimism</v>
      </c>
      <c r="D368" s="13" t="str">
        <f t="shared" si="46"/>
        <v xml:space="preserve"> Optimism      </v>
      </c>
      <c r="E368" s="13" t="str">
        <f t="shared" si="47"/>
        <v>Optimism</v>
      </c>
      <c r="F368" s="13" t="str">
        <f t="shared" si="48"/>
        <v>OPTIMISM</v>
      </c>
      <c r="G368" s="13" t="str">
        <f t="shared" si="49"/>
        <v>optimism</v>
      </c>
      <c r="H368" s="13" t="str">
        <f t="shared" si="50"/>
        <v>Optimism</v>
      </c>
      <c r="I368" s="13">
        <f t="shared" si="51"/>
        <v>15</v>
      </c>
      <c r="J368" s="13">
        <f t="shared" si="52"/>
        <v>8</v>
      </c>
      <c r="K368" s="13">
        <f t="shared" si="53"/>
        <v>7</v>
      </c>
    </row>
    <row r="369" spans="1:11" x14ac:dyDescent="0.25">
      <c r="A369" s="13">
        <f>'Raw Data'!A369</f>
        <v>367</v>
      </c>
      <c r="B369" s="13" t="str">
        <f>'Raw Data'!C369</f>
        <v xml:space="preserve"> Pride         </v>
      </c>
      <c r="C369" s="13" t="str">
        <f t="shared" si="45"/>
        <v>Pride</v>
      </c>
      <c r="D369" s="13" t="str">
        <f t="shared" si="46"/>
        <v xml:space="preserve"> Pride         </v>
      </c>
      <c r="E369" s="13" t="str">
        <f t="shared" si="47"/>
        <v>Pride</v>
      </c>
      <c r="F369" s="13" t="str">
        <f t="shared" si="48"/>
        <v>PRIDE</v>
      </c>
      <c r="G369" s="13" t="str">
        <f t="shared" si="49"/>
        <v>pride</v>
      </c>
      <c r="H369" s="13" t="str">
        <f t="shared" si="50"/>
        <v>Pride</v>
      </c>
      <c r="I369" s="13">
        <f t="shared" si="51"/>
        <v>15</v>
      </c>
      <c r="J369" s="13">
        <f t="shared" si="52"/>
        <v>5</v>
      </c>
      <c r="K369" s="13">
        <f t="shared" si="53"/>
        <v>10</v>
      </c>
    </row>
    <row r="370" spans="1:11" x14ac:dyDescent="0.25">
      <c r="A370" s="13">
        <f>'Raw Data'!A370</f>
        <v>368</v>
      </c>
      <c r="B370" s="13" t="str">
        <f>'Raw Data'!C370</f>
        <v xml:space="preserve"> Happiness     </v>
      </c>
      <c r="C370" s="13" t="str">
        <f t="shared" si="45"/>
        <v>Happiness</v>
      </c>
      <c r="D370" s="13" t="str">
        <f t="shared" si="46"/>
        <v xml:space="preserve"> Happiness     </v>
      </c>
      <c r="E370" s="13" t="str">
        <f t="shared" si="47"/>
        <v>Happiness</v>
      </c>
      <c r="F370" s="13" t="str">
        <f t="shared" si="48"/>
        <v>HAPPINESS</v>
      </c>
      <c r="G370" s="13" t="str">
        <f t="shared" si="49"/>
        <v>happiness</v>
      </c>
      <c r="H370" s="13" t="str">
        <f t="shared" si="50"/>
        <v>Happiness</v>
      </c>
      <c r="I370" s="13">
        <f t="shared" si="51"/>
        <v>15</v>
      </c>
      <c r="J370" s="13">
        <f t="shared" si="52"/>
        <v>9</v>
      </c>
      <c r="K370" s="13">
        <f t="shared" si="53"/>
        <v>6</v>
      </c>
    </row>
    <row r="371" spans="1:11" x14ac:dyDescent="0.25">
      <c r="A371" s="13">
        <f>'Raw Data'!A371</f>
        <v>369</v>
      </c>
      <c r="B371" s="13" t="str">
        <f>'Raw Data'!C371</f>
        <v xml:space="preserve"> Elation       </v>
      </c>
      <c r="C371" s="13" t="str">
        <f t="shared" si="45"/>
        <v>Elation</v>
      </c>
      <c r="D371" s="13" t="str">
        <f t="shared" si="46"/>
        <v xml:space="preserve"> Elation       </v>
      </c>
      <c r="E371" s="13" t="str">
        <f t="shared" si="47"/>
        <v>Elation</v>
      </c>
      <c r="F371" s="13" t="str">
        <f t="shared" si="48"/>
        <v>ELATION</v>
      </c>
      <c r="G371" s="13" t="str">
        <f t="shared" si="49"/>
        <v>elation</v>
      </c>
      <c r="H371" s="13" t="str">
        <f t="shared" si="50"/>
        <v>Elation</v>
      </c>
      <c r="I371" s="13">
        <f t="shared" si="51"/>
        <v>15</v>
      </c>
      <c r="J371" s="13">
        <f t="shared" si="52"/>
        <v>7</v>
      </c>
      <c r="K371" s="13">
        <f t="shared" si="53"/>
        <v>8</v>
      </c>
    </row>
    <row r="372" spans="1:11" x14ac:dyDescent="0.25">
      <c r="A372" s="13">
        <f>'Raw Data'!A372</f>
        <v>370</v>
      </c>
      <c r="B372" s="13" t="str">
        <f>'Raw Data'!C372</f>
        <v xml:space="preserve"> Curiosity   </v>
      </c>
      <c r="C372" s="13" t="str">
        <f t="shared" si="45"/>
        <v>Curiosity</v>
      </c>
      <c r="D372" s="13" t="str">
        <f t="shared" si="46"/>
        <v xml:space="preserve"> Curiosity   </v>
      </c>
      <c r="E372" s="13" t="str">
        <f t="shared" si="47"/>
        <v>Curiosity</v>
      </c>
      <c r="F372" s="13" t="str">
        <f t="shared" si="48"/>
        <v>CURIOSITY</v>
      </c>
      <c r="G372" s="13" t="str">
        <f t="shared" si="49"/>
        <v>curiosity</v>
      </c>
      <c r="H372" s="13" t="str">
        <f t="shared" si="50"/>
        <v>Curiosity</v>
      </c>
      <c r="I372" s="13">
        <f t="shared" si="51"/>
        <v>13</v>
      </c>
      <c r="J372" s="13">
        <f t="shared" si="52"/>
        <v>9</v>
      </c>
      <c r="K372" s="13">
        <f t="shared" si="53"/>
        <v>4</v>
      </c>
    </row>
    <row r="373" spans="1:11" x14ac:dyDescent="0.25">
      <c r="A373" s="13">
        <f>'Raw Data'!A373</f>
        <v>371</v>
      </c>
      <c r="B373" s="13" t="str">
        <f>'Raw Data'!C373</f>
        <v xml:space="preserve"> Enchantment   </v>
      </c>
      <c r="C373" s="13" t="str">
        <f t="shared" si="45"/>
        <v>Enchantment</v>
      </c>
      <c r="D373" s="13" t="str">
        <f t="shared" si="46"/>
        <v xml:space="preserve"> Enchantment   </v>
      </c>
      <c r="E373" s="13" t="str">
        <f t="shared" si="47"/>
        <v>Enchantment</v>
      </c>
      <c r="F373" s="13" t="str">
        <f t="shared" si="48"/>
        <v>ENCHANTMENT</v>
      </c>
      <c r="G373" s="13" t="str">
        <f t="shared" si="49"/>
        <v>enchantment</v>
      </c>
      <c r="H373" s="13" t="str">
        <f t="shared" si="50"/>
        <v>Enchantment</v>
      </c>
      <c r="I373" s="13">
        <f t="shared" si="51"/>
        <v>15</v>
      </c>
      <c r="J373" s="13">
        <f t="shared" si="52"/>
        <v>11</v>
      </c>
      <c r="K373" s="13">
        <f t="shared" si="53"/>
        <v>4</v>
      </c>
    </row>
    <row r="374" spans="1:11" x14ac:dyDescent="0.25">
      <c r="A374" s="13">
        <f>'Raw Data'!A374</f>
        <v>372</v>
      </c>
      <c r="B374" s="13" t="str">
        <f>'Raw Data'!C374</f>
        <v xml:space="preserve"> Intrigue      </v>
      </c>
      <c r="C374" s="13" t="str">
        <f t="shared" si="45"/>
        <v>Intrigue</v>
      </c>
      <c r="D374" s="13" t="str">
        <f t="shared" si="46"/>
        <v xml:space="preserve"> Intrigue      </v>
      </c>
      <c r="E374" s="13" t="str">
        <f t="shared" si="47"/>
        <v>Intrigue</v>
      </c>
      <c r="F374" s="13" t="str">
        <f t="shared" si="48"/>
        <v>INTRIGUE</v>
      </c>
      <c r="G374" s="13" t="str">
        <f t="shared" si="49"/>
        <v>intrigue</v>
      </c>
      <c r="H374" s="13" t="str">
        <f t="shared" si="50"/>
        <v>Intrigue</v>
      </c>
      <c r="I374" s="13">
        <f t="shared" si="51"/>
        <v>15</v>
      </c>
      <c r="J374" s="13">
        <f t="shared" si="52"/>
        <v>8</v>
      </c>
      <c r="K374" s="13">
        <f t="shared" si="53"/>
        <v>7</v>
      </c>
    </row>
    <row r="375" spans="1:11" x14ac:dyDescent="0.25">
      <c r="A375" s="13">
        <f>'Raw Data'!A375</f>
        <v>373</v>
      </c>
      <c r="B375" s="13" t="str">
        <f>'Raw Data'!C375</f>
        <v xml:space="preserve"> PlayfulJoy    </v>
      </c>
      <c r="C375" s="13" t="str">
        <f t="shared" si="45"/>
        <v>PlayfulJoy</v>
      </c>
      <c r="D375" s="13" t="str">
        <f t="shared" si="46"/>
        <v xml:space="preserve"> PlayfulJoy    </v>
      </c>
      <c r="E375" s="13" t="str">
        <f t="shared" si="47"/>
        <v>PlayfulJoy</v>
      </c>
      <c r="F375" s="13" t="str">
        <f t="shared" si="48"/>
        <v>PLAYFULJOY</v>
      </c>
      <c r="G375" s="13" t="str">
        <f t="shared" si="49"/>
        <v>playfuljoy</v>
      </c>
      <c r="H375" s="13" t="str">
        <f t="shared" si="50"/>
        <v>Playfuljoy</v>
      </c>
      <c r="I375" s="13">
        <f t="shared" si="51"/>
        <v>15</v>
      </c>
      <c r="J375" s="13">
        <f t="shared" si="52"/>
        <v>10</v>
      </c>
      <c r="K375" s="13">
        <f t="shared" si="53"/>
        <v>5</v>
      </c>
    </row>
    <row r="376" spans="1:11" x14ac:dyDescent="0.25">
      <c r="A376" s="13">
        <f>'Raw Data'!A376</f>
        <v>374</v>
      </c>
      <c r="B376" s="13" t="str">
        <f>'Raw Data'!C376</f>
        <v xml:space="preserve"> Mindfulness   </v>
      </c>
      <c r="C376" s="13" t="str">
        <f t="shared" si="45"/>
        <v>Mindfulness</v>
      </c>
      <c r="D376" s="13" t="str">
        <f t="shared" si="46"/>
        <v xml:space="preserve"> Mindfulness   </v>
      </c>
      <c r="E376" s="13" t="str">
        <f t="shared" si="47"/>
        <v>Mindfulness</v>
      </c>
      <c r="F376" s="13" t="str">
        <f t="shared" si="48"/>
        <v>MINDFULNESS</v>
      </c>
      <c r="G376" s="13" t="str">
        <f t="shared" si="49"/>
        <v>mindfulness</v>
      </c>
      <c r="H376" s="13" t="str">
        <f t="shared" si="50"/>
        <v>Mindfulness</v>
      </c>
      <c r="I376" s="13">
        <f t="shared" si="51"/>
        <v>15</v>
      </c>
      <c r="J376" s="13">
        <f t="shared" si="52"/>
        <v>11</v>
      </c>
      <c r="K376" s="13">
        <f t="shared" si="53"/>
        <v>4</v>
      </c>
    </row>
    <row r="377" spans="1:11" x14ac:dyDescent="0.25">
      <c r="A377" s="13">
        <f>'Raw Data'!A377</f>
        <v>375</v>
      </c>
      <c r="B377" s="13" t="str">
        <f>'Raw Data'!C377</f>
        <v xml:space="preserve"> DreamChaser   </v>
      </c>
      <c r="C377" s="13" t="str">
        <f t="shared" si="45"/>
        <v>DreamChaser</v>
      </c>
      <c r="D377" s="13" t="str">
        <f t="shared" si="46"/>
        <v xml:space="preserve"> DreamChaser   </v>
      </c>
      <c r="E377" s="13" t="str">
        <f t="shared" si="47"/>
        <v>DreamChaser</v>
      </c>
      <c r="F377" s="13" t="str">
        <f t="shared" si="48"/>
        <v>DREAMCHASER</v>
      </c>
      <c r="G377" s="13" t="str">
        <f t="shared" si="49"/>
        <v>dreamchaser</v>
      </c>
      <c r="H377" s="13" t="str">
        <f t="shared" si="50"/>
        <v>Dreamchaser</v>
      </c>
      <c r="I377" s="13">
        <f t="shared" si="51"/>
        <v>15</v>
      </c>
      <c r="J377" s="13">
        <f t="shared" si="52"/>
        <v>11</v>
      </c>
      <c r="K377" s="13">
        <f t="shared" si="53"/>
        <v>4</v>
      </c>
    </row>
    <row r="378" spans="1:11" x14ac:dyDescent="0.25">
      <c r="A378" s="13">
        <f>'Raw Data'!A378</f>
        <v>376</v>
      </c>
      <c r="B378" s="13" t="str">
        <f>'Raw Data'!C378</f>
        <v xml:space="preserve"> Elegance </v>
      </c>
      <c r="C378" s="13" t="str">
        <f t="shared" si="45"/>
        <v>Elegance</v>
      </c>
      <c r="D378" s="13" t="str">
        <f t="shared" si="46"/>
        <v xml:space="preserve"> Elegance </v>
      </c>
      <c r="E378" s="13" t="str">
        <f t="shared" si="47"/>
        <v>Elegance</v>
      </c>
      <c r="F378" s="13" t="str">
        <f t="shared" si="48"/>
        <v>ELEGANCE</v>
      </c>
      <c r="G378" s="13" t="str">
        <f t="shared" si="49"/>
        <v>elegance</v>
      </c>
      <c r="H378" s="13" t="str">
        <f t="shared" si="50"/>
        <v>Elegance</v>
      </c>
      <c r="I378" s="13">
        <f t="shared" si="51"/>
        <v>10</v>
      </c>
      <c r="J378" s="13">
        <f t="shared" si="52"/>
        <v>8</v>
      </c>
      <c r="K378" s="13">
        <f t="shared" si="53"/>
        <v>2</v>
      </c>
    </row>
    <row r="379" spans="1:11" x14ac:dyDescent="0.25">
      <c r="A379" s="13">
        <f>'Raw Data'!A379</f>
        <v>377</v>
      </c>
      <c r="B379" s="13" t="str">
        <f>'Raw Data'!C379</f>
        <v xml:space="preserve"> Whimsy        </v>
      </c>
      <c r="C379" s="13" t="str">
        <f t="shared" si="45"/>
        <v>Whimsy</v>
      </c>
      <c r="D379" s="13" t="str">
        <f t="shared" si="46"/>
        <v xml:space="preserve"> Whimsy        </v>
      </c>
      <c r="E379" s="13" t="str">
        <f t="shared" si="47"/>
        <v>Whimsy</v>
      </c>
      <c r="F379" s="13" t="str">
        <f t="shared" si="48"/>
        <v>WHIMSY</v>
      </c>
      <c r="G379" s="13" t="str">
        <f t="shared" si="49"/>
        <v>whimsy</v>
      </c>
      <c r="H379" s="13" t="str">
        <f t="shared" si="50"/>
        <v>Whimsy</v>
      </c>
      <c r="I379" s="13">
        <f t="shared" si="51"/>
        <v>15</v>
      </c>
      <c r="J379" s="13">
        <f t="shared" si="52"/>
        <v>6</v>
      </c>
      <c r="K379" s="13">
        <f t="shared" si="53"/>
        <v>9</v>
      </c>
    </row>
    <row r="380" spans="1:11" x14ac:dyDescent="0.25">
      <c r="A380" s="13">
        <f>'Raw Data'!A380</f>
        <v>378</v>
      </c>
      <c r="B380" s="13" t="str">
        <f>'Raw Data'!C380</f>
        <v xml:space="preserve"> Pensive </v>
      </c>
      <c r="C380" s="13" t="str">
        <f t="shared" si="45"/>
        <v>Pensive</v>
      </c>
      <c r="D380" s="13" t="str">
        <f t="shared" si="46"/>
        <v xml:space="preserve"> Pensive </v>
      </c>
      <c r="E380" s="13" t="str">
        <f t="shared" si="47"/>
        <v>Pensive</v>
      </c>
      <c r="F380" s="13" t="str">
        <f t="shared" si="48"/>
        <v>PENSIVE</v>
      </c>
      <c r="G380" s="13" t="str">
        <f t="shared" si="49"/>
        <v>pensive</v>
      </c>
      <c r="H380" s="13" t="str">
        <f t="shared" si="50"/>
        <v>Pensive</v>
      </c>
      <c r="I380" s="13">
        <f t="shared" si="51"/>
        <v>9</v>
      </c>
      <c r="J380" s="13">
        <f t="shared" si="52"/>
        <v>7</v>
      </c>
      <c r="K380" s="13">
        <f t="shared" si="53"/>
        <v>2</v>
      </c>
    </row>
    <row r="381" spans="1:11" x14ac:dyDescent="0.25">
      <c r="A381" s="13">
        <f>'Raw Data'!A381</f>
        <v>379</v>
      </c>
      <c r="B381" s="13" t="str">
        <f>'Raw Data'!C381</f>
        <v xml:space="preserve"> Thrill      </v>
      </c>
      <c r="C381" s="13" t="str">
        <f t="shared" si="45"/>
        <v>Thrill</v>
      </c>
      <c r="D381" s="13" t="str">
        <f t="shared" si="46"/>
        <v xml:space="preserve"> Thrill      </v>
      </c>
      <c r="E381" s="13" t="str">
        <f t="shared" si="47"/>
        <v>Thrill</v>
      </c>
      <c r="F381" s="13" t="str">
        <f t="shared" si="48"/>
        <v>THRILL</v>
      </c>
      <c r="G381" s="13" t="str">
        <f t="shared" si="49"/>
        <v>thrill</v>
      </c>
      <c r="H381" s="13" t="str">
        <f t="shared" si="50"/>
        <v>Thrill</v>
      </c>
      <c r="I381" s="13">
        <f t="shared" si="51"/>
        <v>13</v>
      </c>
      <c r="J381" s="13">
        <f t="shared" si="52"/>
        <v>6</v>
      </c>
      <c r="K381" s="13">
        <f t="shared" si="53"/>
        <v>7</v>
      </c>
    </row>
    <row r="382" spans="1:11" x14ac:dyDescent="0.25">
      <c r="A382" s="13">
        <f>'Raw Data'!A382</f>
        <v>380</v>
      </c>
      <c r="B382" s="13" t="str">
        <f>'Raw Data'!C382</f>
        <v xml:space="preserve"> Harmony    </v>
      </c>
      <c r="C382" s="13" t="str">
        <f t="shared" si="45"/>
        <v>Harmony</v>
      </c>
      <c r="D382" s="13" t="str">
        <f t="shared" si="46"/>
        <v xml:space="preserve"> Harmony    </v>
      </c>
      <c r="E382" s="13" t="str">
        <f t="shared" si="47"/>
        <v>Harmony</v>
      </c>
      <c r="F382" s="13" t="str">
        <f t="shared" si="48"/>
        <v>HARMONY</v>
      </c>
      <c r="G382" s="13" t="str">
        <f t="shared" si="49"/>
        <v>harmony</v>
      </c>
      <c r="H382" s="13" t="str">
        <f t="shared" si="50"/>
        <v>Harmony</v>
      </c>
      <c r="I382" s="13">
        <f t="shared" si="51"/>
        <v>12</v>
      </c>
      <c r="J382" s="13">
        <f t="shared" si="52"/>
        <v>7</v>
      </c>
      <c r="K382" s="13">
        <f t="shared" si="53"/>
        <v>5</v>
      </c>
    </row>
    <row r="383" spans="1:11" x14ac:dyDescent="0.25">
      <c r="A383" s="13">
        <f>'Raw Data'!A383</f>
        <v>381</v>
      </c>
      <c r="B383" s="13" t="str">
        <f>'Raw Data'!C383</f>
        <v xml:space="preserve"> Creativity   </v>
      </c>
      <c r="C383" s="13" t="str">
        <f t="shared" si="45"/>
        <v>Creativity</v>
      </c>
      <c r="D383" s="13" t="str">
        <f t="shared" si="46"/>
        <v xml:space="preserve"> Creativity   </v>
      </c>
      <c r="E383" s="13" t="str">
        <f t="shared" si="47"/>
        <v>Creativity</v>
      </c>
      <c r="F383" s="13" t="str">
        <f t="shared" si="48"/>
        <v>CREATIVITY</v>
      </c>
      <c r="G383" s="13" t="str">
        <f t="shared" si="49"/>
        <v>creativity</v>
      </c>
      <c r="H383" s="13" t="str">
        <f t="shared" si="50"/>
        <v>Creativity</v>
      </c>
      <c r="I383" s="13">
        <f t="shared" si="51"/>
        <v>14</v>
      </c>
      <c r="J383" s="13">
        <f t="shared" si="52"/>
        <v>10</v>
      </c>
      <c r="K383" s="13">
        <f t="shared" si="53"/>
        <v>4</v>
      </c>
    </row>
    <row r="384" spans="1:11" x14ac:dyDescent="0.25">
      <c r="A384" s="13">
        <f>'Raw Data'!A384</f>
        <v>382</v>
      </c>
      <c r="B384" s="13" t="str">
        <f>'Raw Data'!C384</f>
        <v xml:space="preserve"> Radiance    </v>
      </c>
      <c r="C384" s="13" t="str">
        <f t="shared" si="45"/>
        <v>Radiance</v>
      </c>
      <c r="D384" s="13" t="str">
        <f t="shared" si="46"/>
        <v xml:space="preserve"> Radiance    </v>
      </c>
      <c r="E384" s="13" t="str">
        <f t="shared" si="47"/>
        <v>Radiance</v>
      </c>
      <c r="F384" s="13" t="str">
        <f t="shared" si="48"/>
        <v>RADIANCE</v>
      </c>
      <c r="G384" s="13" t="str">
        <f t="shared" si="49"/>
        <v>radiance</v>
      </c>
      <c r="H384" s="13" t="str">
        <f t="shared" si="50"/>
        <v>Radiance</v>
      </c>
      <c r="I384" s="13">
        <f t="shared" si="51"/>
        <v>13</v>
      </c>
      <c r="J384" s="13">
        <f t="shared" si="52"/>
        <v>8</v>
      </c>
      <c r="K384" s="13">
        <f t="shared" si="53"/>
        <v>5</v>
      </c>
    </row>
    <row r="385" spans="1:11" x14ac:dyDescent="0.25">
      <c r="A385" s="13">
        <f>'Raw Data'!A385</f>
        <v>383</v>
      </c>
      <c r="B385" s="13" t="str">
        <f>'Raw Data'!C385</f>
        <v xml:space="preserve"> Wonder     </v>
      </c>
      <c r="C385" s="13" t="str">
        <f t="shared" si="45"/>
        <v>Wonder</v>
      </c>
      <c r="D385" s="13" t="str">
        <f t="shared" si="46"/>
        <v xml:space="preserve"> Wonder     </v>
      </c>
      <c r="E385" s="13" t="str">
        <f t="shared" si="47"/>
        <v>Wonder</v>
      </c>
      <c r="F385" s="13" t="str">
        <f t="shared" si="48"/>
        <v>WONDER</v>
      </c>
      <c r="G385" s="13" t="str">
        <f t="shared" si="49"/>
        <v>wonder</v>
      </c>
      <c r="H385" s="13" t="str">
        <f t="shared" si="50"/>
        <v>Wonder</v>
      </c>
      <c r="I385" s="13">
        <f t="shared" si="51"/>
        <v>12</v>
      </c>
      <c r="J385" s="13">
        <f t="shared" si="52"/>
        <v>6</v>
      </c>
      <c r="K385" s="13">
        <f t="shared" si="53"/>
        <v>6</v>
      </c>
    </row>
    <row r="386" spans="1:11" x14ac:dyDescent="0.25">
      <c r="A386" s="13">
        <f>'Raw Data'!A386</f>
        <v>384</v>
      </c>
      <c r="B386" s="13" t="str">
        <f>'Raw Data'!C386</f>
        <v xml:space="preserve"> Rejuvenation </v>
      </c>
      <c r="C386" s="13" t="str">
        <f t="shared" si="45"/>
        <v>Rejuvenation</v>
      </c>
      <c r="D386" s="13" t="str">
        <f t="shared" si="46"/>
        <v xml:space="preserve"> Rejuvenation </v>
      </c>
      <c r="E386" s="13" t="str">
        <f t="shared" si="47"/>
        <v>Rejuvenation</v>
      </c>
      <c r="F386" s="13" t="str">
        <f t="shared" si="48"/>
        <v>REJUVENATION</v>
      </c>
      <c r="G386" s="13" t="str">
        <f t="shared" si="49"/>
        <v>rejuvenation</v>
      </c>
      <c r="H386" s="13" t="str">
        <f t="shared" si="50"/>
        <v>Rejuvenation</v>
      </c>
      <c r="I386" s="13">
        <f t="shared" si="51"/>
        <v>14</v>
      </c>
      <c r="J386" s="13">
        <f t="shared" si="52"/>
        <v>12</v>
      </c>
      <c r="K386" s="13">
        <f t="shared" si="53"/>
        <v>2</v>
      </c>
    </row>
    <row r="387" spans="1:11" x14ac:dyDescent="0.25">
      <c r="A387" s="13">
        <f>'Raw Data'!A387</f>
        <v>385</v>
      </c>
      <c r="B387" s="13" t="str">
        <f>'Raw Data'!C387</f>
        <v xml:space="preserve"> Inspiration </v>
      </c>
      <c r="C387" s="13" t="str">
        <f t="shared" si="45"/>
        <v>Inspiration</v>
      </c>
      <c r="D387" s="13" t="str">
        <f t="shared" si="46"/>
        <v xml:space="preserve"> Inspiration </v>
      </c>
      <c r="E387" s="13" t="str">
        <f t="shared" si="47"/>
        <v>Inspiration</v>
      </c>
      <c r="F387" s="13" t="str">
        <f t="shared" si="48"/>
        <v>INSPIRATION</v>
      </c>
      <c r="G387" s="13" t="str">
        <f t="shared" si="49"/>
        <v>inspiration</v>
      </c>
      <c r="H387" s="13" t="str">
        <f t="shared" si="50"/>
        <v>Inspiration</v>
      </c>
      <c r="I387" s="13">
        <f t="shared" si="51"/>
        <v>13</v>
      </c>
      <c r="J387" s="13">
        <f t="shared" si="52"/>
        <v>11</v>
      </c>
      <c r="K387" s="13">
        <f t="shared" si="53"/>
        <v>2</v>
      </c>
    </row>
    <row r="388" spans="1:11" x14ac:dyDescent="0.25">
      <c r="A388" s="13">
        <f>'Raw Data'!A388</f>
        <v>386</v>
      </c>
      <c r="B388" s="13" t="str">
        <f>'Raw Data'!C388</f>
        <v xml:space="preserve"> Coziness     </v>
      </c>
      <c r="C388" s="13" t="str">
        <f t="shared" ref="C388:C451" si="54">TRIM(B388)</f>
        <v>Coziness</v>
      </c>
      <c r="D388" s="13" t="str">
        <f t="shared" ref="D388:D451" si="55">CLEAN(B388)</f>
        <v xml:space="preserve"> Coziness     </v>
      </c>
      <c r="E388" s="13" t="str">
        <f t="shared" ref="E388:E451" si="56">SUBSTITUTE(SUBSTITUTE(SUBSTITUTE(TRIM(B388),"Positive","Pos"),"Negative","Neg"),"Neutral","Neu")</f>
        <v>Coziness</v>
      </c>
      <c r="F388" s="13" t="str">
        <f t="shared" ref="F388:F451" si="57">UPPER(TRIM(B388))</f>
        <v>COZINESS</v>
      </c>
      <c r="G388" s="13" t="str">
        <f t="shared" ref="G388:G451" si="58">LOWER(TRIM(B388))</f>
        <v>coziness</v>
      </c>
      <c r="H388" s="13" t="str">
        <f t="shared" ref="H388:H451" si="59">PROPER(TRIM(B388))</f>
        <v>Coziness</v>
      </c>
      <c r="I388" s="13">
        <f t="shared" ref="I388:I451" si="60">LEN(B388)</f>
        <v>14</v>
      </c>
      <c r="J388" s="13">
        <f t="shared" ref="J388:J451" si="61">LEN(TRIM(B388))</f>
        <v>8</v>
      </c>
      <c r="K388" s="13">
        <f t="shared" ref="K388:K451" si="62">I388-J388</f>
        <v>6</v>
      </c>
    </row>
    <row r="389" spans="1:11" x14ac:dyDescent="0.25">
      <c r="A389" s="13">
        <f>'Raw Data'!A389</f>
        <v>387</v>
      </c>
      <c r="B389" s="13" t="str">
        <f>'Raw Data'!C389</f>
        <v xml:space="preserve"> Gratitude  </v>
      </c>
      <c r="C389" s="13" t="str">
        <f t="shared" si="54"/>
        <v>Gratitude</v>
      </c>
      <c r="D389" s="13" t="str">
        <f t="shared" si="55"/>
        <v xml:space="preserve"> Gratitude  </v>
      </c>
      <c r="E389" s="13" t="str">
        <f t="shared" si="56"/>
        <v>Gratitude</v>
      </c>
      <c r="F389" s="13" t="str">
        <f t="shared" si="57"/>
        <v>GRATITUDE</v>
      </c>
      <c r="G389" s="13" t="str">
        <f t="shared" si="58"/>
        <v>gratitude</v>
      </c>
      <c r="H389" s="13" t="str">
        <f t="shared" si="59"/>
        <v>Gratitude</v>
      </c>
      <c r="I389" s="13">
        <f t="shared" si="60"/>
        <v>12</v>
      </c>
      <c r="J389" s="13">
        <f t="shared" si="61"/>
        <v>9</v>
      </c>
      <c r="K389" s="13">
        <f t="shared" si="62"/>
        <v>3</v>
      </c>
    </row>
    <row r="390" spans="1:11" x14ac:dyDescent="0.25">
      <c r="A390" s="13">
        <f>'Raw Data'!A390</f>
        <v>388</v>
      </c>
      <c r="B390" s="13" t="str">
        <f>'Raw Data'!C390</f>
        <v xml:space="preserve"> Adventure </v>
      </c>
      <c r="C390" s="13" t="str">
        <f t="shared" si="54"/>
        <v>Adventure</v>
      </c>
      <c r="D390" s="13" t="str">
        <f t="shared" si="55"/>
        <v xml:space="preserve"> Adventure </v>
      </c>
      <c r="E390" s="13" t="str">
        <f t="shared" si="56"/>
        <v>Adventure</v>
      </c>
      <c r="F390" s="13" t="str">
        <f t="shared" si="57"/>
        <v>ADVENTURE</v>
      </c>
      <c r="G390" s="13" t="str">
        <f t="shared" si="58"/>
        <v>adventure</v>
      </c>
      <c r="H390" s="13" t="str">
        <f t="shared" si="59"/>
        <v>Adventure</v>
      </c>
      <c r="I390" s="13">
        <f t="shared" si="60"/>
        <v>11</v>
      </c>
      <c r="J390" s="13">
        <f t="shared" si="61"/>
        <v>9</v>
      </c>
      <c r="K390" s="13">
        <f t="shared" si="62"/>
        <v>2</v>
      </c>
    </row>
    <row r="391" spans="1:11" x14ac:dyDescent="0.25">
      <c r="A391" s="13">
        <f>'Raw Data'!A391</f>
        <v>389</v>
      </c>
      <c r="B391" s="13" t="str">
        <f>'Raw Data'!C391</f>
        <v xml:space="preserve"> Euphoria   </v>
      </c>
      <c r="C391" s="13" t="str">
        <f t="shared" si="54"/>
        <v>Euphoria</v>
      </c>
      <c r="D391" s="13" t="str">
        <f t="shared" si="55"/>
        <v xml:space="preserve"> Euphoria   </v>
      </c>
      <c r="E391" s="13" t="str">
        <f t="shared" si="56"/>
        <v>Euphoria</v>
      </c>
      <c r="F391" s="13" t="str">
        <f t="shared" si="57"/>
        <v>EUPHORIA</v>
      </c>
      <c r="G391" s="13" t="str">
        <f t="shared" si="58"/>
        <v>euphoria</v>
      </c>
      <c r="H391" s="13" t="str">
        <f t="shared" si="59"/>
        <v>Euphoria</v>
      </c>
      <c r="I391" s="13">
        <f t="shared" si="60"/>
        <v>12</v>
      </c>
      <c r="J391" s="13">
        <f t="shared" si="61"/>
        <v>8</v>
      </c>
      <c r="K391" s="13">
        <f t="shared" si="62"/>
        <v>4</v>
      </c>
    </row>
    <row r="392" spans="1:11" x14ac:dyDescent="0.25">
      <c r="A392" s="13">
        <f>'Raw Data'!A392</f>
        <v>390</v>
      </c>
      <c r="B392" s="13" t="str">
        <f>'Raw Data'!C392</f>
        <v xml:space="preserve"> Awe    </v>
      </c>
      <c r="C392" s="13" t="str">
        <f t="shared" si="54"/>
        <v>Awe</v>
      </c>
      <c r="D392" s="13" t="str">
        <f t="shared" si="55"/>
        <v xml:space="preserve"> Awe    </v>
      </c>
      <c r="E392" s="13" t="str">
        <f t="shared" si="56"/>
        <v>Awe</v>
      </c>
      <c r="F392" s="13" t="str">
        <f t="shared" si="57"/>
        <v>AWE</v>
      </c>
      <c r="G392" s="13" t="str">
        <f t="shared" si="58"/>
        <v>awe</v>
      </c>
      <c r="H392" s="13" t="str">
        <f t="shared" si="59"/>
        <v>Awe</v>
      </c>
      <c r="I392" s="13">
        <f t="shared" si="60"/>
        <v>8</v>
      </c>
      <c r="J392" s="13">
        <f t="shared" si="61"/>
        <v>3</v>
      </c>
      <c r="K392" s="13">
        <f t="shared" si="62"/>
        <v>5</v>
      </c>
    </row>
    <row r="393" spans="1:11" x14ac:dyDescent="0.25">
      <c r="A393" s="13">
        <f>'Raw Data'!A393</f>
        <v>391</v>
      </c>
      <c r="B393" s="13" t="str">
        <f>'Raw Data'!C393</f>
        <v xml:space="preserve"> Enchantment   </v>
      </c>
      <c r="C393" s="13" t="str">
        <f t="shared" si="54"/>
        <v>Enchantment</v>
      </c>
      <c r="D393" s="13" t="str">
        <f t="shared" si="55"/>
        <v xml:space="preserve"> Enchantment   </v>
      </c>
      <c r="E393" s="13" t="str">
        <f t="shared" si="56"/>
        <v>Enchantment</v>
      </c>
      <c r="F393" s="13" t="str">
        <f t="shared" si="57"/>
        <v>ENCHANTMENT</v>
      </c>
      <c r="G393" s="13" t="str">
        <f t="shared" si="58"/>
        <v>enchantment</v>
      </c>
      <c r="H393" s="13" t="str">
        <f t="shared" si="59"/>
        <v>Enchantment</v>
      </c>
      <c r="I393" s="13">
        <f t="shared" si="60"/>
        <v>15</v>
      </c>
      <c r="J393" s="13">
        <f t="shared" si="61"/>
        <v>11</v>
      </c>
      <c r="K393" s="13">
        <f t="shared" si="62"/>
        <v>4</v>
      </c>
    </row>
    <row r="394" spans="1:11" x14ac:dyDescent="0.25">
      <c r="A394" s="13">
        <f>'Raw Data'!A394</f>
        <v>392</v>
      </c>
      <c r="B394" s="13" t="str">
        <f>'Raw Data'!C394</f>
        <v xml:space="preserve"> Melodic       </v>
      </c>
      <c r="C394" s="13" t="str">
        <f t="shared" si="54"/>
        <v>Melodic</v>
      </c>
      <c r="D394" s="13" t="str">
        <f t="shared" si="55"/>
        <v xml:space="preserve"> Melodic       </v>
      </c>
      <c r="E394" s="13" t="str">
        <f t="shared" si="56"/>
        <v>Melodic</v>
      </c>
      <c r="F394" s="13" t="str">
        <f t="shared" si="57"/>
        <v>MELODIC</v>
      </c>
      <c r="G394" s="13" t="str">
        <f t="shared" si="58"/>
        <v>melodic</v>
      </c>
      <c r="H394" s="13" t="str">
        <f t="shared" si="59"/>
        <v>Melodic</v>
      </c>
      <c r="I394" s="13">
        <f t="shared" si="60"/>
        <v>15</v>
      </c>
      <c r="J394" s="13">
        <f t="shared" si="61"/>
        <v>7</v>
      </c>
      <c r="K394" s="13">
        <f t="shared" si="62"/>
        <v>8</v>
      </c>
    </row>
    <row r="395" spans="1:11" x14ac:dyDescent="0.25">
      <c r="A395" s="13">
        <f>'Raw Data'!A395</f>
        <v>393</v>
      </c>
      <c r="B395" s="13" t="str">
        <f>'Raw Data'!C395</f>
        <v xml:space="preserve"> FestiveJoy    </v>
      </c>
      <c r="C395" s="13" t="str">
        <f t="shared" si="54"/>
        <v>FestiveJoy</v>
      </c>
      <c r="D395" s="13" t="str">
        <f t="shared" si="55"/>
        <v xml:space="preserve"> FestiveJoy    </v>
      </c>
      <c r="E395" s="13" t="str">
        <f t="shared" si="56"/>
        <v>FestiveJoy</v>
      </c>
      <c r="F395" s="13" t="str">
        <f t="shared" si="57"/>
        <v>FESTIVEJOY</v>
      </c>
      <c r="G395" s="13" t="str">
        <f t="shared" si="58"/>
        <v>festivejoy</v>
      </c>
      <c r="H395" s="13" t="str">
        <f t="shared" si="59"/>
        <v>Festivejoy</v>
      </c>
      <c r="I395" s="13">
        <f t="shared" si="60"/>
        <v>15</v>
      </c>
      <c r="J395" s="13">
        <f t="shared" si="61"/>
        <v>10</v>
      </c>
      <c r="K395" s="13">
        <f t="shared" si="62"/>
        <v>5</v>
      </c>
    </row>
    <row r="396" spans="1:11" x14ac:dyDescent="0.25">
      <c r="A396" s="13">
        <f>'Raw Data'!A396</f>
        <v>394</v>
      </c>
      <c r="B396" s="13" t="str">
        <f>'Raw Data'!C396</f>
        <v xml:space="preserve"> InnerJourney  </v>
      </c>
      <c r="C396" s="13" t="str">
        <f t="shared" si="54"/>
        <v>InnerJourney</v>
      </c>
      <c r="D396" s="13" t="str">
        <f t="shared" si="55"/>
        <v xml:space="preserve"> InnerJourney  </v>
      </c>
      <c r="E396" s="13" t="str">
        <f t="shared" si="56"/>
        <v>InnerJourney</v>
      </c>
      <c r="F396" s="13" t="str">
        <f t="shared" si="57"/>
        <v>INNERJOURNEY</v>
      </c>
      <c r="G396" s="13" t="str">
        <f t="shared" si="58"/>
        <v>innerjourney</v>
      </c>
      <c r="H396" s="13" t="str">
        <f t="shared" si="59"/>
        <v>Innerjourney</v>
      </c>
      <c r="I396" s="13">
        <f t="shared" si="60"/>
        <v>15</v>
      </c>
      <c r="J396" s="13">
        <f t="shared" si="61"/>
        <v>12</v>
      </c>
      <c r="K396" s="13">
        <f t="shared" si="62"/>
        <v>3</v>
      </c>
    </row>
    <row r="397" spans="1:11" x14ac:dyDescent="0.25">
      <c r="A397" s="13">
        <f>'Raw Data'!A397</f>
        <v>395</v>
      </c>
      <c r="B397" s="13" t="str">
        <f>'Raw Data'!C397</f>
        <v xml:space="preserve"> Freedom       </v>
      </c>
      <c r="C397" s="13" t="str">
        <f t="shared" si="54"/>
        <v>Freedom</v>
      </c>
      <c r="D397" s="13" t="str">
        <f t="shared" si="55"/>
        <v xml:space="preserve"> Freedom       </v>
      </c>
      <c r="E397" s="13" t="str">
        <f t="shared" si="56"/>
        <v>Freedom</v>
      </c>
      <c r="F397" s="13" t="str">
        <f t="shared" si="57"/>
        <v>FREEDOM</v>
      </c>
      <c r="G397" s="13" t="str">
        <f t="shared" si="58"/>
        <v>freedom</v>
      </c>
      <c r="H397" s="13" t="str">
        <f t="shared" si="59"/>
        <v>Freedom</v>
      </c>
      <c r="I397" s="13">
        <f t="shared" si="60"/>
        <v>15</v>
      </c>
      <c r="J397" s="13">
        <f t="shared" si="61"/>
        <v>7</v>
      </c>
      <c r="K397" s="13">
        <f t="shared" si="62"/>
        <v>8</v>
      </c>
    </row>
    <row r="398" spans="1:11" x14ac:dyDescent="0.25">
      <c r="A398" s="13">
        <f>'Raw Data'!A398</f>
        <v>396</v>
      </c>
      <c r="B398" s="13" t="str">
        <f>'Raw Data'!C398</f>
        <v xml:space="preserve"> Dazzle        </v>
      </c>
      <c r="C398" s="13" t="str">
        <f t="shared" si="54"/>
        <v>Dazzle</v>
      </c>
      <c r="D398" s="13" t="str">
        <f t="shared" si="55"/>
        <v xml:space="preserve"> Dazzle        </v>
      </c>
      <c r="E398" s="13" t="str">
        <f t="shared" si="56"/>
        <v>Dazzle</v>
      </c>
      <c r="F398" s="13" t="str">
        <f t="shared" si="57"/>
        <v>DAZZLE</v>
      </c>
      <c r="G398" s="13" t="str">
        <f t="shared" si="58"/>
        <v>dazzle</v>
      </c>
      <c r="H398" s="13" t="str">
        <f t="shared" si="59"/>
        <v>Dazzle</v>
      </c>
      <c r="I398" s="13">
        <f t="shared" si="60"/>
        <v>15</v>
      </c>
      <c r="J398" s="13">
        <f t="shared" si="61"/>
        <v>6</v>
      </c>
      <c r="K398" s="13">
        <f t="shared" si="62"/>
        <v>9</v>
      </c>
    </row>
    <row r="399" spans="1:11" x14ac:dyDescent="0.25">
      <c r="A399" s="13">
        <f>'Raw Data'!A399</f>
        <v>397</v>
      </c>
      <c r="B399" s="13" t="str">
        <f>'Raw Data'!C399</f>
        <v xml:space="preserve"> Whimsy        </v>
      </c>
      <c r="C399" s="13" t="str">
        <f t="shared" si="54"/>
        <v>Whimsy</v>
      </c>
      <c r="D399" s="13" t="str">
        <f t="shared" si="55"/>
        <v xml:space="preserve"> Whimsy        </v>
      </c>
      <c r="E399" s="13" t="str">
        <f t="shared" si="56"/>
        <v>Whimsy</v>
      </c>
      <c r="F399" s="13" t="str">
        <f t="shared" si="57"/>
        <v>WHIMSY</v>
      </c>
      <c r="G399" s="13" t="str">
        <f t="shared" si="58"/>
        <v>whimsy</v>
      </c>
      <c r="H399" s="13" t="str">
        <f t="shared" si="59"/>
        <v>Whimsy</v>
      </c>
      <c r="I399" s="13">
        <f t="shared" si="60"/>
        <v>15</v>
      </c>
      <c r="J399" s="13">
        <f t="shared" si="61"/>
        <v>6</v>
      </c>
      <c r="K399" s="13">
        <f t="shared" si="62"/>
        <v>9</v>
      </c>
    </row>
    <row r="400" spans="1:11" x14ac:dyDescent="0.25">
      <c r="A400" s="13">
        <f>'Raw Data'!A400</f>
        <v>398</v>
      </c>
      <c r="B400" s="13" t="str">
        <f>'Raw Data'!C400</f>
        <v xml:space="preserve"> Reflection    </v>
      </c>
      <c r="C400" s="13" t="str">
        <f t="shared" si="54"/>
        <v>Reflection</v>
      </c>
      <c r="D400" s="13" t="str">
        <f t="shared" si="55"/>
        <v xml:space="preserve"> Reflection    </v>
      </c>
      <c r="E400" s="13" t="str">
        <f t="shared" si="56"/>
        <v>Reflection</v>
      </c>
      <c r="F400" s="13" t="str">
        <f t="shared" si="57"/>
        <v>REFLECTION</v>
      </c>
      <c r="G400" s="13" t="str">
        <f t="shared" si="58"/>
        <v>reflection</v>
      </c>
      <c r="H400" s="13" t="str">
        <f t="shared" si="59"/>
        <v>Reflection</v>
      </c>
      <c r="I400" s="13">
        <f t="shared" si="60"/>
        <v>15</v>
      </c>
      <c r="J400" s="13">
        <f t="shared" si="61"/>
        <v>10</v>
      </c>
      <c r="K400" s="13">
        <f t="shared" si="62"/>
        <v>5</v>
      </c>
    </row>
    <row r="401" spans="1:11" x14ac:dyDescent="0.25">
      <c r="A401" s="13">
        <f>'Raw Data'!A401</f>
        <v>399</v>
      </c>
      <c r="B401" s="13" t="str">
        <f>'Raw Data'!C401</f>
        <v xml:space="preserve"> Adrenaline     </v>
      </c>
      <c r="C401" s="13" t="str">
        <f t="shared" si="54"/>
        <v>Adrenaline</v>
      </c>
      <c r="D401" s="13" t="str">
        <f t="shared" si="55"/>
        <v xml:space="preserve"> Adrenaline     </v>
      </c>
      <c r="E401" s="13" t="str">
        <f t="shared" si="56"/>
        <v>Adrenaline</v>
      </c>
      <c r="F401" s="13" t="str">
        <f t="shared" si="57"/>
        <v>ADRENALINE</v>
      </c>
      <c r="G401" s="13" t="str">
        <f t="shared" si="58"/>
        <v>adrenaline</v>
      </c>
      <c r="H401" s="13" t="str">
        <f t="shared" si="59"/>
        <v>Adrenaline</v>
      </c>
      <c r="I401" s="13">
        <f t="shared" si="60"/>
        <v>16</v>
      </c>
      <c r="J401" s="13">
        <f t="shared" si="61"/>
        <v>10</v>
      </c>
      <c r="K401" s="13">
        <f t="shared" si="62"/>
        <v>6</v>
      </c>
    </row>
    <row r="402" spans="1:11" x14ac:dyDescent="0.25">
      <c r="A402" s="13">
        <f>'Raw Data'!A402</f>
        <v>400</v>
      </c>
      <c r="B402" s="13" t="str">
        <f>'Raw Data'!C402</f>
        <v xml:space="preserve"> Harmony       </v>
      </c>
      <c r="C402" s="13" t="str">
        <f t="shared" si="54"/>
        <v>Harmony</v>
      </c>
      <c r="D402" s="13" t="str">
        <f t="shared" si="55"/>
        <v xml:space="preserve"> Harmony       </v>
      </c>
      <c r="E402" s="13" t="str">
        <f t="shared" si="56"/>
        <v>Harmony</v>
      </c>
      <c r="F402" s="13" t="str">
        <f t="shared" si="57"/>
        <v>HARMONY</v>
      </c>
      <c r="G402" s="13" t="str">
        <f t="shared" si="58"/>
        <v>harmony</v>
      </c>
      <c r="H402" s="13" t="str">
        <f t="shared" si="59"/>
        <v>Harmony</v>
      </c>
      <c r="I402" s="13">
        <f t="shared" si="60"/>
        <v>15</v>
      </c>
      <c r="J402" s="13">
        <f t="shared" si="61"/>
        <v>7</v>
      </c>
      <c r="K402" s="13">
        <f t="shared" si="62"/>
        <v>8</v>
      </c>
    </row>
    <row r="403" spans="1:11" x14ac:dyDescent="0.25">
      <c r="A403" s="13">
        <f>'Raw Data'!A403</f>
        <v>401</v>
      </c>
      <c r="B403" s="13" t="str">
        <f>'Raw Data'!C403</f>
        <v xml:space="preserve"> ArtisticBurst </v>
      </c>
      <c r="C403" s="13" t="str">
        <f t="shared" si="54"/>
        <v>ArtisticBurst</v>
      </c>
      <c r="D403" s="13" t="str">
        <f t="shared" si="55"/>
        <v xml:space="preserve"> ArtisticBurst </v>
      </c>
      <c r="E403" s="13" t="str">
        <f t="shared" si="56"/>
        <v>ArtisticBurst</v>
      </c>
      <c r="F403" s="13" t="str">
        <f t="shared" si="57"/>
        <v>ARTISTICBURST</v>
      </c>
      <c r="G403" s="13" t="str">
        <f t="shared" si="58"/>
        <v>artisticburst</v>
      </c>
      <c r="H403" s="13" t="str">
        <f t="shared" si="59"/>
        <v>Artisticburst</v>
      </c>
      <c r="I403" s="13">
        <f t="shared" si="60"/>
        <v>15</v>
      </c>
      <c r="J403" s="13">
        <f t="shared" si="61"/>
        <v>13</v>
      </c>
      <c r="K403" s="13">
        <f t="shared" si="62"/>
        <v>2</v>
      </c>
    </row>
    <row r="404" spans="1:11" x14ac:dyDescent="0.25">
      <c r="A404" s="13">
        <f>'Raw Data'!A404</f>
        <v>402</v>
      </c>
      <c r="B404" s="13" t="str">
        <f>'Raw Data'!C404</f>
        <v xml:space="preserve"> Radiance      </v>
      </c>
      <c r="C404" s="13" t="str">
        <f t="shared" si="54"/>
        <v>Radiance</v>
      </c>
      <c r="D404" s="13" t="str">
        <f t="shared" si="55"/>
        <v xml:space="preserve"> Radiance      </v>
      </c>
      <c r="E404" s="13" t="str">
        <f t="shared" si="56"/>
        <v>Radiance</v>
      </c>
      <c r="F404" s="13" t="str">
        <f t="shared" si="57"/>
        <v>RADIANCE</v>
      </c>
      <c r="G404" s="13" t="str">
        <f t="shared" si="58"/>
        <v>radiance</v>
      </c>
      <c r="H404" s="13" t="str">
        <f t="shared" si="59"/>
        <v>Radiance</v>
      </c>
      <c r="I404" s="13">
        <f t="shared" si="60"/>
        <v>15</v>
      </c>
      <c r="J404" s="13">
        <f t="shared" si="61"/>
        <v>8</v>
      </c>
      <c r="K404" s="13">
        <f t="shared" si="62"/>
        <v>7</v>
      </c>
    </row>
    <row r="405" spans="1:11" x14ac:dyDescent="0.25">
      <c r="A405" s="13">
        <f>'Raw Data'!A405</f>
        <v>403</v>
      </c>
      <c r="B405" s="13" t="str">
        <f>'Raw Data'!C405</f>
        <v xml:space="preserve"> Wonder       </v>
      </c>
      <c r="C405" s="13" t="str">
        <f t="shared" si="54"/>
        <v>Wonder</v>
      </c>
      <c r="D405" s="13" t="str">
        <f t="shared" si="55"/>
        <v xml:space="preserve"> Wonder       </v>
      </c>
      <c r="E405" s="13" t="str">
        <f t="shared" si="56"/>
        <v>Wonder</v>
      </c>
      <c r="F405" s="13" t="str">
        <f t="shared" si="57"/>
        <v>WONDER</v>
      </c>
      <c r="G405" s="13" t="str">
        <f t="shared" si="58"/>
        <v>wonder</v>
      </c>
      <c r="H405" s="13" t="str">
        <f t="shared" si="59"/>
        <v>Wonder</v>
      </c>
      <c r="I405" s="13">
        <f t="shared" si="60"/>
        <v>14</v>
      </c>
      <c r="J405" s="13">
        <f t="shared" si="61"/>
        <v>6</v>
      </c>
      <c r="K405" s="13">
        <f t="shared" si="62"/>
        <v>8</v>
      </c>
    </row>
    <row r="406" spans="1:11" x14ac:dyDescent="0.25">
      <c r="A406" s="13">
        <f>'Raw Data'!A406</f>
        <v>404</v>
      </c>
      <c r="B406" s="13" t="str">
        <f>'Raw Data'!C406</f>
        <v xml:space="preserve"> Rejuvenation </v>
      </c>
      <c r="C406" s="13" t="str">
        <f t="shared" si="54"/>
        <v>Rejuvenation</v>
      </c>
      <c r="D406" s="13" t="str">
        <f t="shared" si="55"/>
        <v xml:space="preserve"> Rejuvenation </v>
      </c>
      <c r="E406" s="13" t="str">
        <f t="shared" si="56"/>
        <v>Rejuvenation</v>
      </c>
      <c r="F406" s="13" t="str">
        <f t="shared" si="57"/>
        <v>REJUVENATION</v>
      </c>
      <c r="G406" s="13" t="str">
        <f t="shared" si="58"/>
        <v>rejuvenation</v>
      </c>
      <c r="H406" s="13" t="str">
        <f t="shared" si="59"/>
        <v>Rejuvenation</v>
      </c>
      <c r="I406" s="13">
        <f t="shared" si="60"/>
        <v>14</v>
      </c>
      <c r="J406" s="13">
        <f t="shared" si="61"/>
        <v>12</v>
      </c>
      <c r="K406" s="13">
        <f t="shared" si="62"/>
        <v>2</v>
      </c>
    </row>
    <row r="407" spans="1:11" x14ac:dyDescent="0.25">
      <c r="A407" s="13">
        <f>'Raw Data'!A407</f>
        <v>405</v>
      </c>
      <c r="B407" s="13" t="str">
        <f>'Raw Data'!C407</f>
        <v xml:space="preserve"> Inspiration  </v>
      </c>
      <c r="C407" s="13" t="str">
        <f t="shared" si="54"/>
        <v>Inspiration</v>
      </c>
      <c r="D407" s="13" t="str">
        <f t="shared" si="55"/>
        <v xml:space="preserve"> Inspiration  </v>
      </c>
      <c r="E407" s="13" t="str">
        <f t="shared" si="56"/>
        <v>Inspiration</v>
      </c>
      <c r="F407" s="13" t="str">
        <f t="shared" si="57"/>
        <v>INSPIRATION</v>
      </c>
      <c r="G407" s="13" t="str">
        <f t="shared" si="58"/>
        <v>inspiration</v>
      </c>
      <c r="H407" s="13" t="str">
        <f t="shared" si="59"/>
        <v>Inspiration</v>
      </c>
      <c r="I407" s="13">
        <f t="shared" si="60"/>
        <v>14</v>
      </c>
      <c r="J407" s="13">
        <f t="shared" si="61"/>
        <v>11</v>
      </c>
      <c r="K407" s="13">
        <f t="shared" si="62"/>
        <v>3</v>
      </c>
    </row>
    <row r="408" spans="1:11" x14ac:dyDescent="0.25">
      <c r="A408" s="13">
        <f>'Raw Data'!A408</f>
        <v>406</v>
      </c>
      <c r="B408" s="13" t="str">
        <f>'Raw Data'!C408</f>
        <v xml:space="preserve"> Coziness     </v>
      </c>
      <c r="C408" s="13" t="str">
        <f t="shared" si="54"/>
        <v>Coziness</v>
      </c>
      <c r="D408" s="13" t="str">
        <f t="shared" si="55"/>
        <v xml:space="preserve"> Coziness     </v>
      </c>
      <c r="E408" s="13" t="str">
        <f t="shared" si="56"/>
        <v>Coziness</v>
      </c>
      <c r="F408" s="13" t="str">
        <f t="shared" si="57"/>
        <v>COZINESS</v>
      </c>
      <c r="G408" s="13" t="str">
        <f t="shared" si="58"/>
        <v>coziness</v>
      </c>
      <c r="H408" s="13" t="str">
        <f t="shared" si="59"/>
        <v>Coziness</v>
      </c>
      <c r="I408" s="13">
        <f t="shared" si="60"/>
        <v>14</v>
      </c>
      <c r="J408" s="13">
        <f t="shared" si="61"/>
        <v>8</v>
      </c>
      <c r="K408" s="13">
        <f t="shared" si="62"/>
        <v>6</v>
      </c>
    </row>
    <row r="409" spans="1:11" x14ac:dyDescent="0.25">
      <c r="A409" s="13">
        <f>'Raw Data'!A409</f>
        <v>407</v>
      </c>
      <c r="B409" s="13" t="str">
        <f>'Raw Data'!C409</f>
        <v xml:space="preserve"> Gratitude  </v>
      </c>
      <c r="C409" s="13" t="str">
        <f t="shared" si="54"/>
        <v>Gratitude</v>
      </c>
      <c r="D409" s="13" t="str">
        <f t="shared" si="55"/>
        <v xml:space="preserve"> Gratitude  </v>
      </c>
      <c r="E409" s="13" t="str">
        <f t="shared" si="56"/>
        <v>Gratitude</v>
      </c>
      <c r="F409" s="13" t="str">
        <f t="shared" si="57"/>
        <v>GRATITUDE</v>
      </c>
      <c r="G409" s="13" t="str">
        <f t="shared" si="58"/>
        <v>gratitude</v>
      </c>
      <c r="H409" s="13" t="str">
        <f t="shared" si="59"/>
        <v>Gratitude</v>
      </c>
      <c r="I409" s="13">
        <f t="shared" si="60"/>
        <v>12</v>
      </c>
      <c r="J409" s="13">
        <f t="shared" si="61"/>
        <v>9</v>
      </c>
      <c r="K409" s="13">
        <f t="shared" si="62"/>
        <v>3</v>
      </c>
    </row>
    <row r="410" spans="1:11" x14ac:dyDescent="0.25">
      <c r="A410" s="13">
        <f>'Raw Data'!A410</f>
        <v>408</v>
      </c>
      <c r="B410" s="13" t="str">
        <f>'Raw Data'!C410</f>
        <v xml:space="preserve"> CulinaryOdyssey </v>
      </c>
      <c r="C410" s="13" t="str">
        <f t="shared" si="54"/>
        <v>CulinaryOdyssey</v>
      </c>
      <c r="D410" s="13" t="str">
        <f t="shared" si="55"/>
        <v xml:space="preserve"> CulinaryOdyssey </v>
      </c>
      <c r="E410" s="13" t="str">
        <f t="shared" si="56"/>
        <v>CulinaryOdyssey</v>
      </c>
      <c r="F410" s="13" t="str">
        <f t="shared" si="57"/>
        <v>CULINARYODYSSEY</v>
      </c>
      <c r="G410" s="13" t="str">
        <f t="shared" si="58"/>
        <v>culinaryodyssey</v>
      </c>
      <c r="H410" s="13" t="str">
        <f t="shared" si="59"/>
        <v>Culinaryodyssey</v>
      </c>
      <c r="I410" s="13">
        <f t="shared" si="60"/>
        <v>17</v>
      </c>
      <c r="J410" s="13">
        <f t="shared" si="61"/>
        <v>15</v>
      </c>
      <c r="K410" s="13">
        <f t="shared" si="62"/>
        <v>2</v>
      </c>
    </row>
    <row r="411" spans="1:11" x14ac:dyDescent="0.25">
      <c r="A411" s="13">
        <f>'Raw Data'!A411</f>
        <v>409</v>
      </c>
      <c r="B411" s="13" t="str">
        <f>'Raw Data'!C411</f>
        <v xml:space="preserve"> Euphoria     </v>
      </c>
      <c r="C411" s="13" t="str">
        <f t="shared" si="54"/>
        <v>Euphoria</v>
      </c>
      <c r="D411" s="13" t="str">
        <f t="shared" si="55"/>
        <v xml:space="preserve"> Euphoria     </v>
      </c>
      <c r="E411" s="13" t="str">
        <f t="shared" si="56"/>
        <v>Euphoria</v>
      </c>
      <c r="F411" s="13" t="str">
        <f t="shared" si="57"/>
        <v>EUPHORIA</v>
      </c>
      <c r="G411" s="13" t="str">
        <f t="shared" si="58"/>
        <v>euphoria</v>
      </c>
      <c r="H411" s="13" t="str">
        <f t="shared" si="59"/>
        <v>Euphoria</v>
      </c>
      <c r="I411" s="13">
        <f t="shared" si="60"/>
        <v>14</v>
      </c>
      <c r="J411" s="13">
        <f t="shared" si="61"/>
        <v>8</v>
      </c>
      <c r="K411" s="13">
        <f t="shared" si="62"/>
        <v>6</v>
      </c>
    </row>
    <row r="412" spans="1:11" x14ac:dyDescent="0.25">
      <c r="A412" s="13">
        <f>'Raw Data'!A412</f>
        <v>410</v>
      </c>
      <c r="B412" s="13" t="str">
        <f>'Raw Data'!C412</f>
        <v xml:space="preserve"> Awe    </v>
      </c>
      <c r="C412" s="13" t="str">
        <f t="shared" si="54"/>
        <v>Awe</v>
      </c>
      <c r="D412" s="13" t="str">
        <f t="shared" si="55"/>
        <v xml:space="preserve"> Awe    </v>
      </c>
      <c r="E412" s="13" t="str">
        <f t="shared" si="56"/>
        <v>Awe</v>
      </c>
      <c r="F412" s="13" t="str">
        <f t="shared" si="57"/>
        <v>AWE</v>
      </c>
      <c r="G412" s="13" t="str">
        <f t="shared" si="58"/>
        <v>awe</v>
      </c>
      <c r="H412" s="13" t="str">
        <f t="shared" si="59"/>
        <v>Awe</v>
      </c>
      <c r="I412" s="13">
        <f t="shared" si="60"/>
        <v>8</v>
      </c>
      <c r="J412" s="13">
        <f t="shared" si="61"/>
        <v>3</v>
      </c>
      <c r="K412" s="13">
        <f t="shared" si="62"/>
        <v>5</v>
      </c>
    </row>
    <row r="413" spans="1:11" x14ac:dyDescent="0.25">
      <c r="A413" s="13">
        <f>'Raw Data'!A413</f>
        <v>411</v>
      </c>
      <c r="B413" s="13" t="str">
        <f>'Raw Data'!C413</f>
        <v xml:space="preserve"> Curiosity  </v>
      </c>
      <c r="C413" s="13" t="str">
        <f t="shared" si="54"/>
        <v>Curiosity</v>
      </c>
      <c r="D413" s="13" t="str">
        <f t="shared" si="55"/>
        <v xml:space="preserve"> Curiosity  </v>
      </c>
      <c r="E413" s="13" t="str">
        <f t="shared" si="56"/>
        <v>Curiosity</v>
      </c>
      <c r="F413" s="13" t="str">
        <f t="shared" si="57"/>
        <v>CURIOSITY</v>
      </c>
      <c r="G413" s="13" t="str">
        <f t="shared" si="58"/>
        <v>curiosity</v>
      </c>
      <c r="H413" s="13" t="str">
        <f t="shared" si="59"/>
        <v>Curiosity</v>
      </c>
      <c r="I413" s="13">
        <f t="shared" si="60"/>
        <v>12</v>
      </c>
      <c r="J413" s="13">
        <f t="shared" si="61"/>
        <v>9</v>
      </c>
      <c r="K413" s="13">
        <f t="shared" si="62"/>
        <v>3</v>
      </c>
    </row>
    <row r="414" spans="1:11" x14ac:dyDescent="0.25">
      <c r="A414" s="13">
        <f>'Raw Data'!A414</f>
        <v>412</v>
      </c>
      <c r="B414" s="13" t="str">
        <f>'Raw Data'!C414</f>
        <v xml:space="preserve"> Excitement   </v>
      </c>
      <c r="C414" s="13" t="str">
        <f t="shared" si="54"/>
        <v>Excitement</v>
      </c>
      <c r="D414" s="13" t="str">
        <f t="shared" si="55"/>
        <v xml:space="preserve"> Excitement   </v>
      </c>
      <c r="E414" s="13" t="str">
        <f t="shared" si="56"/>
        <v>Excitement</v>
      </c>
      <c r="F414" s="13" t="str">
        <f t="shared" si="57"/>
        <v>EXCITEMENT</v>
      </c>
      <c r="G414" s="13" t="str">
        <f t="shared" si="58"/>
        <v>excitement</v>
      </c>
      <c r="H414" s="13" t="str">
        <f t="shared" si="59"/>
        <v>Excitement</v>
      </c>
      <c r="I414" s="13">
        <f t="shared" si="60"/>
        <v>14</v>
      </c>
      <c r="J414" s="13">
        <f t="shared" si="61"/>
        <v>10</v>
      </c>
      <c r="K414" s="13">
        <f t="shared" si="62"/>
        <v>4</v>
      </c>
    </row>
    <row r="415" spans="1:11" x14ac:dyDescent="0.25">
      <c r="A415" s="13">
        <f>'Raw Data'!A415</f>
        <v>413</v>
      </c>
      <c r="B415" s="13" t="str">
        <f>'Raw Data'!C415</f>
        <v xml:space="preserve"> Contentment </v>
      </c>
      <c r="C415" s="13" t="str">
        <f t="shared" si="54"/>
        <v>Contentment</v>
      </c>
      <c r="D415" s="13" t="str">
        <f t="shared" si="55"/>
        <v xml:space="preserve"> Contentment </v>
      </c>
      <c r="E415" s="13" t="str">
        <f t="shared" si="56"/>
        <v>Contentment</v>
      </c>
      <c r="F415" s="13" t="str">
        <f t="shared" si="57"/>
        <v>CONTENTMENT</v>
      </c>
      <c r="G415" s="13" t="str">
        <f t="shared" si="58"/>
        <v>contentment</v>
      </c>
      <c r="H415" s="13" t="str">
        <f t="shared" si="59"/>
        <v>Contentment</v>
      </c>
      <c r="I415" s="13">
        <f t="shared" si="60"/>
        <v>13</v>
      </c>
      <c r="J415" s="13">
        <f t="shared" si="61"/>
        <v>11</v>
      </c>
      <c r="K415" s="13">
        <f t="shared" si="62"/>
        <v>2</v>
      </c>
    </row>
    <row r="416" spans="1:11" x14ac:dyDescent="0.25">
      <c r="A416" s="13">
        <f>'Raw Data'!A416</f>
        <v>414</v>
      </c>
      <c r="B416" s="13" t="str">
        <f>'Raw Data'!C416</f>
        <v xml:space="preserve"> Resilience   </v>
      </c>
      <c r="C416" s="13" t="str">
        <f t="shared" si="54"/>
        <v>Resilience</v>
      </c>
      <c r="D416" s="13" t="str">
        <f t="shared" si="55"/>
        <v xml:space="preserve"> Resilience   </v>
      </c>
      <c r="E416" s="13" t="str">
        <f t="shared" si="56"/>
        <v>Resilience</v>
      </c>
      <c r="F416" s="13" t="str">
        <f t="shared" si="57"/>
        <v>RESILIENCE</v>
      </c>
      <c r="G416" s="13" t="str">
        <f t="shared" si="58"/>
        <v>resilience</v>
      </c>
      <c r="H416" s="13" t="str">
        <f t="shared" si="59"/>
        <v>Resilience</v>
      </c>
      <c r="I416" s="13">
        <f t="shared" si="60"/>
        <v>14</v>
      </c>
      <c r="J416" s="13">
        <f t="shared" si="61"/>
        <v>10</v>
      </c>
      <c r="K416" s="13">
        <f t="shared" si="62"/>
        <v>4</v>
      </c>
    </row>
    <row r="417" spans="1:11" x14ac:dyDescent="0.25">
      <c r="A417" s="13">
        <f>'Raw Data'!A417</f>
        <v>415</v>
      </c>
      <c r="B417" s="13" t="str">
        <f>'Raw Data'!C417</f>
        <v xml:space="preserve"> Immersion </v>
      </c>
      <c r="C417" s="13" t="str">
        <f t="shared" si="54"/>
        <v>Immersion</v>
      </c>
      <c r="D417" s="13" t="str">
        <f t="shared" si="55"/>
        <v xml:space="preserve"> Immersion </v>
      </c>
      <c r="E417" s="13" t="str">
        <f t="shared" si="56"/>
        <v>Immersion</v>
      </c>
      <c r="F417" s="13" t="str">
        <f t="shared" si="57"/>
        <v>IMMERSION</v>
      </c>
      <c r="G417" s="13" t="str">
        <f t="shared" si="58"/>
        <v>immersion</v>
      </c>
      <c r="H417" s="13" t="str">
        <f t="shared" si="59"/>
        <v>Immersion</v>
      </c>
      <c r="I417" s="13">
        <f t="shared" si="60"/>
        <v>11</v>
      </c>
      <c r="J417" s="13">
        <f t="shared" si="61"/>
        <v>9</v>
      </c>
      <c r="K417" s="13">
        <f t="shared" si="62"/>
        <v>2</v>
      </c>
    </row>
    <row r="418" spans="1:11" x14ac:dyDescent="0.25">
      <c r="A418" s="13">
        <f>'Raw Data'!A418</f>
        <v>416</v>
      </c>
      <c r="B418" s="13" t="str">
        <f>'Raw Data'!C418</f>
        <v xml:space="preserve"> Nostalgia </v>
      </c>
      <c r="C418" s="13" t="str">
        <f t="shared" si="54"/>
        <v>Nostalgia</v>
      </c>
      <c r="D418" s="13" t="str">
        <f t="shared" si="55"/>
        <v xml:space="preserve"> Nostalgia </v>
      </c>
      <c r="E418" s="13" t="str">
        <f t="shared" si="56"/>
        <v>Nostalgia</v>
      </c>
      <c r="F418" s="13" t="str">
        <f t="shared" si="57"/>
        <v>NOSTALGIA</v>
      </c>
      <c r="G418" s="13" t="str">
        <f t="shared" si="58"/>
        <v>nostalgia</v>
      </c>
      <c r="H418" s="13" t="str">
        <f t="shared" si="59"/>
        <v>Nostalgia</v>
      </c>
      <c r="I418" s="13">
        <f t="shared" si="60"/>
        <v>11</v>
      </c>
      <c r="J418" s="13">
        <f t="shared" si="61"/>
        <v>9</v>
      </c>
      <c r="K418" s="13">
        <f t="shared" si="62"/>
        <v>2</v>
      </c>
    </row>
    <row r="419" spans="1:11" x14ac:dyDescent="0.25">
      <c r="A419" s="13">
        <f>'Raw Data'!A419</f>
        <v>417</v>
      </c>
      <c r="B419" s="13" t="str">
        <f>'Raw Data'!C419</f>
        <v xml:space="preserve"> Spark        </v>
      </c>
      <c r="C419" s="13" t="str">
        <f t="shared" si="54"/>
        <v>Spark</v>
      </c>
      <c r="D419" s="13" t="str">
        <f t="shared" si="55"/>
        <v xml:space="preserve"> Spark        </v>
      </c>
      <c r="E419" s="13" t="str">
        <f t="shared" si="56"/>
        <v>Spark</v>
      </c>
      <c r="F419" s="13" t="str">
        <f t="shared" si="57"/>
        <v>SPARK</v>
      </c>
      <c r="G419" s="13" t="str">
        <f t="shared" si="58"/>
        <v>spark</v>
      </c>
      <c r="H419" s="13" t="str">
        <f t="shared" si="59"/>
        <v>Spark</v>
      </c>
      <c r="I419" s="13">
        <f t="shared" si="60"/>
        <v>14</v>
      </c>
      <c r="J419" s="13">
        <f t="shared" si="61"/>
        <v>5</v>
      </c>
      <c r="K419" s="13">
        <f t="shared" si="62"/>
        <v>9</v>
      </c>
    </row>
    <row r="420" spans="1:11" x14ac:dyDescent="0.25">
      <c r="A420" s="13">
        <f>'Raw Data'!A420</f>
        <v>418</v>
      </c>
      <c r="B420" s="13" t="str">
        <f>'Raw Data'!C420</f>
        <v xml:space="preserve"> Gratitude    </v>
      </c>
      <c r="C420" s="13" t="str">
        <f t="shared" si="54"/>
        <v>Gratitude</v>
      </c>
      <c r="D420" s="13" t="str">
        <f t="shared" si="55"/>
        <v xml:space="preserve"> Gratitude    </v>
      </c>
      <c r="E420" s="13" t="str">
        <f t="shared" si="56"/>
        <v>Gratitude</v>
      </c>
      <c r="F420" s="13" t="str">
        <f t="shared" si="57"/>
        <v>GRATITUDE</v>
      </c>
      <c r="G420" s="13" t="str">
        <f t="shared" si="58"/>
        <v>gratitude</v>
      </c>
      <c r="H420" s="13" t="str">
        <f t="shared" si="59"/>
        <v>Gratitude</v>
      </c>
      <c r="I420" s="13">
        <f t="shared" si="60"/>
        <v>14</v>
      </c>
      <c r="J420" s="13">
        <f t="shared" si="61"/>
        <v>9</v>
      </c>
      <c r="K420" s="13">
        <f t="shared" si="62"/>
        <v>5</v>
      </c>
    </row>
    <row r="421" spans="1:11" x14ac:dyDescent="0.25">
      <c r="A421" s="13">
        <f>'Raw Data'!A421</f>
        <v>419</v>
      </c>
      <c r="B421" s="13" t="str">
        <f>'Raw Data'!C421</f>
        <v xml:space="preserve"> Marvel       </v>
      </c>
      <c r="C421" s="13" t="str">
        <f t="shared" si="54"/>
        <v>Marvel</v>
      </c>
      <c r="D421" s="13" t="str">
        <f t="shared" si="55"/>
        <v xml:space="preserve"> Marvel       </v>
      </c>
      <c r="E421" s="13" t="str">
        <f t="shared" si="56"/>
        <v>Marvel</v>
      </c>
      <c r="F421" s="13" t="str">
        <f t="shared" si="57"/>
        <v>MARVEL</v>
      </c>
      <c r="G421" s="13" t="str">
        <f t="shared" si="58"/>
        <v>marvel</v>
      </c>
      <c r="H421" s="13" t="str">
        <f t="shared" si="59"/>
        <v>Marvel</v>
      </c>
      <c r="I421" s="13">
        <f t="shared" si="60"/>
        <v>14</v>
      </c>
      <c r="J421" s="13">
        <f t="shared" si="61"/>
        <v>6</v>
      </c>
      <c r="K421" s="13">
        <f t="shared" si="62"/>
        <v>8</v>
      </c>
    </row>
    <row r="422" spans="1:11" x14ac:dyDescent="0.25">
      <c r="A422" s="13">
        <f>'Raw Data'!A422</f>
        <v>420</v>
      </c>
      <c r="B422" s="13" t="str">
        <f>'Raw Data'!C422</f>
        <v xml:space="preserve"> Serenity   </v>
      </c>
      <c r="C422" s="13" t="str">
        <f t="shared" si="54"/>
        <v>Serenity</v>
      </c>
      <c r="D422" s="13" t="str">
        <f t="shared" si="55"/>
        <v xml:space="preserve"> Serenity   </v>
      </c>
      <c r="E422" s="13" t="str">
        <f t="shared" si="56"/>
        <v>Serenity</v>
      </c>
      <c r="F422" s="13" t="str">
        <f t="shared" si="57"/>
        <v>SERENITY</v>
      </c>
      <c r="G422" s="13" t="str">
        <f t="shared" si="58"/>
        <v>serenity</v>
      </c>
      <c r="H422" s="13" t="str">
        <f t="shared" si="59"/>
        <v>Serenity</v>
      </c>
      <c r="I422" s="13">
        <f t="shared" si="60"/>
        <v>12</v>
      </c>
      <c r="J422" s="13">
        <f t="shared" si="61"/>
        <v>8</v>
      </c>
      <c r="K422" s="13">
        <f t="shared" si="62"/>
        <v>4</v>
      </c>
    </row>
    <row r="423" spans="1:11" x14ac:dyDescent="0.25">
      <c r="A423" s="13">
        <f>'Raw Data'!A423</f>
        <v>421</v>
      </c>
      <c r="B423" s="13" t="str">
        <f>'Raw Data'!C423</f>
        <v xml:space="preserve"> Heartbreak    </v>
      </c>
      <c r="C423" s="13" t="str">
        <f t="shared" si="54"/>
        <v>Heartbreak</v>
      </c>
      <c r="D423" s="13" t="str">
        <f t="shared" si="55"/>
        <v xml:space="preserve"> Heartbreak    </v>
      </c>
      <c r="E423" s="13" t="str">
        <f t="shared" si="56"/>
        <v>Heartbreak</v>
      </c>
      <c r="F423" s="13" t="str">
        <f t="shared" si="57"/>
        <v>HEARTBREAK</v>
      </c>
      <c r="G423" s="13" t="str">
        <f t="shared" si="58"/>
        <v>heartbreak</v>
      </c>
      <c r="H423" s="13" t="str">
        <f t="shared" si="59"/>
        <v>Heartbreak</v>
      </c>
      <c r="I423" s="13">
        <f t="shared" si="60"/>
        <v>15</v>
      </c>
      <c r="J423" s="13">
        <f t="shared" si="61"/>
        <v>10</v>
      </c>
      <c r="K423" s="13">
        <f t="shared" si="62"/>
        <v>5</v>
      </c>
    </row>
    <row r="424" spans="1:11" x14ac:dyDescent="0.25">
      <c r="A424" s="13">
        <f>'Raw Data'!A424</f>
        <v>422</v>
      </c>
      <c r="B424" s="13" t="str">
        <f>'Raw Data'!C424</f>
        <v xml:space="preserve"> Loneliness    </v>
      </c>
      <c r="C424" s="13" t="str">
        <f t="shared" si="54"/>
        <v>Loneliness</v>
      </c>
      <c r="D424" s="13" t="str">
        <f t="shared" si="55"/>
        <v xml:space="preserve"> Loneliness    </v>
      </c>
      <c r="E424" s="13" t="str">
        <f t="shared" si="56"/>
        <v>Loneliness</v>
      </c>
      <c r="F424" s="13" t="str">
        <f t="shared" si="57"/>
        <v>LONELINESS</v>
      </c>
      <c r="G424" s="13" t="str">
        <f t="shared" si="58"/>
        <v>loneliness</v>
      </c>
      <c r="H424" s="13" t="str">
        <f t="shared" si="59"/>
        <v>Loneliness</v>
      </c>
      <c r="I424" s="13">
        <f t="shared" si="60"/>
        <v>15</v>
      </c>
      <c r="J424" s="13">
        <f t="shared" si="61"/>
        <v>10</v>
      </c>
      <c r="K424" s="13">
        <f t="shared" si="62"/>
        <v>5</v>
      </c>
    </row>
    <row r="425" spans="1:11" x14ac:dyDescent="0.25">
      <c r="A425" s="13">
        <f>'Raw Data'!A425</f>
        <v>423</v>
      </c>
      <c r="B425" s="13" t="str">
        <f>'Raw Data'!C425</f>
        <v xml:space="preserve"> Grief      </v>
      </c>
      <c r="C425" s="13" t="str">
        <f t="shared" si="54"/>
        <v>Grief</v>
      </c>
      <c r="D425" s="13" t="str">
        <f t="shared" si="55"/>
        <v xml:space="preserve"> Grief      </v>
      </c>
      <c r="E425" s="13" t="str">
        <f t="shared" si="56"/>
        <v>Grief</v>
      </c>
      <c r="F425" s="13" t="str">
        <f t="shared" si="57"/>
        <v>GRIEF</v>
      </c>
      <c r="G425" s="13" t="str">
        <f t="shared" si="58"/>
        <v>grief</v>
      </c>
      <c r="H425" s="13" t="str">
        <f t="shared" si="59"/>
        <v>Grief</v>
      </c>
      <c r="I425" s="13">
        <f t="shared" si="60"/>
        <v>12</v>
      </c>
      <c r="J425" s="13">
        <f t="shared" si="61"/>
        <v>5</v>
      </c>
      <c r="K425" s="13">
        <f t="shared" si="62"/>
        <v>7</v>
      </c>
    </row>
    <row r="426" spans="1:11" x14ac:dyDescent="0.25">
      <c r="A426" s="13">
        <f>'Raw Data'!A426</f>
        <v>424</v>
      </c>
      <c r="B426" s="13" t="str">
        <f>'Raw Data'!C426</f>
        <v xml:space="preserve"> Despair   </v>
      </c>
      <c r="C426" s="13" t="str">
        <f t="shared" si="54"/>
        <v>Despair</v>
      </c>
      <c r="D426" s="13" t="str">
        <f t="shared" si="55"/>
        <v xml:space="preserve"> Despair   </v>
      </c>
      <c r="E426" s="13" t="str">
        <f t="shared" si="56"/>
        <v>Despair</v>
      </c>
      <c r="F426" s="13" t="str">
        <f t="shared" si="57"/>
        <v>DESPAIR</v>
      </c>
      <c r="G426" s="13" t="str">
        <f t="shared" si="58"/>
        <v>despair</v>
      </c>
      <c r="H426" s="13" t="str">
        <f t="shared" si="59"/>
        <v>Despair</v>
      </c>
      <c r="I426" s="13">
        <f t="shared" si="60"/>
        <v>11</v>
      </c>
      <c r="J426" s="13">
        <f t="shared" si="61"/>
        <v>7</v>
      </c>
      <c r="K426" s="13">
        <f t="shared" si="62"/>
        <v>4</v>
      </c>
    </row>
    <row r="427" spans="1:11" x14ac:dyDescent="0.25">
      <c r="A427" s="13">
        <f>'Raw Data'!A427</f>
        <v>425</v>
      </c>
      <c r="B427" s="13" t="str">
        <f>'Raw Data'!C427</f>
        <v xml:space="preserve"> Betrayal      </v>
      </c>
      <c r="C427" s="13" t="str">
        <f t="shared" si="54"/>
        <v>Betrayal</v>
      </c>
      <c r="D427" s="13" t="str">
        <f t="shared" si="55"/>
        <v xml:space="preserve"> Betrayal      </v>
      </c>
      <c r="E427" s="13" t="str">
        <f t="shared" si="56"/>
        <v>Betrayal</v>
      </c>
      <c r="F427" s="13" t="str">
        <f t="shared" si="57"/>
        <v>BETRAYAL</v>
      </c>
      <c r="G427" s="13" t="str">
        <f t="shared" si="58"/>
        <v>betrayal</v>
      </c>
      <c r="H427" s="13" t="str">
        <f t="shared" si="59"/>
        <v>Betrayal</v>
      </c>
      <c r="I427" s="13">
        <f t="shared" si="60"/>
        <v>15</v>
      </c>
      <c r="J427" s="13">
        <f t="shared" si="61"/>
        <v>8</v>
      </c>
      <c r="K427" s="13">
        <f t="shared" si="62"/>
        <v>7</v>
      </c>
    </row>
    <row r="428" spans="1:11" x14ac:dyDescent="0.25">
      <c r="A428" s="13">
        <f>'Raw Data'!A428</f>
        <v>426</v>
      </c>
      <c r="B428" s="13" t="str">
        <f>'Raw Data'!C428</f>
        <v xml:space="preserve"> Suffering </v>
      </c>
      <c r="C428" s="13" t="str">
        <f t="shared" si="54"/>
        <v>Suffering</v>
      </c>
      <c r="D428" s="13" t="str">
        <f t="shared" si="55"/>
        <v xml:space="preserve"> Suffering </v>
      </c>
      <c r="E428" s="13" t="str">
        <f t="shared" si="56"/>
        <v>Suffering</v>
      </c>
      <c r="F428" s="13" t="str">
        <f t="shared" si="57"/>
        <v>SUFFERING</v>
      </c>
      <c r="G428" s="13" t="str">
        <f t="shared" si="58"/>
        <v>suffering</v>
      </c>
      <c r="H428" s="13" t="str">
        <f t="shared" si="59"/>
        <v>Suffering</v>
      </c>
      <c r="I428" s="13">
        <f t="shared" si="60"/>
        <v>11</v>
      </c>
      <c r="J428" s="13">
        <f t="shared" si="61"/>
        <v>9</v>
      </c>
      <c r="K428" s="13">
        <f t="shared" si="62"/>
        <v>2</v>
      </c>
    </row>
    <row r="429" spans="1:11" x14ac:dyDescent="0.25">
      <c r="A429" s="13">
        <f>'Raw Data'!A429</f>
        <v>427</v>
      </c>
      <c r="B429" s="13" t="str">
        <f>'Raw Data'!C429</f>
        <v xml:space="preserve"> EmotionalStorm </v>
      </c>
      <c r="C429" s="13" t="str">
        <f t="shared" si="54"/>
        <v>EmotionalStorm</v>
      </c>
      <c r="D429" s="13" t="str">
        <f t="shared" si="55"/>
        <v xml:space="preserve"> EmotionalStorm </v>
      </c>
      <c r="E429" s="13" t="str">
        <f t="shared" si="56"/>
        <v>EmotionalStorm</v>
      </c>
      <c r="F429" s="13" t="str">
        <f t="shared" si="57"/>
        <v>EMOTIONALSTORM</v>
      </c>
      <c r="G429" s="13" t="str">
        <f t="shared" si="58"/>
        <v>emotionalstorm</v>
      </c>
      <c r="H429" s="13" t="str">
        <f t="shared" si="59"/>
        <v>Emotionalstorm</v>
      </c>
      <c r="I429" s="13">
        <f t="shared" si="60"/>
        <v>16</v>
      </c>
      <c r="J429" s="13">
        <f t="shared" si="61"/>
        <v>14</v>
      </c>
      <c r="K429" s="13">
        <f t="shared" si="62"/>
        <v>2</v>
      </c>
    </row>
    <row r="430" spans="1:11" x14ac:dyDescent="0.25">
      <c r="A430" s="13">
        <f>'Raw Data'!A430</f>
        <v>428</v>
      </c>
      <c r="B430" s="13" t="str">
        <f>'Raw Data'!C430</f>
        <v xml:space="preserve"> Regret        </v>
      </c>
      <c r="C430" s="13" t="str">
        <f t="shared" si="54"/>
        <v>Regret</v>
      </c>
      <c r="D430" s="13" t="str">
        <f t="shared" si="55"/>
        <v xml:space="preserve"> Regret        </v>
      </c>
      <c r="E430" s="13" t="str">
        <f t="shared" si="56"/>
        <v>Regret</v>
      </c>
      <c r="F430" s="13" t="str">
        <f t="shared" si="57"/>
        <v>REGRET</v>
      </c>
      <c r="G430" s="13" t="str">
        <f t="shared" si="58"/>
        <v>regret</v>
      </c>
      <c r="H430" s="13" t="str">
        <f t="shared" si="59"/>
        <v>Regret</v>
      </c>
      <c r="I430" s="13">
        <f t="shared" si="60"/>
        <v>15</v>
      </c>
      <c r="J430" s="13">
        <f t="shared" si="61"/>
        <v>6</v>
      </c>
      <c r="K430" s="13">
        <f t="shared" si="62"/>
        <v>9</v>
      </c>
    </row>
    <row r="431" spans="1:11" x14ac:dyDescent="0.25">
      <c r="A431" s="13">
        <f>'Raw Data'!A431</f>
        <v>429</v>
      </c>
      <c r="B431" s="13" t="str">
        <f>'Raw Data'!C431</f>
        <v xml:space="preserve"> Grief      </v>
      </c>
      <c r="C431" s="13" t="str">
        <f t="shared" si="54"/>
        <v>Grief</v>
      </c>
      <c r="D431" s="13" t="str">
        <f t="shared" si="55"/>
        <v xml:space="preserve"> Grief      </v>
      </c>
      <c r="E431" s="13" t="str">
        <f t="shared" si="56"/>
        <v>Grief</v>
      </c>
      <c r="F431" s="13" t="str">
        <f t="shared" si="57"/>
        <v>GRIEF</v>
      </c>
      <c r="G431" s="13" t="str">
        <f t="shared" si="58"/>
        <v>grief</v>
      </c>
      <c r="H431" s="13" t="str">
        <f t="shared" si="59"/>
        <v>Grief</v>
      </c>
      <c r="I431" s="13">
        <f t="shared" si="60"/>
        <v>12</v>
      </c>
      <c r="J431" s="13">
        <f t="shared" si="61"/>
        <v>5</v>
      </c>
      <c r="K431" s="13">
        <f t="shared" si="62"/>
        <v>7</v>
      </c>
    </row>
    <row r="432" spans="1:11" x14ac:dyDescent="0.25">
      <c r="A432" s="13">
        <f>'Raw Data'!A432</f>
        <v>430</v>
      </c>
      <c r="B432" s="13" t="str">
        <f>'Raw Data'!C432</f>
        <v xml:space="preserve"> Isolation </v>
      </c>
      <c r="C432" s="13" t="str">
        <f t="shared" si="54"/>
        <v>Isolation</v>
      </c>
      <c r="D432" s="13" t="str">
        <f t="shared" si="55"/>
        <v xml:space="preserve"> Isolation </v>
      </c>
      <c r="E432" s="13" t="str">
        <f t="shared" si="56"/>
        <v>Isolation</v>
      </c>
      <c r="F432" s="13" t="str">
        <f t="shared" si="57"/>
        <v>ISOLATION</v>
      </c>
      <c r="G432" s="13" t="str">
        <f t="shared" si="58"/>
        <v>isolation</v>
      </c>
      <c r="H432" s="13" t="str">
        <f t="shared" si="59"/>
        <v>Isolation</v>
      </c>
      <c r="I432" s="13">
        <f t="shared" si="60"/>
        <v>11</v>
      </c>
      <c r="J432" s="13">
        <f t="shared" si="61"/>
        <v>9</v>
      </c>
      <c r="K432" s="13">
        <f t="shared" si="62"/>
        <v>2</v>
      </c>
    </row>
    <row r="433" spans="1:11" x14ac:dyDescent="0.25">
      <c r="A433" s="13">
        <f>'Raw Data'!A433</f>
        <v>431</v>
      </c>
      <c r="B433" s="13" t="str">
        <f>'Raw Data'!C433</f>
        <v xml:space="preserve"> Disappointment </v>
      </c>
      <c r="C433" s="13" t="str">
        <f t="shared" si="54"/>
        <v>Disappointment</v>
      </c>
      <c r="D433" s="13" t="str">
        <f t="shared" si="55"/>
        <v xml:space="preserve"> Disappointment </v>
      </c>
      <c r="E433" s="13" t="str">
        <f t="shared" si="56"/>
        <v>Disappointment</v>
      </c>
      <c r="F433" s="13" t="str">
        <f t="shared" si="57"/>
        <v>DISAPPOINTMENT</v>
      </c>
      <c r="G433" s="13" t="str">
        <f t="shared" si="58"/>
        <v>disappointment</v>
      </c>
      <c r="H433" s="13" t="str">
        <f t="shared" si="59"/>
        <v>Disappointment</v>
      </c>
      <c r="I433" s="13">
        <f t="shared" si="60"/>
        <v>16</v>
      </c>
      <c r="J433" s="13">
        <f t="shared" si="61"/>
        <v>14</v>
      </c>
      <c r="K433" s="13">
        <f t="shared" si="62"/>
        <v>2</v>
      </c>
    </row>
    <row r="434" spans="1:11" x14ac:dyDescent="0.25">
      <c r="A434" s="13">
        <f>'Raw Data'!A434</f>
        <v>432</v>
      </c>
      <c r="B434" s="13" t="str">
        <f>'Raw Data'!C434</f>
        <v xml:space="preserve"> LostLove </v>
      </c>
      <c r="C434" s="13" t="str">
        <f t="shared" si="54"/>
        <v>LostLove</v>
      </c>
      <c r="D434" s="13" t="str">
        <f t="shared" si="55"/>
        <v xml:space="preserve"> LostLove </v>
      </c>
      <c r="E434" s="13" t="str">
        <f t="shared" si="56"/>
        <v>LostLove</v>
      </c>
      <c r="F434" s="13" t="str">
        <f t="shared" si="57"/>
        <v>LOSTLOVE</v>
      </c>
      <c r="G434" s="13" t="str">
        <f t="shared" si="58"/>
        <v>lostlove</v>
      </c>
      <c r="H434" s="13" t="str">
        <f t="shared" si="59"/>
        <v>Lostlove</v>
      </c>
      <c r="I434" s="13">
        <f t="shared" si="60"/>
        <v>10</v>
      </c>
      <c r="J434" s="13">
        <f t="shared" si="61"/>
        <v>8</v>
      </c>
      <c r="K434" s="13">
        <f t="shared" si="62"/>
        <v>2</v>
      </c>
    </row>
    <row r="435" spans="1:11" x14ac:dyDescent="0.25">
      <c r="A435" s="13">
        <f>'Raw Data'!A435</f>
        <v>433</v>
      </c>
      <c r="B435" s="13" t="str">
        <f>'Raw Data'!C435</f>
        <v xml:space="preserve"> Despair   </v>
      </c>
      <c r="C435" s="13" t="str">
        <f t="shared" si="54"/>
        <v>Despair</v>
      </c>
      <c r="D435" s="13" t="str">
        <f t="shared" si="55"/>
        <v xml:space="preserve"> Despair   </v>
      </c>
      <c r="E435" s="13" t="str">
        <f t="shared" si="56"/>
        <v>Despair</v>
      </c>
      <c r="F435" s="13" t="str">
        <f t="shared" si="57"/>
        <v>DESPAIR</v>
      </c>
      <c r="G435" s="13" t="str">
        <f t="shared" si="58"/>
        <v>despair</v>
      </c>
      <c r="H435" s="13" t="str">
        <f t="shared" si="59"/>
        <v>Despair</v>
      </c>
      <c r="I435" s="13">
        <f t="shared" si="60"/>
        <v>11</v>
      </c>
      <c r="J435" s="13">
        <f t="shared" si="61"/>
        <v>7</v>
      </c>
      <c r="K435" s="13">
        <f t="shared" si="62"/>
        <v>4</v>
      </c>
    </row>
    <row r="436" spans="1:11" x14ac:dyDescent="0.25">
      <c r="A436" s="13">
        <f>'Raw Data'!A436</f>
        <v>434</v>
      </c>
      <c r="B436" s="13" t="str">
        <f>'Raw Data'!C436</f>
        <v xml:space="preserve"> Melancholy </v>
      </c>
      <c r="C436" s="13" t="str">
        <f t="shared" si="54"/>
        <v>Melancholy</v>
      </c>
      <c r="D436" s="13" t="str">
        <f t="shared" si="55"/>
        <v xml:space="preserve"> Melancholy </v>
      </c>
      <c r="E436" s="13" t="str">
        <f t="shared" si="56"/>
        <v>Melancholy</v>
      </c>
      <c r="F436" s="13" t="str">
        <f t="shared" si="57"/>
        <v>MELANCHOLY</v>
      </c>
      <c r="G436" s="13" t="str">
        <f t="shared" si="58"/>
        <v>melancholy</v>
      </c>
      <c r="H436" s="13" t="str">
        <f t="shared" si="59"/>
        <v>Melancholy</v>
      </c>
      <c r="I436" s="13">
        <f t="shared" si="60"/>
        <v>12</v>
      </c>
      <c r="J436" s="13">
        <f t="shared" si="61"/>
        <v>10</v>
      </c>
      <c r="K436" s="13">
        <f t="shared" si="62"/>
        <v>2</v>
      </c>
    </row>
    <row r="437" spans="1:11" x14ac:dyDescent="0.25">
      <c r="A437" s="13">
        <f>'Raw Data'!A437</f>
        <v>435</v>
      </c>
      <c r="B437" s="13" t="str">
        <f>'Raw Data'!C437</f>
        <v xml:space="preserve"> Bitterness </v>
      </c>
      <c r="C437" s="13" t="str">
        <f t="shared" si="54"/>
        <v>Bitterness</v>
      </c>
      <c r="D437" s="13" t="str">
        <f t="shared" si="55"/>
        <v xml:space="preserve"> Bitterness </v>
      </c>
      <c r="E437" s="13" t="str">
        <f t="shared" si="56"/>
        <v>Bitterness</v>
      </c>
      <c r="F437" s="13" t="str">
        <f t="shared" si="57"/>
        <v>BITTERNESS</v>
      </c>
      <c r="G437" s="13" t="str">
        <f t="shared" si="58"/>
        <v>bitterness</v>
      </c>
      <c r="H437" s="13" t="str">
        <f t="shared" si="59"/>
        <v>Bitterness</v>
      </c>
      <c r="I437" s="13">
        <f t="shared" si="60"/>
        <v>12</v>
      </c>
      <c r="J437" s="13">
        <f t="shared" si="61"/>
        <v>10</v>
      </c>
      <c r="K437" s="13">
        <f t="shared" si="62"/>
        <v>2</v>
      </c>
    </row>
    <row r="438" spans="1:11" x14ac:dyDescent="0.25">
      <c r="A438" s="13">
        <f>'Raw Data'!A438</f>
        <v>436</v>
      </c>
      <c r="B438" s="13" t="str">
        <f>'Raw Data'!C438</f>
        <v xml:space="preserve"> Exhaustion </v>
      </c>
      <c r="C438" s="13" t="str">
        <f t="shared" si="54"/>
        <v>Exhaustion</v>
      </c>
      <c r="D438" s="13" t="str">
        <f t="shared" si="55"/>
        <v xml:space="preserve"> Exhaustion </v>
      </c>
      <c r="E438" s="13" t="str">
        <f t="shared" si="56"/>
        <v>Exhaustion</v>
      </c>
      <c r="F438" s="13" t="str">
        <f t="shared" si="57"/>
        <v>EXHAUSTION</v>
      </c>
      <c r="G438" s="13" t="str">
        <f t="shared" si="58"/>
        <v>exhaustion</v>
      </c>
      <c r="H438" s="13" t="str">
        <f t="shared" si="59"/>
        <v>Exhaustion</v>
      </c>
      <c r="I438" s="13">
        <f t="shared" si="60"/>
        <v>12</v>
      </c>
      <c r="J438" s="13">
        <f t="shared" si="61"/>
        <v>10</v>
      </c>
      <c r="K438" s="13">
        <f t="shared" si="62"/>
        <v>2</v>
      </c>
    </row>
    <row r="439" spans="1:11" x14ac:dyDescent="0.25">
      <c r="A439" s="13">
        <f>'Raw Data'!A439</f>
        <v>437</v>
      </c>
      <c r="B439" s="13" t="str">
        <f>'Raw Data'!C439</f>
        <v xml:space="preserve"> Sorrow      </v>
      </c>
      <c r="C439" s="13" t="str">
        <f t="shared" si="54"/>
        <v>Sorrow</v>
      </c>
      <c r="D439" s="13" t="str">
        <f t="shared" si="55"/>
        <v xml:space="preserve"> Sorrow      </v>
      </c>
      <c r="E439" s="13" t="str">
        <f t="shared" si="56"/>
        <v>Sorrow</v>
      </c>
      <c r="F439" s="13" t="str">
        <f t="shared" si="57"/>
        <v>SORROW</v>
      </c>
      <c r="G439" s="13" t="str">
        <f t="shared" si="58"/>
        <v>sorrow</v>
      </c>
      <c r="H439" s="13" t="str">
        <f t="shared" si="59"/>
        <v>Sorrow</v>
      </c>
      <c r="I439" s="13">
        <f t="shared" si="60"/>
        <v>13</v>
      </c>
      <c r="J439" s="13">
        <f t="shared" si="61"/>
        <v>6</v>
      </c>
      <c r="K439" s="13">
        <f t="shared" si="62"/>
        <v>7</v>
      </c>
    </row>
    <row r="440" spans="1:11" x14ac:dyDescent="0.25">
      <c r="A440" s="13">
        <f>'Raw Data'!A440</f>
        <v>438</v>
      </c>
      <c r="B440" s="13" t="str">
        <f>'Raw Data'!C440</f>
        <v xml:space="preserve"> Darkness     </v>
      </c>
      <c r="C440" s="13" t="str">
        <f t="shared" si="54"/>
        <v>Darkness</v>
      </c>
      <c r="D440" s="13" t="str">
        <f t="shared" si="55"/>
        <v xml:space="preserve"> Darkness     </v>
      </c>
      <c r="E440" s="13" t="str">
        <f t="shared" si="56"/>
        <v>Darkness</v>
      </c>
      <c r="F440" s="13" t="str">
        <f t="shared" si="57"/>
        <v>DARKNESS</v>
      </c>
      <c r="G440" s="13" t="str">
        <f t="shared" si="58"/>
        <v>darkness</v>
      </c>
      <c r="H440" s="13" t="str">
        <f t="shared" si="59"/>
        <v>Darkness</v>
      </c>
      <c r="I440" s="13">
        <f t="shared" si="60"/>
        <v>14</v>
      </c>
      <c r="J440" s="13">
        <f t="shared" si="61"/>
        <v>8</v>
      </c>
      <c r="K440" s="13">
        <f t="shared" si="62"/>
        <v>6</v>
      </c>
    </row>
    <row r="441" spans="1:11" x14ac:dyDescent="0.25">
      <c r="A441" s="13">
        <f>'Raw Data'!A441</f>
        <v>439</v>
      </c>
      <c r="B441" s="13" t="str">
        <f>'Raw Data'!C441</f>
        <v xml:space="preserve"> Desperation </v>
      </c>
      <c r="C441" s="13" t="str">
        <f t="shared" si="54"/>
        <v>Desperation</v>
      </c>
      <c r="D441" s="13" t="str">
        <f t="shared" si="55"/>
        <v xml:space="preserve"> Desperation </v>
      </c>
      <c r="E441" s="13" t="str">
        <f t="shared" si="56"/>
        <v>Desperation</v>
      </c>
      <c r="F441" s="13" t="str">
        <f t="shared" si="57"/>
        <v>DESPERATION</v>
      </c>
      <c r="G441" s="13" t="str">
        <f t="shared" si="58"/>
        <v>desperation</v>
      </c>
      <c r="H441" s="13" t="str">
        <f t="shared" si="59"/>
        <v>Desperation</v>
      </c>
      <c r="I441" s="13">
        <f t="shared" si="60"/>
        <v>13</v>
      </c>
      <c r="J441" s="13">
        <f t="shared" si="61"/>
        <v>11</v>
      </c>
      <c r="K441" s="13">
        <f t="shared" si="62"/>
        <v>2</v>
      </c>
    </row>
    <row r="442" spans="1:11" x14ac:dyDescent="0.25">
      <c r="A442" s="13">
        <f>'Raw Data'!A442</f>
        <v>440</v>
      </c>
      <c r="B442" s="13" t="str">
        <f>'Raw Data'!C442</f>
        <v xml:space="preserve"> Ruins      </v>
      </c>
      <c r="C442" s="13" t="str">
        <f t="shared" si="54"/>
        <v>Ruins</v>
      </c>
      <c r="D442" s="13" t="str">
        <f t="shared" si="55"/>
        <v xml:space="preserve"> Ruins      </v>
      </c>
      <c r="E442" s="13" t="str">
        <f t="shared" si="56"/>
        <v>Ruins</v>
      </c>
      <c r="F442" s="13" t="str">
        <f t="shared" si="57"/>
        <v>RUINS</v>
      </c>
      <c r="G442" s="13" t="str">
        <f t="shared" si="58"/>
        <v>ruins</v>
      </c>
      <c r="H442" s="13" t="str">
        <f t="shared" si="59"/>
        <v>Ruins</v>
      </c>
      <c r="I442" s="13">
        <f t="shared" si="60"/>
        <v>12</v>
      </c>
      <c r="J442" s="13">
        <f t="shared" si="61"/>
        <v>5</v>
      </c>
      <c r="K442" s="13">
        <f t="shared" si="62"/>
        <v>7</v>
      </c>
    </row>
    <row r="443" spans="1:11" x14ac:dyDescent="0.25">
      <c r="A443" s="13">
        <f>'Raw Data'!A443</f>
        <v>441</v>
      </c>
      <c r="B443" s="13" t="str">
        <f>'Raw Data'!C443</f>
        <v xml:space="preserve"> Desolation </v>
      </c>
      <c r="C443" s="13" t="str">
        <f t="shared" si="54"/>
        <v>Desolation</v>
      </c>
      <c r="D443" s="13" t="str">
        <f t="shared" si="55"/>
        <v xml:space="preserve"> Desolation </v>
      </c>
      <c r="E443" s="13" t="str">
        <f t="shared" si="56"/>
        <v>Desolation</v>
      </c>
      <c r="F443" s="13" t="str">
        <f t="shared" si="57"/>
        <v>DESOLATION</v>
      </c>
      <c r="G443" s="13" t="str">
        <f t="shared" si="58"/>
        <v>desolation</v>
      </c>
      <c r="H443" s="13" t="str">
        <f t="shared" si="59"/>
        <v>Desolation</v>
      </c>
      <c r="I443" s="13">
        <f t="shared" si="60"/>
        <v>12</v>
      </c>
      <c r="J443" s="13">
        <f t="shared" si="61"/>
        <v>10</v>
      </c>
      <c r="K443" s="13">
        <f t="shared" si="62"/>
        <v>2</v>
      </c>
    </row>
    <row r="444" spans="1:11" x14ac:dyDescent="0.25">
      <c r="A444" s="13">
        <f>'Raw Data'!A444</f>
        <v>442</v>
      </c>
      <c r="B444" s="13" t="str">
        <f>'Raw Data'!C444</f>
        <v xml:space="preserve"> Regret </v>
      </c>
      <c r="C444" s="13" t="str">
        <f t="shared" si="54"/>
        <v>Regret</v>
      </c>
      <c r="D444" s="13" t="str">
        <f t="shared" si="55"/>
        <v xml:space="preserve"> Regret </v>
      </c>
      <c r="E444" s="13" t="str">
        <f t="shared" si="56"/>
        <v>Regret</v>
      </c>
      <c r="F444" s="13" t="str">
        <f t="shared" si="57"/>
        <v>REGRET</v>
      </c>
      <c r="G444" s="13" t="str">
        <f t="shared" si="58"/>
        <v>regret</v>
      </c>
      <c r="H444" s="13" t="str">
        <f t="shared" si="59"/>
        <v>Regret</v>
      </c>
      <c r="I444" s="13">
        <f t="shared" si="60"/>
        <v>8</v>
      </c>
      <c r="J444" s="13">
        <f t="shared" si="61"/>
        <v>6</v>
      </c>
      <c r="K444" s="13">
        <f t="shared" si="62"/>
        <v>2</v>
      </c>
    </row>
    <row r="445" spans="1:11" x14ac:dyDescent="0.25">
      <c r="A445" s="13">
        <f>'Raw Data'!A445</f>
        <v>443</v>
      </c>
      <c r="B445" s="13" t="str">
        <f>'Raw Data'!C445</f>
        <v xml:space="preserve"> Grief </v>
      </c>
      <c r="C445" s="13" t="str">
        <f t="shared" si="54"/>
        <v>Grief</v>
      </c>
      <c r="D445" s="13" t="str">
        <f t="shared" si="55"/>
        <v xml:space="preserve"> Grief </v>
      </c>
      <c r="E445" s="13" t="str">
        <f t="shared" si="56"/>
        <v>Grief</v>
      </c>
      <c r="F445" s="13" t="str">
        <f t="shared" si="57"/>
        <v>GRIEF</v>
      </c>
      <c r="G445" s="13" t="str">
        <f t="shared" si="58"/>
        <v>grief</v>
      </c>
      <c r="H445" s="13" t="str">
        <f t="shared" si="59"/>
        <v>Grief</v>
      </c>
      <c r="I445" s="13">
        <f t="shared" si="60"/>
        <v>7</v>
      </c>
      <c r="J445" s="13">
        <f t="shared" si="61"/>
        <v>5</v>
      </c>
      <c r="K445" s="13">
        <f t="shared" si="62"/>
        <v>2</v>
      </c>
    </row>
    <row r="446" spans="1:11" x14ac:dyDescent="0.25">
      <c r="A446" s="13">
        <f>'Raw Data'!A446</f>
        <v>444</v>
      </c>
      <c r="B446" s="13" t="str">
        <f>'Raw Data'!C446</f>
        <v xml:space="preserve"> Loneliness </v>
      </c>
      <c r="C446" s="13" t="str">
        <f t="shared" si="54"/>
        <v>Loneliness</v>
      </c>
      <c r="D446" s="13" t="str">
        <f t="shared" si="55"/>
        <v xml:space="preserve"> Loneliness </v>
      </c>
      <c r="E446" s="13" t="str">
        <f t="shared" si="56"/>
        <v>Loneliness</v>
      </c>
      <c r="F446" s="13" t="str">
        <f t="shared" si="57"/>
        <v>LONELINESS</v>
      </c>
      <c r="G446" s="13" t="str">
        <f t="shared" si="58"/>
        <v>loneliness</v>
      </c>
      <c r="H446" s="13" t="str">
        <f t="shared" si="59"/>
        <v>Loneliness</v>
      </c>
      <c r="I446" s="13">
        <f t="shared" si="60"/>
        <v>12</v>
      </c>
      <c r="J446" s="13">
        <f t="shared" si="61"/>
        <v>10</v>
      </c>
      <c r="K446" s="13">
        <f t="shared" si="62"/>
        <v>2</v>
      </c>
    </row>
    <row r="447" spans="1:11" x14ac:dyDescent="0.25">
      <c r="A447" s="13">
        <f>'Raw Data'!A447</f>
        <v>445</v>
      </c>
      <c r="B447" s="13" t="str">
        <f>'Raw Data'!C447</f>
        <v xml:space="preserve"> Bitterness </v>
      </c>
      <c r="C447" s="13" t="str">
        <f t="shared" si="54"/>
        <v>Bitterness</v>
      </c>
      <c r="D447" s="13" t="str">
        <f t="shared" si="55"/>
        <v xml:space="preserve"> Bitterness </v>
      </c>
      <c r="E447" s="13" t="str">
        <f t="shared" si="56"/>
        <v>Bitterness</v>
      </c>
      <c r="F447" s="13" t="str">
        <f t="shared" si="57"/>
        <v>BITTERNESS</v>
      </c>
      <c r="G447" s="13" t="str">
        <f t="shared" si="58"/>
        <v>bitterness</v>
      </c>
      <c r="H447" s="13" t="str">
        <f t="shared" si="59"/>
        <v>Bitterness</v>
      </c>
      <c r="I447" s="13">
        <f t="shared" si="60"/>
        <v>12</v>
      </c>
      <c r="J447" s="13">
        <f t="shared" si="61"/>
        <v>10</v>
      </c>
      <c r="K447" s="13">
        <f t="shared" si="62"/>
        <v>2</v>
      </c>
    </row>
    <row r="448" spans="1:11" x14ac:dyDescent="0.25">
      <c r="A448" s="13">
        <f>'Raw Data'!A448</f>
        <v>446</v>
      </c>
      <c r="B448" s="13" t="str">
        <f>'Raw Data'!C448</f>
        <v xml:space="preserve"> Desolation </v>
      </c>
      <c r="C448" s="13" t="str">
        <f t="shared" si="54"/>
        <v>Desolation</v>
      </c>
      <c r="D448" s="13" t="str">
        <f t="shared" si="55"/>
        <v xml:space="preserve"> Desolation </v>
      </c>
      <c r="E448" s="13" t="str">
        <f t="shared" si="56"/>
        <v>Desolation</v>
      </c>
      <c r="F448" s="13" t="str">
        <f t="shared" si="57"/>
        <v>DESOLATION</v>
      </c>
      <c r="G448" s="13" t="str">
        <f t="shared" si="58"/>
        <v>desolation</v>
      </c>
      <c r="H448" s="13" t="str">
        <f t="shared" si="59"/>
        <v>Desolation</v>
      </c>
      <c r="I448" s="13">
        <f t="shared" si="60"/>
        <v>12</v>
      </c>
      <c r="J448" s="13">
        <f t="shared" si="61"/>
        <v>10</v>
      </c>
      <c r="K448" s="13">
        <f t="shared" si="62"/>
        <v>2</v>
      </c>
    </row>
    <row r="449" spans="1:11" x14ac:dyDescent="0.25">
      <c r="A449" s="13">
        <f>'Raw Data'!A449</f>
        <v>447</v>
      </c>
      <c r="B449" s="13" t="str">
        <f>'Raw Data'!C449</f>
        <v xml:space="preserve"> Heartbreak </v>
      </c>
      <c r="C449" s="13" t="str">
        <f t="shared" si="54"/>
        <v>Heartbreak</v>
      </c>
      <c r="D449" s="13" t="str">
        <f t="shared" si="55"/>
        <v xml:space="preserve"> Heartbreak </v>
      </c>
      <c r="E449" s="13" t="str">
        <f t="shared" si="56"/>
        <v>Heartbreak</v>
      </c>
      <c r="F449" s="13" t="str">
        <f t="shared" si="57"/>
        <v>HEARTBREAK</v>
      </c>
      <c r="G449" s="13" t="str">
        <f t="shared" si="58"/>
        <v>heartbreak</v>
      </c>
      <c r="H449" s="13" t="str">
        <f t="shared" si="59"/>
        <v>Heartbreak</v>
      </c>
      <c r="I449" s="13">
        <f t="shared" si="60"/>
        <v>12</v>
      </c>
      <c r="J449" s="13">
        <f t="shared" si="61"/>
        <v>10</v>
      </c>
      <c r="K449" s="13">
        <f t="shared" si="62"/>
        <v>2</v>
      </c>
    </row>
    <row r="450" spans="1:11" x14ac:dyDescent="0.25">
      <c r="A450" s="13">
        <f>'Raw Data'!A450</f>
        <v>448</v>
      </c>
      <c r="B450" s="13" t="str">
        <f>'Raw Data'!C450</f>
        <v xml:space="preserve"> Grief </v>
      </c>
      <c r="C450" s="13" t="str">
        <f t="shared" si="54"/>
        <v>Grief</v>
      </c>
      <c r="D450" s="13" t="str">
        <f t="shared" si="55"/>
        <v xml:space="preserve"> Grief </v>
      </c>
      <c r="E450" s="13" t="str">
        <f t="shared" si="56"/>
        <v>Grief</v>
      </c>
      <c r="F450" s="13" t="str">
        <f t="shared" si="57"/>
        <v>GRIEF</v>
      </c>
      <c r="G450" s="13" t="str">
        <f t="shared" si="58"/>
        <v>grief</v>
      </c>
      <c r="H450" s="13" t="str">
        <f t="shared" si="59"/>
        <v>Grief</v>
      </c>
      <c r="I450" s="13">
        <f t="shared" si="60"/>
        <v>7</v>
      </c>
      <c r="J450" s="13">
        <f t="shared" si="61"/>
        <v>5</v>
      </c>
      <c r="K450" s="13">
        <f t="shared" si="62"/>
        <v>2</v>
      </c>
    </row>
    <row r="451" spans="1:11" x14ac:dyDescent="0.25">
      <c r="A451" s="13">
        <f>'Raw Data'!A451</f>
        <v>449</v>
      </c>
      <c r="B451" s="13" t="str">
        <f>'Raw Data'!C451</f>
        <v xml:space="preserve"> Betrayal </v>
      </c>
      <c r="C451" s="13" t="str">
        <f t="shared" si="54"/>
        <v>Betrayal</v>
      </c>
      <c r="D451" s="13" t="str">
        <f t="shared" si="55"/>
        <v xml:space="preserve"> Betrayal </v>
      </c>
      <c r="E451" s="13" t="str">
        <f t="shared" si="56"/>
        <v>Betrayal</v>
      </c>
      <c r="F451" s="13" t="str">
        <f t="shared" si="57"/>
        <v>BETRAYAL</v>
      </c>
      <c r="G451" s="13" t="str">
        <f t="shared" si="58"/>
        <v>betrayal</v>
      </c>
      <c r="H451" s="13" t="str">
        <f t="shared" si="59"/>
        <v>Betrayal</v>
      </c>
      <c r="I451" s="13">
        <f t="shared" si="60"/>
        <v>10</v>
      </c>
      <c r="J451" s="13">
        <f t="shared" si="61"/>
        <v>8</v>
      </c>
      <c r="K451" s="13">
        <f t="shared" si="62"/>
        <v>2</v>
      </c>
    </row>
    <row r="452" spans="1:11" x14ac:dyDescent="0.25">
      <c r="A452" s="13">
        <f>'Raw Data'!A452</f>
        <v>450</v>
      </c>
      <c r="B452" s="13" t="str">
        <f>'Raw Data'!C452</f>
        <v xml:space="preserve"> Resilience </v>
      </c>
      <c r="C452" s="13" t="str">
        <f t="shared" ref="C452:C515" si="63">TRIM(B452)</f>
        <v>Resilience</v>
      </c>
      <c r="D452" s="13" t="str">
        <f t="shared" ref="D452:D515" si="64">CLEAN(B452)</f>
        <v xml:space="preserve"> Resilience </v>
      </c>
      <c r="E452" s="13" t="str">
        <f t="shared" ref="E452:E515" si="65">SUBSTITUTE(SUBSTITUTE(SUBSTITUTE(TRIM(B452),"Positive","Pos"),"Negative","Neg"),"Neutral","Neu")</f>
        <v>Resilience</v>
      </c>
      <c r="F452" s="13" t="str">
        <f t="shared" ref="F452:F515" si="66">UPPER(TRIM(B452))</f>
        <v>RESILIENCE</v>
      </c>
      <c r="G452" s="13" t="str">
        <f t="shared" ref="G452:G515" si="67">LOWER(TRIM(B452))</f>
        <v>resilience</v>
      </c>
      <c r="H452" s="13" t="str">
        <f t="shared" ref="H452:H515" si="68">PROPER(TRIM(B452))</f>
        <v>Resilience</v>
      </c>
      <c r="I452" s="13">
        <f t="shared" ref="I452:I515" si="69">LEN(B452)</f>
        <v>12</v>
      </c>
      <c r="J452" s="13">
        <f t="shared" ref="J452:J515" si="70">LEN(TRIM(B452))</f>
        <v>10</v>
      </c>
      <c r="K452" s="13">
        <f t="shared" ref="K452:K515" si="71">I452-J452</f>
        <v>2</v>
      </c>
    </row>
    <row r="453" spans="1:11" x14ac:dyDescent="0.25">
      <c r="A453" s="13">
        <f>'Raw Data'!A453</f>
        <v>451</v>
      </c>
      <c r="B453" s="13" t="str">
        <f>'Raw Data'!C453</f>
        <v xml:space="preserve"> Isolation </v>
      </c>
      <c r="C453" s="13" t="str">
        <f t="shared" si="63"/>
        <v>Isolation</v>
      </c>
      <c r="D453" s="13" t="str">
        <f t="shared" si="64"/>
        <v xml:space="preserve"> Isolation </v>
      </c>
      <c r="E453" s="13" t="str">
        <f t="shared" si="65"/>
        <v>Isolation</v>
      </c>
      <c r="F453" s="13" t="str">
        <f t="shared" si="66"/>
        <v>ISOLATION</v>
      </c>
      <c r="G453" s="13" t="str">
        <f t="shared" si="67"/>
        <v>isolation</v>
      </c>
      <c r="H453" s="13" t="str">
        <f t="shared" si="68"/>
        <v>Isolation</v>
      </c>
      <c r="I453" s="13">
        <f t="shared" si="69"/>
        <v>11</v>
      </c>
      <c r="J453" s="13">
        <f t="shared" si="70"/>
        <v>9</v>
      </c>
      <c r="K453" s="13">
        <f t="shared" si="71"/>
        <v>2</v>
      </c>
    </row>
    <row r="454" spans="1:11" x14ac:dyDescent="0.25">
      <c r="A454" s="13">
        <f>'Raw Data'!A454</f>
        <v>452</v>
      </c>
      <c r="B454" s="13" t="str">
        <f>'Raw Data'!C454</f>
        <v xml:space="preserve"> Regret </v>
      </c>
      <c r="C454" s="13" t="str">
        <f t="shared" si="63"/>
        <v>Regret</v>
      </c>
      <c r="D454" s="13" t="str">
        <f t="shared" si="64"/>
        <v xml:space="preserve"> Regret </v>
      </c>
      <c r="E454" s="13" t="str">
        <f t="shared" si="65"/>
        <v>Regret</v>
      </c>
      <c r="F454" s="13" t="str">
        <f t="shared" si="66"/>
        <v>REGRET</v>
      </c>
      <c r="G454" s="13" t="str">
        <f t="shared" si="67"/>
        <v>regret</v>
      </c>
      <c r="H454" s="13" t="str">
        <f t="shared" si="68"/>
        <v>Regret</v>
      </c>
      <c r="I454" s="13">
        <f t="shared" si="69"/>
        <v>8</v>
      </c>
      <c r="J454" s="13">
        <f t="shared" si="70"/>
        <v>6</v>
      </c>
      <c r="K454" s="13">
        <f t="shared" si="71"/>
        <v>2</v>
      </c>
    </row>
    <row r="455" spans="1:11" x14ac:dyDescent="0.25">
      <c r="A455" s="13">
        <f>'Raw Data'!A455</f>
        <v>453</v>
      </c>
      <c r="B455" s="13" t="str">
        <f>'Raw Data'!C455</f>
        <v xml:space="preserve"> Despair </v>
      </c>
      <c r="C455" s="13" t="str">
        <f t="shared" si="63"/>
        <v>Despair</v>
      </c>
      <c r="D455" s="13" t="str">
        <f t="shared" si="64"/>
        <v xml:space="preserve"> Despair </v>
      </c>
      <c r="E455" s="13" t="str">
        <f t="shared" si="65"/>
        <v>Despair</v>
      </c>
      <c r="F455" s="13" t="str">
        <f t="shared" si="66"/>
        <v>DESPAIR</v>
      </c>
      <c r="G455" s="13" t="str">
        <f t="shared" si="67"/>
        <v>despair</v>
      </c>
      <c r="H455" s="13" t="str">
        <f t="shared" si="68"/>
        <v>Despair</v>
      </c>
      <c r="I455" s="13">
        <f t="shared" si="69"/>
        <v>9</v>
      </c>
      <c r="J455" s="13">
        <f t="shared" si="70"/>
        <v>7</v>
      </c>
      <c r="K455" s="13">
        <f t="shared" si="71"/>
        <v>2</v>
      </c>
    </row>
    <row r="456" spans="1:11" x14ac:dyDescent="0.25">
      <c r="A456" s="13">
        <f>'Raw Data'!A456</f>
        <v>454</v>
      </c>
      <c r="B456" s="13" t="str">
        <f>'Raw Data'!C456</f>
        <v xml:space="preserve"> Sorrow </v>
      </c>
      <c r="C456" s="13" t="str">
        <f t="shared" si="63"/>
        <v>Sorrow</v>
      </c>
      <c r="D456" s="13" t="str">
        <f t="shared" si="64"/>
        <v xml:space="preserve"> Sorrow </v>
      </c>
      <c r="E456" s="13" t="str">
        <f t="shared" si="65"/>
        <v>Sorrow</v>
      </c>
      <c r="F456" s="13" t="str">
        <f t="shared" si="66"/>
        <v>SORROW</v>
      </c>
      <c r="G456" s="13" t="str">
        <f t="shared" si="67"/>
        <v>sorrow</v>
      </c>
      <c r="H456" s="13" t="str">
        <f t="shared" si="68"/>
        <v>Sorrow</v>
      </c>
      <c r="I456" s="13">
        <f t="shared" si="69"/>
        <v>8</v>
      </c>
      <c r="J456" s="13">
        <f t="shared" si="70"/>
        <v>6</v>
      </c>
      <c r="K456" s="13">
        <f t="shared" si="71"/>
        <v>2</v>
      </c>
    </row>
    <row r="457" spans="1:11" x14ac:dyDescent="0.25">
      <c r="A457" s="13">
        <f>'Raw Data'!A457</f>
        <v>455</v>
      </c>
      <c r="B457" s="13" t="str">
        <f>'Raw Data'!C457</f>
        <v xml:space="preserve"> Desolation </v>
      </c>
      <c r="C457" s="13" t="str">
        <f t="shared" si="63"/>
        <v>Desolation</v>
      </c>
      <c r="D457" s="13" t="str">
        <f t="shared" si="64"/>
        <v xml:space="preserve"> Desolation </v>
      </c>
      <c r="E457" s="13" t="str">
        <f t="shared" si="65"/>
        <v>Desolation</v>
      </c>
      <c r="F457" s="13" t="str">
        <f t="shared" si="66"/>
        <v>DESOLATION</v>
      </c>
      <c r="G457" s="13" t="str">
        <f t="shared" si="67"/>
        <v>desolation</v>
      </c>
      <c r="H457" s="13" t="str">
        <f t="shared" si="68"/>
        <v>Desolation</v>
      </c>
      <c r="I457" s="13">
        <f t="shared" si="69"/>
        <v>12</v>
      </c>
      <c r="J457" s="13">
        <f t="shared" si="70"/>
        <v>10</v>
      </c>
      <c r="K457" s="13">
        <f t="shared" si="71"/>
        <v>2</v>
      </c>
    </row>
    <row r="458" spans="1:11" x14ac:dyDescent="0.25">
      <c r="A458" s="13">
        <f>'Raw Data'!A458</f>
        <v>456</v>
      </c>
      <c r="B458" s="13" t="str">
        <f>'Raw Data'!C458</f>
        <v xml:space="preserve"> Grief </v>
      </c>
      <c r="C458" s="13" t="str">
        <f t="shared" si="63"/>
        <v>Grief</v>
      </c>
      <c r="D458" s="13" t="str">
        <f t="shared" si="64"/>
        <v xml:space="preserve"> Grief </v>
      </c>
      <c r="E458" s="13" t="str">
        <f t="shared" si="65"/>
        <v>Grief</v>
      </c>
      <c r="F458" s="13" t="str">
        <f t="shared" si="66"/>
        <v>GRIEF</v>
      </c>
      <c r="G458" s="13" t="str">
        <f t="shared" si="67"/>
        <v>grief</v>
      </c>
      <c r="H458" s="13" t="str">
        <f t="shared" si="68"/>
        <v>Grief</v>
      </c>
      <c r="I458" s="13">
        <f t="shared" si="69"/>
        <v>7</v>
      </c>
      <c r="J458" s="13">
        <f t="shared" si="70"/>
        <v>5</v>
      </c>
      <c r="K458" s="13">
        <f t="shared" si="71"/>
        <v>2</v>
      </c>
    </row>
    <row r="459" spans="1:11" x14ac:dyDescent="0.25">
      <c r="A459" s="13">
        <f>'Raw Data'!A459</f>
        <v>457</v>
      </c>
      <c r="B459" s="13" t="str">
        <f>'Raw Data'!C459</f>
        <v xml:space="preserve"> Betrayal </v>
      </c>
      <c r="C459" s="13" t="str">
        <f t="shared" si="63"/>
        <v>Betrayal</v>
      </c>
      <c r="D459" s="13" t="str">
        <f t="shared" si="64"/>
        <v xml:space="preserve"> Betrayal </v>
      </c>
      <c r="E459" s="13" t="str">
        <f t="shared" si="65"/>
        <v>Betrayal</v>
      </c>
      <c r="F459" s="13" t="str">
        <f t="shared" si="66"/>
        <v>BETRAYAL</v>
      </c>
      <c r="G459" s="13" t="str">
        <f t="shared" si="67"/>
        <v>betrayal</v>
      </c>
      <c r="H459" s="13" t="str">
        <f t="shared" si="68"/>
        <v>Betrayal</v>
      </c>
      <c r="I459" s="13">
        <f t="shared" si="69"/>
        <v>10</v>
      </c>
      <c r="J459" s="13">
        <f t="shared" si="70"/>
        <v>8</v>
      </c>
      <c r="K459" s="13">
        <f t="shared" si="71"/>
        <v>2</v>
      </c>
    </row>
    <row r="460" spans="1:11" x14ac:dyDescent="0.25">
      <c r="A460" s="13">
        <f>'Raw Data'!A460</f>
        <v>458</v>
      </c>
      <c r="B460" s="13" t="str">
        <f>'Raw Data'!C460</f>
        <v xml:space="preserve"> Heartbreak </v>
      </c>
      <c r="C460" s="13" t="str">
        <f t="shared" si="63"/>
        <v>Heartbreak</v>
      </c>
      <c r="D460" s="13" t="str">
        <f t="shared" si="64"/>
        <v xml:space="preserve"> Heartbreak </v>
      </c>
      <c r="E460" s="13" t="str">
        <f t="shared" si="65"/>
        <v>Heartbreak</v>
      </c>
      <c r="F460" s="13" t="str">
        <f t="shared" si="66"/>
        <v>HEARTBREAK</v>
      </c>
      <c r="G460" s="13" t="str">
        <f t="shared" si="67"/>
        <v>heartbreak</v>
      </c>
      <c r="H460" s="13" t="str">
        <f t="shared" si="68"/>
        <v>Heartbreak</v>
      </c>
      <c r="I460" s="13">
        <f t="shared" si="69"/>
        <v>12</v>
      </c>
      <c r="J460" s="13">
        <f t="shared" si="70"/>
        <v>10</v>
      </c>
      <c r="K460" s="13">
        <f t="shared" si="71"/>
        <v>2</v>
      </c>
    </row>
    <row r="461" spans="1:11" x14ac:dyDescent="0.25">
      <c r="A461" s="13">
        <f>'Raw Data'!A461</f>
        <v>459</v>
      </c>
      <c r="B461" s="13" t="str">
        <f>'Raw Data'!C461</f>
        <v xml:space="preserve"> Despair </v>
      </c>
      <c r="C461" s="13" t="str">
        <f t="shared" si="63"/>
        <v>Despair</v>
      </c>
      <c r="D461" s="13" t="str">
        <f t="shared" si="64"/>
        <v xml:space="preserve"> Despair </v>
      </c>
      <c r="E461" s="13" t="str">
        <f t="shared" si="65"/>
        <v>Despair</v>
      </c>
      <c r="F461" s="13" t="str">
        <f t="shared" si="66"/>
        <v>DESPAIR</v>
      </c>
      <c r="G461" s="13" t="str">
        <f t="shared" si="67"/>
        <v>despair</v>
      </c>
      <c r="H461" s="13" t="str">
        <f t="shared" si="68"/>
        <v>Despair</v>
      </c>
      <c r="I461" s="13">
        <f t="shared" si="69"/>
        <v>9</v>
      </c>
      <c r="J461" s="13">
        <f t="shared" si="70"/>
        <v>7</v>
      </c>
      <c r="K461" s="13">
        <f t="shared" si="71"/>
        <v>2</v>
      </c>
    </row>
    <row r="462" spans="1:11" x14ac:dyDescent="0.25">
      <c r="A462" s="13">
        <f>'Raw Data'!A462</f>
        <v>460</v>
      </c>
      <c r="B462" s="13" t="str">
        <f>'Raw Data'!C462</f>
        <v xml:space="preserve"> Loss </v>
      </c>
      <c r="C462" s="13" t="str">
        <f t="shared" si="63"/>
        <v>Loss</v>
      </c>
      <c r="D462" s="13" t="str">
        <f t="shared" si="64"/>
        <v xml:space="preserve"> Loss </v>
      </c>
      <c r="E462" s="13" t="str">
        <f t="shared" si="65"/>
        <v>Loss</v>
      </c>
      <c r="F462" s="13" t="str">
        <f t="shared" si="66"/>
        <v>LOSS</v>
      </c>
      <c r="G462" s="13" t="str">
        <f t="shared" si="67"/>
        <v>loss</v>
      </c>
      <c r="H462" s="13" t="str">
        <f t="shared" si="68"/>
        <v>Loss</v>
      </c>
      <c r="I462" s="13">
        <f t="shared" si="69"/>
        <v>6</v>
      </c>
      <c r="J462" s="13">
        <f t="shared" si="70"/>
        <v>4</v>
      </c>
      <c r="K462" s="13">
        <f t="shared" si="71"/>
        <v>2</v>
      </c>
    </row>
    <row r="463" spans="1:11" x14ac:dyDescent="0.25">
      <c r="A463" s="13">
        <f>'Raw Data'!A463</f>
        <v>461</v>
      </c>
      <c r="B463" s="13" t="str">
        <f>'Raw Data'!C463</f>
        <v xml:space="preserve"> Heartache </v>
      </c>
      <c r="C463" s="13" t="str">
        <f t="shared" si="63"/>
        <v>Heartache</v>
      </c>
      <c r="D463" s="13" t="str">
        <f t="shared" si="64"/>
        <v xml:space="preserve"> Heartache </v>
      </c>
      <c r="E463" s="13" t="str">
        <f t="shared" si="65"/>
        <v>Heartache</v>
      </c>
      <c r="F463" s="13" t="str">
        <f t="shared" si="66"/>
        <v>HEARTACHE</v>
      </c>
      <c r="G463" s="13" t="str">
        <f t="shared" si="67"/>
        <v>heartache</v>
      </c>
      <c r="H463" s="13" t="str">
        <f t="shared" si="68"/>
        <v>Heartache</v>
      </c>
      <c r="I463" s="13">
        <f t="shared" si="69"/>
        <v>11</v>
      </c>
      <c r="J463" s="13">
        <f t="shared" si="70"/>
        <v>9</v>
      </c>
      <c r="K463" s="13">
        <f t="shared" si="71"/>
        <v>2</v>
      </c>
    </row>
    <row r="464" spans="1:11" x14ac:dyDescent="0.25">
      <c r="A464" s="13">
        <f>'Raw Data'!A464</f>
        <v>462</v>
      </c>
      <c r="B464" s="13" t="str">
        <f>'Raw Data'!C464</f>
        <v xml:space="preserve"> Nostalgia </v>
      </c>
      <c r="C464" s="13" t="str">
        <f t="shared" si="63"/>
        <v>Nostalgia</v>
      </c>
      <c r="D464" s="13" t="str">
        <f t="shared" si="64"/>
        <v xml:space="preserve"> Nostalgia </v>
      </c>
      <c r="E464" s="13" t="str">
        <f t="shared" si="65"/>
        <v>Nostalgia</v>
      </c>
      <c r="F464" s="13" t="str">
        <f t="shared" si="66"/>
        <v>NOSTALGIA</v>
      </c>
      <c r="G464" s="13" t="str">
        <f t="shared" si="67"/>
        <v>nostalgia</v>
      </c>
      <c r="H464" s="13" t="str">
        <f t="shared" si="68"/>
        <v>Nostalgia</v>
      </c>
      <c r="I464" s="13">
        <f t="shared" si="69"/>
        <v>11</v>
      </c>
      <c r="J464" s="13">
        <f t="shared" si="70"/>
        <v>9</v>
      </c>
      <c r="K464" s="13">
        <f t="shared" si="71"/>
        <v>2</v>
      </c>
    </row>
    <row r="465" spans="1:11" x14ac:dyDescent="0.25">
      <c r="A465" s="13">
        <f>'Raw Data'!A465</f>
        <v>463</v>
      </c>
      <c r="B465" s="13" t="str">
        <f>'Raw Data'!C465</f>
        <v xml:space="preserve"> Grief </v>
      </c>
      <c r="C465" s="13" t="str">
        <f t="shared" si="63"/>
        <v>Grief</v>
      </c>
      <c r="D465" s="13" t="str">
        <f t="shared" si="64"/>
        <v xml:space="preserve"> Grief </v>
      </c>
      <c r="E465" s="13" t="str">
        <f t="shared" si="65"/>
        <v>Grief</v>
      </c>
      <c r="F465" s="13" t="str">
        <f t="shared" si="66"/>
        <v>GRIEF</v>
      </c>
      <c r="G465" s="13" t="str">
        <f t="shared" si="67"/>
        <v>grief</v>
      </c>
      <c r="H465" s="13" t="str">
        <f t="shared" si="68"/>
        <v>Grief</v>
      </c>
      <c r="I465" s="13">
        <f t="shared" si="69"/>
        <v>7</v>
      </c>
      <c r="J465" s="13">
        <f t="shared" si="70"/>
        <v>5</v>
      </c>
      <c r="K465" s="13">
        <f t="shared" si="71"/>
        <v>2</v>
      </c>
    </row>
    <row r="466" spans="1:11" x14ac:dyDescent="0.25">
      <c r="A466" s="13">
        <f>'Raw Data'!A466</f>
        <v>464</v>
      </c>
      <c r="B466" s="13" t="str">
        <f>'Raw Data'!C466</f>
        <v xml:space="preserve"> Betrayal </v>
      </c>
      <c r="C466" s="13" t="str">
        <f t="shared" si="63"/>
        <v>Betrayal</v>
      </c>
      <c r="D466" s="13" t="str">
        <f t="shared" si="64"/>
        <v xml:space="preserve"> Betrayal </v>
      </c>
      <c r="E466" s="13" t="str">
        <f t="shared" si="65"/>
        <v>Betrayal</v>
      </c>
      <c r="F466" s="13" t="str">
        <f t="shared" si="66"/>
        <v>BETRAYAL</v>
      </c>
      <c r="G466" s="13" t="str">
        <f t="shared" si="67"/>
        <v>betrayal</v>
      </c>
      <c r="H466" s="13" t="str">
        <f t="shared" si="68"/>
        <v>Betrayal</v>
      </c>
      <c r="I466" s="13">
        <f t="shared" si="69"/>
        <v>10</v>
      </c>
      <c r="J466" s="13">
        <f t="shared" si="70"/>
        <v>8</v>
      </c>
      <c r="K466" s="13">
        <f t="shared" si="71"/>
        <v>2</v>
      </c>
    </row>
    <row r="467" spans="1:11" x14ac:dyDescent="0.25">
      <c r="A467" s="13">
        <f>'Raw Data'!A467</f>
        <v>465</v>
      </c>
      <c r="B467" s="13" t="str">
        <f>'Raw Data'!C467</f>
        <v xml:space="preserve"> Despair </v>
      </c>
      <c r="C467" s="13" t="str">
        <f t="shared" si="63"/>
        <v>Despair</v>
      </c>
      <c r="D467" s="13" t="str">
        <f t="shared" si="64"/>
        <v xml:space="preserve"> Despair </v>
      </c>
      <c r="E467" s="13" t="str">
        <f t="shared" si="65"/>
        <v>Despair</v>
      </c>
      <c r="F467" s="13" t="str">
        <f t="shared" si="66"/>
        <v>DESPAIR</v>
      </c>
      <c r="G467" s="13" t="str">
        <f t="shared" si="67"/>
        <v>despair</v>
      </c>
      <c r="H467" s="13" t="str">
        <f t="shared" si="68"/>
        <v>Despair</v>
      </c>
      <c r="I467" s="13">
        <f t="shared" si="69"/>
        <v>9</v>
      </c>
      <c r="J467" s="13">
        <f t="shared" si="70"/>
        <v>7</v>
      </c>
      <c r="K467" s="13">
        <f t="shared" si="71"/>
        <v>2</v>
      </c>
    </row>
    <row r="468" spans="1:11" x14ac:dyDescent="0.25">
      <c r="A468" s="13">
        <f>'Raw Data'!A468</f>
        <v>466</v>
      </c>
      <c r="B468" s="13" t="str">
        <f>'Raw Data'!C468</f>
        <v xml:space="preserve"> Desolation </v>
      </c>
      <c r="C468" s="13" t="str">
        <f t="shared" si="63"/>
        <v>Desolation</v>
      </c>
      <c r="D468" s="13" t="str">
        <f t="shared" si="64"/>
        <v xml:space="preserve"> Desolation </v>
      </c>
      <c r="E468" s="13" t="str">
        <f t="shared" si="65"/>
        <v>Desolation</v>
      </c>
      <c r="F468" s="13" t="str">
        <f t="shared" si="66"/>
        <v>DESOLATION</v>
      </c>
      <c r="G468" s="13" t="str">
        <f t="shared" si="67"/>
        <v>desolation</v>
      </c>
      <c r="H468" s="13" t="str">
        <f t="shared" si="68"/>
        <v>Desolation</v>
      </c>
      <c r="I468" s="13">
        <f t="shared" si="69"/>
        <v>12</v>
      </c>
      <c r="J468" s="13">
        <f t="shared" si="70"/>
        <v>10</v>
      </c>
      <c r="K468" s="13">
        <f t="shared" si="71"/>
        <v>2</v>
      </c>
    </row>
    <row r="469" spans="1:11" x14ac:dyDescent="0.25">
      <c r="A469" s="13">
        <f>'Raw Data'!A469</f>
        <v>467</v>
      </c>
      <c r="B469" s="13" t="str">
        <f>'Raw Data'!C469</f>
        <v xml:space="preserve"> Regret </v>
      </c>
      <c r="C469" s="13" t="str">
        <f t="shared" si="63"/>
        <v>Regret</v>
      </c>
      <c r="D469" s="13" t="str">
        <f t="shared" si="64"/>
        <v xml:space="preserve"> Regret </v>
      </c>
      <c r="E469" s="13" t="str">
        <f t="shared" si="65"/>
        <v>Regret</v>
      </c>
      <c r="F469" s="13" t="str">
        <f t="shared" si="66"/>
        <v>REGRET</v>
      </c>
      <c r="G469" s="13" t="str">
        <f t="shared" si="67"/>
        <v>regret</v>
      </c>
      <c r="H469" s="13" t="str">
        <f t="shared" si="68"/>
        <v>Regret</v>
      </c>
      <c r="I469" s="13">
        <f t="shared" si="69"/>
        <v>8</v>
      </c>
      <c r="J469" s="13">
        <f t="shared" si="70"/>
        <v>6</v>
      </c>
      <c r="K469" s="13">
        <f t="shared" si="71"/>
        <v>2</v>
      </c>
    </row>
    <row r="470" spans="1:11" x14ac:dyDescent="0.25">
      <c r="A470" s="13">
        <f>'Raw Data'!A470</f>
        <v>468</v>
      </c>
      <c r="B470" s="13" t="str">
        <f>'Raw Data'!C470</f>
        <v xml:space="preserve"> Loss </v>
      </c>
      <c r="C470" s="13" t="str">
        <f t="shared" si="63"/>
        <v>Loss</v>
      </c>
      <c r="D470" s="13" t="str">
        <f t="shared" si="64"/>
        <v xml:space="preserve"> Loss </v>
      </c>
      <c r="E470" s="13" t="str">
        <f t="shared" si="65"/>
        <v>Loss</v>
      </c>
      <c r="F470" s="13" t="str">
        <f t="shared" si="66"/>
        <v>LOSS</v>
      </c>
      <c r="G470" s="13" t="str">
        <f t="shared" si="67"/>
        <v>loss</v>
      </c>
      <c r="H470" s="13" t="str">
        <f t="shared" si="68"/>
        <v>Loss</v>
      </c>
      <c r="I470" s="13">
        <f t="shared" si="69"/>
        <v>6</v>
      </c>
      <c r="J470" s="13">
        <f t="shared" si="70"/>
        <v>4</v>
      </c>
      <c r="K470" s="13">
        <f t="shared" si="71"/>
        <v>2</v>
      </c>
    </row>
    <row r="471" spans="1:11" x14ac:dyDescent="0.25">
      <c r="A471" s="13">
        <f>'Raw Data'!A471</f>
        <v>469</v>
      </c>
      <c r="B471" s="13" t="str">
        <f>'Raw Data'!C471</f>
        <v xml:space="preserve"> Betrayal </v>
      </c>
      <c r="C471" s="13" t="str">
        <f t="shared" si="63"/>
        <v>Betrayal</v>
      </c>
      <c r="D471" s="13" t="str">
        <f t="shared" si="64"/>
        <v xml:space="preserve"> Betrayal </v>
      </c>
      <c r="E471" s="13" t="str">
        <f t="shared" si="65"/>
        <v>Betrayal</v>
      </c>
      <c r="F471" s="13" t="str">
        <f t="shared" si="66"/>
        <v>BETRAYAL</v>
      </c>
      <c r="G471" s="13" t="str">
        <f t="shared" si="67"/>
        <v>betrayal</v>
      </c>
      <c r="H471" s="13" t="str">
        <f t="shared" si="68"/>
        <v>Betrayal</v>
      </c>
      <c r="I471" s="13">
        <f t="shared" si="69"/>
        <v>10</v>
      </c>
      <c r="J471" s="13">
        <f t="shared" si="70"/>
        <v>8</v>
      </c>
      <c r="K471" s="13">
        <f t="shared" si="71"/>
        <v>2</v>
      </c>
    </row>
    <row r="472" spans="1:11" x14ac:dyDescent="0.25">
      <c r="A472" s="13">
        <f>'Raw Data'!A472</f>
        <v>470</v>
      </c>
      <c r="B472" s="13" t="str">
        <f>'Raw Data'!C472</f>
        <v xml:space="preserve"> Solitude </v>
      </c>
      <c r="C472" s="13" t="str">
        <f t="shared" si="63"/>
        <v>Solitude</v>
      </c>
      <c r="D472" s="13" t="str">
        <f t="shared" si="64"/>
        <v xml:space="preserve"> Solitude </v>
      </c>
      <c r="E472" s="13" t="str">
        <f t="shared" si="65"/>
        <v>Solitude</v>
      </c>
      <c r="F472" s="13" t="str">
        <f t="shared" si="66"/>
        <v>SOLITUDE</v>
      </c>
      <c r="G472" s="13" t="str">
        <f t="shared" si="67"/>
        <v>solitude</v>
      </c>
      <c r="H472" s="13" t="str">
        <f t="shared" si="68"/>
        <v>Solitude</v>
      </c>
      <c r="I472" s="13">
        <f t="shared" si="69"/>
        <v>10</v>
      </c>
      <c r="J472" s="13">
        <f t="shared" si="70"/>
        <v>8</v>
      </c>
      <c r="K472" s="13">
        <f t="shared" si="71"/>
        <v>2</v>
      </c>
    </row>
    <row r="473" spans="1:11" x14ac:dyDescent="0.25">
      <c r="A473" s="13">
        <f>'Raw Data'!A473</f>
        <v>471</v>
      </c>
      <c r="B473" s="13" t="str">
        <f>'Raw Data'!C473</f>
        <v xml:space="preserve"> Joy </v>
      </c>
      <c r="C473" s="13" t="str">
        <f t="shared" si="63"/>
        <v>Joy</v>
      </c>
      <c r="D473" s="13" t="str">
        <f t="shared" si="64"/>
        <v xml:space="preserve"> Joy </v>
      </c>
      <c r="E473" s="13" t="str">
        <f t="shared" si="65"/>
        <v>Joy</v>
      </c>
      <c r="F473" s="13" t="str">
        <f t="shared" si="66"/>
        <v>JOY</v>
      </c>
      <c r="G473" s="13" t="str">
        <f t="shared" si="67"/>
        <v>joy</v>
      </c>
      <c r="H473" s="13" t="str">
        <f t="shared" si="68"/>
        <v>Joy</v>
      </c>
      <c r="I473" s="13">
        <f t="shared" si="69"/>
        <v>5</v>
      </c>
      <c r="J473" s="13">
        <f t="shared" si="70"/>
        <v>3</v>
      </c>
      <c r="K473" s="13">
        <f t="shared" si="71"/>
        <v>2</v>
      </c>
    </row>
    <row r="474" spans="1:11" x14ac:dyDescent="0.25">
      <c r="A474" s="13">
        <f>'Raw Data'!A474</f>
        <v>472</v>
      </c>
      <c r="B474" s="13" t="str">
        <f>'Raw Data'!C474</f>
        <v xml:space="preserve"> Happiness </v>
      </c>
      <c r="C474" s="13" t="str">
        <f t="shared" si="63"/>
        <v>Happiness</v>
      </c>
      <c r="D474" s="13" t="str">
        <f t="shared" si="64"/>
        <v xml:space="preserve"> Happiness </v>
      </c>
      <c r="E474" s="13" t="str">
        <f t="shared" si="65"/>
        <v>Happiness</v>
      </c>
      <c r="F474" s="13" t="str">
        <f t="shared" si="66"/>
        <v>HAPPINESS</v>
      </c>
      <c r="G474" s="13" t="str">
        <f t="shared" si="67"/>
        <v>happiness</v>
      </c>
      <c r="H474" s="13" t="str">
        <f t="shared" si="68"/>
        <v>Happiness</v>
      </c>
      <c r="I474" s="13">
        <f t="shared" si="69"/>
        <v>11</v>
      </c>
      <c r="J474" s="13">
        <f t="shared" si="70"/>
        <v>9</v>
      </c>
      <c r="K474" s="13">
        <f t="shared" si="71"/>
        <v>2</v>
      </c>
    </row>
    <row r="475" spans="1:11" x14ac:dyDescent="0.25">
      <c r="A475" s="13">
        <f>'Raw Data'!A475</f>
        <v>473</v>
      </c>
      <c r="B475" s="13" t="str">
        <f>'Raw Data'!C475</f>
        <v xml:space="preserve"> Contentment </v>
      </c>
      <c r="C475" s="13" t="str">
        <f t="shared" si="63"/>
        <v>Contentment</v>
      </c>
      <c r="D475" s="13" t="str">
        <f t="shared" si="64"/>
        <v xml:space="preserve"> Contentment </v>
      </c>
      <c r="E475" s="13" t="str">
        <f t="shared" si="65"/>
        <v>Contentment</v>
      </c>
      <c r="F475" s="13" t="str">
        <f t="shared" si="66"/>
        <v>CONTENTMENT</v>
      </c>
      <c r="G475" s="13" t="str">
        <f t="shared" si="67"/>
        <v>contentment</v>
      </c>
      <c r="H475" s="13" t="str">
        <f t="shared" si="68"/>
        <v>Contentment</v>
      </c>
      <c r="I475" s="13">
        <f t="shared" si="69"/>
        <v>13</v>
      </c>
      <c r="J475" s="13">
        <f t="shared" si="70"/>
        <v>11</v>
      </c>
      <c r="K475" s="13">
        <f t="shared" si="71"/>
        <v>2</v>
      </c>
    </row>
    <row r="476" spans="1:11" x14ac:dyDescent="0.25">
      <c r="A476" s="13">
        <f>'Raw Data'!A476</f>
        <v>474</v>
      </c>
      <c r="B476" s="13" t="str">
        <f>'Raw Data'!C476</f>
        <v xml:space="preserve"> Enthusiasm </v>
      </c>
      <c r="C476" s="13" t="str">
        <f t="shared" si="63"/>
        <v>Enthusiasm</v>
      </c>
      <c r="D476" s="13" t="str">
        <f t="shared" si="64"/>
        <v xml:space="preserve"> Enthusiasm </v>
      </c>
      <c r="E476" s="13" t="str">
        <f t="shared" si="65"/>
        <v>Enthusiasm</v>
      </c>
      <c r="F476" s="13" t="str">
        <f t="shared" si="66"/>
        <v>ENTHUSIASM</v>
      </c>
      <c r="G476" s="13" t="str">
        <f t="shared" si="67"/>
        <v>enthusiasm</v>
      </c>
      <c r="H476" s="13" t="str">
        <f t="shared" si="68"/>
        <v>Enthusiasm</v>
      </c>
      <c r="I476" s="13">
        <f t="shared" si="69"/>
        <v>12</v>
      </c>
      <c r="J476" s="13">
        <f t="shared" si="70"/>
        <v>10</v>
      </c>
      <c r="K476" s="13">
        <f t="shared" si="71"/>
        <v>2</v>
      </c>
    </row>
    <row r="477" spans="1:11" x14ac:dyDescent="0.25">
      <c r="A477" s="13">
        <f>'Raw Data'!A477</f>
        <v>475</v>
      </c>
      <c r="B477" s="13" t="str">
        <f>'Raw Data'!C477</f>
        <v xml:space="preserve"> Gratitude </v>
      </c>
      <c r="C477" s="13" t="str">
        <f t="shared" si="63"/>
        <v>Gratitude</v>
      </c>
      <c r="D477" s="13" t="str">
        <f t="shared" si="64"/>
        <v xml:space="preserve"> Gratitude </v>
      </c>
      <c r="E477" s="13" t="str">
        <f t="shared" si="65"/>
        <v>Gratitude</v>
      </c>
      <c r="F477" s="13" t="str">
        <f t="shared" si="66"/>
        <v>GRATITUDE</v>
      </c>
      <c r="G477" s="13" t="str">
        <f t="shared" si="67"/>
        <v>gratitude</v>
      </c>
      <c r="H477" s="13" t="str">
        <f t="shared" si="68"/>
        <v>Gratitude</v>
      </c>
      <c r="I477" s="13">
        <f t="shared" si="69"/>
        <v>11</v>
      </c>
      <c r="J477" s="13">
        <f t="shared" si="70"/>
        <v>9</v>
      </c>
      <c r="K477" s="13">
        <f t="shared" si="71"/>
        <v>2</v>
      </c>
    </row>
    <row r="478" spans="1:11" x14ac:dyDescent="0.25">
      <c r="A478" s="13">
        <f>'Raw Data'!A478</f>
        <v>476</v>
      </c>
      <c r="B478" s="13" t="str">
        <f>'Raw Data'!C478</f>
        <v xml:space="preserve"> Accomplishment </v>
      </c>
      <c r="C478" s="13" t="str">
        <f t="shared" si="63"/>
        <v>Accomplishment</v>
      </c>
      <c r="D478" s="13" t="str">
        <f t="shared" si="64"/>
        <v xml:space="preserve"> Accomplishment </v>
      </c>
      <c r="E478" s="13" t="str">
        <f t="shared" si="65"/>
        <v>Accomplishment</v>
      </c>
      <c r="F478" s="13" t="str">
        <f t="shared" si="66"/>
        <v>ACCOMPLISHMENT</v>
      </c>
      <c r="G478" s="13" t="str">
        <f t="shared" si="67"/>
        <v>accomplishment</v>
      </c>
      <c r="H478" s="13" t="str">
        <f t="shared" si="68"/>
        <v>Accomplishment</v>
      </c>
      <c r="I478" s="13">
        <f t="shared" si="69"/>
        <v>16</v>
      </c>
      <c r="J478" s="13">
        <f t="shared" si="70"/>
        <v>14</v>
      </c>
      <c r="K478" s="13">
        <f t="shared" si="71"/>
        <v>2</v>
      </c>
    </row>
    <row r="479" spans="1:11" x14ac:dyDescent="0.25">
      <c r="A479" s="13">
        <f>'Raw Data'!A479</f>
        <v>477</v>
      </c>
      <c r="B479" s="13" t="str">
        <f>'Raw Data'!C479</f>
        <v xml:space="preserve"> Positivity </v>
      </c>
      <c r="C479" s="13" t="str">
        <f t="shared" si="63"/>
        <v>Positivity</v>
      </c>
      <c r="D479" s="13" t="str">
        <f t="shared" si="64"/>
        <v xml:space="preserve"> Positivity </v>
      </c>
      <c r="E479" s="13" t="str">
        <f t="shared" si="65"/>
        <v>Positivity</v>
      </c>
      <c r="F479" s="13" t="str">
        <f t="shared" si="66"/>
        <v>POSITIVITY</v>
      </c>
      <c r="G479" s="13" t="str">
        <f t="shared" si="67"/>
        <v>positivity</v>
      </c>
      <c r="H479" s="13" t="str">
        <f t="shared" si="68"/>
        <v>Positivity</v>
      </c>
      <c r="I479" s="13">
        <f t="shared" si="69"/>
        <v>12</v>
      </c>
      <c r="J479" s="13">
        <f t="shared" si="70"/>
        <v>10</v>
      </c>
      <c r="K479" s="13">
        <f t="shared" si="71"/>
        <v>2</v>
      </c>
    </row>
    <row r="480" spans="1:11" x14ac:dyDescent="0.25">
      <c r="A480" s="13">
        <f>'Raw Data'!A480</f>
        <v>478</v>
      </c>
      <c r="B480" s="13" t="str">
        <f>'Raw Data'!C480</f>
        <v xml:space="preserve"> Joy </v>
      </c>
      <c r="C480" s="13" t="str">
        <f t="shared" si="63"/>
        <v>Joy</v>
      </c>
      <c r="D480" s="13" t="str">
        <f t="shared" si="64"/>
        <v xml:space="preserve"> Joy </v>
      </c>
      <c r="E480" s="13" t="str">
        <f t="shared" si="65"/>
        <v>Joy</v>
      </c>
      <c r="F480" s="13" t="str">
        <f t="shared" si="66"/>
        <v>JOY</v>
      </c>
      <c r="G480" s="13" t="str">
        <f t="shared" si="67"/>
        <v>joy</v>
      </c>
      <c r="H480" s="13" t="str">
        <f t="shared" si="68"/>
        <v>Joy</v>
      </c>
      <c r="I480" s="13">
        <f t="shared" si="69"/>
        <v>5</v>
      </c>
      <c r="J480" s="13">
        <f t="shared" si="70"/>
        <v>3</v>
      </c>
      <c r="K480" s="13">
        <f t="shared" si="71"/>
        <v>2</v>
      </c>
    </row>
    <row r="481" spans="1:11" x14ac:dyDescent="0.25">
      <c r="A481" s="13">
        <f>'Raw Data'!A481</f>
        <v>479</v>
      </c>
      <c r="B481" s="13" t="str">
        <f>'Raw Data'!C481</f>
        <v xml:space="preserve"> Kindness </v>
      </c>
      <c r="C481" s="13" t="str">
        <f t="shared" si="63"/>
        <v>Kindness</v>
      </c>
      <c r="D481" s="13" t="str">
        <f t="shared" si="64"/>
        <v xml:space="preserve"> Kindness </v>
      </c>
      <c r="E481" s="13" t="str">
        <f t="shared" si="65"/>
        <v>Kindness</v>
      </c>
      <c r="F481" s="13" t="str">
        <f t="shared" si="66"/>
        <v>KINDNESS</v>
      </c>
      <c r="G481" s="13" t="str">
        <f t="shared" si="67"/>
        <v>kindness</v>
      </c>
      <c r="H481" s="13" t="str">
        <f t="shared" si="68"/>
        <v>Kindness</v>
      </c>
      <c r="I481" s="13">
        <f t="shared" si="69"/>
        <v>10</v>
      </c>
      <c r="J481" s="13">
        <f t="shared" si="70"/>
        <v>8</v>
      </c>
      <c r="K481" s="13">
        <f t="shared" si="71"/>
        <v>2</v>
      </c>
    </row>
    <row r="482" spans="1:11" x14ac:dyDescent="0.25">
      <c r="A482" s="13">
        <f>'Raw Data'!A482</f>
        <v>480</v>
      </c>
      <c r="B482" s="13" t="str">
        <f>'Raw Data'!C482</f>
        <v xml:space="preserve"> Friendship </v>
      </c>
      <c r="C482" s="13" t="str">
        <f t="shared" si="63"/>
        <v>Friendship</v>
      </c>
      <c r="D482" s="13" t="str">
        <f t="shared" si="64"/>
        <v xml:space="preserve"> Friendship </v>
      </c>
      <c r="E482" s="13" t="str">
        <f t="shared" si="65"/>
        <v>Friendship</v>
      </c>
      <c r="F482" s="13" t="str">
        <f t="shared" si="66"/>
        <v>FRIENDSHIP</v>
      </c>
      <c r="G482" s="13" t="str">
        <f t="shared" si="67"/>
        <v>friendship</v>
      </c>
      <c r="H482" s="13" t="str">
        <f t="shared" si="68"/>
        <v>Friendship</v>
      </c>
      <c r="I482" s="13">
        <f t="shared" si="69"/>
        <v>12</v>
      </c>
      <c r="J482" s="13">
        <f t="shared" si="70"/>
        <v>10</v>
      </c>
      <c r="K482" s="13">
        <f t="shared" si="71"/>
        <v>2</v>
      </c>
    </row>
    <row r="483" spans="1:11" x14ac:dyDescent="0.25">
      <c r="A483" s="13">
        <f>'Raw Data'!A483</f>
        <v>481</v>
      </c>
      <c r="B483" s="13" t="str">
        <f>'Raw Data'!C483</f>
        <v xml:space="preserve"> Love </v>
      </c>
      <c r="C483" s="13" t="str">
        <f t="shared" si="63"/>
        <v>Love</v>
      </c>
      <c r="D483" s="13" t="str">
        <f t="shared" si="64"/>
        <v xml:space="preserve"> Love </v>
      </c>
      <c r="E483" s="13" t="str">
        <f t="shared" si="65"/>
        <v>Love</v>
      </c>
      <c r="F483" s="13" t="str">
        <f t="shared" si="66"/>
        <v>LOVE</v>
      </c>
      <c r="G483" s="13" t="str">
        <f t="shared" si="67"/>
        <v>love</v>
      </c>
      <c r="H483" s="13" t="str">
        <f t="shared" si="68"/>
        <v>Love</v>
      </c>
      <c r="I483" s="13">
        <f t="shared" si="69"/>
        <v>6</v>
      </c>
      <c r="J483" s="13">
        <f t="shared" si="70"/>
        <v>4</v>
      </c>
      <c r="K483" s="13">
        <f t="shared" si="71"/>
        <v>2</v>
      </c>
    </row>
    <row r="484" spans="1:11" x14ac:dyDescent="0.25">
      <c r="A484" s="13">
        <f>'Raw Data'!A484</f>
        <v>482</v>
      </c>
      <c r="B484" s="13" t="str">
        <f>'Raw Data'!C484</f>
        <v xml:space="preserve"> Joy </v>
      </c>
      <c r="C484" s="13" t="str">
        <f t="shared" si="63"/>
        <v>Joy</v>
      </c>
      <c r="D484" s="13" t="str">
        <f t="shared" si="64"/>
        <v xml:space="preserve"> Joy </v>
      </c>
      <c r="E484" s="13" t="str">
        <f t="shared" si="65"/>
        <v>Joy</v>
      </c>
      <c r="F484" s="13" t="str">
        <f t="shared" si="66"/>
        <v>JOY</v>
      </c>
      <c r="G484" s="13" t="str">
        <f t="shared" si="67"/>
        <v>joy</v>
      </c>
      <c r="H484" s="13" t="str">
        <f t="shared" si="68"/>
        <v>Joy</v>
      </c>
      <c r="I484" s="13">
        <f t="shared" si="69"/>
        <v>5</v>
      </c>
      <c r="J484" s="13">
        <f t="shared" si="70"/>
        <v>3</v>
      </c>
      <c r="K484" s="13">
        <f t="shared" si="71"/>
        <v>2</v>
      </c>
    </row>
    <row r="485" spans="1:11" x14ac:dyDescent="0.25">
      <c r="A485" s="13">
        <f>'Raw Data'!A485</f>
        <v>483</v>
      </c>
      <c r="B485" s="13" t="str">
        <f>'Raw Data'!C485</f>
        <v xml:space="preserve"> Excitement </v>
      </c>
      <c r="C485" s="13" t="str">
        <f t="shared" si="63"/>
        <v>Excitement</v>
      </c>
      <c r="D485" s="13" t="str">
        <f t="shared" si="64"/>
        <v xml:space="preserve"> Excitement </v>
      </c>
      <c r="E485" s="13" t="str">
        <f t="shared" si="65"/>
        <v>Excitement</v>
      </c>
      <c r="F485" s="13" t="str">
        <f t="shared" si="66"/>
        <v>EXCITEMENT</v>
      </c>
      <c r="G485" s="13" t="str">
        <f t="shared" si="67"/>
        <v>excitement</v>
      </c>
      <c r="H485" s="13" t="str">
        <f t="shared" si="68"/>
        <v>Excitement</v>
      </c>
      <c r="I485" s="13">
        <f t="shared" si="69"/>
        <v>12</v>
      </c>
      <c r="J485" s="13">
        <f t="shared" si="70"/>
        <v>10</v>
      </c>
      <c r="K485" s="13">
        <f t="shared" si="71"/>
        <v>2</v>
      </c>
    </row>
    <row r="486" spans="1:11" x14ac:dyDescent="0.25">
      <c r="A486" s="13">
        <f>'Raw Data'!A486</f>
        <v>484</v>
      </c>
      <c r="B486" s="13" t="str">
        <f>'Raw Data'!C486</f>
        <v xml:space="preserve"> Surprise </v>
      </c>
      <c r="C486" s="13" t="str">
        <f t="shared" si="63"/>
        <v>Surprise</v>
      </c>
      <c r="D486" s="13" t="str">
        <f t="shared" si="64"/>
        <v xml:space="preserve"> Surprise </v>
      </c>
      <c r="E486" s="13" t="str">
        <f t="shared" si="65"/>
        <v>Surprise</v>
      </c>
      <c r="F486" s="13" t="str">
        <f t="shared" si="66"/>
        <v>SURPRISE</v>
      </c>
      <c r="G486" s="13" t="str">
        <f t="shared" si="67"/>
        <v>surprise</v>
      </c>
      <c r="H486" s="13" t="str">
        <f t="shared" si="68"/>
        <v>Surprise</v>
      </c>
      <c r="I486" s="13">
        <f t="shared" si="69"/>
        <v>10</v>
      </c>
      <c r="J486" s="13">
        <f t="shared" si="70"/>
        <v>8</v>
      </c>
      <c r="K486" s="13">
        <f t="shared" si="71"/>
        <v>2</v>
      </c>
    </row>
    <row r="487" spans="1:11" x14ac:dyDescent="0.25">
      <c r="A487" s="13">
        <f>'Raw Data'!A487</f>
        <v>485</v>
      </c>
      <c r="B487" s="13" t="str">
        <f>'Raw Data'!C487</f>
        <v xml:space="preserve"> Curiosity </v>
      </c>
      <c r="C487" s="13" t="str">
        <f t="shared" si="63"/>
        <v>Curiosity</v>
      </c>
      <c r="D487" s="13" t="str">
        <f t="shared" si="64"/>
        <v xml:space="preserve"> Curiosity </v>
      </c>
      <c r="E487" s="13" t="str">
        <f t="shared" si="65"/>
        <v>Curiosity</v>
      </c>
      <c r="F487" s="13" t="str">
        <f t="shared" si="66"/>
        <v>CURIOSITY</v>
      </c>
      <c r="G487" s="13" t="str">
        <f t="shared" si="67"/>
        <v>curiosity</v>
      </c>
      <c r="H487" s="13" t="str">
        <f t="shared" si="68"/>
        <v>Curiosity</v>
      </c>
      <c r="I487" s="13">
        <f t="shared" si="69"/>
        <v>11</v>
      </c>
      <c r="J487" s="13">
        <f t="shared" si="70"/>
        <v>9</v>
      </c>
      <c r="K487" s="13">
        <f t="shared" si="71"/>
        <v>2</v>
      </c>
    </row>
    <row r="488" spans="1:11" x14ac:dyDescent="0.25">
      <c r="A488" s="13">
        <f>'Raw Data'!A488</f>
        <v>486</v>
      </c>
      <c r="B488" s="13" t="str">
        <f>'Raw Data'!C488</f>
        <v xml:space="preserve"> Gratitude </v>
      </c>
      <c r="C488" s="13" t="str">
        <f t="shared" si="63"/>
        <v>Gratitude</v>
      </c>
      <c r="D488" s="13" t="str">
        <f t="shared" si="64"/>
        <v xml:space="preserve"> Gratitude </v>
      </c>
      <c r="E488" s="13" t="str">
        <f t="shared" si="65"/>
        <v>Gratitude</v>
      </c>
      <c r="F488" s="13" t="str">
        <f t="shared" si="66"/>
        <v>GRATITUDE</v>
      </c>
      <c r="G488" s="13" t="str">
        <f t="shared" si="67"/>
        <v>gratitude</v>
      </c>
      <c r="H488" s="13" t="str">
        <f t="shared" si="68"/>
        <v>Gratitude</v>
      </c>
      <c r="I488" s="13">
        <f t="shared" si="69"/>
        <v>11</v>
      </c>
      <c r="J488" s="13">
        <f t="shared" si="70"/>
        <v>9</v>
      </c>
      <c r="K488" s="13">
        <f t="shared" si="71"/>
        <v>2</v>
      </c>
    </row>
    <row r="489" spans="1:11" x14ac:dyDescent="0.25">
      <c r="A489" s="13">
        <f>'Raw Data'!A489</f>
        <v>487</v>
      </c>
      <c r="B489" s="13" t="str">
        <f>'Raw Data'!C489</f>
        <v xml:space="preserve"> Inspiration </v>
      </c>
      <c r="C489" s="13" t="str">
        <f t="shared" si="63"/>
        <v>Inspiration</v>
      </c>
      <c r="D489" s="13" t="str">
        <f t="shared" si="64"/>
        <v xml:space="preserve"> Inspiration </v>
      </c>
      <c r="E489" s="13" t="str">
        <f t="shared" si="65"/>
        <v>Inspiration</v>
      </c>
      <c r="F489" s="13" t="str">
        <f t="shared" si="66"/>
        <v>INSPIRATION</v>
      </c>
      <c r="G489" s="13" t="str">
        <f t="shared" si="67"/>
        <v>inspiration</v>
      </c>
      <c r="H489" s="13" t="str">
        <f t="shared" si="68"/>
        <v>Inspiration</v>
      </c>
      <c r="I489" s="13">
        <f t="shared" si="69"/>
        <v>13</v>
      </c>
      <c r="J489" s="13">
        <f t="shared" si="70"/>
        <v>11</v>
      </c>
      <c r="K489" s="13">
        <f t="shared" si="71"/>
        <v>2</v>
      </c>
    </row>
    <row r="490" spans="1:11" x14ac:dyDescent="0.25">
      <c r="A490" s="13">
        <f>'Raw Data'!A490</f>
        <v>488</v>
      </c>
      <c r="B490" s="13" t="str">
        <f>'Raw Data'!C490</f>
        <v xml:space="preserve"> Success </v>
      </c>
      <c r="C490" s="13" t="str">
        <f t="shared" si="63"/>
        <v>Success</v>
      </c>
      <c r="D490" s="13" t="str">
        <f t="shared" si="64"/>
        <v xml:space="preserve"> Success </v>
      </c>
      <c r="E490" s="13" t="str">
        <f t="shared" si="65"/>
        <v>Success</v>
      </c>
      <c r="F490" s="13" t="str">
        <f t="shared" si="66"/>
        <v>SUCCESS</v>
      </c>
      <c r="G490" s="13" t="str">
        <f t="shared" si="67"/>
        <v>success</v>
      </c>
      <c r="H490" s="13" t="str">
        <f t="shared" si="68"/>
        <v>Success</v>
      </c>
      <c r="I490" s="13">
        <f t="shared" si="69"/>
        <v>9</v>
      </c>
      <c r="J490" s="13">
        <f t="shared" si="70"/>
        <v>7</v>
      </c>
      <c r="K490" s="13">
        <f t="shared" si="71"/>
        <v>2</v>
      </c>
    </row>
    <row r="491" spans="1:11" x14ac:dyDescent="0.25">
      <c r="A491" s="13">
        <f>'Raw Data'!A491</f>
        <v>489</v>
      </c>
      <c r="B491" s="13" t="str">
        <f>'Raw Data'!C491</f>
        <v xml:space="preserve"> Happiness </v>
      </c>
      <c r="C491" s="13" t="str">
        <f t="shared" si="63"/>
        <v>Happiness</v>
      </c>
      <c r="D491" s="13" t="str">
        <f t="shared" si="64"/>
        <v xml:space="preserve"> Happiness </v>
      </c>
      <c r="E491" s="13" t="str">
        <f t="shared" si="65"/>
        <v>Happiness</v>
      </c>
      <c r="F491" s="13" t="str">
        <f t="shared" si="66"/>
        <v>HAPPINESS</v>
      </c>
      <c r="G491" s="13" t="str">
        <f t="shared" si="67"/>
        <v>happiness</v>
      </c>
      <c r="H491" s="13" t="str">
        <f t="shared" si="68"/>
        <v>Happiness</v>
      </c>
      <c r="I491" s="13">
        <f t="shared" si="69"/>
        <v>11</v>
      </c>
      <c r="J491" s="13">
        <f t="shared" si="70"/>
        <v>9</v>
      </c>
      <c r="K491" s="13">
        <f t="shared" si="71"/>
        <v>2</v>
      </c>
    </row>
    <row r="492" spans="1:11" x14ac:dyDescent="0.25">
      <c r="A492" s="13">
        <f>'Raw Data'!A492</f>
        <v>490</v>
      </c>
      <c r="B492" s="13" t="str">
        <f>'Raw Data'!C492</f>
        <v xml:space="preserve"> Thrill </v>
      </c>
      <c r="C492" s="13" t="str">
        <f t="shared" si="63"/>
        <v>Thrill</v>
      </c>
      <c r="D492" s="13" t="str">
        <f t="shared" si="64"/>
        <v xml:space="preserve"> Thrill </v>
      </c>
      <c r="E492" s="13" t="str">
        <f t="shared" si="65"/>
        <v>Thrill</v>
      </c>
      <c r="F492" s="13" t="str">
        <f t="shared" si="66"/>
        <v>THRILL</v>
      </c>
      <c r="G492" s="13" t="str">
        <f t="shared" si="67"/>
        <v>thrill</v>
      </c>
      <c r="H492" s="13" t="str">
        <f t="shared" si="68"/>
        <v>Thrill</v>
      </c>
      <c r="I492" s="13">
        <f t="shared" si="69"/>
        <v>8</v>
      </c>
      <c r="J492" s="13">
        <f t="shared" si="70"/>
        <v>6</v>
      </c>
      <c r="K492" s="13">
        <f t="shared" si="71"/>
        <v>2</v>
      </c>
    </row>
    <row r="493" spans="1:11" x14ac:dyDescent="0.25">
      <c r="A493" s="13">
        <f>'Raw Data'!A493</f>
        <v>491</v>
      </c>
      <c r="B493" s="13" t="str">
        <f>'Raw Data'!C493</f>
        <v xml:space="preserve"> Reflection </v>
      </c>
      <c r="C493" s="13" t="str">
        <f t="shared" si="63"/>
        <v>Reflection</v>
      </c>
      <c r="D493" s="13" t="str">
        <f t="shared" si="64"/>
        <v xml:space="preserve"> Reflection </v>
      </c>
      <c r="E493" s="13" t="str">
        <f t="shared" si="65"/>
        <v>Reflection</v>
      </c>
      <c r="F493" s="13" t="str">
        <f t="shared" si="66"/>
        <v>REFLECTION</v>
      </c>
      <c r="G493" s="13" t="str">
        <f t="shared" si="67"/>
        <v>reflection</v>
      </c>
      <c r="H493" s="13" t="str">
        <f t="shared" si="68"/>
        <v>Reflection</v>
      </c>
      <c r="I493" s="13">
        <f t="shared" si="69"/>
        <v>12</v>
      </c>
      <c r="J493" s="13">
        <f t="shared" si="70"/>
        <v>10</v>
      </c>
      <c r="K493" s="13">
        <f t="shared" si="71"/>
        <v>2</v>
      </c>
    </row>
    <row r="494" spans="1:11" x14ac:dyDescent="0.25">
      <c r="A494" s="13">
        <f>'Raw Data'!A494</f>
        <v>492</v>
      </c>
      <c r="B494" s="13" t="str">
        <f>'Raw Data'!C494</f>
        <v xml:space="preserve"> Enchantment </v>
      </c>
      <c r="C494" s="13" t="str">
        <f t="shared" si="63"/>
        <v>Enchantment</v>
      </c>
      <c r="D494" s="13" t="str">
        <f t="shared" si="64"/>
        <v xml:space="preserve"> Enchantment </v>
      </c>
      <c r="E494" s="13" t="str">
        <f t="shared" si="65"/>
        <v>Enchantment</v>
      </c>
      <c r="F494" s="13" t="str">
        <f t="shared" si="66"/>
        <v>ENCHANTMENT</v>
      </c>
      <c r="G494" s="13" t="str">
        <f t="shared" si="67"/>
        <v>enchantment</v>
      </c>
      <c r="H494" s="13" t="str">
        <f t="shared" si="68"/>
        <v>Enchantment</v>
      </c>
      <c r="I494" s="13">
        <f t="shared" si="69"/>
        <v>13</v>
      </c>
      <c r="J494" s="13">
        <f t="shared" si="70"/>
        <v>11</v>
      </c>
      <c r="K494" s="13">
        <f t="shared" si="71"/>
        <v>2</v>
      </c>
    </row>
    <row r="495" spans="1:11" x14ac:dyDescent="0.25">
      <c r="A495" s="13">
        <f>'Raw Data'!A495</f>
        <v>493</v>
      </c>
      <c r="B495" s="13" t="str">
        <f>'Raw Data'!C495</f>
        <v xml:space="preserve"> Excitement </v>
      </c>
      <c r="C495" s="13" t="str">
        <f t="shared" si="63"/>
        <v>Excitement</v>
      </c>
      <c r="D495" s="13" t="str">
        <f t="shared" si="64"/>
        <v xml:space="preserve"> Excitement </v>
      </c>
      <c r="E495" s="13" t="str">
        <f t="shared" si="65"/>
        <v>Excitement</v>
      </c>
      <c r="F495" s="13" t="str">
        <f t="shared" si="66"/>
        <v>EXCITEMENT</v>
      </c>
      <c r="G495" s="13" t="str">
        <f t="shared" si="67"/>
        <v>excitement</v>
      </c>
      <c r="H495" s="13" t="str">
        <f t="shared" si="68"/>
        <v>Excitement</v>
      </c>
      <c r="I495" s="13">
        <f t="shared" si="69"/>
        <v>12</v>
      </c>
      <c r="J495" s="13">
        <f t="shared" si="70"/>
        <v>10</v>
      </c>
      <c r="K495" s="13">
        <f t="shared" si="71"/>
        <v>2</v>
      </c>
    </row>
    <row r="496" spans="1:11" x14ac:dyDescent="0.25">
      <c r="A496" s="13">
        <f>'Raw Data'!A496</f>
        <v>494</v>
      </c>
      <c r="B496" s="13" t="str">
        <f>'Raw Data'!C496</f>
        <v xml:space="preserve"> Joy </v>
      </c>
      <c r="C496" s="13" t="str">
        <f t="shared" si="63"/>
        <v>Joy</v>
      </c>
      <c r="D496" s="13" t="str">
        <f t="shared" si="64"/>
        <v xml:space="preserve"> Joy </v>
      </c>
      <c r="E496" s="13" t="str">
        <f t="shared" si="65"/>
        <v>Joy</v>
      </c>
      <c r="F496" s="13" t="str">
        <f t="shared" si="66"/>
        <v>JOY</v>
      </c>
      <c r="G496" s="13" t="str">
        <f t="shared" si="67"/>
        <v>joy</v>
      </c>
      <c r="H496" s="13" t="str">
        <f t="shared" si="68"/>
        <v>Joy</v>
      </c>
      <c r="I496" s="13">
        <f t="shared" si="69"/>
        <v>5</v>
      </c>
      <c r="J496" s="13">
        <f t="shared" si="70"/>
        <v>3</v>
      </c>
      <c r="K496" s="13">
        <f t="shared" si="71"/>
        <v>2</v>
      </c>
    </row>
    <row r="497" spans="1:11" x14ac:dyDescent="0.25">
      <c r="A497" s="13">
        <f>'Raw Data'!A497</f>
        <v>495</v>
      </c>
      <c r="B497" s="13" t="str">
        <f>'Raw Data'!C497</f>
        <v xml:space="preserve"> Exploration </v>
      </c>
      <c r="C497" s="13" t="str">
        <f t="shared" si="63"/>
        <v>Exploration</v>
      </c>
      <c r="D497" s="13" t="str">
        <f t="shared" si="64"/>
        <v xml:space="preserve"> Exploration </v>
      </c>
      <c r="E497" s="13" t="str">
        <f t="shared" si="65"/>
        <v>Exploration</v>
      </c>
      <c r="F497" s="13" t="str">
        <f t="shared" si="66"/>
        <v>EXPLORATION</v>
      </c>
      <c r="G497" s="13" t="str">
        <f t="shared" si="67"/>
        <v>exploration</v>
      </c>
      <c r="H497" s="13" t="str">
        <f t="shared" si="68"/>
        <v>Exploration</v>
      </c>
      <c r="I497" s="13">
        <f t="shared" si="69"/>
        <v>13</v>
      </c>
      <c r="J497" s="13">
        <f t="shared" si="70"/>
        <v>11</v>
      </c>
      <c r="K497" s="13">
        <f t="shared" si="71"/>
        <v>2</v>
      </c>
    </row>
    <row r="498" spans="1:11" x14ac:dyDescent="0.25">
      <c r="A498" s="13">
        <f>'Raw Data'!A498</f>
        <v>496</v>
      </c>
      <c r="B498" s="13" t="str">
        <f>'Raw Data'!C498</f>
        <v xml:space="preserve"> Awe </v>
      </c>
      <c r="C498" s="13" t="str">
        <f t="shared" si="63"/>
        <v>Awe</v>
      </c>
      <c r="D498" s="13" t="str">
        <f t="shared" si="64"/>
        <v xml:space="preserve"> Awe </v>
      </c>
      <c r="E498" s="13" t="str">
        <f t="shared" si="65"/>
        <v>Awe</v>
      </c>
      <c r="F498" s="13" t="str">
        <f t="shared" si="66"/>
        <v>AWE</v>
      </c>
      <c r="G498" s="13" t="str">
        <f t="shared" si="67"/>
        <v>awe</v>
      </c>
      <c r="H498" s="13" t="str">
        <f t="shared" si="68"/>
        <v>Awe</v>
      </c>
      <c r="I498" s="13">
        <f t="shared" si="69"/>
        <v>5</v>
      </c>
      <c r="J498" s="13">
        <f t="shared" si="70"/>
        <v>3</v>
      </c>
      <c r="K498" s="13">
        <f t="shared" si="71"/>
        <v>2</v>
      </c>
    </row>
    <row r="499" spans="1:11" x14ac:dyDescent="0.25">
      <c r="A499" s="13">
        <f>'Raw Data'!A499</f>
        <v>497</v>
      </c>
      <c r="B499" s="13" t="str">
        <f>'Raw Data'!C499</f>
        <v xml:space="preserve"> Serenity </v>
      </c>
      <c r="C499" s="13" t="str">
        <f t="shared" si="63"/>
        <v>Serenity</v>
      </c>
      <c r="D499" s="13" t="str">
        <f t="shared" si="64"/>
        <v xml:space="preserve"> Serenity </v>
      </c>
      <c r="E499" s="13" t="str">
        <f t="shared" si="65"/>
        <v>Serenity</v>
      </c>
      <c r="F499" s="13" t="str">
        <f t="shared" si="66"/>
        <v>SERENITY</v>
      </c>
      <c r="G499" s="13" t="str">
        <f t="shared" si="67"/>
        <v>serenity</v>
      </c>
      <c r="H499" s="13" t="str">
        <f t="shared" si="68"/>
        <v>Serenity</v>
      </c>
      <c r="I499" s="13">
        <f t="shared" si="69"/>
        <v>10</v>
      </c>
      <c r="J499" s="13">
        <f t="shared" si="70"/>
        <v>8</v>
      </c>
      <c r="K499" s="13">
        <f t="shared" si="71"/>
        <v>2</v>
      </c>
    </row>
    <row r="500" spans="1:11" x14ac:dyDescent="0.25">
      <c r="A500" s="13">
        <f>'Raw Data'!A500</f>
        <v>498</v>
      </c>
      <c r="B500" s="13" t="str">
        <f>'Raw Data'!C500</f>
        <v xml:space="preserve"> Amazement </v>
      </c>
      <c r="C500" s="13" t="str">
        <f t="shared" si="63"/>
        <v>Amazement</v>
      </c>
      <c r="D500" s="13" t="str">
        <f t="shared" si="64"/>
        <v xml:space="preserve"> Amazement </v>
      </c>
      <c r="E500" s="13" t="str">
        <f t="shared" si="65"/>
        <v>Amazement</v>
      </c>
      <c r="F500" s="13" t="str">
        <f t="shared" si="66"/>
        <v>AMAZEMENT</v>
      </c>
      <c r="G500" s="13" t="str">
        <f t="shared" si="67"/>
        <v>amazement</v>
      </c>
      <c r="H500" s="13" t="str">
        <f t="shared" si="68"/>
        <v>Amazement</v>
      </c>
      <c r="I500" s="13">
        <f t="shared" si="69"/>
        <v>11</v>
      </c>
      <c r="J500" s="13">
        <f t="shared" si="70"/>
        <v>9</v>
      </c>
      <c r="K500" s="13">
        <f t="shared" si="71"/>
        <v>2</v>
      </c>
    </row>
    <row r="501" spans="1:11" x14ac:dyDescent="0.25">
      <c r="A501" s="13">
        <f>'Raw Data'!A501</f>
        <v>499</v>
      </c>
      <c r="B501" s="13" t="str">
        <f>'Raw Data'!C501</f>
        <v xml:space="preserve"> Romance </v>
      </c>
      <c r="C501" s="13" t="str">
        <f t="shared" si="63"/>
        <v>Romance</v>
      </c>
      <c r="D501" s="13" t="str">
        <f t="shared" si="64"/>
        <v xml:space="preserve"> Romance </v>
      </c>
      <c r="E501" s="13" t="str">
        <f t="shared" si="65"/>
        <v>Romance</v>
      </c>
      <c r="F501" s="13" t="str">
        <f t="shared" si="66"/>
        <v>ROMANCE</v>
      </c>
      <c r="G501" s="13" t="str">
        <f t="shared" si="67"/>
        <v>romance</v>
      </c>
      <c r="H501" s="13" t="str">
        <f t="shared" si="68"/>
        <v>Romance</v>
      </c>
      <c r="I501" s="13">
        <f t="shared" si="69"/>
        <v>9</v>
      </c>
      <c r="J501" s="13">
        <f t="shared" si="70"/>
        <v>7</v>
      </c>
      <c r="K501" s="13">
        <f t="shared" si="71"/>
        <v>2</v>
      </c>
    </row>
    <row r="502" spans="1:11" x14ac:dyDescent="0.25">
      <c r="A502" s="13">
        <f>'Raw Data'!A502</f>
        <v>500</v>
      </c>
      <c r="B502" s="13" t="str">
        <f>'Raw Data'!C502</f>
        <v xml:space="preserve"> Awe </v>
      </c>
      <c r="C502" s="13" t="str">
        <f t="shared" si="63"/>
        <v>Awe</v>
      </c>
      <c r="D502" s="13" t="str">
        <f t="shared" si="64"/>
        <v xml:space="preserve"> Awe </v>
      </c>
      <c r="E502" s="13" t="str">
        <f t="shared" si="65"/>
        <v>Awe</v>
      </c>
      <c r="F502" s="13" t="str">
        <f t="shared" si="66"/>
        <v>AWE</v>
      </c>
      <c r="G502" s="13" t="str">
        <f t="shared" si="67"/>
        <v>awe</v>
      </c>
      <c r="H502" s="13" t="str">
        <f t="shared" si="68"/>
        <v>Awe</v>
      </c>
      <c r="I502" s="13">
        <f t="shared" si="69"/>
        <v>5</v>
      </c>
      <c r="J502" s="13">
        <f t="shared" si="70"/>
        <v>3</v>
      </c>
      <c r="K502" s="13">
        <f t="shared" si="71"/>
        <v>2</v>
      </c>
    </row>
    <row r="503" spans="1:11" x14ac:dyDescent="0.25">
      <c r="A503" s="13">
        <f>'Raw Data'!A503</f>
        <v>501</v>
      </c>
      <c r="B503" s="13" t="str">
        <f>'Raw Data'!C503</f>
        <v xml:space="preserve"> Excitement </v>
      </c>
      <c r="C503" s="13" t="str">
        <f t="shared" si="63"/>
        <v>Excitement</v>
      </c>
      <c r="D503" s="13" t="str">
        <f t="shared" si="64"/>
        <v xml:space="preserve"> Excitement </v>
      </c>
      <c r="E503" s="13" t="str">
        <f t="shared" si="65"/>
        <v>Excitement</v>
      </c>
      <c r="F503" s="13" t="str">
        <f t="shared" si="66"/>
        <v>EXCITEMENT</v>
      </c>
      <c r="G503" s="13" t="str">
        <f t="shared" si="67"/>
        <v>excitement</v>
      </c>
      <c r="H503" s="13" t="str">
        <f t="shared" si="68"/>
        <v>Excitement</v>
      </c>
      <c r="I503" s="13">
        <f t="shared" si="69"/>
        <v>12</v>
      </c>
      <c r="J503" s="13">
        <f t="shared" si="70"/>
        <v>10</v>
      </c>
      <c r="K503" s="13">
        <f t="shared" si="71"/>
        <v>2</v>
      </c>
    </row>
    <row r="504" spans="1:11" x14ac:dyDescent="0.25">
      <c r="A504" s="13">
        <f>'Raw Data'!A504</f>
        <v>502</v>
      </c>
      <c r="B504" s="13" t="str">
        <f>'Raw Data'!C504</f>
        <v xml:space="preserve"> Captivation </v>
      </c>
      <c r="C504" s="13" t="str">
        <f t="shared" si="63"/>
        <v>Captivation</v>
      </c>
      <c r="D504" s="13" t="str">
        <f t="shared" si="64"/>
        <v xml:space="preserve"> Captivation </v>
      </c>
      <c r="E504" s="13" t="str">
        <f t="shared" si="65"/>
        <v>Captivation</v>
      </c>
      <c r="F504" s="13" t="str">
        <f t="shared" si="66"/>
        <v>CAPTIVATION</v>
      </c>
      <c r="G504" s="13" t="str">
        <f t="shared" si="67"/>
        <v>captivation</v>
      </c>
      <c r="H504" s="13" t="str">
        <f t="shared" si="68"/>
        <v>Captivation</v>
      </c>
      <c r="I504" s="13">
        <f t="shared" si="69"/>
        <v>13</v>
      </c>
      <c r="J504" s="13">
        <f t="shared" si="70"/>
        <v>11</v>
      </c>
      <c r="K504" s="13">
        <f t="shared" si="71"/>
        <v>2</v>
      </c>
    </row>
    <row r="505" spans="1:11" x14ac:dyDescent="0.25">
      <c r="A505" s="13">
        <f>'Raw Data'!A505</f>
        <v>503</v>
      </c>
      <c r="B505" s="13" t="str">
        <f>'Raw Data'!C505</f>
        <v xml:space="preserve"> Serenity </v>
      </c>
      <c r="C505" s="13" t="str">
        <f t="shared" si="63"/>
        <v>Serenity</v>
      </c>
      <c r="D505" s="13" t="str">
        <f t="shared" si="64"/>
        <v xml:space="preserve"> Serenity </v>
      </c>
      <c r="E505" s="13" t="str">
        <f t="shared" si="65"/>
        <v>Serenity</v>
      </c>
      <c r="F505" s="13" t="str">
        <f t="shared" si="66"/>
        <v>SERENITY</v>
      </c>
      <c r="G505" s="13" t="str">
        <f t="shared" si="67"/>
        <v>serenity</v>
      </c>
      <c r="H505" s="13" t="str">
        <f t="shared" si="68"/>
        <v>Serenity</v>
      </c>
      <c r="I505" s="13">
        <f t="shared" si="69"/>
        <v>10</v>
      </c>
      <c r="J505" s="13">
        <f t="shared" si="70"/>
        <v>8</v>
      </c>
      <c r="K505" s="13">
        <f t="shared" si="71"/>
        <v>2</v>
      </c>
    </row>
    <row r="506" spans="1:11" x14ac:dyDescent="0.25">
      <c r="A506" s="13">
        <f>'Raw Data'!A506</f>
        <v>504</v>
      </c>
      <c r="B506" s="13" t="str">
        <f>'Raw Data'!C506</f>
        <v xml:space="preserve"> Wonder </v>
      </c>
      <c r="C506" s="13" t="str">
        <f t="shared" si="63"/>
        <v>Wonder</v>
      </c>
      <c r="D506" s="13" t="str">
        <f t="shared" si="64"/>
        <v xml:space="preserve"> Wonder </v>
      </c>
      <c r="E506" s="13" t="str">
        <f t="shared" si="65"/>
        <v>Wonder</v>
      </c>
      <c r="F506" s="13" t="str">
        <f t="shared" si="66"/>
        <v>WONDER</v>
      </c>
      <c r="G506" s="13" t="str">
        <f t="shared" si="67"/>
        <v>wonder</v>
      </c>
      <c r="H506" s="13" t="str">
        <f t="shared" si="68"/>
        <v>Wonder</v>
      </c>
      <c r="I506" s="13">
        <f t="shared" si="69"/>
        <v>8</v>
      </c>
      <c r="J506" s="13">
        <f t="shared" si="70"/>
        <v>6</v>
      </c>
      <c r="K506" s="13">
        <f t="shared" si="71"/>
        <v>2</v>
      </c>
    </row>
    <row r="507" spans="1:11" x14ac:dyDescent="0.25">
      <c r="A507" s="13">
        <f>'Raw Data'!A507</f>
        <v>505</v>
      </c>
      <c r="B507" s="13" t="str">
        <f>'Raw Data'!C507</f>
        <v xml:space="preserve"> Awe </v>
      </c>
      <c r="C507" s="13" t="str">
        <f t="shared" si="63"/>
        <v>Awe</v>
      </c>
      <c r="D507" s="13" t="str">
        <f t="shared" si="64"/>
        <v xml:space="preserve"> Awe </v>
      </c>
      <c r="E507" s="13" t="str">
        <f t="shared" si="65"/>
        <v>Awe</v>
      </c>
      <c r="F507" s="13" t="str">
        <f t="shared" si="66"/>
        <v>AWE</v>
      </c>
      <c r="G507" s="13" t="str">
        <f t="shared" si="67"/>
        <v>awe</v>
      </c>
      <c r="H507" s="13" t="str">
        <f t="shared" si="68"/>
        <v>Awe</v>
      </c>
      <c r="I507" s="13">
        <f t="shared" si="69"/>
        <v>5</v>
      </c>
      <c r="J507" s="13">
        <f t="shared" si="70"/>
        <v>3</v>
      </c>
      <c r="K507" s="13">
        <f t="shared" si="71"/>
        <v>2</v>
      </c>
    </row>
    <row r="508" spans="1:11" x14ac:dyDescent="0.25">
      <c r="A508" s="13">
        <f>'Raw Data'!A508</f>
        <v>506</v>
      </c>
      <c r="B508" s="13" t="str">
        <f>'Raw Data'!C508</f>
        <v xml:space="preserve"> Accomplishment </v>
      </c>
      <c r="C508" s="13" t="str">
        <f t="shared" si="63"/>
        <v>Accomplishment</v>
      </c>
      <c r="D508" s="13" t="str">
        <f t="shared" si="64"/>
        <v xml:space="preserve"> Accomplishment </v>
      </c>
      <c r="E508" s="13" t="str">
        <f t="shared" si="65"/>
        <v>Accomplishment</v>
      </c>
      <c r="F508" s="13" t="str">
        <f t="shared" si="66"/>
        <v>ACCOMPLISHMENT</v>
      </c>
      <c r="G508" s="13" t="str">
        <f t="shared" si="67"/>
        <v>accomplishment</v>
      </c>
      <c r="H508" s="13" t="str">
        <f t="shared" si="68"/>
        <v>Accomplishment</v>
      </c>
      <c r="I508" s="13">
        <f t="shared" si="69"/>
        <v>16</v>
      </c>
      <c r="J508" s="13">
        <f t="shared" si="70"/>
        <v>14</v>
      </c>
      <c r="K508" s="13">
        <f t="shared" si="71"/>
        <v>2</v>
      </c>
    </row>
    <row r="509" spans="1:11" x14ac:dyDescent="0.25">
      <c r="A509" s="13">
        <f>'Raw Data'!A509</f>
        <v>507</v>
      </c>
      <c r="B509" s="13" t="str">
        <f>'Raw Data'!C509</f>
        <v xml:space="preserve"> Exploration </v>
      </c>
      <c r="C509" s="13" t="str">
        <f t="shared" si="63"/>
        <v>Exploration</v>
      </c>
      <c r="D509" s="13" t="str">
        <f t="shared" si="64"/>
        <v xml:space="preserve"> Exploration </v>
      </c>
      <c r="E509" s="13" t="str">
        <f t="shared" si="65"/>
        <v>Exploration</v>
      </c>
      <c r="F509" s="13" t="str">
        <f t="shared" si="66"/>
        <v>EXPLORATION</v>
      </c>
      <c r="G509" s="13" t="str">
        <f t="shared" si="67"/>
        <v>exploration</v>
      </c>
      <c r="H509" s="13" t="str">
        <f t="shared" si="68"/>
        <v>Exploration</v>
      </c>
      <c r="I509" s="13">
        <f t="shared" si="69"/>
        <v>13</v>
      </c>
      <c r="J509" s="13">
        <f t="shared" si="70"/>
        <v>11</v>
      </c>
      <c r="K509" s="13">
        <f t="shared" si="71"/>
        <v>2</v>
      </c>
    </row>
    <row r="510" spans="1:11" x14ac:dyDescent="0.25">
      <c r="A510" s="13">
        <f>'Raw Data'!A510</f>
        <v>508</v>
      </c>
      <c r="B510" s="13" t="str">
        <f>'Raw Data'!C510</f>
        <v xml:space="preserve"> Adventure </v>
      </c>
      <c r="C510" s="13" t="str">
        <f t="shared" si="63"/>
        <v>Adventure</v>
      </c>
      <c r="D510" s="13" t="str">
        <f t="shared" si="64"/>
        <v xml:space="preserve"> Adventure </v>
      </c>
      <c r="E510" s="13" t="str">
        <f t="shared" si="65"/>
        <v>Adventure</v>
      </c>
      <c r="F510" s="13" t="str">
        <f t="shared" si="66"/>
        <v>ADVENTURE</v>
      </c>
      <c r="G510" s="13" t="str">
        <f t="shared" si="67"/>
        <v>adventure</v>
      </c>
      <c r="H510" s="13" t="str">
        <f t="shared" si="68"/>
        <v>Adventure</v>
      </c>
      <c r="I510" s="13">
        <f t="shared" si="69"/>
        <v>11</v>
      </c>
      <c r="J510" s="13">
        <f t="shared" si="70"/>
        <v>9</v>
      </c>
      <c r="K510" s="13">
        <f t="shared" si="71"/>
        <v>2</v>
      </c>
    </row>
    <row r="511" spans="1:11" x14ac:dyDescent="0.25">
      <c r="A511" s="13">
        <f>'Raw Data'!A511</f>
        <v>509</v>
      </c>
      <c r="B511" s="13" t="str">
        <f>'Raw Data'!C511</f>
        <v xml:space="preserve"> Tranquility </v>
      </c>
      <c r="C511" s="13" t="str">
        <f t="shared" si="63"/>
        <v>Tranquility</v>
      </c>
      <c r="D511" s="13" t="str">
        <f t="shared" si="64"/>
        <v xml:space="preserve"> Tranquility </v>
      </c>
      <c r="E511" s="13" t="str">
        <f t="shared" si="65"/>
        <v>Tranquility</v>
      </c>
      <c r="F511" s="13" t="str">
        <f t="shared" si="66"/>
        <v>TRANQUILITY</v>
      </c>
      <c r="G511" s="13" t="str">
        <f t="shared" si="67"/>
        <v>tranquility</v>
      </c>
      <c r="H511" s="13" t="str">
        <f t="shared" si="68"/>
        <v>Tranquility</v>
      </c>
      <c r="I511" s="13">
        <f t="shared" si="69"/>
        <v>13</v>
      </c>
      <c r="J511" s="13">
        <f t="shared" si="70"/>
        <v>11</v>
      </c>
      <c r="K511" s="13">
        <f t="shared" si="71"/>
        <v>2</v>
      </c>
    </row>
    <row r="512" spans="1:11" x14ac:dyDescent="0.25">
      <c r="A512" s="13">
        <f>'Raw Data'!A512</f>
        <v>510</v>
      </c>
      <c r="B512" s="13" t="str">
        <f>'Raw Data'!C512</f>
        <v xml:space="preserve"> Grandeur </v>
      </c>
      <c r="C512" s="13" t="str">
        <f t="shared" si="63"/>
        <v>Grandeur</v>
      </c>
      <c r="D512" s="13" t="str">
        <f t="shared" si="64"/>
        <v xml:space="preserve"> Grandeur </v>
      </c>
      <c r="E512" s="13" t="str">
        <f t="shared" si="65"/>
        <v>Grandeur</v>
      </c>
      <c r="F512" s="13" t="str">
        <f t="shared" si="66"/>
        <v>GRANDEUR</v>
      </c>
      <c r="G512" s="13" t="str">
        <f t="shared" si="67"/>
        <v>grandeur</v>
      </c>
      <c r="H512" s="13" t="str">
        <f t="shared" si="68"/>
        <v>Grandeur</v>
      </c>
      <c r="I512" s="13">
        <f t="shared" si="69"/>
        <v>10</v>
      </c>
      <c r="J512" s="13">
        <f t="shared" si="70"/>
        <v>8</v>
      </c>
      <c r="K512" s="13">
        <f t="shared" si="71"/>
        <v>2</v>
      </c>
    </row>
    <row r="513" spans="1:11" x14ac:dyDescent="0.25">
      <c r="A513" s="13">
        <f>'Raw Data'!A513</f>
        <v>511</v>
      </c>
      <c r="B513" s="13" t="str">
        <f>'Raw Data'!C513</f>
        <v xml:space="preserve"> Emotion </v>
      </c>
      <c r="C513" s="13" t="str">
        <f t="shared" si="63"/>
        <v>Emotion</v>
      </c>
      <c r="D513" s="13" t="str">
        <f t="shared" si="64"/>
        <v xml:space="preserve"> Emotion </v>
      </c>
      <c r="E513" s="13" t="str">
        <f t="shared" si="65"/>
        <v>Emotion</v>
      </c>
      <c r="F513" s="13" t="str">
        <f t="shared" si="66"/>
        <v>EMOTION</v>
      </c>
      <c r="G513" s="13" t="str">
        <f t="shared" si="67"/>
        <v>emotion</v>
      </c>
      <c r="H513" s="13" t="str">
        <f t="shared" si="68"/>
        <v>Emotion</v>
      </c>
      <c r="I513" s="13">
        <f t="shared" si="69"/>
        <v>9</v>
      </c>
      <c r="J513" s="13">
        <f t="shared" si="70"/>
        <v>7</v>
      </c>
      <c r="K513" s="13">
        <f t="shared" si="71"/>
        <v>2</v>
      </c>
    </row>
    <row r="514" spans="1:11" x14ac:dyDescent="0.25">
      <c r="A514" s="13">
        <f>'Raw Data'!A514</f>
        <v>512</v>
      </c>
      <c r="B514" s="13" t="str">
        <f>'Raw Data'!C514</f>
        <v xml:space="preserve"> Energy </v>
      </c>
      <c r="C514" s="13" t="str">
        <f t="shared" si="63"/>
        <v>Energy</v>
      </c>
      <c r="D514" s="13" t="str">
        <f t="shared" si="64"/>
        <v xml:space="preserve"> Energy </v>
      </c>
      <c r="E514" s="13" t="str">
        <f t="shared" si="65"/>
        <v>Energy</v>
      </c>
      <c r="F514" s="13" t="str">
        <f t="shared" si="66"/>
        <v>ENERGY</v>
      </c>
      <c r="G514" s="13" t="str">
        <f t="shared" si="67"/>
        <v>energy</v>
      </c>
      <c r="H514" s="13" t="str">
        <f t="shared" si="68"/>
        <v>Energy</v>
      </c>
      <c r="I514" s="13">
        <f t="shared" si="69"/>
        <v>8</v>
      </c>
      <c r="J514" s="13">
        <f t="shared" si="70"/>
        <v>6</v>
      </c>
      <c r="K514" s="13">
        <f t="shared" si="71"/>
        <v>2</v>
      </c>
    </row>
    <row r="515" spans="1:11" x14ac:dyDescent="0.25">
      <c r="A515" s="13">
        <f>'Raw Data'!A515</f>
        <v>513</v>
      </c>
      <c r="B515" s="13" t="str">
        <f>'Raw Data'!C515</f>
        <v xml:space="preserve"> Enchantment </v>
      </c>
      <c r="C515" s="13" t="str">
        <f t="shared" si="63"/>
        <v>Enchantment</v>
      </c>
      <c r="D515" s="13" t="str">
        <f t="shared" si="64"/>
        <v xml:space="preserve"> Enchantment </v>
      </c>
      <c r="E515" s="13" t="str">
        <f t="shared" si="65"/>
        <v>Enchantment</v>
      </c>
      <c r="F515" s="13" t="str">
        <f t="shared" si="66"/>
        <v>ENCHANTMENT</v>
      </c>
      <c r="G515" s="13" t="str">
        <f t="shared" si="67"/>
        <v>enchantment</v>
      </c>
      <c r="H515" s="13" t="str">
        <f t="shared" si="68"/>
        <v>Enchantment</v>
      </c>
      <c r="I515" s="13">
        <f t="shared" si="69"/>
        <v>13</v>
      </c>
      <c r="J515" s="13">
        <f t="shared" si="70"/>
        <v>11</v>
      </c>
      <c r="K515" s="13">
        <f t="shared" si="71"/>
        <v>2</v>
      </c>
    </row>
    <row r="516" spans="1:11" x14ac:dyDescent="0.25">
      <c r="A516" s="13">
        <f>'Raw Data'!A516</f>
        <v>514</v>
      </c>
      <c r="B516" s="13" t="str">
        <f>'Raw Data'!C516</f>
        <v xml:space="preserve"> Nostalgia </v>
      </c>
      <c r="C516" s="13" t="str">
        <f t="shared" ref="C516:C579" si="72">TRIM(B516)</f>
        <v>Nostalgia</v>
      </c>
      <c r="D516" s="13" t="str">
        <f t="shared" ref="D516:D579" si="73">CLEAN(B516)</f>
        <v xml:space="preserve"> Nostalgia </v>
      </c>
      <c r="E516" s="13" t="str">
        <f t="shared" ref="E516:E579" si="74">SUBSTITUTE(SUBSTITUTE(SUBSTITUTE(TRIM(B516),"Positive","Pos"),"Negative","Neg"),"Neutral","Neu")</f>
        <v>Nostalgia</v>
      </c>
      <c r="F516" s="13" t="str">
        <f t="shared" ref="F516:F579" si="75">UPPER(TRIM(B516))</f>
        <v>NOSTALGIA</v>
      </c>
      <c r="G516" s="13" t="str">
        <f t="shared" ref="G516:G579" si="76">LOWER(TRIM(B516))</f>
        <v>nostalgia</v>
      </c>
      <c r="H516" s="13" t="str">
        <f t="shared" ref="H516:H579" si="77">PROPER(TRIM(B516))</f>
        <v>Nostalgia</v>
      </c>
      <c r="I516" s="13">
        <f t="shared" ref="I516:I579" si="78">LEN(B516)</f>
        <v>11</v>
      </c>
      <c r="J516" s="13">
        <f t="shared" ref="J516:J579" si="79">LEN(TRIM(B516))</f>
        <v>9</v>
      </c>
      <c r="K516" s="13">
        <f t="shared" ref="K516:K579" si="80">I516-J516</f>
        <v>2</v>
      </c>
    </row>
    <row r="517" spans="1:11" x14ac:dyDescent="0.25">
      <c r="A517" s="13">
        <f>'Raw Data'!A517</f>
        <v>515</v>
      </c>
      <c r="B517" s="13" t="str">
        <f>'Raw Data'!C517</f>
        <v xml:space="preserve"> Serenity </v>
      </c>
      <c r="C517" s="13" t="str">
        <f t="shared" si="72"/>
        <v>Serenity</v>
      </c>
      <c r="D517" s="13" t="str">
        <f t="shared" si="73"/>
        <v xml:space="preserve"> Serenity </v>
      </c>
      <c r="E517" s="13" t="str">
        <f t="shared" si="74"/>
        <v>Serenity</v>
      </c>
      <c r="F517" s="13" t="str">
        <f t="shared" si="75"/>
        <v>SERENITY</v>
      </c>
      <c r="G517" s="13" t="str">
        <f t="shared" si="76"/>
        <v>serenity</v>
      </c>
      <c r="H517" s="13" t="str">
        <f t="shared" si="77"/>
        <v>Serenity</v>
      </c>
      <c r="I517" s="13">
        <f t="shared" si="78"/>
        <v>10</v>
      </c>
      <c r="J517" s="13">
        <f t="shared" si="79"/>
        <v>8</v>
      </c>
      <c r="K517" s="13">
        <f t="shared" si="80"/>
        <v>2</v>
      </c>
    </row>
    <row r="518" spans="1:11" x14ac:dyDescent="0.25">
      <c r="A518" s="13">
        <f>'Raw Data'!A518</f>
        <v>516</v>
      </c>
      <c r="B518" s="13" t="str">
        <f>'Raw Data'!C518</f>
        <v xml:space="preserve"> Joy </v>
      </c>
      <c r="C518" s="13" t="str">
        <f t="shared" si="72"/>
        <v>Joy</v>
      </c>
      <c r="D518" s="13" t="str">
        <f t="shared" si="73"/>
        <v xml:space="preserve"> Joy </v>
      </c>
      <c r="E518" s="13" t="str">
        <f t="shared" si="74"/>
        <v>Joy</v>
      </c>
      <c r="F518" s="13" t="str">
        <f t="shared" si="75"/>
        <v>JOY</v>
      </c>
      <c r="G518" s="13" t="str">
        <f t="shared" si="76"/>
        <v>joy</v>
      </c>
      <c r="H518" s="13" t="str">
        <f t="shared" si="77"/>
        <v>Joy</v>
      </c>
      <c r="I518" s="13">
        <f t="shared" si="78"/>
        <v>5</v>
      </c>
      <c r="J518" s="13">
        <f t="shared" si="79"/>
        <v>3</v>
      </c>
      <c r="K518" s="13">
        <f t="shared" si="80"/>
        <v>2</v>
      </c>
    </row>
    <row r="519" spans="1:11" x14ac:dyDescent="0.25">
      <c r="A519" s="13">
        <f>'Raw Data'!A519</f>
        <v>517</v>
      </c>
      <c r="B519" s="13" t="str">
        <f>'Raw Data'!C519</f>
        <v xml:space="preserve"> Celebration </v>
      </c>
      <c r="C519" s="13" t="str">
        <f t="shared" si="72"/>
        <v>Celebration</v>
      </c>
      <c r="D519" s="13" t="str">
        <f t="shared" si="73"/>
        <v xml:space="preserve"> Celebration </v>
      </c>
      <c r="E519" s="13" t="str">
        <f t="shared" si="74"/>
        <v>Celebration</v>
      </c>
      <c r="F519" s="13" t="str">
        <f t="shared" si="75"/>
        <v>CELEBRATION</v>
      </c>
      <c r="G519" s="13" t="str">
        <f t="shared" si="76"/>
        <v>celebration</v>
      </c>
      <c r="H519" s="13" t="str">
        <f t="shared" si="77"/>
        <v>Celebration</v>
      </c>
      <c r="I519" s="13">
        <f t="shared" si="78"/>
        <v>13</v>
      </c>
      <c r="J519" s="13">
        <f t="shared" si="79"/>
        <v>11</v>
      </c>
      <c r="K519" s="13">
        <f t="shared" si="80"/>
        <v>2</v>
      </c>
    </row>
    <row r="520" spans="1:11" x14ac:dyDescent="0.25">
      <c r="A520" s="13">
        <f>'Raw Data'!A520</f>
        <v>518</v>
      </c>
      <c r="B520" s="13" t="str">
        <f>'Raw Data'!C520</f>
        <v xml:space="preserve"> Charm </v>
      </c>
      <c r="C520" s="13" t="str">
        <f t="shared" si="72"/>
        <v>Charm</v>
      </c>
      <c r="D520" s="13" t="str">
        <f t="shared" si="73"/>
        <v xml:space="preserve"> Charm </v>
      </c>
      <c r="E520" s="13" t="str">
        <f t="shared" si="74"/>
        <v>Charm</v>
      </c>
      <c r="F520" s="13" t="str">
        <f t="shared" si="75"/>
        <v>CHARM</v>
      </c>
      <c r="G520" s="13" t="str">
        <f t="shared" si="76"/>
        <v>charm</v>
      </c>
      <c r="H520" s="13" t="str">
        <f t="shared" si="77"/>
        <v>Charm</v>
      </c>
      <c r="I520" s="13">
        <f t="shared" si="78"/>
        <v>7</v>
      </c>
      <c r="J520" s="13">
        <f t="shared" si="79"/>
        <v>5</v>
      </c>
      <c r="K520" s="13">
        <f t="shared" si="80"/>
        <v>2</v>
      </c>
    </row>
    <row r="521" spans="1:11" x14ac:dyDescent="0.25">
      <c r="A521" s="13">
        <f>'Raw Data'!A521</f>
        <v>519</v>
      </c>
      <c r="B521" s="13" t="str">
        <f>'Raw Data'!C521</f>
        <v xml:space="preserve"> Ecstasy </v>
      </c>
      <c r="C521" s="13" t="str">
        <f t="shared" si="72"/>
        <v>Ecstasy</v>
      </c>
      <c r="D521" s="13" t="str">
        <f t="shared" si="73"/>
        <v xml:space="preserve"> Ecstasy </v>
      </c>
      <c r="E521" s="13" t="str">
        <f t="shared" si="74"/>
        <v>Ecstasy</v>
      </c>
      <c r="F521" s="13" t="str">
        <f t="shared" si="75"/>
        <v>ECSTASY</v>
      </c>
      <c r="G521" s="13" t="str">
        <f t="shared" si="76"/>
        <v>ecstasy</v>
      </c>
      <c r="H521" s="13" t="str">
        <f t="shared" si="77"/>
        <v>Ecstasy</v>
      </c>
      <c r="I521" s="13">
        <f t="shared" si="78"/>
        <v>9</v>
      </c>
      <c r="J521" s="13">
        <f t="shared" si="79"/>
        <v>7</v>
      </c>
      <c r="K521" s="13">
        <f t="shared" si="80"/>
        <v>2</v>
      </c>
    </row>
    <row r="522" spans="1:11" x14ac:dyDescent="0.25">
      <c r="A522" s="13">
        <f>'Raw Data'!A522</f>
        <v>520</v>
      </c>
      <c r="B522" s="13" t="str">
        <f>'Raw Data'!C522</f>
        <v xml:space="preserve"> Hope </v>
      </c>
      <c r="C522" s="13" t="str">
        <f t="shared" si="72"/>
        <v>Hope</v>
      </c>
      <c r="D522" s="13" t="str">
        <f t="shared" si="73"/>
        <v xml:space="preserve"> Hope </v>
      </c>
      <c r="E522" s="13" t="str">
        <f t="shared" si="74"/>
        <v>Hope</v>
      </c>
      <c r="F522" s="13" t="str">
        <f t="shared" si="75"/>
        <v>HOPE</v>
      </c>
      <c r="G522" s="13" t="str">
        <f t="shared" si="76"/>
        <v>hope</v>
      </c>
      <c r="H522" s="13" t="str">
        <f t="shared" si="77"/>
        <v>Hope</v>
      </c>
      <c r="I522" s="13">
        <f t="shared" si="78"/>
        <v>6</v>
      </c>
      <c r="J522" s="13">
        <f t="shared" si="79"/>
        <v>4</v>
      </c>
      <c r="K522" s="13">
        <f t="shared" si="80"/>
        <v>2</v>
      </c>
    </row>
    <row r="523" spans="1:11" x14ac:dyDescent="0.25">
      <c r="A523" s="13">
        <f>'Raw Data'!A523</f>
        <v>521</v>
      </c>
      <c r="B523" s="13" t="str">
        <f>'Raw Data'!C523</f>
        <v xml:space="preserve"> Enthusiasm </v>
      </c>
      <c r="C523" s="13" t="str">
        <f t="shared" si="72"/>
        <v>Enthusiasm</v>
      </c>
      <c r="D523" s="13" t="str">
        <f t="shared" si="73"/>
        <v xml:space="preserve"> Enthusiasm </v>
      </c>
      <c r="E523" s="13" t="str">
        <f t="shared" si="74"/>
        <v>Enthusiasm</v>
      </c>
      <c r="F523" s="13" t="str">
        <f t="shared" si="75"/>
        <v>ENTHUSIASM</v>
      </c>
      <c r="G523" s="13" t="str">
        <f t="shared" si="76"/>
        <v>enthusiasm</v>
      </c>
      <c r="H523" s="13" t="str">
        <f t="shared" si="77"/>
        <v>Enthusiasm</v>
      </c>
      <c r="I523" s="13">
        <f t="shared" si="78"/>
        <v>12</v>
      </c>
      <c r="J523" s="13">
        <f t="shared" si="79"/>
        <v>10</v>
      </c>
      <c r="K523" s="13">
        <f t="shared" si="80"/>
        <v>2</v>
      </c>
    </row>
    <row r="524" spans="1:11" x14ac:dyDescent="0.25">
      <c r="A524" s="13">
        <f>'Raw Data'!A524</f>
        <v>522</v>
      </c>
      <c r="B524" s="13" t="str">
        <f>'Raw Data'!C524</f>
        <v xml:space="preserve"> Creativity </v>
      </c>
      <c r="C524" s="13" t="str">
        <f t="shared" si="72"/>
        <v>Creativity</v>
      </c>
      <c r="D524" s="13" t="str">
        <f t="shared" si="73"/>
        <v xml:space="preserve"> Creativity </v>
      </c>
      <c r="E524" s="13" t="str">
        <f t="shared" si="74"/>
        <v>Creativity</v>
      </c>
      <c r="F524" s="13" t="str">
        <f t="shared" si="75"/>
        <v>CREATIVITY</v>
      </c>
      <c r="G524" s="13" t="str">
        <f t="shared" si="76"/>
        <v>creativity</v>
      </c>
      <c r="H524" s="13" t="str">
        <f t="shared" si="77"/>
        <v>Creativity</v>
      </c>
      <c r="I524" s="13">
        <f t="shared" si="78"/>
        <v>12</v>
      </c>
      <c r="J524" s="13">
        <f t="shared" si="79"/>
        <v>10</v>
      </c>
      <c r="K524" s="13">
        <f t="shared" si="80"/>
        <v>2</v>
      </c>
    </row>
    <row r="525" spans="1:11" x14ac:dyDescent="0.25">
      <c r="A525" s="13">
        <f>'Raw Data'!A525</f>
        <v>523</v>
      </c>
      <c r="B525" s="13" t="str">
        <f>'Raw Data'!C525</f>
        <v xml:space="preserve"> Emotion </v>
      </c>
      <c r="C525" s="13" t="str">
        <f t="shared" si="72"/>
        <v>Emotion</v>
      </c>
      <c r="D525" s="13" t="str">
        <f t="shared" si="73"/>
        <v xml:space="preserve"> Emotion </v>
      </c>
      <c r="E525" s="13" t="str">
        <f t="shared" si="74"/>
        <v>Emotion</v>
      </c>
      <c r="F525" s="13" t="str">
        <f t="shared" si="75"/>
        <v>EMOTION</v>
      </c>
      <c r="G525" s="13" t="str">
        <f t="shared" si="76"/>
        <v>emotion</v>
      </c>
      <c r="H525" s="13" t="str">
        <f t="shared" si="77"/>
        <v>Emotion</v>
      </c>
      <c r="I525" s="13">
        <f t="shared" si="78"/>
        <v>9</v>
      </c>
      <c r="J525" s="13">
        <f t="shared" si="79"/>
        <v>7</v>
      </c>
      <c r="K525" s="13">
        <f t="shared" si="80"/>
        <v>2</v>
      </c>
    </row>
    <row r="526" spans="1:11" x14ac:dyDescent="0.25">
      <c r="A526" s="13">
        <f>'Raw Data'!A526</f>
        <v>524</v>
      </c>
      <c r="B526" s="13" t="str">
        <f>'Raw Data'!C526</f>
        <v xml:space="preserve"> Colorful </v>
      </c>
      <c r="C526" s="13" t="str">
        <f t="shared" si="72"/>
        <v>Colorful</v>
      </c>
      <c r="D526" s="13" t="str">
        <f t="shared" si="73"/>
        <v xml:space="preserve"> Colorful </v>
      </c>
      <c r="E526" s="13" t="str">
        <f t="shared" si="74"/>
        <v>Colorful</v>
      </c>
      <c r="F526" s="13" t="str">
        <f t="shared" si="75"/>
        <v>COLORFUL</v>
      </c>
      <c r="G526" s="13" t="str">
        <f t="shared" si="76"/>
        <v>colorful</v>
      </c>
      <c r="H526" s="13" t="str">
        <f t="shared" si="77"/>
        <v>Colorful</v>
      </c>
      <c r="I526" s="13">
        <f t="shared" si="78"/>
        <v>10</v>
      </c>
      <c r="J526" s="13">
        <f t="shared" si="79"/>
        <v>8</v>
      </c>
      <c r="K526" s="13">
        <f t="shared" si="80"/>
        <v>2</v>
      </c>
    </row>
    <row r="527" spans="1:11" x14ac:dyDescent="0.25">
      <c r="A527" s="13">
        <f>'Raw Data'!A527</f>
        <v>525</v>
      </c>
      <c r="B527" s="13" t="str">
        <f>'Raw Data'!C527</f>
        <v xml:space="preserve"> Pride </v>
      </c>
      <c r="C527" s="13" t="str">
        <f t="shared" si="72"/>
        <v>Pride</v>
      </c>
      <c r="D527" s="13" t="str">
        <f t="shared" si="73"/>
        <v xml:space="preserve"> Pride </v>
      </c>
      <c r="E527" s="13" t="str">
        <f t="shared" si="74"/>
        <v>Pride</v>
      </c>
      <c r="F527" s="13" t="str">
        <f t="shared" si="75"/>
        <v>PRIDE</v>
      </c>
      <c r="G527" s="13" t="str">
        <f t="shared" si="76"/>
        <v>pride</v>
      </c>
      <c r="H527" s="13" t="str">
        <f t="shared" si="77"/>
        <v>Pride</v>
      </c>
      <c r="I527" s="13">
        <f t="shared" si="78"/>
        <v>7</v>
      </c>
      <c r="J527" s="13">
        <f t="shared" si="79"/>
        <v>5</v>
      </c>
      <c r="K527" s="13">
        <f t="shared" si="80"/>
        <v>2</v>
      </c>
    </row>
    <row r="528" spans="1:11" x14ac:dyDescent="0.25">
      <c r="A528" s="13">
        <f>'Raw Data'!A528</f>
        <v>526</v>
      </c>
      <c r="B528" s="13" t="str">
        <f>'Raw Data'!C528</f>
        <v xml:space="preserve"> Hypnotic </v>
      </c>
      <c r="C528" s="13" t="str">
        <f t="shared" si="72"/>
        <v>Hypnotic</v>
      </c>
      <c r="D528" s="13" t="str">
        <f t="shared" si="73"/>
        <v xml:space="preserve"> Hypnotic </v>
      </c>
      <c r="E528" s="13" t="str">
        <f t="shared" si="74"/>
        <v>Hypnotic</v>
      </c>
      <c r="F528" s="13" t="str">
        <f t="shared" si="75"/>
        <v>HYPNOTIC</v>
      </c>
      <c r="G528" s="13" t="str">
        <f t="shared" si="76"/>
        <v>hypnotic</v>
      </c>
      <c r="H528" s="13" t="str">
        <f t="shared" si="77"/>
        <v>Hypnotic</v>
      </c>
      <c r="I528" s="13">
        <f t="shared" si="78"/>
        <v>10</v>
      </c>
      <c r="J528" s="13">
        <f t="shared" si="79"/>
        <v>8</v>
      </c>
      <c r="K528" s="13">
        <f t="shared" si="80"/>
        <v>2</v>
      </c>
    </row>
    <row r="529" spans="1:11" x14ac:dyDescent="0.25">
      <c r="A529" s="13">
        <f>'Raw Data'!A529</f>
        <v>527</v>
      </c>
      <c r="B529" s="13" t="str">
        <f>'Raw Data'!C529</f>
        <v xml:space="preserve"> Connection </v>
      </c>
      <c r="C529" s="13" t="str">
        <f t="shared" si="72"/>
        <v>Connection</v>
      </c>
      <c r="D529" s="13" t="str">
        <f t="shared" si="73"/>
        <v xml:space="preserve"> Connection </v>
      </c>
      <c r="E529" s="13" t="str">
        <f t="shared" si="74"/>
        <v>Connection</v>
      </c>
      <c r="F529" s="13" t="str">
        <f t="shared" si="75"/>
        <v>CONNECTION</v>
      </c>
      <c r="G529" s="13" t="str">
        <f t="shared" si="76"/>
        <v>connection</v>
      </c>
      <c r="H529" s="13" t="str">
        <f t="shared" si="77"/>
        <v>Connection</v>
      </c>
      <c r="I529" s="13">
        <f t="shared" si="78"/>
        <v>12</v>
      </c>
      <c r="J529" s="13">
        <f t="shared" si="79"/>
        <v>10</v>
      </c>
      <c r="K529" s="13">
        <f t="shared" si="80"/>
        <v>2</v>
      </c>
    </row>
    <row r="530" spans="1:11" x14ac:dyDescent="0.25">
      <c r="A530" s="13">
        <f>'Raw Data'!A530</f>
        <v>528</v>
      </c>
      <c r="B530" s="13" t="str">
        <f>'Raw Data'!C530</f>
        <v xml:space="preserve"> Iconic </v>
      </c>
      <c r="C530" s="13" t="str">
        <f t="shared" si="72"/>
        <v>Iconic</v>
      </c>
      <c r="D530" s="13" t="str">
        <f t="shared" si="73"/>
        <v xml:space="preserve"> Iconic </v>
      </c>
      <c r="E530" s="13" t="str">
        <f t="shared" si="74"/>
        <v>Iconic</v>
      </c>
      <c r="F530" s="13" t="str">
        <f t="shared" si="75"/>
        <v>ICONIC</v>
      </c>
      <c r="G530" s="13" t="str">
        <f t="shared" si="76"/>
        <v>iconic</v>
      </c>
      <c r="H530" s="13" t="str">
        <f t="shared" si="77"/>
        <v>Iconic</v>
      </c>
      <c r="I530" s="13">
        <f t="shared" si="78"/>
        <v>8</v>
      </c>
      <c r="J530" s="13">
        <f t="shared" si="79"/>
        <v>6</v>
      </c>
      <c r="K530" s="13">
        <f t="shared" si="80"/>
        <v>2</v>
      </c>
    </row>
    <row r="531" spans="1:11" x14ac:dyDescent="0.25">
      <c r="A531" s="13">
        <f>'Raw Data'!A531</f>
        <v>529</v>
      </c>
      <c r="B531" s="13" t="str">
        <f>'Raw Data'!C531</f>
        <v xml:space="preserve"> Euphoria </v>
      </c>
      <c r="C531" s="13" t="str">
        <f t="shared" si="72"/>
        <v>Euphoria</v>
      </c>
      <c r="D531" s="13" t="str">
        <f t="shared" si="73"/>
        <v xml:space="preserve"> Euphoria </v>
      </c>
      <c r="E531" s="13" t="str">
        <f t="shared" si="74"/>
        <v>Euphoria</v>
      </c>
      <c r="F531" s="13" t="str">
        <f t="shared" si="75"/>
        <v>EUPHORIA</v>
      </c>
      <c r="G531" s="13" t="str">
        <f t="shared" si="76"/>
        <v>euphoria</v>
      </c>
      <c r="H531" s="13" t="str">
        <f t="shared" si="77"/>
        <v>Euphoria</v>
      </c>
      <c r="I531" s="13">
        <f t="shared" si="78"/>
        <v>10</v>
      </c>
      <c r="J531" s="13">
        <f t="shared" si="79"/>
        <v>8</v>
      </c>
      <c r="K531" s="13">
        <f t="shared" si="80"/>
        <v>2</v>
      </c>
    </row>
    <row r="532" spans="1:11" x14ac:dyDescent="0.25">
      <c r="A532" s="13">
        <f>'Raw Data'!A532</f>
        <v>530</v>
      </c>
      <c r="B532" s="13" t="str">
        <f>'Raw Data'!C532</f>
        <v xml:space="preserve"> Journey </v>
      </c>
      <c r="C532" s="13" t="str">
        <f t="shared" si="72"/>
        <v>Journey</v>
      </c>
      <c r="D532" s="13" t="str">
        <f t="shared" si="73"/>
        <v xml:space="preserve"> Journey </v>
      </c>
      <c r="E532" s="13" t="str">
        <f t="shared" si="74"/>
        <v>Journey</v>
      </c>
      <c r="F532" s="13" t="str">
        <f t="shared" si="75"/>
        <v>JOURNEY</v>
      </c>
      <c r="G532" s="13" t="str">
        <f t="shared" si="76"/>
        <v>journey</v>
      </c>
      <c r="H532" s="13" t="str">
        <f t="shared" si="77"/>
        <v>Journey</v>
      </c>
      <c r="I532" s="13">
        <f t="shared" si="78"/>
        <v>9</v>
      </c>
      <c r="J532" s="13">
        <f t="shared" si="79"/>
        <v>7</v>
      </c>
      <c r="K532" s="13">
        <f t="shared" si="80"/>
        <v>2</v>
      </c>
    </row>
    <row r="533" spans="1:11" x14ac:dyDescent="0.25">
      <c r="A533" s="13">
        <f>'Raw Data'!A533</f>
        <v>531</v>
      </c>
      <c r="B533" s="13" t="str">
        <f>'Raw Data'!C533</f>
        <v xml:space="preserve"> Excitement </v>
      </c>
      <c r="C533" s="13" t="str">
        <f t="shared" si="72"/>
        <v>Excitement</v>
      </c>
      <c r="D533" s="13" t="str">
        <f t="shared" si="73"/>
        <v xml:space="preserve"> Excitement </v>
      </c>
      <c r="E533" s="13" t="str">
        <f t="shared" si="74"/>
        <v>Excitement</v>
      </c>
      <c r="F533" s="13" t="str">
        <f t="shared" si="75"/>
        <v>EXCITEMENT</v>
      </c>
      <c r="G533" s="13" t="str">
        <f t="shared" si="76"/>
        <v>excitement</v>
      </c>
      <c r="H533" s="13" t="str">
        <f t="shared" si="77"/>
        <v>Excitement</v>
      </c>
      <c r="I533" s="13">
        <f t="shared" si="78"/>
        <v>12</v>
      </c>
      <c r="J533" s="13">
        <f t="shared" si="79"/>
        <v>10</v>
      </c>
      <c r="K533" s="13">
        <f t="shared" si="80"/>
        <v>2</v>
      </c>
    </row>
    <row r="534" spans="1:11" x14ac:dyDescent="0.25">
      <c r="A534" s="13">
        <f>'Raw Data'!A534</f>
        <v>532</v>
      </c>
      <c r="B534" s="13" t="str">
        <f>'Raw Data'!C534</f>
        <v xml:space="preserve"> Nostalgia </v>
      </c>
      <c r="C534" s="13" t="str">
        <f t="shared" si="72"/>
        <v>Nostalgia</v>
      </c>
      <c r="D534" s="13" t="str">
        <f t="shared" si="73"/>
        <v xml:space="preserve"> Nostalgia </v>
      </c>
      <c r="E534" s="13" t="str">
        <f t="shared" si="74"/>
        <v>Nostalgia</v>
      </c>
      <c r="F534" s="13" t="str">
        <f t="shared" si="75"/>
        <v>NOSTALGIA</v>
      </c>
      <c r="G534" s="13" t="str">
        <f t="shared" si="76"/>
        <v>nostalgia</v>
      </c>
      <c r="H534" s="13" t="str">
        <f t="shared" si="77"/>
        <v>Nostalgia</v>
      </c>
      <c r="I534" s="13">
        <f t="shared" si="78"/>
        <v>11</v>
      </c>
      <c r="J534" s="13">
        <f t="shared" si="79"/>
        <v>9</v>
      </c>
      <c r="K534" s="13">
        <f t="shared" si="80"/>
        <v>2</v>
      </c>
    </row>
    <row r="535" spans="1:11" x14ac:dyDescent="0.25">
      <c r="A535" s="13">
        <f>'Raw Data'!A535</f>
        <v>533</v>
      </c>
      <c r="B535" s="13" t="str">
        <f>'Raw Data'!C535</f>
        <v xml:space="preserve"> Engagement </v>
      </c>
      <c r="C535" s="13" t="str">
        <f t="shared" si="72"/>
        <v>Engagement</v>
      </c>
      <c r="D535" s="13" t="str">
        <f t="shared" si="73"/>
        <v xml:space="preserve"> Engagement </v>
      </c>
      <c r="E535" s="13" t="str">
        <f t="shared" si="74"/>
        <v>Engagement</v>
      </c>
      <c r="F535" s="13" t="str">
        <f t="shared" si="75"/>
        <v>ENGAGEMENT</v>
      </c>
      <c r="G535" s="13" t="str">
        <f t="shared" si="76"/>
        <v>engagement</v>
      </c>
      <c r="H535" s="13" t="str">
        <f t="shared" si="77"/>
        <v>Engagement</v>
      </c>
      <c r="I535" s="13">
        <f t="shared" si="78"/>
        <v>12</v>
      </c>
      <c r="J535" s="13">
        <f t="shared" si="79"/>
        <v>10</v>
      </c>
      <c r="K535" s="13">
        <f t="shared" si="80"/>
        <v>2</v>
      </c>
    </row>
    <row r="536" spans="1:11" x14ac:dyDescent="0.25">
      <c r="A536" s="13">
        <f>'Raw Data'!A536</f>
        <v>534</v>
      </c>
      <c r="B536" s="13" t="str">
        <f>'Raw Data'!C536</f>
        <v xml:space="preserve"> Pride </v>
      </c>
      <c r="C536" s="13" t="str">
        <f t="shared" si="72"/>
        <v>Pride</v>
      </c>
      <c r="D536" s="13" t="str">
        <f t="shared" si="73"/>
        <v xml:space="preserve"> Pride </v>
      </c>
      <c r="E536" s="13" t="str">
        <f t="shared" si="74"/>
        <v>Pride</v>
      </c>
      <c r="F536" s="13" t="str">
        <f t="shared" si="75"/>
        <v>PRIDE</v>
      </c>
      <c r="G536" s="13" t="str">
        <f t="shared" si="76"/>
        <v>pride</v>
      </c>
      <c r="H536" s="13" t="str">
        <f t="shared" si="77"/>
        <v>Pride</v>
      </c>
      <c r="I536" s="13">
        <f t="shared" si="78"/>
        <v>7</v>
      </c>
      <c r="J536" s="13">
        <f t="shared" si="79"/>
        <v>5</v>
      </c>
      <c r="K536" s="13">
        <f t="shared" si="80"/>
        <v>2</v>
      </c>
    </row>
    <row r="537" spans="1:11" x14ac:dyDescent="0.25">
      <c r="A537" s="13">
        <f>'Raw Data'!A537</f>
        <v>535</v>
      </c>
      <c r="B537" s="13" t="str">
        <f>'Raw Data'!C537</f>
        <v xml:space="preserve"> Touched </v>
      </c>
      <c r="C537" s="13" t="str">
        <f t="shared" si="72"/>
        <v>Touched</v>
      </c>
      <c r="D537" s="13" t="str">
        <f t="shared" si="73"/>
        <v xml:space="preserve"> Touched </v>
      </c>
      <c r="E537" s="13" t="str">
        <f t="shared" si="74"/>
        <v>Touched</v>
      </c>
      <c r="F537" s="13" t="str">
        <f t="shared" si="75"/>
        <v>TOUCHED</v>
      </c>
      <c r="G537" s="13" t="str">
        <f t="shared" si="76"/>
        <v>touched</v>
      </c>
      <c r="H537" s="13" t="str">
        <f t="shared" si="77"/>
        <v>Touched</v>
      </c>
      <c r="I537" s="13">
        <f t="shared" si="78"/>
        <v>9</v>
      </c>
      <c r="J537" s="13">
        <f t="shared" si="79"/>
        <v>7</v>
      </c>
      <c r="K537" s="13">
        <f t="shared" si="80"/>
        <v>2</v>
      </c>
    </row>
    <row r="538" spans="1:11" x14ac:dyDescent="0.25">
      <c r="A538" s="13">
        <f>'Raw Data'!A538</f>
        <v>536</v>
      </c>
      <c r="B538" s="13" t="str">
        <f>'Raw Data'!C538</f>
        <v xml:space="preserve"> Gratitude </v>
      </c>
      <c r="C538" s="13" t="str">
        <f t="shared" si="72"/>
        <v>Gratitude</v>
      </c>
      <c r="D538" s="13" t="str">
        <f t="shared" si="73"/>
        <v xml:space="preserve"> Gratitude </v>
      </c>
      <c r="E538" s="13" t="str">
        <f t="shared" si="74"/>
        <v>Gratitude</v>
      </c>
      <c r="F538" s="13" t="str">
        <f t="shared" si="75"/>
        <v>GRATITUDE</v>
      </c>
      <c r="G538" s="13" t="str">
        <f t="shared" si="76"/>
        <v>gratitude</v>
      </c>
      <c r="H538" s="13" t="str">
        <f t="shared" si="77"/>
        <v>Gratitude</v>
      </c>
      <c r="I538" s="13">
        <f t="shared" si="78"/>
        <v>11</v>
      </c>
      <c r="J538" s="13">
        <f t="shared" si="79"/>
        <v>9</v>
      </c>
      <c r="K538" s="13">
        <f t="shared" si="80"/>
        <v>2</v>
      </c>
    </row>
    <row r="539" spans="1:11" x14ac:dyDescent="0.25">
      <c r="A539" s="13">
        <f>'Raw Data'!A539</f>
        <v>537</v>
      </c>
      <c r="B539" s="13" t="str">
        <f>'Raw Data'!C539</f>
        <v xml:space="preserve"> Inspiration </v>
      </c>
      <c r="C539" s="13" t="str">
        <f t="shared" si="72"/>
        <v>Inspiration</v>
      </c>
      <c r="D539" s="13" t="str">
        <f t="shared" si="73"/>
        <v xml:space="preserve"> Inspiration </v>
      </c>
      <c r="E539" s="13" t="str">
        <f t="shared" si="74"/>
        <v>Inspiration</v>
      </c>
      <c r="F539" s="13" t="str">
        <f t="shared" si="75"/>
        <v>INSPIRATION</v>
      </c>
      <c r="G539" s="13" t="str">
        <f t="shared" si="76"/>
        <v>inspiration</v>
      </c>
      <c r="H539" s="13" t="str">
        <f t="shared" si="77"/>
        <v>Inspiration</v>
      </c>
      <c r="I539" s="13">
        <f t="shared" si="78"/>
        <v>13</v>
      </c>
      <c r="J539" s="13">
        <f t="shared" si="79"/>
        <v>11</v>
      </c>
      <c r="K539" s="13">
        <f t="shared" si="80"/>
        <v>2</v>
      </c>
    </row>
    <row r="540" spans="1:11" x14ac:dyDescent="0.25">
      <c r="A540" s="13">
        <f>'Raw Data'!A540</f>
        <v>538</v>
      </c>
      <c r="B540" s="13" t="str">
        <f>'Raw Data'!C540</f>
        <v xml:space="preserve"> Contemplation </v>
      </c>
      <c r="C540" s="13" t="str">
        <f t="shared" si="72"/>
        <v>Contemplation</v>
      </c>
      <c r="D540" s="13" t="str">
        <f t="shared" si="73"/>
        <v xml:space="preserve"> Contemplation </v>
      </c>
      <c r="E540" s="13" t="str">
        <f t="shared" si="74"/>
        <v>Contemplation</v>
      </c>
      <c r="F540" s="13" t="str">
        <f t="shared" si="75"/>
        <v>CONTEMPLATION</v>
      </c>
      <c r="G540" s="13" t="str">
        <f t="shared" si="76"/>
        <v>contemplation</v>
      </c>
      <c r="H540" s="13" t="str">
        <f t="shared" si="77"/>
        <v>Contemplation</v>
      </c>
      <c r="I540" s="13">
        <f t="shared" si="78"/>
        <v>15</v>
      </c>
      <c r="J540" s="13">
        <f t="shared" si="79"/>
        <v>13</v>
      </c>
      <c r="K540" s="13">
        <f t="shared" si="80"/>
        <v>2</v>
      </c>
    </row>
    <row r="541" spans="1:11" x14ac:dyDescent="0.25">
      <c r="A541" s="13">
        <f>'Raw Data'!A541</f>
        <v>539</v>
      </c>
      <c r="B541" s="13" t="str">
        <f>'Raw Data'!C541</f>
        <v xml:space="preserve"> Suspense </v>
      </c>
      <c r="C541" s="13" t="str">
        <f t="shared" si="72"/>
        <v>Suspense</v>
      </c>
      <c r="D541" s="13" t="str">
        <f t="shared" si="73"/>
        <v xml:space="preserve"> Suspense </v>
      </c>
      <c r="E541" s="13" t="str">
        <f t="shared" si="74"/>
        <v>Suspense</v>
      </c>
      <c r="F541" s="13" t="str">
        <f t="shared" si="75"/>
        <v>SUSPENSE</v>
      </c>
      <c r="G541" s="13" t="str">
        <f t="shared" si="76"/>
        <v>suspense</v>
      </c>
      <c r="H541" s="13" t="str">
        <f t="shared" si="77"/>
        <v>Suspense</v>
      </c>
      <c r="I541" s="13">
        <f t="shared" si="78"/>
        <v>10</v>
      </c>
      <c r="J541" s="13">
        <f t="shared" si="79"/>
        <v>8</v>
      </c>
      <c r="K541" s="13">
        <f t="shared" si="80"/>
        <v>2</v>
      </c>
    </row>
    <row r="542" spans="1:11" x14ac:dyDescent="0.25">
      <c r="A542" s="13">
        <f>'Raw Data'!A542</f>
        <v>540</v>
      </c>
      <c r="B542" s="13" t="str">
        <f>'Raw Data'!C542</f>
        <v xml:space="preserve"> Satisfaction </v>
      </c>
      <c r="C542" s="13" t="str">
        <f t="shared" si="72"/>
        <v>Satisfaction</v>
      </c>
      <c r="D542" s="13" t="str">
        <f t="shared" si="73"/>
        <v xml:space="preserve"> Satisfaction </v>
      </c>
      <c r="E542" s="13" t="str">
        <f t="shared" si="74"/>
        <v>Satisfaction</v>
      </c>
      <c r="F542" s="13" t="str">
        <f t="shared" si="75"/>
        <v>SATISFACTION</v>
      </c>
      <c r="G542" s="13" t="str">
        <f t="shared" si="76"/>
        <v>satisfaction</v>
      </c>
      <c r="H542" s="13" t="str">
        <f t="shared" si="77"/>
        <v>Satisfaction</v>
      </c>
      <c r="I542" s="13">
        <f t="shared" si="78"/>
        <v>14</v>
      </c>
      <c r="J542" s="13">
        <f t="shared" si="79"/>
        <v>12</v>
      </c>
      <c r="K542" s="13">
        <f t="shared" si="80"/>
        <v>2</v>
      </c>
    </row>
    <row r="543" spans="1:11" x14ac:dyDescent="0.25">
      <c r="A543" s="13">
        <f>'Raw Data'!A543</f>
        <v>541</v>
      </c>
      <c r="B543" s="13" t="str">
        <f>'Raw Data'!C543</f>
        <v xml:space="preserve"> Joy </v>
      </c>
      <c r="C543" s="13" t="str">
        <f t="shared" si="72"/>
        <v>Joy</v>
      </c>
      <c r="D543" s="13" t="str">
        <f t="shared" si="73"/>
        <v xml:space="preserve"> Joy </v>
      </c>
      <c r="E543" s="13" t="str">
        <f t="shared" si="74"/>
        <v>Joy</v>
      </c>
      <c r="F543" s="13" t="str">
        <f t="shared" si="75"/>
        <v>JOY</v>
      </c>
      <c r="G543" s="13" t="str">
        <f t="shared" si="76"/>
        <v>joy</v>
      </c>
      <c r="H543" s="13" t="str">
        <f t="shared" si="77"/>
        <v>Joy</v>
      </c>
      <c r="I543" s="13">
        <f t="shared" si="78"/>
        <v>5</v>
      </c>
      <c r="J543" s="13">
        <f t="shared" si="79"/>
        <v>3</v>
      </c>
      <c r="K543" s="13">
        <f t="shared" si="80"/>
        <v>2</v>
      </c>
    </row>
    <row r="544" spans="1:11" x14ac:dyDescent="0.25">
      <c r="A544" s="13">
        <f>'Raw Data'!A544</f>
        <v>542</v>
      </c>
      <c r="B544" s="13" t="str">
        <f>'Raw Data'!C544</f>
        <v xml:space="preserve"> Inspiration </v>
      </c>
      <c r="C544" s="13" t="str">
        <f t="shared" si="72"/>
        <v>Inspiration</v>
      </c>
      <c r="D544" s="13" t="str">
        <f t="shared" si="73"/>
        <v xml:space="preserve"> Inspiration </v>
      </c>
      <c r="E544" s="13" t="str">
        <f t="shared" si="74"/>
        <v>Inspiration</v>
      </c>
      <c r="F544" s="13" t="str">
        <f t="shared" si="75"/>
        <v>INSPIRATION</v>
      </c>
      <c r="G544" s="13" t="str">
        <f t="shared" si="76"/>
        <v>inspiration</v>
      </c>
      <c r="H544" s="13" t="str">
        <f t="shared" si="77"/>
        <v>Inspiration</v>
      </c>
      <c r="I544" s="13">
        <f t="shared" si="78"/>
        <v>13</v>
      </c>
      <c r="J544" s="13">
        <f t="shared" si="79"/>
        <v>11</v>
      </c>
      <c r="K544" s="13">
        <f t="shared" si="80"/>
        <v>2</v>
      </c>
    </row>
    <row r="545" spans="1:11" x14ac:dyDescent="0.25">
      <c r="A545" s="13">
        <f>'Raw Data'!A545</f>
        <v>543</v>
      </c>
      <c r="B545" s="13" t="str">
        <f>'Raw Data'!C545</f>
        <v xml:space="preserve"> Excitement </v>
      </c>
      <c r="C545" s="13" t="str">
        <f t="shared" si="72"/>
        <v>Excitement</v>
      </c>
      <c r="D545" s="13" t="str">
        <f t="shared" si="73"/>
        <v xml:space="preserve"> Excitement </v>
      </c>
      <c r="E545" s="13" t="str">
        <f t="shared" si="74"/>
        <v>Excitement</v>
      </c>
      <c r="F545" s="13" t="str">
        <f t="shared" si="75"/>
        <v>EXCITEMENT</v>
      </c>
      <c r="G545" s="13" t="str">
        <f t="shared" si="76"/>
        <v>excitement</v>
      </c>
      <c r="H545" s="13" t="str">
        <f t="shared" si="77"/>
        <v>Excitement</v>
      </c>
      <c r="I545" s="13">
        <f t="shared" si="78"/>
        <v>12</v>
      </c>
      <c r="J545" s="13">
        <f t="shared" si="79"/>
        <v>10</v>
      </c>
      <c r="K545" s="13">
        <f t="shared" si="80"/>
        <v>2</v>
      </c>
    </row>
    <row r="546" spans="1:11" x14ac:dyDescent="0.25">
      <c r="A546" s="13">
        <f>'Raw Data'!A546</f>
        <v>544</v>
      </c>
      <c r="B546" s="13" t="str">
        <f>'Raw Data'!C546</f>
        <v xml:space="preserve"> Admiration </v>
      </c>
      <c r="C546" s="13" t="str">
        <f t="shared" si="72"/>
        <v>Admiration</v>
      </c>
      <c r="D546" s="13" t="str">
        <f t="shared" si="73"/>
        <v xml:space="preserve"> Admiration </v>
      </c>
      <c r="E546" s="13" t="str">
        <f t="shared" si="74"/>
        <v>Admiration</v>
      </c>
      <c r="F546" s="13" t="str">
        <f t="shared" si="75"/>
        <v>ADMIRATION</v>
      </c>
      <c r="G546" s="13" t="str">
        <f t="shared" si="76"/>
        <v>admiration</v>
      </c>
      <c r="H546" s="13" t="str">
        <f t="shared" si="77"/>
        <v>Admiration</v>
      </c>
      <c r="I546" s="13">
        <f t="shared" si="78"/>
        <v>12</v>
      </c>
      <c r="J546" s="13">
        <f t="shared" si="79"/>
        <v>10</v>
      </c>
      <c r="K546" s="13">
        <f t="shared" si="80"/>
        <v>2</v>
      </c>
    </row>
    <row r="547" spans="1:11" x14ac:dyDescent="0.25">
      <c r="A547" s="13">
        <f>'Raw Data'!A547</f>
        <v>545</v>
      </c>
      <c r="B547" s="13" t="str">
        <f>'Raw Data'!C547</f>
        <v xml:space="preserve"> Captivation </v>
      </c>
      <c r="C547" s="13" t="str">
        <f t="shared" si="72"/>
        <v>Captivation</v>
      </c>
      <c r="D547" s="13" t="str">
        <f t="shared" si="73"/>
        <v xml:space="preserve"> Captivation </v>
      </c>
      <c r="E547" s="13" t="str">
        <f t="shared" si="74"/>
        <v>Captivation</v>
      </c>
      <c r="F547" s="13" t="str">
        <f t="shared" si="75"/>
        <v>CAPTIVATION</v>
      </c>
      <c r="G547" s="13" t="str">
        <f t="shared" si="76"/>
        <v>captivation</v>
      </c>
      <c r="H547" s="13" t="str">
        <f t="shared" si="77"/>
        <v>Captivation</v>
      </c>
      <c r="I547" s="13">
        <f t="shared" si="78"/>
        <v>13</v>
      </c>
      <c r="J547" s="13">
        <f t="shared" si="79"/>
        <v>11</v>
      </c>
      <c r="K547" s="13">
        <f t="shared" si="80"/>
        <v>2</v>
      </c>
    </row>
    <row r="548" spans="1:11" x14ac:dyDescent="0.25">
      <c r="A548" s="13">
        <f>'Raw Data'!A548</f>
        <v>546</v>
      </c>
      <c r="B548" s="13" t="str">
        <f>'Raw Data'!C548</f>
        <v xml:space="preserve"> Triumph </v>
      </c>
      <c r="C548" s="13" t="str">
        <f t="shared" si="72"/>
        <v>Triumph</v>
      </c>
      <c r="D548" s="13" t="str">
        <f t="shared" si="73"/>
        <v xml:space="preserve"> Triumph </v>
      </c>
      <c r="E548" s="13" t="str">
        <f t="shared" si="74"/>
        <v>Triumph</v>
      </c>
      <c r="F548" s="13" t="str">
        <f t="shared" si="75"/>
        <v>TRIUMPH</v>
      </c>
      <c r="G548" s="13" t="str">
        <f t="shared" si="76"/>
        <v>triumph</v>
      </c>
      <c r="H548" s="13" t="str">
        <f t="shared" si="77"/>
        <v>Triumph</v>
      </c>
      <c r="I548" s="13">
        <f t="shared" si="78"/>
        <v>9</v>
      </c>
      <c r="J548" s="13">
        <f t="shared" si="79"/>
        <v>7</v>
      </c>
      <c r="K548" s="13">
        <f t="shared" si="80"/>
        <v>2</v>
      </c>
    </row>
    <row r="549" spans="1:11" x14ac:dyDescent="0.25">
      <c r="A549" s="13">
        <f>'Raw Data'!A549</f>
        <v>547</v>
      </c>
      <c r="B549" s="13" t="str">
        <f>'Raw Data'!C549</f>
        <v xml:space="preserve"> Awe </v>
      </c>
      <c r="C549" s="13" t="str">
        <f t="shared" si="72"/>
        <v>Awe</v>
      </c>
      <c r="D549" s="13" t="str">
        <f t="shared" si="73"/>
        <v xml:space="preserve"> Awe </v>
      </c>
      <c r="E549" s="13" t="str">
        <f t="shared" si="74"/>
        <v>Awe</v>
      </c>
      <c r="F549" s="13" t="str">
        <f t="shared" si="75"/>
        <v>AWE</v>
      </c>
      <c r="G549" s="13" t="str">
        <f t="shared" si="76"/>
        <v>awe</v>
      </c>
      <c r="H549" s="13" t="str">
        <f t="shared" si="77"/>
        <v>Awe</v>
      </c>
      <c r="I549" s="13">
        <f t="shared" si="78"/>
        <v>5</v>
      </c>
      <c r="J549" s="13">
        <f t="shared" si="79"/>
        <v>3</v>
      </c>
      <c r="K549" s="13">
        <f t="shared" si="80"/>
        <v>2</v>
      </c>
    </row>
    <row r="550" spans="1:11" x14ac:dyDescent="0.25">
      <c r="A550" s="13">
        <f>'Raw Data'!A550</f>
        <v>548</v>
      </c>
      <c r="B550" s="13" t="str">
        <f>'Raw Data'!C550</f>
        <v xml:space="preserve"> Thrill </v>
      </c>
      <c r="C550" s="13" t="str">
        <f t="shared" si="72"/>
        <v>Thrill</v>
      </c>
      <c r="D550" s="13" t="str">
        <f t="shared" si="73"/>
        <v xml:space="preserve"> Thrill </v>
      </c>
      <c r="E550" s="13" t="str">
        <f t="shared" si="74"/>
        <v>Thrill</v>
      </c>
      <c r="F550" s="13" t="str">
        <f t="shared" si="75"/>
        <v>THRILL</v>
      </c>
      <c r="G550" s="13" t="str">
        <f t="shared" si="76"/>
        <v>thrill</v>
      </c>
      <c r="H550" s="13" t="str">
        <f t="shared" si="77"/>
        <v>Thrill</v>
      </c>
      <c r="I550" s="13">
        <f t="shared" si="78"/>
        <v>8</v>
      </c>
      <c r="J550" s="13">
        <f t="shared" si="79"/>
        <v>6</v>
      </c>
      <c r="K550" s="13">
        <f t="shared" si="80"/>
        <v>2</v>
      </c>
    </row>
    <row r="551" spans="1:11" x14ac:dyDescent="0.25">
      <c r="A551" s="13">
        <f>'Raw Data'!A551</f>
        <v>549</v>
      </c>
      <c r="B551" s="13" t="str">
        <f>'Raw Data'!C551</f>
        <v xml:space="preserve"> Determination </v>
      </c>
      <c r="C551" s="13" t="str">
        <f t="shared" si="72"/>
        <v>Determination</v>
      </c>
      <c r="D551" s="13" t="str">
        <f t="shared" si="73"/>
        <v xml:space="preserve"> Determination </v>
      </c>
      <c r="E551" s="13" t="str">
        <f t="shared" si="74"/>
        <v>Determination</v>
      </c>
      <c r="F551" s="13" t="str">
        <f t="shared" si="75"/>
        <v>DETERMINATION</v>
      </c>
      <c r="G551" s="13" t="str">
        <f t="shared" si="76"/>
        <v>determination</v>
      </c>
      <c r="H551" s="13" t="str">
        <f t="shared" si="77"/>
        <v>Determination</v>
      </c>
      <c r="I551" s="13">
        <f t="shared" si="78"/>
        <v>15</v>
      </c>
      <c r="J551" s="13">
        <f t="shared" si="79"/>
        <v>13</v>
      </c>
      <c r="K551" s="13">
        <f t="shared" si="80"/>
        <v>2</v>
      </c>
    </row>
    <row r="552" spans="1:11" x14ac:dyDescent="0.25">
      <c r="A552" s="13">
        <f>'Raw Data'!A552</f>
        <v>550</v>
      </c>
      <c r="B552" s="13" t="str">
        <f>'Raw Data'!C552</f>
        <v xml:space="preserve"> Heartwarming </v>
      </c>
      <c r="C552" s="13" t="str">
        <f t="shared" si="72"/>
        <v>Heartwarming</v>
      </c>
      <c r="D552" s="13" t="str">
        <f t="shared" si="73"/>
        <v xml:space="preserve"> Heartwarming </v>
      </c>
      <c r="E552" s="13" t="str">
        <f t="shared" si="74"/>
        <v>Heartwarming</v>
      </c>
      <c r="F552" s="13" t="str">
        <f t="shared" si="75"/>
        <v>HEARTWARMING</v>
      </c>
      <c r="G552" s="13" t="str">
        <f t="shared" si="76"/>
        <v>heartwarming</v>
      </c>
      <c r="H552" s="13" t="str">
        <f t="shared" si="77"/>
        <v>Heartwarming</v>
      </c>
      <c r="I552" s="13">
        <f t="shared" si="78"/>
        <v>14</v>
      </c>
      <c r="J552" s="13">
        <f t="shared" si="79"/>
        <v>12</v>
      </c>
      <c r="K552" s="13">
        <f t="shared" si="80"/>
        <v>2</v>
      </c>
    </row>
    <row r="553" spans="1:11" x14ac:dyDescent="0.25">
      <c r="A553" s="13">
        <f>'Raw Data'!A553</f>
        <v>551</v>
      </c>
      <c r="B553" s="13" t="str">
        <f>'Raw Data'!C553</f>
        <v xml:space="preserve"> Disappointment </v>
      </c>
      <c r="C553" s="13" t="str">
        <f t="shared" si="72"/>
        <v>Disappointment</v>
      </c>
      <c r="D553" s="13" t="str">
        <f t="shared" si="73"/>
        <v xml:space="preserve"> Disappointment </v>
      </c>
      <c r="E553" s="13" t="str">
        <f t="shared" si="74"/>
        <v>Disappointment</v>
      </c>
      <c r="F553" s="13" t="str">
        <f t="shared" si="75"/>
        <v>DISAPPOINTMENT</v>
      </c>
      <c r="G553" s="13" t="str">
        <f t="shared" si="76"/>
        <v>disappointment</v>
      </c>
      <c r="H553" s="13" t="str">
        <f t="shared" si="77"/>
        <v>Disappointment</v>
      </c>
      <c r="I553" s="13">
        <f t="shared" si="78"/>
        <v>16</v>
      </c>
      <c r="J553" s="13">
        <f t="shared" si="79"/>
        <v>14</v>
      </c>
      <c r="K553" s="13">
        <f t="shared" si="80"/>
        <v>2</v>
      </c>
    </row>
    <row r="554" spans="1:11" x14ac:dyDescent="0.25">
      <c r="A554" s="13">
        <f>'Raw Data'!A554</f>
        <v>552</v>
      </c>
      <c r="B554" s="13" t="str">
        <f>'Raw Data'!C554</f>
        <v xml:space="preserve"> Frustration </v>
      </c>
      <c r="C554" s="13" t="str">
        <f t="shared" si="72"/>
        <v>Frustration</v>
      </c>
      <c r="D554" s="13" t="str">
        <f t="shared" si="73"/>
        <v xml:space="preserve"> Frustration </v>
      </c>
      <c r="E554" s="13" t="str">
        <f t="shared" si="74"/>
        <v>Frustration</v>
      </c>
      <c r="F554" s="13" t="str">
        <f t="shared" si="75"/>
        <v>FRUSTRATION</v>
      </c>
      <c r="G554" s="13" t="str">
        <f t="shared" si="76"/>
        <v>frustration</v>
      </c>
      <c r="H554" s="13" t="str">
        <f t="shared" si="77"/>
        <v>Frustration</v>
      </c>
      <c r="I554" s="13">
        <f t="shared" si="78"/>
        <v>13</v>
      </c>
      <c r="J554" s="13">
        <f t="shared" si="79"/>
        <v>11</v>
      </c>
      <c r="K554" s="13">
        <f t="shared" si="80"/>
        <v>2</v>
      </c>
    </row>
    <row r="555" spans="1:11" x14ac:dyDescent="0.25">
      <c r="A555" s="13">
        <f>'Raw Data'!A555</f>
        <v>553</v>
      </c>
      <c r="B555" s="13" t="str">
        <f>'Raw Data'!C555</f>
        <v xml:space="preserve"> Reflection </v>
      </c>
      <c r="C555" s="13" t="str">
        <f t="shared" si="72"/>
        <v>Reflection</v>
      </c>
      <c r="D555" s="13" t="str">
        <f t="shared" si="73"/>
        <v xml:space="preserve"> Reflection </v>
      </c>
      <c r="E555" s="13" t="str">
        <f t="shared" si="74"/>
        <v>Reflection</v>
      </c>
      <c r="F555" s="13" t="str">
        <f t="shared" si="75"/>
        <v>REFLECTION</v>
      </c>
      <c r="G555" s="13" t="str">
        <f t="shared" si="76"/>
        <v>reflection</v>
      </c>
      <c r="H555" s="13" t="str">
        <f t="shared" si="77"/>
        <v>Reflection</v>
      </c>
      <c r="I555" s="13">
        <f t="shared" si="78"/>
        <v>12</v>
      </c>
      <c r="J555" s="13">
        <f t="shared" si="79"/>
        <v>10</v>
      </c>
      <c r="K555" s="13">
        <f t="shared" si="80"/>
        <v>2</v>
      </c>
    </row>
    <row r="556" spans="1:11" x14ac:dyDescent="0.25">
      <c r="A556" s="13">
        <f>'Raw Data'!A556</f>
        <v>554</v>
      </c>
      <c r="B556" s="13" t="str">
        <f>'Raw Data'!C556</f>
        <v xml:space="preserve"> Obstacle </v>
      </c>
      <c r="C556" s="13" t="str">
        <f t="shared" si="72"/>
        <v>Obstacle</v>
      </c>
      <c r="D556" s="13" t="str">
        <f t="shared" si="73"/>
        <v xml:space="preserve"> Obstacle </v>
      </c>
      <c r="E556" s="13" t="str">
        <f t="shared" si="74"/>
        <v>Obstacle</v>
      </c>
      <c r="F556" s="13" t="str">
        <f t="shared" si="75"/>
        <v>OBSTACLE</v>
      </c>
      <c r="G556" s="13" t="str">
        <f t="shared" si="76"/>
        <v>obstacle</v>
      </c>
      <c r="H556" s="13" t="str">
        <f t="shared" si="77"/>
        <v>Obstacle</v>
      </c>
      <c r="I556" s="13">
        <f t="shared" si="78"/>
        <v>10</v>
      </c>
      <c r="J556" s="13">
        <f t="shared" si="79"/>
        <v>8</v>
      </c>
      <c r="K556" s="13">
        <f t="shared" si="80"/>
        <v>2</v>
      </c>
    </row>
    <row r="557" spans="1:11" x14ac:dyDescent="0.25">
      <c r="A557" s="13">
        <f>'Raw Data'!A557</f>
        <v>555</v>
      </c>
      <c r="B557" s="13" t="str">
        <f>'Raw Data'!C557</f>
        <v xml:space="preserve"> Sympathy </v>
      </c>
      <c r="C557" s="13" t="str">
        <f t="shared" si="72"/>
        <v>Sympathy</v>
      </c>
      <c r="D557" s="13" t="str">
        <f t="shared" si="73"/>
        <v xml:space="preserve"> Sympathy </v>
      </c>
      <c r="E557" s="13" t="str">
        <f t="shared" si="74"/>
        <v>Sympathy</v>
      </c>
      <c r="F557" s="13" t="str">
        <f t="shared" si="75"/>
        <v>SYMPATHY</v>
      </c>
      <c r="G557" s="13" t="str">
        <f t="shared" si="76"/>
        <v>sympathy</v>
      </c>
      <c r="H557" s="13" t="str">
        <f t="shared" si="77"/>
        <v>Sympathy</v>
      </c>
      <c r="I557" s="13">
        <f t="shared" si="78"/>
        <v>10</v>
      </c>
      <c r="J557" s="13">
        <f t="shared" si="79"/>
        <v>8</v>
      </c>
      <c r="K557" s="13">
        <f t="shared" si="80"/>
        <v>2</v>
      </c>
    </row>
    <row r="558" spans="1:11" x14ac:dyDescent="0.25">
      <c r="A558" s="13">
        <f>'Raw Data'!A558</f>
        <v>556</v>
      </c>
      <c r="B558" s="13" t="str">
        <f>'Raw Data'!C558</f>
        <v xml:space="preserve"> Pressure </v>
      </c>
      <c r="C558" s="13" t="str">
        <f t="shared" si="72"/>
        <v>Pressure</v>
      </c>
      <c r="D558" s="13" t="str">
        <f t="shared" si="73"/>
        <v xml:space="preserve"> Pressure </v>
      </c>
      <c r="E558" s="13" t="str">
        <f t="shared" si="74"/>
        <v>Pressure</v>
      </c>
      <c r="F558" s="13" t="str">
        <f t="shared" si="75"/>
        <v>PRESSURE</v>
      </c>
      <c r="G558" s="13" t="str">
        <f t="shared" si="76"/>
        <v>pressure</v>
      </c>
      <c r="H558" s="13" t="str">
        <f t="shared" si="77"/>
        <v>Pressure</v>
      </c>
      <c r="I558" s="13">
        <f t="shared" si="78"/>
        <v>10</v>
      </c>
      <c r="J558" s="13">
        <f t="shared" si="79"/>
        <v>8</v>
      </c>
      <c r="K558" s="13">
        <f t="shared" si="80"/>
        <v>2</v>
      </c>
    </row>
    <row r="559" spans="1:11" x14ac:dyDescent="0.25">
      <c r="A559" s="13">
        <f>'Raw Data'!A559</f>
        <v>557</v>
      </c>
      <c r="B559" s="13" t="str">
        <f>'Raw Data'!C559</f>
        <v xml:space="preserve"> Renewed Effort </v>
      </c>
      <c r="C559" s="13" t="str">
        <f t="shared" si="72"/>
        <v>Renewed Effort</v>
      </c>
      <c r="D559" s="13" t="str">
        <f t="shared" si="73"/>
        <v xml:space="preserve"> Renewed Effort </v>
      </c>
      <c r="E559" s="13" t="str">
        <f t="shared" si="74"/>
        <v>Renewed Effort</v>
      </c>
      <c r="F559" s="13" t="str">
        <f t="shared" si="75"/>
        <v>RENEWED EFFORT</v>
      </c>
      <c r="G559" s="13" t="str">
        <f t="shared" si="76"/>
        <v>renewed effort</v>
      </c>
      <c r="H559" s="13" t="str">
        <f t="shared" si="77"/>
        <v>Renewed Effort</v>
      </c>
      <c r="I559" s="13">
        <f t="shared" si="78"/>
        <v>16</v>
      </c>
      <c r="J559" s="13">
        <f t="shared" si="79"/>
        <v>14</v>
      </c>
      <c r="K559" s="13">
        <f t="shared" si="80"/>
        <v>2</v>
      </c>
    </row>
    <row r="560" spans="1:11" x14ac:dyDescent="0.25">
      <c r="A560" s="13">
        <f>'Raw Data'!A560</f>
        <v>558</v>
      </c>
      <c r="B560" s="13" t="str">
        <f>'Raw Data'!C560</f>
        <v xml:space="preserve"> Miscalculation </v>
      </c>
      <c r="C560" s="13" t="str">
        <f t="shared" si="72"/>
        <v>Miscalculation</v>
      </c>
      <c r="D560" s="13" t="str">
        <f t="shared" si="73"/>
        <v xml:space="preserve"> Miscalculation </v>
      </c>
      <c r="E560" s="13" t="str">
        <f t="shared" si="74"/>
        <v>Miscalculation</v>
      </c>
      <c r="F560" s="13" t="str">
        <f t="shared" si="75"/>
        <v>MISCALCULATION</v>
      </c>
      <c r="G560" s="13" t="str">
        <f t="shared" si="76"/>
        <v>miscalculation</v>
      </c>
      <c r="H560" s="13" t="str">
        <f t="shared" si="77"/>
        <v>Miscalculation</v>
      </c>
      <c r="I560" s="13">
        <f t="shared" si="78"/>
        <v>16</v>
      </c>
      <c r="J560" s="13">
        <f t="shared" si="79"/>
        <v>14</v>
      </c>
      <c r="K560" s="13">
        <f t="shared" si="80"/>
        <v>2</v>
      </c>
    </row>
    <row r="561" spans="1:11" x14ac:dyDescent="0.25">
      <c r="A561" s="13">
        <f>'Raw Data'!A561</f>
        <v>559</v>
      </c>
      <c r="B561" s="13" t="str">
        <f>'Raw Data'!C561</f>
        <v xml:space="preserve"> Challenge </v>
      </c>
      <c r="C561" s="13" t="str">
        <f t="shared" si="72"/>
        <v>Challenge</v>
      </c>
      <c r="D561" s="13" t="str">
        <f t="shared" si="73"/>
        <v xml:space="preserve"> Challenge </v>
      </c>
      <c r="E561" s="13" t="str">
        <f t="shared" si="74"/>
        <v>Challenge</v>
      </c>
      <c r="F561" s="13" t="str">
        <f t="shared" si="75"/>
        <v>CHALLENGE</v>
      </c>
      <c r="G561" s="13" t="str">
        <f t="shared" si="76"/>
        <v>challenge</v>
      </c>
      <c r="H561" s="13" t="str">
        <f t="shared" si="77"/>
        <v>Challenge</v>
      </c>
      <c r="I561" s="13">
        <f t="shared" si="78"/>
        <v>11</v>
      </c>
      <c r="J561" s="13">
        <f t="shared" si="79"/>
        <v>9</v>
      </c>
      <c r="K561" s="13">
        <f t="shared" si="80"/>
        <v>2</v>
      </c>
    </row>
    <row r="562" spans="1:11" x14ac:dyDescent="0.25">
      <c r="A562" s="13">
        <f>'Raw Data'!A562</f>
        <v>560</v>
      </c>
      <c r="B562" s="13" t="str">
        <f>'Raw Data'!C562</f>
        <v xml:space="preserve"> Despair </v>
      </c>
      <c r="C562" s="13" t="str">
        <f t="shared" si="72"/>
        <v>Despair</v>
      </c>
      <c r="D562" s="13" t="str">
        <f t="shared" si="73"/>
        <v xml:space="preserve"> Despair </v>
      </c>
      <c r="E562" s="13" t="str">
        <f t="shared" si="74"/>
        <v>Despair</v>
      </c>
      <c r="F562" s="13" t="str">
        <f t="shared" si="75"/>
        <v>DESPAIR</v>
      </c>
      <c r="G562" s="13" t="str">
        <f t="shared" si="76"/>
        <v>despair</v>
      </c>
      <c r="H562" s="13" t="str">
        <f t="shared" si="77"/>
        <v>Despair</v>
      </c>
      <c r="I562" s="13">
        <f t="shared" si="78"/>
        <v>9</v>
      </c>
      <c r="J562" s="13">
        <f t="shared" si="79"/>
        <v>7</v>
      </c>
      <c r="K562" s="13">
        <f t="shared" si="80"/>
        <v>2</v>
      </c>
    </row>
    <row r="563" spans="1:11" x14ac:dyDescent="0.25">
      <c r="A563" s="13">
        <f>'Raw Data'!A563</f>
        <v>561</v>
      </c>
      <c r="B563" s="13" t="str">
        <f>'Raw Data'!C563</f>
        <v xml:space="preserve"> Tranquility </v>
      </c>
      <c r="C563" s="13" t="str">
        <f t="shared" si="72"/>
        <v>Tranquility</v>
      </c>
      <c r="D563" s="13" t="str">
        <f t="shared" si="73"/>
        <v xml:space="preserve"> Tranquility </v>
      </c>
      <c r="E563" s="13" t="str">
        <f t="shared" si="74"/>
        <v>Tranquility</v>
      </c>
      <c r="F563" s="13" t="str">
        <f t="shared" si="75"/>
        <v>TRANQUILITY</v>
      </c>
      <c r="G563" s="13" t="str">
        <f t="shared" si="76"/>
        <v>tranquility</v>
      </c>
      <c r="H563" s="13" t="str">
        <f t="shared" si="77"/>
        <v>Tranquility</v>
      </c>
      <c r="I563" s="13">
        <f t="shared" si="78"/>
        <v>13</v>
      </c>
      <c r="J563" s="13">
        <f t="shared" si="79"/>
        <v>11</v>
      </c>
      <c r="K563" s="13">
        <f t="shared" si="80"/>
        <v>2</v>
      </c>
    </row>
    <row r="564" spans="1:11" x14ac:dyDescent="0.25">
      <c r="A564" s="13">
        <f>'Raw Data'!A564</f>
        <v>562</v>
      </c>
      <c r="B564" s="13" t="str">
        <f>'Raw Data'!C564</f>
        <v xml:space="preserve"> Adventure </v>
      </c>
      <c r="C564" s="13" t="str">
        <f t="shared" si="72"/>
        <v>Adventure</v>
      </c>
      <c r="D564" s="13" t="str">
        <f t="shared" si="73"/>
        <v xml:space="preserve"> Adventure </v>
      </c>
      <c r="E564" s="13" t="str">
        <f t="shared" si="74"/>
        <v>Adventure</v>
      </c>
      <c r="F564" s="13" t="str">
        <f t="shared" si="75"/>
        <v>ADVENTURE</v>
      </c>
      <c r="G564" s="13" t="str">
        <f t="shared" si="76"/>
        <v>adventure</v>
      </c>
      <c r="H564" s="13" t="str">
        <f t="shared" si="77"/>
        <v>Adventure</v>
      </c>
      <c r="I564" s="13">
        <f t="shared" si="78"/>
        <v>11</v>
      </c>
      <c r="J564" s="13">
        <f t="shared" si="79"/>
        <v>9</v>
      </c>
      <c r="K564" s="13">
        <f t="shared" si="80"/>
        <v>2</v>
      </c>
    </row>
    <row r="565" spans="1:11" x14ac:dyDescent="0.25">
      <c r="A565" s="13">
        <f>'Raw Data'!A565</f>
        <v>563</v>
      </c>
      <c r="B565" s="13" t="str">
        <f>'Raw Data'!C565</f>
        <v xml:space="preserve"> Solace </v>
      </c>
      <c r="C565" s="13" t="str">
        <f t="shared" si="72"/>
        <v>Solace</v>
      </c>
      <c r="D565" s="13" t="str">
        <f t="shared" si="73"/>
        <v xml:space="preserve"> Solace </v>
      </c>
      <c r="E565" s="13" t="str">
        <f t="shared" si="74"/>
        <v>Solace</v>
      </c>
      <c r="F565" s="13" t="str">
        <f t="shared" si="75"/>
        <v>SOLACE</v>
      </c>
      <c r="G565" s="13" t="str">
        <f t="shared" si="76"/>
        <v>solace</v>
      </c>
      <c r="H565" s="13" t="str">
        <f t="shared" si="77"/>
        <v>Solace</v>
      </c>
      <c r="I565" s="13">
        <f t="shared" si="78"/>
        <v>8</v>
      </c>
      <c r="J565" s="13">
        <f t="shared" si="79"/>
        <v>6</v>
      </c>
      <c r="K565" s="13">
        <f t="shared" si="80"/>
        <v>2</v>
      </c>
    </row>
    <row r="566" spans="1:11" x14ac:dyDescent="0.25">
      <c r="A566" s="13">
        <f>'Raw Data'!A566</f>
        <v>564</v>
      </c>
      <c r="B566" s="13" t="str">
        <f>'Raw Data'!C566</f>
        <v xml:space="preserve"> Creativity </v>
      </c>
      <c r="C566" s="13" t="str">
        <f t="shared" si="72"/>
        <v>Creativity</v>
      </c>
      <c r="D566" s="13" t="str">
        <f t="shared" si="73"/>
        <v xml:space="preserve"> Creativity </v>
      </c>
      <c r="E566" s="13" t="str">
        <f t="shared" si="74"/>
        <v>Creativity</v>
      </c>
      <c r="F566" s="13" t="str">
        <f t="shared" si="75"/>
        <v>CREATIVITY</v>
      </c>
      <c r="G566" s="13" t="str">
        <f t="shared" si="76"/>
        <v>creativity</v>
      </c>
      <c r="H566" s="13" t="str">
        <f t="shared" si="77"/>
        <v>Creativity</v>
      </c>
      <c r="I566" s="13">
        <f t="shared" si="78"/>
        <v>12</v>
      </c>
      <c r="J566" s="13">
        <f t="shared" si="79"/>
        <v>10</v>
      </c>
      <c r="K566" s="13">
        <f t="shared" si="80"/>
        <v>2</v>
      </c>
    </row>
    <row r="567" spans="1:11" x14ac:dyDescent="0.25">
      <c r="A567" s="13">
        <f>'Raw Data'!A567</f>
        <v>565</v>
      </c>
      <c r="B567" s="13" t="str">
        <f>'Raw Data'!C567</f>
        <v xml:space="preserve"> Breakthrough </v>
      </c>
      <c r="C567" s="13" t="str">
        <f t="shared" si="72"/>
        <v>Breakthrough</v>
      </c>
      <c r="D567" s="13" t="str">
        <f t="shared" si="73"/>
        <v xml:space="preserve"> Breakthrough </v>
      </c>
      <c r="E567" s="13" t="str">
        <f t="shared" si="74"/>
        <v>Breakthrough</v>
      </c>
      <c r="F567" s="13" t="str">
        <f t="shared" si="75"/>
        <v>BREAKTHROUGH</v>
      </c>
      <c r="G567" s="13" t="str">
        <f t="shared" si="76"/>
        <v>breakthrough</v>
      </c>
      <c r="H567" s="13" t="str">
        <f t="shared" si="77"/>
        <v>Breakthrough</v>
      </c>
      <c r="I567" s="13">
        <f t="shared" si="78"/>
        <v>14</v>
      </c>
      <c r="J567" s="13">
        <f t="shared" si="79"/>
        <v>12</v>
      </c>
      <c r="K567" s="13">
        <f t="shared" si="80"/>
        <v>2</v>
      </c>
    </row>
    <row r="568" spans="1:11" x14ac:dyDescent="0.25">
      <c r="A568" s="13">
        <f>'Raw Data'!A568</f>
        <v>566</v>
      </c>
      <c r="B568" s="13" t="str">
        <f>'Raw Data'!C568</f>
        <v xml:space="preserve"> Harmony </v>
      </c>
      <c r="C568" s="13" t="str">
        <f t="shared" si="72"/>
        <v>Harmony</v>
      </c>
      <c r="D568" s="13" t="str">
        <f t="shared" si="73"/>
        <v xml:space="preserve"> Harmony </v>
      </c>
      <c r="E568" s="13" t="str">
        <f t="shared" si="74"/>
        <v>Harmony</v>
      </c>
      <c r="F568" s="13" t="str">
        <f t="shared" si="75"/>
        <v>HARMONY</v>
      </c>
      <c r="G568" s="13" t="str">
        <f t="shared" si="76"/>
        <v>harmony</v>
      </c>
      <c r="H568" s="13" t="str">
        <f t="shared" si="77"/>
        <v>Harmony</v>
      </c>
      <c r="I568" s="13">
        <f t="shared" si="78"/>
        <v>9</v>
      </c>
      <c r="J568" s="13">
        <f t="shared" si="79"/>
        <v>7</v>
      </c>
      <c r="K568" s="13">
        <f t="shared" si="80"/>
        <v>2</v>
      </c>
    </row>
    <row r="569" spans="1:11" x14ac:dyDescent="0.25">
      <c r="A569" s="13">
        <f>'Raw Data'!A569</f>
        <v>567</v>
      </c>
      <c r="B569" s="13" t="str">
        <f>'Raw Data'!C569</f>
        <v xml:space="preserve"> Joy in Baking </v>
      </c>
      <c r="C569" s="13" t="str">
        <f t="shared" si="72"/>
        <v>Joy in Baking</v>
      </c>
      <c r="D569" s="13" t="str">
        <f t="shared" si="73"/>
        <v xml:space="preserve"> Joy in Baking </v>
      </c>
      <c r="E569" s="13" t="str">
        <f t="shared" si="74"/>
        <v>Joy in Baking</v>
      </c>
      <c r="F569" s="13" t="str">
        <f t="shared" si="75"/>
        <v>JOY IN BAKING</v>
      </c>
      <c r="G569" s="13" t="str">
        <f t="shared" si="76"/>
        <v>joy in baking</v>
      </c>
      <c r="H569" s="13" t="str">
        <f t="shared" si="77"/>
        <v>Joy In Baking</v>
      </c>
      <c r="I569" s="13">
        <f t="shared" si="78"/>
        <v>15</v>
      </c>
      <c r="J569" s="13">
        <f t="shared" si="79"/>
        <v>13</v>
      </c>
      <c r="K569" s="13">
        <f t="shared" si="80"/>
        <v>2</v>
      </c>
    </row>
    <row r="570" spans="1:11" x14ac:dyDescent="0.25">
      <c r="A570" s="13">
        <f>'Raw Data'!A570</f>
        <v>568</v>
      </c>
      <c r="B570" s="13" t="str">
        <f>'Raw Data'!C570</f>
        <v xml:space="preserve"> Envisioning History </v>
      </c>
      <c r="C570" s="13" t="str">
        <f t="shared" si="72"/>
        <v>Envisioning History</v>
      </c>
      <c r="D570" s="13" t="str">
        <f t="shared" si="73"/>
        <v xml:space="preserve"> Envisioning History </v>
      </c>
      <c r="E570" s="13" t="str">
        <f t="shared" si="74"/>
        <v>Envisioning History</v>
      </c>
      <c r="F570" s="13" t="str">
        <f t="shared" si="75"/>
        <v>ENVISIONING HISTORY</v>
      </c>
      <c r="G570" s="13" t="str">
        <f t="shared" si="76"/>
        <v>envisioning history</v>
      </c>
      <c r="H570" s="13" t="str">
        <f t="shared" si="77"/>
        <v>Envisioning History</v>
      </c>
      <c r="I570" s="13">
        <f t="shared" si="78"/>
        <v>21</v>
      </c>
      <c r="J570" s="13">
        <f t="shared" si="79"/>
        <v>19</v>
      </c>
      <c r="K570" s="13">
        <f t="shared" si="80"/>
        <v>2</v>
      </c>
    </row>
    <row r="571" spans="1:11" x14ac:dyDescent="0.25">
      <c r="A571" s="13">
        <f>'Raw Data'!A571</f>
        <v>569</v>
      </c>
      <c r="B571" s="13" t="str">
        <f>'Raw Data'!C571</f>
        <v xml:space="preserve"> Imagination </v>
      </c>
      <c r="C571" s="13" t="str">
        <f t="shared" si="72"/>
        <v>Imagination</v>
      </c>
      <c r="D571" s="13" t="str">
        <f t="shared" si="73"/>
        <v xml:space="preserve"> Imagination </v>
      </c>
      <c r="E571" s="13" t="str">
        <f t="shared" si="74"/>
        <v>Imagination</v>
      </c>
      <c r="F571" s="13" t="str">
        <f t="shared" si="75"/>
        <v>IMAGINATION</v>
      </c>
      <c r="G571" s="13" t="str">
        <f t="shared" si="76"/>
        <v>imagination</v>
      </c>
      <c r="H571" s="13" t="str">
        <f t="shared" si="77"/>
        <v>Imagination</v>
      </c>
      <c r="I571" s="13">
        <f t="shared" si="78"/>
        <v>13</v>
      </c>
      <c r="J571" s="13">
        <f t="shared" si="79"/>
        <v>11</v>
      </c>
      <c r="K571" s="13">
        <f t="shared" si="80"/>
        <v>2</v>
      </c>
    </row>
    <row r="572" spans="1:11" x14ac:dyDescent="0.25">
      <c r="A572" s="13">
        <f>'Raw Data'!A572</f>
        <v>570</v>
      </c>
      <c r="B572" s="13" t="str">
        <f>'Raw Data'!C572</f>
        <v xml:space="preserve"> Vibrancy </v>
      </c>
      <c r="C572" s="13" t="str">
        <f t="shared" si="72"/>
        <v>Vibrancy</v>
      </c>
      <c r="D572" s="13" t="str">
        <f t="shared" si="73"/>
        <v xml:space="preserve"> Vibrancy </v>
      </c>
      <c r="E572" s="13" t="str">
        <f t="shared" si="74"/>
        <v>Vibrancy</v>
      </c>
      <c r="F572" s="13" t="str">
        <f t="shared" si="75"/>
        <v>VIBRANCY</v>
      </c>
      <c r="G572" s="13" t="str">
        <f t="shared" si="76"/>
        <v>vibrancy</v>
      </c>
      <c r="H572" s="13" t="str">
        <f t="shared" si="77"/>
        <v>Vibrancy</v>
      </c>
      <c r="I572" s="13">
        <f t="shared" si="78"/>
        <v>10</v>
      </c>
      <c r="J572" s="13">
        <f t="shared" si="79"/>
        <v>8</v>
      </c>
      <c r="K572" s="13">
        <f t="shared" si="80"/>
        <v>2</v>
      </c>
    </row>
    <row r="573" spans="1:11" x14ac:dyDescent="0.25">
      <c r="A573" s="13">
        <f>'Raw Data'!A573</f>
        <v>571</v>
      </c>
      <c r="B573" s="13" t="str">
        <f>'Raw Data'!C573</f>
        <v xml:space="preserve"> Mesmerizing </v>
      </c>
      <c r="C573" s="13" t="str">
        <f t="shared" si="72"/>
        <v>Mesmerizing</v>
      </c>
      <c r="D573" s="13" t="str">
        <f t="shared" si="73"/>
        <v xml:space="preserve"> Mesmerizing </v>
      </c>
      <c r="E573" s="13" t="str">
        <f t="shared" si="74"/>
        <v>Mesmerizing</v>
      </c>
      <c r="F573" s="13" t="str">
        <f t="shared" si="75"/>
        <v>MESMERIZING</v>
      </c>
      <c r="G573" s="13" t="str">
        <f t="shared" si="76"/>
        <v>mesmerizing</v>
      </c>
      <c r="H573" s="13" t="str">
        <f t="shared" si="77"/>
        <v>Mesmerizing</v>
      </c>
      <c r="I573" s="13">
        <f t="shared" si="78"/>
        <v>13</v>
      </c>
      <c r="J573" s="13">
        <f t="shared" si="79"/>
        <v>11</v>
      </c>
      <c r="K573" s="13">
        <f t="shared" si="80"/>
        <v>2</v>
      </c>
    </row>
    <row r="574" spans="1:11" x14ac:dyDescent="0.25">
      <c r="A574" s="13">
        <f>'Raw Data'!A574</f>
        <v>572</v>
      </c>
      <c r="B574" s="13" t="str">
        <f>'Raw Data'!C574</f>
        <v xml:space="preserve"> Culinary Adventure </v>
      </c>
      <c r="C574" s="13" t="str">
        <f t="shared" si="72"/>
        <v>Culinary Adventure</v>
      </c>
      <c r="D574" s="13" t="str">
        <f t="shared" si="73"/>
        <v xml:space="preserve"> Culinary Adventure </v>
      </c>
      <c r="E574" s="13" t="str">
        <f t="shared" si="74"/>
        <v>Culinary Adventure</v>
      </c>
      <c r="F574" s="13" t="str">
        <f t="shared" si="75"/>
        <v>CULINARY ADVENTURE</v>
      </c>
      <c r="G574" s="13" t="str">
        <f t="shared" si="76"/>
        <v>culinary adventure</v>
      </c>
      <c r="H574" s="13" t="str">
        <f t="shared" si="77"/>
        <v>Culinary Adventure</v>
      </c>
      <c r="I574" s="13">
        <f t="shared" si="78"/>
        <v>20</v>
      </c>
      <c r="J574" s="13">
        <f t="shared" si="79"/>
        <v>18</v>
      </c>
      <c r="K574" s="13">
        <f t="shared" si="80"/>
        <v>2</v>
      </c>
    </row>
    <row r="575" spans="1:11" x14ac:dyDescent="0.25">
      <c r="A575" s="13">
        <f>'Raw Data'!A575</f>
        <v>573</v>
      </c>
      <c r="B575" s="13" t="str">
        <f>'Raw Data'!C575</f>
        <v xml:space="preserve"> Winter Magic </v>
      </c>
      <c r="C575" s="13" t="str">
        <f t="shared" si="72"/>
        <v>Winter Magic</v>
      </c>
      <c r="D575" s="13" t="str">
        <f t="shared" si="73"/>
        <v xml:space="preserve"> Winter Magic </v>
      </c>
      <c r="E575" s="13" t="str">
        <f t="shared" si="74"/>
        <v>Winter Magic</v>
      </c>
      <c r="F575" s="13" t="str">
        <f t="shared" si="75"/>
        <v>WINTER MAGIC</v>
      </c>
      <c r="G575" s="13" t="str">
        <f t="shared" si="76"/>
        <v>winter magic</v>
      </c>
      <c r="H575" s="13" t="str">
        <f t="shared" si="77"/>
        <v>Winter Magic</v>
      </c>
      <c r="I575" s="13">
        <f t="shared" si="78"/>
        <v>14</v>
      </c>
      <c r="J575" s="13">
        <f t="shared" si="79"/>
        <v>12</v>
      </c>
      <c r="K575" s="13">
        <f t="shared" si="80"/>
        <v>2</v>
      </c>
    </row>
    <row r="576" spans="1:11" x14ac:dyDescent="0.25">
      <c r="A576" s="13">
        <f>'Raw Data'!A576</f>
        <v>574</v>
      </c>
      <c r="B576" s="13" t="str">
        <f>'Raw Data'!C576</f>
        <v xml:space="preserve"> Thrilling Journey </v>
      </c>
      <c r="C576" s="13" t="str">
        <f t="shared" si="72"/>
        <v>Thrilling Journey</v>
      </c>
      <c r="D576" s="13" t="str">
        <f t="shared" si="73"/>
        <v xml:space="preserve"> Thrilling Journey </v>
      </c>
      <c r="E576" s="13" t="str">
        <f t="shared" si="74"/>
        <v>Thrilling Journey</v>
      </c>
      <c r="F576" s="13" t="str">
        <f t="shared" si="75"/>
        <v>THRILLING JOURNEY</v>
      </c>
      <c r="G576" s="13" t="str">
        <f t="shared" si="76"/>
        <v>thrilling journey</v>
      </c>
      <c r="H576" s="13" t="str">
        <f t="shared" si="77"/>
        <v>Thrilling Journey</v>
      </c>
      <c r="I576" s="13">
        <f t="shared" si="78"/>
        <v>19</v>
      </c>
      <c r="J576" s="13">
        <f t="shared" si="79"/>
        <v>17</v>
      </c>
      <c r="K576" s="13">
        <f t="shared" si="80"/>
        <v>2</v>
      </c>
    </row>
    <row r="577" spans="1:11" x14ac:dyDescent="0.25">
      <c r="A577" s="13">
        <f>'Raw Data'!A577</f>
        <v>575</v>
      </c>
      <c r="B577" s="13" t="str">
        <f>'Raw Data'!C577</f>
        <v xml:space="preserve"> Nature's Beauty </v>
      </c>
      <c r="C577" s="13" t="str">
        <f t="shared" si="72"/>
        <v>Nature's Beauty</v>
      </c>
      <c r="D577" s="13" t="str">
        <f t="shared" si="73"/>
        <v xml:space="preserve"> Nature's Beauty </v>
      </c>
      <c r="E577" s="13" t="str">
        <f t="shared" si="74"/>
        <v>Nature's Beauty</v>
      </c>
      <c r="F577" s="13" t="str">
        <f t="shared" si="75"/>
        <v>NATURE'S BEAUTY</v>
      </c>
      <c r="G577" s="13" t="str">
        <f t="shared" si="76"/>
        <v>nature's beauty</v>
      </c>
      <c r="H577" s="13" t="str">
        <f t="shared" si="77"/>
        <v>Nature'S Beauty</v>
      </c>
      <c r="I577" s="13">
        <f t="shared" si="78"/>
        <v>17</v>
      </c>
      <c r="J577" s="13">
        <f t="shared" si="79"/>
        <v>15</v>
      </c>
      <c r="K577" s="13">
        <f t="shared" si="80"/>
        <v>2</v>
      </c>
    </row>
    <row r="578" spans="1:11" x14ac:dyDescent="0.25">
      <c r="A578" s="13">
        <f>'Raw Data'!A578</f>
        <v>576</v>
      </c>
      <c r="B578" s="13" t="str">
        <f>'Raw Data'!C578</f>
        <v xml:space="preserve"> Celestial Wonder </v>
      </c>
      <c r="C578" s="13" t="str">
        <f t="shared" si="72"/>
        <v>Celestial Wonder</v>
      </c>
      <c r="D578" s="13" t="str">
        <f t="shared" si="73"/>
        <v xml:space="preserve"> Celestial Wonder </v>
      </c>
      <c r="E578" s="13" t="str">
        <f t="shared" si="74"/>
        <v>Celestial Wonder</v>
      </c>
      <c r="F578" s="13" t="str">
        <f t="shared" si="75"/>
        <v>CELESTIAL WONDER</v>
      </c>
      <c r="G578" s="13" t="str">
        <f t="shared" si="76"/>
        <v>celestial wonder</v>
      </c>
      <c r="H578" s="13" t="str">
        <f t="shared" si="77"/>
        <v>Celestial Wonder</v>
      </c>
      <c r="I578" s="13">
        <f t="shared" si="78"/>
        <v>18</v>
      </c>
      <c r="J578" s="13">
        <f t="shared" si="79"/>
        <v>16</v>
      </c>
      <c r="K578" s="13">
        <f t="shared" si="80"/>
        <v>2</v>
      </c>
    </row>
    <row r="579" spans="1:11" x14ac:dyDescent="0.25">
      <c r="A579" s="13">
        <f>'Raw Data'!A579</f>
        <v>577</v>
      </c>
      <c r="B579" s="13" t="str">
        <f>'Raw Data'!C579</f>
        <v xml:space="preserve"> Creative Inspiration </v>
      </c>
      <c r="C579" s="13" t="str">
        <f t="shared" si="72"/>
        <v>Creative Inspiration</v>
      </c>
      <c r="D579" s="13" t="str">
        <f t="shared" si="73"/>
        <v xml:space="preserve"> Creative Inspiration </v>
      </c>
      <c r="E579" s="13" t="str">
        <f t="shared" si="74"/>
        <v>Creative Inspiration</v>
      </c>
      <c r="F579" s="13" t="str">
        <f t="shared" si="75"/>
        <v>CREATIVE INSPIRATION</v>
      </c>
      <c r="G579" s="13" t="str">
        <f t="shared" si="76"/>
        <v>creative inspiration</v>
      </c>
      <c r="H579" s="13" t="str">
        <f t="shared" si="77"/>
        <v>Creative Inspiration</v>
      </c>
      <c r="I579" s="13">
        <f t="shared" si="78"/>
        <v>22</v>
      </c>
      <c r="J579" s="13">
        <f t="shared" si="79"/>
        <v>20</v>
      </c>
      <c r="K579" s="13">
        <f t="shared" si="80"/>
        <v>2</v>
      </c>
    </row>
    <row r="580" spans="1:11" x14ac:dyDescent="0.25">
      <c r="A580" s="13">
        <f>'Raw Data'!A580</f>
        <v>578</v>
      </c>
      <c r="B580" s="13" t="str">
        <f>'Raw Data'!C580</f>
        <v xml:space="preserve"> Runway Creativity </v>
      </c>
      <c r="C580" s="13" t="str">
        <f t="shared" ref="C580:C643" si="81">TRIM(B580)</f>
        <v>Runway Creativity</v>
      </c>
      <c r="D580" s="13" t="str">
        <f t="shared" ref="D580:D643" si="82">CLEAN(B580)</f>
        <v xml:space="preserve"> Runway Creativity </v>
      </c>
      <c r="E580" s="13" t="str">
        <f t="shared" ref="E580:E643" si="83">SUBSTITUTE(SUBSTITUTE(SUBSTITUTE(TRIM(B580),"Positive","Pos"),"Negative","Neg"),"Neutral","Neu")</f>
        <v>Runway Creativity</v>
      </c>
      <c r="F580" s="13" t="str">
        <f t="shared" ref="F580:F643" si="84">UPPER(TRIM(B580))</f>
        <v>RUNWAY CREATIVITY</v>
      </c>
      <c r="G580" s="13" t="str">
        <f t="shared" ref="G580:G643" si="85">LOWER(TRIM(B580))</f>
        <v>runway creativity</v>
      </c>
      <c r="H580" s="13" t="str">
        <f t="shared" ref="H580:H643" si="86">PROPER(TRIM(B580))</f>
        <v>Runway Creativity</v>
      </c>
      <c r="I580" s="13">
        <f t="shared" ref="I580:I643" si="87">LEN(B580)</f>
        <v>19</v>
      </c>
      <c r="J580" s="13">
        <f t="shared" ref="J580:J643" si="88">LEN(TRIM(B580))</f>
        <v>17</v>
      </c>
      <c r="K580" s="13">
        <f t="shared" ref="K580:K643" si="89">I580-J580</f>
        <v>2</v>
      </c>
    </row>
    <row r="581" spans="1:11" x14ac:dyDescent="0.25">
      <c r="A581" s="13">
        <f>'Raw Data'!A581</f>
        <v>579</v>
      </c>
      <c r="B581" s="13" t="str">
        <f>'Raw Data'!C581</f>
        <v xml:space="preserve"> Ocean's Freedom </v>
      </c>
      <c r="C581" s="13" t="str">
        <f t="shared" si="81"/>
        <v>Ocean's Freedom</v>
      </c>
      <c r="D581" s="13" t="str">
        <f t="shared" si="82"/>
        <v xml:space="preserve"> Ocean's Freedom </v>
      </c>
      <c r="E581" s="13" t="str">
        <f t="shared" si="83"/>
        <v>Ocean's Freedom</v>
      </c>
      <c r="F581" s="13" t="str">
        <f t="shared" si="84"/>
        <v>OCEAN'S FREEDOM</v>
      </c>
      <c r="G581" s="13" t="str">
        <f t="shared" si="85"/>
        <v>ocean's freedom</v>
      </c>
      <c r="H581" s="13" t="str">
        <f t="shared" si="86"/>
        <v>Ocean'S Freedom</v>
      </c>
      <c r="I581" s="13">
        <f t="shared" si="87"/>
        <v>17</v>
      </c>
      <c r="J581" s="13">
        <f t="shared" si="88"/>
        <v>15</v>
      </c>
      <c r="K581" s="13">
        <f t="shared" si="89"/>
        <v>2</v>
      </c>
    </row>
    <row r="582" spans="1:11" x14ac:dyDescent="0.25">
      <c r="A582" s="13">
        <f>'Raw Data'!A582</f>
        <v>580</v>
      </c>
      <c r="B582" s="13" t="str">
        <f>'Raw Data'!C582</f>
        <v xml:space="preserve"> Whispers of the Past </v>
      </c>
      <c r="C582" s="13" t="str">
        <f t="shared" si="81"/>
        <v>Whispers of the Past</v>
      </c>
      <c r="D582" s="13" t="str">
        <f t="shared" si="82"/>
        <v xml:space="preserve"> Whispers of the Past </v>
      </c>
      <c r="E582" s="13" t="str">
        <f t="shared" si="83"/>
        <v>Whispers of the Past</v>
      </c>
      <c r="F582" s="13" t="str">
        <f t="shared" si="84"/>
        <v>WHISPERS OF THE PAST</v>
      </c>
      <c r="G582" s="13" t="str">
        <f t="shared" si="85"/>
        <v>whispers of the past</v>
      </c>
      <c r="H582" s="13" t="str">
        <f t="shared" si="86"/>
        <v>Whispers Of The Past</v>
      </c>
      <c r="I582" s="13">
        <f t="shared" si="87"/>
        <v>22</v>
      </c>
      <c r="J582" s="13">
        <f t="shared" si="88"/>
        <v>20</v>
      </c>
      <c r="K582" s="13">
        <f t="shared" si="89"/>
        <v>2</v>
      </c>
    </row>
    <row r="583" spans="1:11" x14ac:dyDescent="0.25">
      <c r="A583" s="13">
        <f>'Raw Data'!A583</f>
        <v>581</v>
      </c>
      <c r="B583" s="13" t="str">
        <f>'Raw Data'!C583</f>
        <v xml:space="preserve"> Excitement </v>
      </c>
      <c r="C583" s="13" t="str">
        <f t="shared" si="81"/>
        <v>Excitement</v>
      </c>
      <c r="D583" s="13" t="str">
        <f t="shared" si="82"/>
        <v xml:space="preserve"> Excitement </v>
      </c>
      <c r="E583" s="13" t="str">
        <f t="shared" si="83"/>
        <v>Excitement</v>
      </c>
      <c r="F583" s="13" t="str">
        <f t="shared" si="84"/>
        <v>EXCITEMENT</v>
      </c>
      <c r="G583" s="13" t="str">
        <f t="shared" si="85"/>
        <v>excitement</v>
      </c>
      <c r="H583" s="13" t="str">
        <f t="shared" si="86"/>
        <v>Excitement</v>
      </c>
      <c r="I583" s="13">
        <f t="shared" si="87"/>
        <v>12</v>
      </c>
      <c r="J583" s="13">
        <f t="shared" si="88"/>
        <v>10</v>
      </c>
      <c r="K583" s="13">
        <f t="shared" si="89"/>
        <v>2</v>
      </c>
    </row>
    <row r="584" spans="1:11" x14ac:dyDescent="0.25">
      <c r="A584" s="13">
        <f>'Raw Data'!A584</f>
        <v>582</v>
      </c>
      <c r="B584" s="13" t="str">
        <f>'Raw Data'!C584</f>
        <v xml:space="preserve"> Boredom </v>
      </c>
      <c r="C584" s="13" t="str">
        <f t="shared" si="81"/>
        <v>Boredom</v>
      </c>
      <c r="D584" s="13" t="str">
        <f t="shared" si="82"/>
        <v xml:space="preserve"> Boredom </v>
      </c>
      <c r="E584" s="13" t="str">
        <f t="shared" si="83"/>
        <v>Boredom</v>
      </c>
      <c r="F584" s="13" t="str">
        <f t="shared" si="84"/>
        <v>BOREDOM</v>
      </c>
      <c r="G584" s="13" t="str">
        <f t="shared" si="85"/>
        <v>boredom</v>
      </c>
      <c r="H584" s="13" t="str">
        <f t="shared" si="86"/>
        <v>Boredom</v>
      </c>
      <c r="I584" s="13">
        <f t="shared" si="87"/>
        <v>9</v>
      </c>
      <c r="J584" s="13">
        <f t="shared" si="88"/>
        <v>7</v>
      </c>
      <c r="K584" s="13">
        <f t="shared" si="89"/>
        <v>2</v>
      </c>
    </row>
    <row r="585" spans="1:11" x14ac:dyDescent="0.25">
      <c r="A585" s="13">
        <f>'Raw Data'!A585</f>
        <v>583</v>
      </c>
      <c r="B585" s="13" t="str">
        <f>'Raw Data'!C585</f>
        <v xml:space="preserve"> Joy </v>
      </c>
      <c r="C585" s="13" t="str">
        <f t="shared" si="81"/>
        <v>Joy</v>
      </c>
      <c r="D585" s="13" t="str">
        <f t="shared" si="82"/>
        <v xml:space="preserve"> Joy </v>
      </c>
      <c r="E585" s="13" t="str">
        <f t="shared" si="83"/>
        <v>Joy</v>
      </c>
      <c r="F585" s="13" t="str">
        <f t="shared" si="84"/>
        <v>JOY</v>
      </c>
      <c r="G585" s="13" t="str">
        <f t="shared" si="85"/>
        <v>joy</v>
      </c>
      <c r="H585" s="13" t="str">
        <f t="shared" si="86"/>
        <v>Joy</v>
      </c>
      <c r="I585" s="13">
        <f t="shared" si="87"/>
        <v>5</v>
      </c>
      <c r="J585" s="13">
        <f t="shared" si="88"/>
        <v>3</v>
      </c>
      <c r="K585" s="13">
        <f t="shared" si="89"/>
        <v>2</v>
      </c>
    </row>
    <row r="586" spans="1:11" x14ac:dyDescent="0.25">
      <c r="A586" s="13">
        <f>'Raw Data'!A586</f>
        <v>584</v>
      </c>
      <c r="B586" s="13" t="str">
        <f>'Raw Data'!C586</f>
        <v xml:space="preserve"> Frustration </v>
      </c>
      <c r="C586" s="13" t="str">
        <f t="shared" si="81"/>
        <v>Frustration</v>
      </c>
      <c r="D586" s="13" t="str">
        <f t="shared" si="82"/>
        <v xml:space="preserve"> Frustration </v>
      </c>
      <c r="E586" s="13" t="str">
        <f t="shared" si="83"/>
        <v>Frustration</v>
      </c>
      <c r="F586" s="13" t="str">
        <f t="shared" si="84"/>
        <v>FRUSTRATION</v>
      </c>
      <c r="G586" s="13" t="str">
        <f t="shared" si="85"/>
        <v>frustration</v>
      </c>
      <c r="H586" s="13" t="str">
        <f t="shared" si="86"/>
        <v>Frustration</v>
      </c>
      <c r="I586" s="13">
        <f t="shared" si="87"/>
        <v>13</v>
      </c>
      <c r="J586" s="13">
        <f t="shared" si="88"/>
        <v>11</v>
      </c>
      <c r="K586" s="13">
        <f t="shared" si="89"/>
        <v>2</v>
      </c>
    </row>
    <row r="587" spans="1:11" x14ac:dyDescent="0.25">
      <c r="A587" s="13">
        <f>'Raw Data'!A587</f>
        <v>585</v>
      </c>
      <c r="B587" s="13" t="str">
        <f>'Raw Data'!C587</f>
        <v xml:space="preserve"> Surprise </v>
      </c>
      <c r="C587" s="13" t="str">
        <f t="shared" si="81"/>
        <v>Surprise</v>
      </c>
      <c r="D587" s="13" t="str">
        <f t="shared" si="82"/>
        <v xml:space="preserve"> Surprise </v>
      </c>
      <c r="E587" s="13" t="str">
        <f t="shared" si="83"/>
        <v>Surprise</v>
      </c>
      <c r="F587" s="13" t="str">
        <f t="shared" si="84"/>
        <v>SURPRISE</v>
      </c>
      <c r="G587" s="13" t="str">
        <f t="shared" si="85"/>
        <v>surprise</v>
      </c>
      <c r="H587" s="13" t="str">
        <f t="shared" si="86"/>
        <v>Surprise</v>
      </c>
      <c r="I587" s="13">
        <f t="shared" si="87"/>
        <v>10</v>
      </c>
      <c r="J587" s="13">
        <f t="shared" si="88"/>
        <v>8</v>
      </c>
      <c r="K587" s="13">
        <f t="shared" si="89"/>
        <v>2</v>
      </c>
    </row>
    <row r="588" spans="1:11" x14ac:dyDescent="0.25">
      <c r="A588" s="13">
        <f>'Raw Data'!A588</f>
        <v>586</v>
      </c>
      <c r="B588" s="13" t="str">
        <f>'Raw Data'!C588</f>
        <v xml:space="preserve"> Indifference </v>
      </c>
      <c r="C588" s="13" t="str">
        <f t="shared" si="81"/>
        <v>Indifference</v>
      </c>
      <c r="D588" s="13" t="str">
        <f t="shared" si="82"/>
        <v xml:space="preserve"> Indifference </v>
      </c>
      <c r="E588" s="13" t="str">
        <f t="shared" si="83"/>
        <v>Indifference</v>
      </c>
      <c r="F588" s="13" t="str">
        <f t="shared" si="84"/>
        <v>INDIFFERENCE</v>
      </c>
      <c r="G588" s="13" t="str">
        <f t="shared" si="85"/>
        <v>indifference</v>
      </c>
      <c r="H588" s="13" t="str">
        <f t="shared" si="86"/>
        <v>Indifference</v>
      </c>
      <c r="I588" s="13">
        <f t="shared" si="87"/>
        <v>14</v>
      </c>
      <c r="J588" s="13">
        <f t="shared" si="88"/>
        <v>12</v>
      </c>
      <c r="K588" s="13">
        <f t="shared" si="89"/>
        <v>2</v>
      </c>
    </row>
    <row r="589" spans="1:11" x14ac:dyDescent="0.25">
      <c r="A589" s="13">
        <f>'Raw Data'!A589</f>
        <v>587</v>
      </c>
      <c r="B589" s="13" t="str">
        <f>'Raw Data'!C589</f>
        <v xml:space="preserve"> Satisfaction </v>
      </c>
      <c r="C589" s="13" t="str">
        <f t="shared" si="81"/>
        <v>Satisfaction</v>
      </c>
      <c r="D589" s="13" t="str">
        <f t="shared" si="82"/>
        <v xml:space="preserve"> Satisfaction </v>
      </c>
      <c r="E589" s="13" t="str">
        <f t="shared" si="83"/>
        <v>Satisfaction</v>
      </c>
      <c r="F589" s="13" t="str">
        <f t="shared" si="84"/>
        <v>SATISFACTION</v>
      </c>
      <c r="G589" s="13" t="str">
        <f t="shared" si="85"/>
        <v>satisfaction</v>
      </c>
      <c r="H589" s="13" t="str">
        <f t="shared" si="86"/>
        <v>Satisfaction</v>
      </c>
      <c r="I589" s="13">
        <f t="shared" si="87"/>
        <v>14</v>
      </c>
      <c r="J589" s="13">
        <f t="shared" si="88"/>
        <v>12</v>
      </c>
      <c r="K589" s="13">
        <f t="shared" si="89"/>
        <v>2</v>
      </c>
    </row>
    <row r="590" spans="1:11" x14ac:dyDescent="0.25">
      <c r="A590" s="13">
        <f>'Raw Data'!A590</f>
        <v>588</v>
      </c>
      <c r="B590" s="13" t="str">
        <f>'Raw Data'!C590</f>
        <v xml:space="preserve"> Disgust </v>
      </c>
      <c r="C590" s="13" t="str">
        <f t="shared" si="81"/>
        <v>Disgust</v>
      </c>
      <c r="D590" s="13" t="str">
        <f t="shared" si="82"/>
        <v xml:space="preserve"> Disgust </v>
      </c>
      <c r="E590" s="13" t="str">
        <f t="shared" si="83"/>
        <v>Disgust</v>
      </c>
      <c r="F590" s="13" t="str">
        <f t="shared" si="84"/>
        <v>DISGUST</v>
      </c>
      <c r="G590" s="13" t="str">
        <f t="shared" si="85"/>
        <v>disgust</v>
      </c>
      <c r="H590" s="13" t="str">
        <f t="shared" si="86"/>
        <v>Disgust</v>
      </c>
      <c r="I590" s="13">
        <f t="shared" si="87"/>
        <v>9</v>
      </c>
      <c r="J590" s="13">
        <f t="shared" si="88"/>
        <v>7</v>
      </c>
      <c r="K590" s="13">
        <f t="shared" si="89"/>
        <v>2</v>
      </c>
    </row>
    <row r="591" spans="1:11" x14ac:dyDescent="0.25">
      <c r="A591" s="13">
        <f>'Raw Data'!A591</f>
        <v>589</v>
      </c>
      <c r="B591" s="13" t="str">
        <f>'Raw Data'!C591</f>
        <v xml:space="preserve"> Surprise </v>
      </c>
      <c r="C591" s="13" t="str">
        <f t="shared" si="81"/>
        <v>Surprise</v>
      </c>
      <c r="D591" s="13" t="str">
        <f t="shared" si="82"/>
        <v xml:space="preserve"> Surprise </v>
      </c>
      <c r="E591" s="13" t="str">
        <f t="shared" si="83"/>
        <v>Surprise</v>
      </c>
      <c r="F591" s="13" t="str">
        <f t="shared" si="84"/>
        <v>SURPRISE</v>
      </c>
      <c r="G591" s="13" t="str">
        <f t="shared" si="85"/>
        <v>surprise</v>
      </c>
      <c r="H591" s="13" t="str">
        <f t="shared" si="86"/>
        <v>Surprise</v>
      </c>
      <c r="I591" s="13">
        <f t="shared" si="87"/>
        <v>10</v>
      </c>
      <c r="J591" s="13">
        <f t="shared" si="88"/>
        <v>8</v>
      </c>
      <c r="K591" s="13">
        <f t="shared" si="89"/>
        <v>2</v>
      </c>
    </row>
    <row r="592" spans="1:11" x14ac:dyDescent="0.25">
      <c r="A592" s="13">
        <f>'Raw Data'!A592</f>
        <v>590</v>
      </c>
      <c r="B592" s="13" t="str">
        <f>'Raw Data'!C592</f>
        <v xml:space="preserve"> Joy </v>
      </c>
      <c r="C592" s="13" t="str">
        <f t="shared" si="81"/>
        <v>Joy</v>
      </c>
      <c r="D592" s="13" t="str">
        <f t="shared" si="82"/>
        <v xml:space="preserve"> Joy </v>
      </c>
      <c r="E592" s="13" t="str">
        <f t="shared" si="83"/>
        <v>Joy</v>
      </c>
      <c r="F592" s="13" t="str">
        <f t="shared" si="84"/>
        <v>JOY</v>
      </c>
      <c r="G592" s="13" t="str">
        <f t="shared" si="85"/>
        <v>joy</v>
      </c>
      <c r="H592" s="13" t="str">
        <f t="shared" si="86"/>
        <v>Joy</v>
      </c>
      <c r="I592" s="13">
        <f t="shared" si="87"/>
        <v>5</v>
      </c>
      <c r="J592" s="13">
        <f t="shared" si="88"/>
        <v>3</v>
      </c>
      <c r="K592" s="13">
        <f t="shared" si="89"/>
        <v>2</v>
      </c>
    </row>
    <row r="593" spans="1:11" x14ac:dyDescent="0.25">
      <c r="A593" s="13">
        <f>'Raw Data'!A593</f>
        <v>591</v>
      </c>
      <c r="B593" s="13" t="str">
        <f>'Raw Data'!C593</f>
        <v xml:space="preserve"> Excitement </v>
      </c>
      <c r="C593" s="13" t="str">
        <f t="shared" si="81"/>
        <v>Excitement</v>
      </c>
      <c r="D593" s="13" t="str">
        <f t="shared" si="82"/>
        <v xml:space="preserve"> Excitement </v>
      </c>
      <c r="E593" s="13" t="str">
        <f t="shared" si="83"/>
        <v>Excitement</v>
      </c>
      <c r="F593" s="13" t="str">
        <f t="shared" si="84"/>
        <v>EXCITEMENT</v>
      </c>
      <c r="G593" s="13" t="str">
        <f t="shared" si="85"/>
        <v>excitement</v>
      </c>
      <c r="H593" s="13" t="str">
        <f t="shared" si="86"/>
        <v>Excitement</v>
      </c>
      <c r="I593" s="13">
        <f t="shared" si="87"/>
        <v>12</v>
      </c>
      <c r="J593" s="13">
        <f t="shared" si="88"/>
        <v>10</v>
      </c>
      <c r="K593" s="13">
        <f t="shared" si="89"/>
        <v>2</v>
      </c>
    </row>
    <row r="594" spans="1:11" x14ac:dyDescent="0.25">
      <c r="A594" s="13">
        <f>'Raw Data'!A594</f>
        <v>592</v>
      </c>
      <c r="B594" s="13" t="str">
        <f>'Raw Data'!C594</f>
        <v xml:space="preserve"> Joy </v>
      </c>
      <c r="C594" s="13" t="str">
        <f t="shared" si="81"/>
        <v>Joy</v>
      </c>
      <c r="D594" s="13" t="str">
        <f t="shared" si="82"/>
        <v xml:space="preserve"> Joy </v>
      </c>
      <c r="E594" s="13" t="str">
        <f t="shared" si="83"/>
        <v>Joy</v>
      </c>
      <c r="F594" s="13" t="str">
        <f t="shared" si="84"/>
        <v>JOY</v>
      </c>
      <c r="G594" s="13" t="str">
        <f t="shared" si="85"/>
        <v>joy</v>
      </c>
      <c r="H594" s="13" t="str">
        <f t="shared" si="86"/>
        <v>Joy</v>
      </c>
      <c r="I594" s="13">
        <f t="shared" si="87"/>
        <v>5</v>
      </c>
      <c r="J594" s="13">
        <f t="shared" si="88"/>
        <v>3</v>
      </c>
      <c r="K594" s="13">
        <f t="shared" si="89"/>
        <v>2</v>
      </c>
    </row>
    <row r="595" spans="1:11" x14ac:dyDescent="0.25">
      <c r="A595" s="13">
        <f>'Raw Data'!A595</f>
        <v>593</v>
      </c>
      <c r="B595" s="13" t="str">
        <f>'Raw Data'!C595</f>
        <v xml:space="preserve"> Excitement </v>
      </c>
      <c r="C595" s="13" t="str">
        <f t="shared" si="81"/>
        <v>Excitement</v>
      </c>
      <c r="D595" s="13" t="str">
        <f t="shared" si="82"/>
        <v xml:space="preserve"> Excitement </v>
      </c>
      <c r="E595" s="13" t="str">
        <f t="shared" si="83"/>
        <v>Excitement</v>
      </c>
      <c r="F595" s="13" t="str">
        <f t="shared" si="84"/>
        <v>EXCITEMENT</v>
      </c>
      <c r="G595" s="13" t="str">
        <f t="shared" si="85"/>
        <v>excitement</v>
      </c>
      <c r="H595" s="13" t="str">
        <f t="shared" si="86"/>
        <v>Excitement</v>
      </c>
      <c r="I595" s="13">
        <f t="shared" si="87"/>
        <v>12</v>
      </c>
      <c r="J595" s="13">
        <f t="shared" si="88"/>
        <v>10</v>
      </c>
      <c r="K595" s="13">
        <f t="shared" si="89"/>
        <v>2</v>
      </c>
    </row>
    <row r="596" spans="1:11" x14ac:dyDescent="0.25">
      <c r="A596" s="13">
        <f>'Raw Data'!A596</f>
        <v>594</v>
      </c>
      <c r="B596" s="13" t="str">
        <f>'Raw Data'!C596</f>
        <v xml:space="preserve"> Frustration </v>
      </c>
      <c r="C596" s="13" t="str">
        <f t="shared" si="81"/>
        <v>Frustration</v>
      </c>
      <c r="D596" s="13" t="str">
        <f t="shared" si="82"/>
        <v xml:space="preserve"> Frustration </v>
      </c>
      <c r="E596" s="13" t="str">
        <f t="shared" si="83"/>
        <v>Frustration</v>
      </c>
      <c r="F596" s="13" t="str">
        <f t="shared" si="84"/>
        <v>FRUSTRATION</v>
      </c>
      <c r="G596" s="13" t="str">
        <f t="shared" si="85"/>
        <v>frustration</v>
      </c>
      <c r="H596" s="13" t="str">
        <f t="shared" si="86"/>
        <v>Frustration</v>
      </c>
      <c r="I596" s="13">
        <f t="shared" si="87"/>
        <v>13</v>
      </c>
      <c r="J596" s="13">
        <f t="shared" si="88"/>
        <v>11</v>
      </c>
      <c r="K596" s="13">
        <f t="shared" si="89"/>
        <v>2</v>
      </c>
    </row>
    <row r="597" spans="1:11" x14ac:dyDescent="0.25">
      <c r="A597" s="13">
        <f>'Raw Data'!A597</f>
        <v>595</v>
      </c>
      <c r="B597" s="13" t="str">
        <f>'Raw Data'!C597</f>
        <v xml:space="preserve"> Joy </v>
      </c>
      <c r="C597" s="13" t="str">
        <f t="shared" si="81"/>
        <v>Joy</v>
      </c>
      <c r="D597" s="13" t="str">
        <f t="shared" si="82"/>
        <v xml:space="preserve"> Joy </v>
      </c>
      <c r="E597" s="13" t="str">
        <f t="shared" si="83"/>
        <v>Joy</v>
      </c>
      <c r="F597" s="13" t="str">
        <f t="shared" si="84"/>
        <v>JOY</v>
      </c>
      <c r="G597" s="13" t="str">
        <f t="shared" si="85"/>
        <v>joy</v>
      </c>
      <c r="H597" s="13" t="str">
        <f t="shared" si="86"/>
        <v>Joy</v>
      </c>
      <c r="I597" s="13">
        <f t="shared" si="87"/>
        <v>5</v>
      </c>
      <c r="J597" s="13">
        <f t="shared" si="88"/>
        <v>3</v>
      </c>
      <c r="K597" s="13">
        <f t="shared" si="89"/>
        <v>2</v>
      </c>
    </row>
    <row r="598" spans="1:11" x14ac:dyDescent="0.25">
      <c r="A598" s="13">
        <f>'Raw Data'!A598</f>
        <v>596</v>
      </c>
      <c r="B598" s="13" t="str">
        <f>'Raw Data'!C598</f>
        <v xml:space="preserve"> Pride </v>
      </c>
      <c r="C598" s="13" t="str">
        <f t="shared" si="81"/>
        <v>Pride</v>
      </c>
      <c r="D598" s="13" t="str">
        <f t="shared" si="82"/>
        <v xml:space="preserve"> Pride </v>
      </c>
      <c r="E598" s="13" t="str">
        <f t="shared" si="83"/>
        <v>Pride</v>
      </c>
      <c r="F598" s="13" t="str">
        <f t="shared" si="84"/>
        <v>PRIDE</v>
      </c>
      <c r="G598" s="13" t="str">
        <f t="shared" si="85"/>
        <v>pride</v>
      </c>
      <c r="H598" s="13" t="str">
        <f t="shared" si="86"/>
        <v>Pride</v>
      </c>
      <c r="I598" s="13">
        <f t="shared" si="87"/>
        <v>7</v>
      </c>
      <c r="J598" s="13">
        <f t="shared" si="88"/>
        <v>5</v>
      </c>
      <c r="K598" s="13">
        <f t="shared" si="89"/>
        <v>2</v>
      </c>
    </row>
    <row r="599" spans="1:11" x14ac:dyDescent="0.25">
      <c r="A599" s="13">
        <f>'Raw Data'!A599</f>
        <v>597</v>
      </c>
      <c r="B599" s="13" t="str">
        <f>'Raw Data'!C599</f>
        <v xml:space="preserve"> Excitement </v>
      </c>
      <c r="C599" s="13" t="str">
        <f t="shared" si="81"/>
        <v>Excitement</v>
      </c>
      <c r="D599" s="13" t="str">
        <f t="shared" si="82"/>
        <v xml:space="preserve"> Excitement </v>
      </c>
      <c r="E599" s="13" t="str">
        <f t="shared" si="83"/>
        <v>Excitement</v>
      </c>
      <c r="F599" s="13" t="str">
        <f t="shared" si="84"/>
        <v>EXCITEMENT</v>
      </c>
      <c r="G599" s="13" t="str">
        <f t="shared" si="85"/>
        <v>excitement</v>
      </c>
      <c r="H599" s="13" t="str">
        <f t="shared" si="86"/>
        <v>Excitement</v>
      </c>
      <c r="I599" s="13">
        <f t="shared" si="87"/>
        <v>12</v>
      </c>
      <c r="J599" s="13">
        <f t="shared" si="88"/>
        <v>10</v>
      </c>
      <c r="K599" s="13">
        <f t="shared" si="89"/>
        <v>2</v>
      </c>
    </row>
    <row r="600" spans="1:11" x14ac:dyDescent="0.25">
      <c r="A600" s="13">
        <f>'Raw Data'!A600</f>
        <v>598</v>
      </c>
      <c r="B600" s="13" t="str">
        <f>'Raw Data'!C600</f>
        <v xml:space="preserve"> Joy </v>
      </c>
      <c r="C600" s="13" t="str">
        <f t="shared" si="81"/>
        <v>Joy</v>
      </c>
      <c r="D600" s="13" t="str">
        <f t="shared" si="82"/>
        <v xml:space="preserve"> Joy </v>
      </c>
      <c r="E600" s="13" t="str">
        <f t="shared" si="83"/>
        <v>Joy</v>
      </c>
      <c r="F600" s="13" t="str">
        <f t="shared" si="84"/>
        <v>JOY</v>
      </c>
      <c r="G600" s="13" t="str">
        <f t="shared" si="85"/>
        <v>joy</v>
      </c>
      <c r="H600" s="13" t="str">
        <f t="shared" si="86"/>
        <v>Joy</v>
      </c>
      <c r="I600" s="13">
        <f t="shared" si="87"/>
        <v>5</v>
      </c>
      <c r="J600" s="13">
        <f t="shared" si="88"/>
        <v>3</v>
      </c>
      <c r="K600" s="13">
        <f t="shared" si="89"/>
        <v>2</v>
      </c>
    </row>
    <row r="601" spans="1:11" x14ac:dyDescent="0.25">
      <c r="A601" s="13">
        <f>'Raw Data'!A601</f>
        <v>599</v>
      </c>
      <c r="B601" s="13" t="str">
        <f>'Raw Data'!C601</f>
        <v xml:space="preserve"> Joy </v>
      </c>
      <c r="C601" s="13" t="str">
        <f t="shared" si="81"/>
        <v>Joy</v>
      </c>
      <c r="D601" s="13" t="str">
        <f t="shared" si="82"/>
        <v xml:space="preserve"> Joy </v>
      </c>
      <c r="E601" s="13" t="str">
        <f t="shared" si="83"/>
        <v>Joy</v>
      </c>
      <c r="F601" s="13" t="str">
        <f t="shared" si="84"/>
        <v>JOY</v>
      </c>
      <c r="G601" s="13" t="str">
        <f t="shared" si="85"/>
        <v>joy</v>
      </c>
      <c r="H601" s="13" t="str">
        <f t="shared" si="86"/>
        <v>Joy</v>
      </c>
      <c r="I601" s="13">
        <f t="shared" si="87"/>
        <v>5</v>
      </c>
      <c r="J601" s="13">
        <f t="shared" si="88"/>
        <v>3</v>
      </c>
      <c r="K601" s="13">
        <f t="shared" si="89"/>
        <v>2</v>
      </c>
    </row>
    <row r="602" spans="1:11" x14ac:dyDescent="0.25">
      <c r="A602" s="13">
        <f>'Raw Data'!A602</f>
        <v>600</v>
      </c>
      <c r="B602" s="13" t="str">
        <f>'Raw Data'!C602</f>
        <v xml:space="preserve"> Excitement </v>
      </c>
      <c r="C602" s="13" t="str">
        <f t="shared" si="81"/>
        <v>Excitement</v>
      </c>
      <c r="D602" s="13" t="str">
        <f t="shared" si="82"/>
        <v xml:space="preserve"> Excitement </v>
      </c>
      <c r="E602" s="13" t="str">
        <f t="shared" si="83"/>
        <v>Excitement</v>
      </c>
      <c r="F602" s="13" t="str">
        <f t="shared" si="84"/>
        <v>EXCITEMENT</v>
      </c>
      <c r="G602" s="13" t="str">
        <f t="shared" si="85"/>
        <v>excitement</v>
      </c>
      <c r="H602" s="13" t="str">
        <f t="shared" si="86"/>
        <v>Excitement</v>
      </c>
      <c r="I602" s="13">
        <f t="shared" si="87"/>
        <v>12</v>
      </c>
      <c r="J602" s="13">
        <f t="shared" si="88"/>
        <v>10</v>
      </c>
      <c r="K602" s="13">
        <f t="shared" si="89"/>
        <v>2</v>
      </c>
    </row>
    <row r="603" spans="1:11" x14ac:dyDescent="0.25">
      <c r="A603" s="13">
        <f>'Raw Data'!A603</f>
        <v>601</v>
      </c>
      <c r="B603" s="13" t="str">
        <f>'Raw Data'!C603</f>
        <v xml:space="preserve"> Curiosity </v>
      </c>
      <c r="C603" s="13" t="str">
        <f t="shared" si="81"/>
        <v>Curiosity</v>
      </c>
      <c r="D603" s="13" t="str">
        <f t="shared" si="82"/>
        <v xml:space="preserve"> Curiosity </v>
      </c>
      <c r="E603" s="13" t="str">
        <f t="shared" si="83"/>
        <v>Curiosity</v>
      </c>
      <c r="F603" s="13" t="str">
        <f t="shared" si="84"/>
        <v>CURIOSITY</v>
      </c>
      <c r="G603" s="13" t="str">
        <f t="shared" si="85"/>
        <v>curiosity</v>
      </c>
      <c r="H603" s="13" t="str">
        <f t="shared" si="86"/>
        <v>Curiosity</v>
      </c>
      <c r="I603" s="13">
        <f t="shared" si="87"/>
        <v>11</v>
      </c>
      <c r="J603" s="13">
        <f t="shared" si="88"/>
        <v>9</v>
      </c>
      <c r="K603" s="13">
        <f t="shared" si="89"/>
        <v>2</v>
      </c>
    </row>
    <row r="604" spans="1:11" x14ac:dyDescent="0.25">
      <c r="A604" s="13">
        <f>'Raw Data'!A604</f>
        <v>602</v>
      </c>
      <c r="B604" s="13" t="str">
        <f>'Raw Data'!C604</f>
        <v xml:space="preserve"> Curiosity </v>
      </c>
      <c r="C604" s="13" t="str">
        <f t="shared" si="81"/>
        <v>Curiosity</v>
      </c>
      <c r="D604" s="13" t="str">
        <f t="shared" si="82"/>
        <v xml:space="preserve"> Curiosity </v>
      </c>
      <c r="E604" s="13" t="str">
        <f t="shared" si="83"/>
        <v>Curiosity</v>
      </c>
      <c r="F604" s="13" t="str">
        <f t="shared" si="84"/>
        <v>CURIOSITY</v>
      </c>
      <c r="G604" s="13" t="str">
        <f t="shared" si="85"/>
        <v>curiosity</v>
      </c>
      <c r="H604" s="13" t="str">
        <f t="shared" si="86"/>
        <v>Curiosity</v>
      </c>
      <c r="I604" s="13">
        <f t="shared" si="87"/>
        <v>11</v>
      </c>
      <c r="J604" s="13">
        <f t="shared" si="88"/>
        <v>9</v>
      </c>
      <c r="K604" s="13">
        <f t="shared" si="89"/>
        <v>2</v>
      </c>
    </row>
    <row r="605" spans="1:11" x14ac:dyDescent="0.25">
      <c r="A605" s="13">
        <f>'Raw Data'!A605</f>
        <v>603</v>
      </c>
      <c r="B605" s="13" t="str">
        <f>'Raw Data'!C605</f>
        <v xml:space="preserve"> Contentment </v>
      </c>
      <c r="C605" s="13" t="str">
        <f t="shared" si="81"/>
        <v>Contentment</v>
      </c>
      <c r="D605" s="13" t="str">
        <f t="shared" si="82"/>
        <v xml:space="preserve"> Contentment </v>
      </c>
      <c r="E605" s="13" t="str">
        <f t="shared" si="83"/>
        <v>Contentment</v>
      </c>
      <c r="F605" s="13" t="str">
        <f t="shared" si="84"/>
        <v>CONTENTMENT</v>
      </c>
      <c r="G605" s="13" t="str">
        <f t="shared" si="85"/>
        <v>contentment</v>
      </c>
      <c r="H605" s="13" t="str">
        <f t="shared" si="86"/>
        <v>Contentment</v>
      </c>
      <c r="I605" s="13">
        <f t="shared" si="87"/>
        <v>13</v>
      </c>
      <c r="J605" s="13">
        <f t="shared" si="88"/>
        <v>11</v>
      </c>
      <c r="K605" s="13">
        <f t="shared" si="89"/>
        <v>2</v>
      </c>
    </row>
    <row r="606" spans="1:11" x14ac:dyDescent="0.25">
      <c r="A606" s="13">
        <f>'Raw Data'!A606</f>
        <v>604</v>
      </c>
      <c r="B606" s="13" t="str">
        <f>'Raw Data'!C606</f>
        <v xml:space="preserve"> Gratitude </v>
      </c>
      <c r="C606" s="13" t="str">
        <f t="shared" si="81"/>
        <v>Gratitude</v>
      </c>
      <c r="D606" s="13" t="str">
        <f t="shared" si="82"/>
        <v xml:space="preserve"> Gratitude </v>
      </c>
      <c r="E606" s="13" t="str">
        <f t="shared" si="83"/>
        <v>Gratitude</v>
      </c>
      <c r="F606" s="13" t="str">
        <f t="shared" si="84"/>
        <v>GRATITUDE</v>
      </c>
      <c r="G606" s="13" t="str">
        <f t="shared" si="85"/>
        <v>gratitude</v>
      </c>
      <c r="H606" s="13" t="str">
        <f t="shared" si="86"/>
        <v>Gratitude</v>
      </c>
      <c r="I606" s="13">
        <f t="shared" si="87"/>
        <v>11</v>
      </c>
      <c r="J606" s="13">
        <f t="shared" si="88"/>
        <v>9</v>
      </c>
      <c r="K606" s="13">
        <f t="shared" si="89"/>
        <v>2</v>
      </c>
    </row>
    <row r="607" spans="1:11" x14ac:dyDescent="0.25">
      <c r="A607" s="13">
        <f>'Raw Data'!A607</f>
        <v>605</v>
      </c>
      <c r="B607" s="13" t="str">
        <f>'Raw Data'!C607</f>
        <v xml:space="preserve"> Curiosity </v>
      </c>
      <c r="C607" s="13" t="str">
        <f t="shared" si="81"/>
        <v>Curiosity</v>
      </c>
      <c r="D607" s="13" t="str">
        <f t="shared" si="82"/>
        <v xml:space="preserve"> Curiosity </v>
      </c>
      <c r="E607" s="13" t="str">
        <f t="shared" si="83"/>
        <v>Curiosity</v>
      </c>
      <c r="F607" s="13" t="str">
        <f t="shared" si="84"/>
        <v>CURIOSITY</v>
      </c>
      <c r="G607" s="13" t="str">
        <f t="shared" si="85"/>
        <v>curiosity</v>
      </c>
      <c r="H607" s="13" t="str">
        <f t="shared" si="86"/>
        <v>Curiosity</v>
      </c>
      <c r="I607" s="13">
        <f t="shared" si="87"/>
        <v>11</v>
      </c>
      <c r="J607" s="13">
        <f t="shared" si="88"/>
        <v>9</v>
      </c>
      <c r="K607" s="13">
        <f t="shared" si="89"/>
        <v>2</v>
      </c>
    </row>
    <row r="608" spans="1:11" x14ac:dyDescent="0.25">
      <c r="A608" s="13">
        <f>'Raw Data'!A608</f>
        <v>606</v>
      </c>
      <c r="B608" s="13" t="str">
        <f>'Raw Data'!C608</f>
        <v xml:space="preserve"> Contentment </v>
      </c>
      <c r="C608" s="13" t="str">
        <f t="shared" si="81"/>
        <v>Contentment</v>
      </c>
      <c r="D608" s="13" t="str">
        <f t="shared" si="82"/>
        <v xml:space="preserve"> Contentment </v>
      </c>
      <c r="E608" s="13" t="str">
        <f t="shared" si="83"/>
        <v>Contentment</v>
      </c>
      <c r="F608" s="13" t="str">
        <f t="shared" si="84"/>
        <v>CONTENTMENT</v>
      </c>
      <c r="G608" s="13" t="str">
        <f t="shared" si="85"/>
        <v>contentment</v>
      </c>
      <c r="H608" s="13" t="str">
        <f t="shared" si="86"/>
        <v>Contentment</v>
      </c>
      <c r="I608" s="13">
        <f t="shared" si="87"/>
        <v>13</v>
      </c>
      <c r="J608" s="13">
        <f t="shared" si="88"/>
        <v>11</v>
      </c>
      <c r="K608" s="13">
        <f t="shared" si="89"/>
        <v>2</v>
      </c>
    </row>
    <row r="609" spans="1:11" x14ac:dyDescent="0.25">
      <c r="A609" s="13">
        <f>'Raw Data'!A609</f>
        <v>607</v>
      </c>
      <c r="B609" s="13" t="str">
        <f>'Raw Data'!C609</f>
        <v xml:space="preserve"> Curiosity </v>
      </c>
      <c r="C609" s="13" t="str">
        <f t="shared" si="81"/>
        <v>Curiosity</v>
      </c>
      <c r="D609" s="13" t="str">
        <f t="shared" si="82"/>
        <v xml:space="preserve"> Curiosity </v>
      </c>
      <c r="E609" s="13" t="str">
        <f t="shared" si="83"/>
        <v>Curiosity</v>
      </c>
      <c r="F609" s="13" t="str">
        <f t="shared" si="84"/>
        <v>CURIOSITY</v>
      </c>
      <c r="G609" s="13" t="str">
        <f t="shared" si="85"/>
        <v>curiosity</v>
      </c>
      <c r="H609" s="13" t="str">
        <f t="shared" si="86"/>
        <v>Curiosity</v>
      </c>
      <c r="I609" s="13">
        <f t="shared" si="87"/>
        <v>11</v>
      </c>
      <c r="J609" s="13">
        <f t="shared" si="88"/>
        <v>9</v>
      </c>
      <c r="K609" s="13">
        <f t="shared" si="89"/>
        <v>2</v>
      </c>
    </row>
    <row r="610" spans="1:11" x14ac:dyDescent="0.25">
      <c r="A610" s="13">
        <f>'Raw Data'!A610</f>
        <v>608</v>
      </c>
      <c r="B610" s="13" t="str">
        <f>'Raw Data'!C610</f>
        <v xml:space="preserve"> Joy </v>
      </c>
      <c r="C610" s="13" t="str">
        <f t="shared" si="81"/>
        <v>Joy</v>
      </c>
      <c r="D610" s="13" t="str">
        <f t="shared" si="82"/>
        <v xml:space="preserve"> Joy </v>
      </c>
      <c r="E610" s="13" t="str">
        <f t="shared" si="83"/>
        <v>Joy</v>
      </c>
      <c r="F610" s="13" t="str">
        <f t="shared" si="84"/>
        <v>JOY</v>
      </c>
      <c r="G610" s="13" t="str">
        <f t="shared" si="85"/>
        <v>joy</v>
      </c>
      <c r="H610" s="13" t="str">
        <f t="shared" si="86"/>
        <v>Joy</v>
      </c>
      <c r="I610" s="13">
        <f t="shared" si="87"/>
        <v>5</v>
      </c>
      <c r="J610" s="13">
        <f t="shared" si="88"/>
        <v>3</v>
      </c>
      <c r="K610" s="13">
        <f t="shared" si="89"/>
        <v>2</v>
      </c>
    </row>
    <row r="611" spans="1:11" x14ac:dyDescent="0.25">
      <c r="A611" s="13">
        <f>'Raw Data'!A611</f>
        <v>609</v>
      </c>
      <c r="B611" s="13" t="str">
        <f>'Raw Data'!C611</f>
        <v xml:space="preserve"> Joy </v>
      </c>
      <c r="C611" s="13" t="str">
        <f t="shared" si="81"/>
        <v>Joy</v>
      </c>
      <c r="D611" s="13" t="str">
        <f t="shared" si="82"/>
        <v xml:space="preserve"> Joy </v>
      </c>
      <c r="E611" s="13" t="str">
        <f t="shared" si="83"/>
        <v>Joy</v>
      </c>
      <c r="F611" s="13" t="str">
        <f t="shared" si="84"/>
        <v>JOY</v>
      </c>
      <c r="G611" s="13" t="str">
        <f t="shared" si="85"/>
        <v>joy</v>
      </c>
      <c r="H611" s="13" t="str">
        <f t="shared" si="86"/>
        <v>Joy</v>
      </c>
      <c r="I611" s="13">
        <f t="shared" si="87"/>
        <v>5</v>
      </c>
      <c r="J611" s="13">
        <f t="shared" si="88"/>
        <v>3</v>
      </c>
      <c r="K611" s="13">
        <f t="shared" si="89"/>
        <v>2</v>
      </c>
    </row>
    <row r="612" spans="1:11" x14ac:dyDescent="0.25">
      <c r="A612" s="13">
        <f>'Raw Data'!A612</f>
        <v>610</v>
      </c>
      <c r="B612" s="13" t="str">
        <f>'Raw Data'!C612</f>
        <v xml:space="preserve"> Contentment </v>
      </c>
      <c r="C612" s="13" t="str">
        <f t="shared" si="81"/>
        <v>Contentment</v>
      </c>
      <c r="D612" s="13" t="str">
        <f t="shared" si="82"/>
        <v xml:space="preserve"> Contentment </v>
      </c>
      <c r="E612" s="13" t="str">
        <f t="shared" si="83"/>
        <v>Contentment</v>
      </c>
      <c r="F612" s="13" t="str">
        <f t="shared" si="84"/>
        <v>CONTENTMENT</v>
      </c>
      <c r="G612" s="13" t="str">
        <f t="shared" si="85"/>
        <v>contentment</v>
      </c>
      <c r="H612" s="13" t="str">
        <f t="shared" si="86"/>
        <v>Contentment</v>
      </c>
      <c r="I612" s="13">
        <f t="shared" si="87"/>
        <v>13</v>
      </c>
      <c r="J612" s="13">
        <f t="shared" si="88"/>
        <v>11</v>
      </c>
      <c r="K612" s="13">
        <f t="shared" si="89"/>
        <v>2</v>
      </c>
    </row>
    <row r="613" spans="1:11" x14ac:dyDescent="0.25">
      <c r="A613" s="13">
        <f>'Raw Data'!A613</f>
        <v>611</v>
      </c>
      <c r="B613" s="13" t="str">
        <f>'Raw Data'!C613</f>
        <v xml:space="preserve"> Joy </v>
      </c>
      <c r="C613" s="13" t="str">
        <f t="shared" si="81"/>
        <v>Joy</v>
      </c>
      <c r="D613" s="13" t="str">
        <f t="shared" si="82"/>
        <v xml:space="preserve"> Joy </v>
      </c>
      <c r="E613" s="13" t="str">
        <f t="shared" si="83"/>
        <v>Joy</v>
      </c>
      <c r="F613" s="13" t="str">
        <f t="shared" si="84"/>
        <v>JOY</v>
      </c>
      <c r="G613" s="13" t="str">
        <f t="shared" si="85"/>
        <v>joy</v>
      </c>
      <c r="H613" s="13" t="str">
        <f t="shared" si="86"/>
        <v>Joy</v>
      </c>
      <c r="I613" s="13">
        <f t="shared" si="87"/>
        <v>5</v>
      </c>
      <c r="J613" s="13">
        <f t="shared" si="88"/>
        <v>3</v>
      </c>
      <c r="K613" s="13">
        <f t="shared" si="89"/>
        <v>2</v>
      </c>
    </row>
    <row r="614" spans="1:11" x14ac:dyDescent="0.25">
      <c r="A614" s="13">
        <f>'Raw Data'!A614</f>
        <v>612</v>
      </c>
      <c r="B614" s="13" t="str">
        <f>'Raw Data'!C614</f>
        <v xml:space="preserve"> Joy </v>
      </c>
      <c r="C614" s="13" t="str">
        <f t="shared" si="81"/>
        <v>Joy</v>
      </c>
      <c r="D614" s="13" t="str">
        <f t="shared" si="82"/>
        <v xml:space="preserve"> Joy </v>
      </c>
      <c r="E614" s="13" t="str">
        <f t="shared" si="83"/>
        <v>Joy</v>
      </c>
      <c r="F614" s="13" t="str">
        <f t="shared" si="84"/>
        <v>JOY</v>
      </c>
      <c r="G614" s="13" t="str">
        <f t="shared" si="85"/>
        <v>joy</v>
      </c>
      <c r="H614" s="13" t="str">
        <f t="shared" si="86"/>
        <v>Joy</v>
      </c>
      <c r="I614" s="13">
        <f t="shared" si="87"/>
        <v>5</v>
      </c>
      <c r="J614" s="13">
        <f t="shared" si="88"/>
        <v>3</v>
      </c>
      <c r="K614" s="13">
        <f t="shared" si="89"/>
        <v>2</v>
      </c>
    </row>
    <row r="615" spans="1:11" x14ac:dyDescent="0.25">
      <c r="A615" s="13">
        <f>'Raw Data'!A615</f>
        <v>613</v>
      </c>
      <c r="B615" s="13" t="str">
        <f>'Raw Data'!C615</f>
        <v xml:space="preserve"> Contentment </v>
      </c>
      <c r="C615" s="13" t="str">
        <f t="shared" si="81"/>
        <v>Contentment</v>
      </c>
      <c r="D615" s="13" t="str">
        <f t="shared" si="82"/>
        <v xml:space="preserve"> Contentment </v>
      </c>
      <c r="E615" s="13" t="str">
        <f t="shared" si="83"/>
        <v>Contentment</v>
      </c>
      <c r="F615" s="13" t="str">
        <f t="shared" si="84"/>
        <v>CONTENTMENT</v>
      </c>
      <c r="G615" s="13" t="str">
        <f t="shared" si="85"/>
        <v>contentment</v>
      </c>
      <c r="H615" s="13" t="str">
        <f t="shared" si="86"/>
        <v>Contentment</v>
      </c>
      <c r="I615" s="13">
        <f t="shared" si="87"/>
        <v>13</v>
      </c>
      <c r="J615" s="13">
        <f t="shared" si="88"/>
        <v>11</v>
      </c>
      <c r="K615" s="13">
        <f t="shared" si="89"/>
        <v>2</v>
      </c>
    </row>
    <row r="616" spans="1:11" x14ac:dyDescent="0.25">
      <c r="A616" s="13">
        <f>'Raw Data'!A616</f>
        <v>614</v>
      </c>
      <c r="B616" s="13" t="str">
        <f>'Raw Data'!C616</f>
        <v xml:space="preserve"> Contentment </v>
      </c>
      <c r="C616" s="13" t="str">
        <f t="shared" si="81"/>
        <v>Contentment</v>
      </c>
      <c r="D616" s="13" t="str">
        <f t="shared" si="82"/>
        <v xml:space="preserve"> Contentment </v>
      </c>
      <c r="E616" s="13" t="str">
        <f t="shared" si="83"/>
        <v>Contentment</v>
      </c>
      <c r="F616" s="13" t="str">
        <f t="shared" si="84"/>
        <v>CONTENTMENT</v>
      </c>
      <c r="G616" s="13" t="str">
        <f t="shared" si="85"/>
        <v>contentment</v>
      </c>
      <c r="H616" s="13" t="str">
        <f t="shared" si="86"/>
        <v>Contentment</v>
      </c>
      <c r="I616" s="13">
        <f t="shared" si="87"/>
        <v>13</v>
      </c>
      <c r="J616" s="13">
        <f t="shared" si="88"/>
        <v>11</v>
      </c>
      <c r="K616" s="13">
        <f t="shared" si="89"/>
        <v>2</v>
      </c>
    </row>
    <row r="617" spans="1:11" x14ac:dyDescent="0.25">
      <c r="A617" s="13">
        <f>'Raw Data'!A617</f>
        <v>615</v>
      </c>
      <c r="B617" s="13" t="str">
        <f>'Raw Data'!C617</f>
        <v xml:space="preserve"> Contentment </v>
      </c>
      <c r="C617" s="13" t="str">
        <f t="shared" si="81"/>
        <v>Contentment</v>
      </c>
      <c r="D617" s="13" t="str">
        <f t="shared" si="82"/>
        <v xml:space="preserve"> Contentment </v>
      </c>
      <c r="E617" s="13" t="str">
        <f t="shared" si="83"/>
        <v>Contentment</v>
      </c>
      <c r="F617" s="13" t="str">
        <f t="shared" si="84"/>
        <v>CONTENTMENT</v>
      </c>
      <c r="G617" s="13" t="str">
        <f t="shared" si="85"/>
        <v>contentment</v>
      </c>
      <c r="H617" s="13" t="str">
        <f t="shared" si="86"/>
        <v>Contentment</v>
      </c>
      <c r="I617" s="13">
        <f t="shared" si="87"/>
        <v>13</v>
      </c>
      <c r="J617" s="13">
        <f t="shared" si="88"/>
        <v>11</v>
      </c>
      <c r="K617" s="13">
        <f t="shared" si="89"/>
        <v>2</v>
      </c>
    </row>
    <row r="618" spans="1:11" x14ac:dyDescent="0.25">
      <c r="A618" s="13">
        <f>'Raw Data'!A618</f>
        <v>616</v>
      </c>
      <c r="B618" s="13" t="str">
        <f>'Raw Data'!C618</f>
        <v xml:space="preserve"> Joy </v>
      </c>
      <c r="C618" s="13" t="str">
        <f t="shared" si="81"/>
        <v>Joy</v>
      </c>
      <c r="D618" s="13" t="str">
        <f t="shared" si="82"/>
        <v xml:space="preserve"> Joy </v>
      </c>
      <c r="E618" s="13" t="str">
        <f t="shared" si="83"/>
        <v>Joy</v>
      </c>
      <c r="F618" s="13" t="str">
        <f t="shared" si="84"/>
        <v>JOY</v>
      </c>
      <c r="G618" s="13" t="str">
        <f t="shared" si="85"/>
        <v>joy</v>
      </c>
      <c r="H618" s="13" t="str">
        <f t="shared" si="86"/>
        <v>Joy</v>
      </c>
      <c r="I618" s="13">
        <f t="shared" si="87"/>
        <v>5</v>
      </c>
      <c r="J618" s="13">
        <f t="shared" si="88"/>
        <v>3</v>
      </c>
      <c r="K618" s="13">
        <f t="shared" si="89"/>
        <v>2</v>
      </c>
    </row>
    <row r="619" spans="1:11" x14ac:dyDescent="0.25">
      <c r="A619" s="13">
        <f>'Raw Data'!A619</f>
        <v>617</v>
      </c>
      <c r="B619" s="13" t="str">
        <f>'Raw Data'!C619</f>
        <v xml:space="preserve"> Gratitude </v>
      </c>
      <c r="C619" s="13" t="str">
        <f t="shared" si="81"/>
        <v>Gratitude</v>
      </c>
      <c r="D619" s="13" t="str">
        <f t="shared" si="82"/>
        <v xml:space="preserve"> Gratitude </v>
      </c>
      <c r="E619" s="13" t="str">
        <f t="shared" si="83"/>
        <v>Gratitude</v>
      </c>
      <c r="F619" s="13" t="str">
        <f t="shared" si="84"/>
        <v>GRATITUDE</v>
      </c>
      <c r="G619" s="13" t="str">
        <f t="shared" si="85"/>
        <v>gratitude</v>
      </c>
      <c r="H619" s="13" t="str">
        <f t="shared" si="86"/>
        <v>Gratitude</v>
      </c>
      <c r="I619" s="13">
        <f t="shared" si="87"/>
        <v>11</v>
      </c>
      <c r="J619" s="13">
        <f t="shared" si="88"/>
        <v>9</v>
      </c>
      <c r="K619" s="13">
        <f t="shared" si="89"/>
        <v>2</v>
      </c>
    </row>
    <row r="620" spans="1:11" x14ac:dyDescent="0.25">
      <c r="A620" s="13">
        <f>'Raw Data'!A620</f>
        <v>618</v>
      </c>
      <c r="B620" s="13" t="str">
        <f>'Raw Data'!C620</f>
        <v xml:space="preserve"> Curiosity </v>
      </c>
      <c r="C620" s="13" t="str">
        <f t="shared" si="81"/>
        <v>Curiosity</v>
      </c>
      <c r="D620" s="13" t="str">
        <f t="shared" si="82"/>
        <v xml:space="preserve"> Curiosity </v>
      </c>
      <c r="E620" s="13" t="str">
        <f t="shared" si="83"/>
        <v>Curiosity</v>
      </c>
      <c r="F620" s="13" t="str">
        <f t="shared" si="84"/>
        <v>CURIOSITY</v>
      </c>
      <c r="G620" s="13" t="str">
        <f t="shared" si="85"/>
        <v>curiosity</v>
      </c>
      <c r="H620" s="13" t="str">
        <f t="shared" si="86"/>
        <v>Curiosity</v>
      </c>
      <c r="I620" s="13">
        <f t="shared" si="87"/>
        <v>11</v>
      </c>
      <c r="J620" s="13">
        <f t="shared" si="88"/>
        <v>9</v>
      </c>
      <c r="K620" s="13">
        <f t="shared" si="89"/>
        <v>2</v>
      </c>
    </row>
    <row r="621" spans="1:11" x14ac:dyDescent="0.25">
      <c r="A621" s="13">
        <f>'Raw Data'!A621</f>
        <v>619</v>
      </c>
      <c r="B621" s="13" t="str">
        <f>'Raw Data'!C621</f>
        <v xml:space="preserve"> Contentment </v>
      </c>
      <c r="C621" s="13" t="str">
        <f t="shared" si="81"/>
        <v>Contentment</v>
      </c>
      <c r="D621" s="13" t="str">
        <f t="shared" si="82"/>
        <v xml:space="preserve"> Contentment </v>
      </c>
      <c r="E621" s="13" t="str">
        <f t="shared" si="83"/>
        <v>Contentment</v>
      </c>
      <c r="F621" s="13" t="str">
        <f t="shared" si="84"/>
        <v>CONTENTMENT</v>
      </c>
      <c r="G621" s="13" t="str">
        <f t="shared" si="85"/>
        <v>contentment</v>
      </c>
      <c r="H621" s="13" t="str">
        <f t="shared" si="86"/>
        <v>Contentment</v>
      </c>
      <c r="I621" s="13">
        <f t="shared" si="87"/>
        <v>13</v>
      </c>
      <c r="J621" s="13">
        <f t="shared" si="88"/>
        <v>11</v>
      </c>
      <c r="K621" s="13">
        <f t="shared" si="89"/>
        <v>2</v>
      </c>
    </row>
    <row r="622" spans="1:11" x14ac:dyDescent="0.25">
      <c r="A622" s="13">
        <f>'Raw Data'!A622</f>
        <v>620</v>
      </c>
      <c r="B622" s="13" t="str">
        <f>'Raw Data'!C622</f>
        <v xml:space="preserve"> Joy </v>
      </c>
      <c r="C622" s="13" t="str">
        <f t="shared" si="81"/>
        <v>Joy</v>
      </c>
      <c r="D622" s="13" t="str">
        <f t="shared" si="82"/>
        <v xml:space="preserve"> Joy </v>
      </c>
      <c r="E622" s="13" t="str">
        <f t="shared" si="83"/>
        <v>Joy</v>
      </c>
      <c r="F622" s="13" t="str">
        <f t="shared" si="84"/>
        <v>JOY</v>
      </c>
      <c r="G622" s="13" t="str">
        <f t="shared" si="85"/>
        <v>joy</v>
      </c>
      <c r="H622" s="13" t="str">
        <f t="shared" si="86"/>
        <v>Joy</v>
      </c>
      <c r="I622" s="13">
        <f t="shared" si="87"/>
        <v>5</v>
      </c>
      <c r="J622" s="13">
        <f t="shared" si="88"/>
        <v>3</v>
      </c>
      <c r="K622" s="13">
        <f t="shared" si="89"/>
        <v>2</v>
      </c>
    </row>
    <row r="623" spans="1:11" x14ac:dyDescent="0.25">
      <c r="A623" s="13">
        <f>'Raw Data'!A623</f>
        <v>621</v>
      </c>
      <c r="B623" s="13" t="str">
        <f>'Raw Data'!C623</f>
        <v xml:space="preserve"> Joy </v>
      </c>
      <c r="C623" s="13" t="str">
        <f t="shared" si="81"/>
        <v>Joy</v>
      </c>
      <c r="D623" s="13" t="str">
        <f t="shared" si="82"/>
        <v xml:space="preserve"> Joy </v>
      </c>
      <c r="E623" s="13" t="str">
        <f t="shared" si="83"/>
        <v>Joy</v>
      </c>
      <c r="F623" s="13" t="str">
        <f t="shared" si="84"/>
        <v>JOY</v>
      </c>
      <c r="G623" s="13" t="str">
        <f t="shared" si="85"/>
        <v>joy</v>
      </c>
      <c r="H623" s="13" t="str">
        <f t="shared" si="86"/>
        <v>Joy</v>
      </c>
      <c r="I623" s="13">
        <f t="shared" si="87"/>
        <v>5</v>
      </c>
      <c r="J623" s="13">
        <f t="shared" si="88"/>
        <v>3</v>
      </c>
      <c r="K623" s="13">
        <f t="shared" si="89"/>
        <v>2</v>
      </c>
    </row>
    <row r="624" spans="1:11" x14ac:dyDescent="0.25">
      <c r="A624" s="13">
        <f>'Raw Data'!A624</f>
        <v>622</v>
      </c>
      <c r="B624" s="13" t="str">
        <f>'Raw Data'!C624</f>
        <v xml:space="preserve"> Gratitude </v>
      </c>
      <c r="C624" s="13" t="str">
        <f t="shared" si="81"/>
        <v>Gratitude</v>
      </c>
      <c r="D624" s="13" t="str">
        <f t="shared" si="82"/>
        <v xml:space="preserve"> Gratitude </v>
      </c>
      <c r="E624" s="13" t="str">
        <f t="shared" si="83"/>
        <v>Gratitude</v>
      </c>
      <c r="F624" s="13" t="str">
        <f t="shared" si="84"/>
        <v>GRATITUDE</v>
      </c>
      <c r="G624" s="13" t="str">
        <f t="shared" si="85"/>
        <v>gratitude</v>
      </c>
      <c r="H624" s="13" t="str">
        <f t="shared" si="86"/>
        <v>Gratitude</v>
      </c>
      <c r="I624" s="13">
        <f t="shared" si="87"/>
        <v>11</v>
      </c>
      <c r="J624" s="13">
        <f t="shared" si="88"/>
        <v>9</v>
      </c>
      <c r="K624" s="13">
        <f t="shared" si="89"/>
        <v>2</v>
      </c>
    </row>
    <row r="625" spans="1:11" x14ac:dyDescent="0.25">
      <c r="A625" s="13">
        <f>'Raw Data'!A625</f>
        <v>623</v>
      </c>
      <c r="B625" s="13" t="str">
        <f>'Raw Data'!C625</f>
        <v xml:space="preserve"> Excitement </v>
      </c>
      <c r="C625" s="13" t="str">
        <f t="shared" si="81"/>
        <v>Excitement</v>
      </c>
      <c r="D625" s="13" t="str">
        <f t="shared" si="82"/>
        <v xml:space="preserve"> Excitement </v>
      </c>
      <c r="E625" s="13" t="str">
        <f t="shared" si="83"/>
        <v>Excitement</v>
      </c>
      <c r="F625" s="13" t="str">
        <f t="shared" si="84"/>
        <v>EXCITEMENT</v>
      </c>
      <c r="G625" s="13" t="str">
        <f t="shared" si="85"/>
        <v>excitement</v>
      </c>
      <c r="H625" s="13" t="str">
        <f t="shared" si="86"/>
        <v>Excitement</v>
      </c>
      <c r="I625" s="13">
        <f t="shared" si="87"/>
        <v>12</v>
      </c>
      <c r="J625" s="13">
        <f t="shared" si="88"/>
        <v>10</v>
      </c>
      <c r="K625" s="13">
        <f t="shared" si="89"/>
        <v>2</v>
      </c>
    </row>
    <row r="626" spans="1:11" x14ac:dyDescent="0.25">
      <c r="A626" s="13">
        <f>'Raw Data'!A626</f>
        <v>624</v>
      </c>
      <c r="B626" s="13" t="str">
        <f>'Raw Data'!C626</f>
        <v xml:space="preserve"> Joy </v>
      </c>
      <c r="C626" s="13" t="str">
        <f t="shared" si="81"/>
        <v>Joy</v>
      </c>
      <c r="D626" s="13" t="str">
        <f t="shared" si="82"/>
        <v xml:space="preserve"> Joy </v>
      </c>
      <c r="E626" s="13" t="str">
        <f t="shared" si="83"/>
        <v>Joy</v>
      </c>
      <c r="F626" s="13" t="str">
        <f t="shared" si="84"/>
        <v>JOY</v>
      </c>
      <c r="G626" s="13" t="str">
        <f t="shared" si="85"/>
        <v>joy</v>
      </c>
      <c r="H626" s="13" t="str">
        <f t="shared" si="86"/>
        <v>Joy</v>
      </c>
      <c r="I626" s="13">
        <f t="shared" si="87"/>
        <v>5</v>
      </c>
      <c r="J626" s="13">
        <f t="shared" si="88"/>
        <v>3</v>
      </c>
      <c r="K626" s="13">
        <f t="shared" si="89"/>
        <v>2</v>
      </c>
    </row>
    <row r="627" spans="1:11" x14ac:dyDescent="0.25">
      <c r="A627" s="13">
        <f>'Raw Data'!A627</f>
        <v>625</v>
      </c>
      <c r="B627" s="13" t="str">
        <f>'Raw Data'!C627</f>
        <v xml:space="preserve"> Joy </v>
      </c>
      <c r="C627" s="13" t="str">
        <f t="shared" si="81"/>
        <v>Joy</v>
      </c>
      <c r="D627" s="13" t="str">
        <f t="shared" si="82"/>
        <v xml:space="preserve"> Joy </v>
      </c>
      <c r="E627" s="13" t="str">
        <f t="shared" si="83"/>
        <v>Joy</v>
      </c>
      <c r="F627" s="13" t="str">
        <f t="shared" si="84"/>
        <v>JOY</v>
      </c>
      <c r="G627" s="13" t="str">
        <f t="shared" si="85"/>
        <v>joy</v>
      </c>
      <c r="H627" s="13" t="str">
        <f t="shared" si="86"/>
        <v>Joy</v>
      </c>
      <c r="I627" s="13">
        <f t="shared" si="87"/>
        <v>5</v>
      </c>
      <c r="J627" s="13">
        <f t="shared" si="88"/>
        <v>3</v>
      </c>
      <c r="K627" s="13">
        <f t="shared" si="89"/>
        <v>2</v>
      </c>
    </row>
    <row r="628" spans="1:11" x14ac:dyDescent="0.25">
      <c r="A628" s="13">
        <f>'Raw Data'!A628</f>
        <v>626</v>
      </c>
      <c r="B628" s="13" t="str">
        <f>'Raw Data'!C628</f>
        <v xml:space="preserve"> Contentment </v>
      </c>
      <c r="C628" s="13" t="str">
        <f t="shared" si="81"/>
        <v>Contentment</v>
      </c>
      <c r="D628" s="13" t="str">
        <f t="shared" si="82"/>
        <v xml:space="preserve"> Contentment </v>
      </c>
      <c r="E628" s="13" t="str">
        <f t="shared" si="83"/>
        <v>Contentment</v>
      </c>
      <c r="F628" s="13" t="str">
        <f t="shared" si="84"/>
        <v>CONTENTMENT</v>
      </c>
      <c r="G628" s="13" t="str">
        <f t="shared" si="85"/>
        <v>contentment</v>
      </c>
      <c r="H628" s="13" t="str">
        <f t="shared" si="86"/>
        <v>Contentment</v>
      </c>
      <c r="I628" s="13">
        <f t="shared" si="87"/>
        <v>13</v>
      </c>
      <c r="J628" s="13">
        <f t="shared" si="88"/>
        <v>11</v>
      </c>
      <c r="K628" s="13">
        <f t="shared" si="89"/>
        <v>2</v>
      </c>
    </row>
    <row r="629" spans="1:11" x14ac:dyDescent="0.25">
      <c r="A629" s="13">
        <f>'Raw Data'!A629</f>
        <v>627</v>
      </c>
      <c r="B629" s="13" t="str">
        <f>'Raw Data'!C629</f>
        <v xml:space="preserve"> Joy </v>
      </c>
      <c r="C629" s="13" t="str">
        <f t="shared" si="81"/>
        <v>Joy</v>
      </c>
      <c r="D629" s="13" t="str">
        <f t="shared" si="82"/>
        <v xml:space="preserve"> Joy </v>
      </c>
      <c r="E629" s="13" t="str">
        <f t="shared" si="83"/>
        <v>Joy</v>
      </c>
      <c r="F629" s="13" t="str">
        <f t="shared" si="84"/>
        <v>JOY</v>
      </c>
      <c r="G629" s="13" t="str">
        <f t="shared" si="85"/>
        <v>joy</v>
      </c>
      <c r="H629" s="13" t="str">
        <f t="shared" si="86"/>
        <v>Joy</v>
      </c>
      <c r="I629" s="13">
        <f t="shared" si="87"/>
        <v>5</v>
      </c>
      <c r="J629" s="13">
        <f t="shared" si="88"/>
        <v>3</v>
      </c>
      <c r="K629" s="13">
        <f t="shared" si="89"/>
        <v>2</v>
      </c>
    </row>
    <row r="630" spans="1:11" x14ac:dyDescent="0.25">
      <c r="A630" s="13">
        <f>'Raw Data'!A630</f>
        <v>628</v>
      </c>
      <c r="B630" s="13" t="str">
        <f>'Raw Data'!C630</f>
        <v xml:space="preserve"> Joy </v>
      </c>
      <c r="C630" s="13" t="str">
        <f t="shared" si="81"/>
        <v>Joy</v>
      </c>
      <c r="D630" s="13" t="str">
        <f t="shared" si="82"/>
        <v xml:space="preserve"> Joy </v>
      </c>
      <c r="E630" s="13" t="str">
        <f t="shared" si="83"/>
        <v>Joy</v>
      </c>
      <c r="F630" s="13" t="str">
        <f t="shared" si="84"/>
        <v>JOY</v>
      </c>
      <c r="G630" s="13" t="str">
        <f t="shared" si="85"/>
        <v>joy</v>
      </c>
      <c r="H630" s="13" t="str">
        <f t="shared" si="86"/>
        <v>Joy</v>
      </c>
      <c r="I630" s="13">
        <f t="shared" si="87"/>
        <v>5</v>
      </c>
      <c r="J630" s="13">
        <f t="shared" si="88"/>
        <v>3</v>
      </c>
      <c r="K630" s="13">
        <f t="shared" si="89"/>
        <v>2</v>
      </c>
    </row>
    <row r="631" spans="1:11" x14ac:dyDescent="0.25">
      <c r="A631" s="13">
        <f>'Raw Data'!A631</f>
        <v>629</v>
      </c>
      <c r="B631" s="13" t="str">
        <f>'Raw Data'!C631</f>
        <v xml:space="preserve"> Joy </v>
      </c>
      <c r="C631" s="13" t="str">
        <f t="shared" si="81"/>
        <v>Joy</v>
      </c>
      <c r="D631" s="13" t="str">
        <f t="shared" si="82"/>
        <v xml:space="preserve"> Joy </v>
      </c>
      <c r="E631" s="13" t="str">
        <f t="shared" si="83"/>
        <v>Joy</v>
      </c>
      <c r="F631" s="13" t="str">
        <f t="shared" si="84"/>
        <v>JOY</v>
      </c>
      <c r="G631" s="13" t="str">
        <f t="shared" si="85"/>
        <v>joy</v>
      </c>
      <c r="H631" s="13" t="str">
        <f t="shared" si="86"/>
        <v>Joy</v>
      </c>
      <c r="I631" s="13">
        <f t="shared" si="87"/>
        <v>5</v>
      </c>
      <c r="J631" s="13">
        <f t="shared" si="88"/>
        <v>3</v>
      </c>
      <c r="K631" s="13">
        <f t="shared" si="89"/>
        <v>2</v>
      </c>
    </row>
    <row r="632" spans="1:11" x14ac:dyDescent="0.25">
      <c r="A632" s="13">
        <f>'Raw Data'!A632</f>
        <v>630</v>
      </c>
      <c r="B632" s="13" t="str">
        <f>'Raw Data'!C632</f>
        <v xml:space="preserve"> Contentment </v>
      </c>
      <c r="C632" s="13" t="str">
        <f t="shared" si="81"/>
        <v>Contentment</v>
      </c>
      <c r="D632" s="13" t="str">
        <f t="shared" si="82"/>
        <v xml:space="preserve"> Contentment </v>
      </c>
      <c r="E632" s="13" t="str">
        <f t="shared" si="83"/>
        <v>Contentment</v>
      </c>
      <c r="F632" s="13" t="str">
        <f t="shared" si="84"/>
        <v>CONTENTMENT</v>
      </c>
      <c r="G632" s="13" t="str">
        <f t="shared" si="85"/>
        <v>contentment</v>
      </c>
      <c r="H632" s="13" t="str">
        <f t="shared" si="86"/>
        <v>Contentment</v>
      </c>
      <c r="I632" s="13">
        <f t="shared" si="87"/>
        <v>13</v>
      </c>
      <c r="J632" s="13">
        <f t="shared" si="88"/>
        <v>11</v>
      </c>
      <c r="K632" s="13">
        <f t="shared" si="89"/>
        <v>2</v>
      </c>
    </row>
    <row r="633" spans="1:11" x14ac:dyDescent="0.25">
      <c r="A633" s="13">
        <f>'Raw Data'!A633</f>
        <v>631</v>
      </c>
      <c r="B633" s="13" t="str">
        <f>'Raw Data'!C633</f>
        <v xml:space="preserve"> Joy </v>
      </c>
      <c r="C633" s="13" t="str">
        <f t="shared" si="81"/>
        <v>Joy</v>
      </c>
      <c r="D633" s="13" t="str">
        <f t="shared" si="82"/>
        <v xml:space="preserve"> Joy </v>
      </c>
      <c r="E633" s="13" t="str">
        <f t="shared" si="83"/>
        <v>Joy</v>
      </c>
      <c r="F633" s="13" t="str">
        <f t="shared" si="84"/>
        <v>JOY</v>
      </c>
      <c r="G633" s="13" t="str">
        <f t="shared" si="85"/>
        <v>joy</v>
      </c>
      <c r="H633" s="13" t="str">
        <f t="shared" si="86"/>
        <v>Joy</v>
      </c>
      <c r="I633" s="13">
        <f t="shared" si="87"/>
        <v>5</v>
      </c>
      <c r="J633" s="13">
        <f t="shared" si="88"/>
        <v>3</v>
      </c>
      <c r="K633" s="13">
        <f t="shared" si="89"/>
        <v>2</v>
      </c>
    </row>
    <row r="634" spans="1:11" x14ac:dyDescent="0.25">
      <c r="A634" s="13">
        <f>'Raw Data'!A634</f>
        <v>632</v>
      </c>
      <c r="B634" s="13" t="str">
        <f>'Raw Data'!C634</f>
        <v xml:space="preserve"> Excitement </v>
      </c>
      <c r="C634" s="13" t="str">
        <f t="shared" si="81"/>
        <v>Excitement</v>
      </c>
      <c r="D634" s="13" t="str">
        <f t="shared" si="82"/>
        <v xml:space="preserve"> Excitement </v>
      </c>
      <c r="E634" s="13" t="str">
        <f t="shared" si="83"/>
        <v>Excitement</v>
      </c>
      <c r="F634" s="13" t="str">
        <f t="shared" si="84"/>
        <v>EXCITEMENT</v>
      </c>
      <c r="G634" s="13" t="str">
        <f t="shared" si="85"/>
        <v>excitement</v>
      </c>
      <c r="H634" s="13" t="str">
        <f t="shared" si="86"/>
        <v>Excitement</v>
      </c>
      <c r="I634" s="13">
        <f t="shared" si="87"/>
        <v>12</v>
      </c>
      <c r="J634" s="13">
        <f t="shared" si="88"/>
        <v>10</v>
      </c>
      <c r="K634" s="13">
        <f t="shared" si="89"/>
        <v>2</v>
      </c>
    </row>
    <row r="635" spans="1:11" x14ac:dyDescent="0.25">
      <c r="A635" s="13">
        <f>'Raw Data'!A635</f>
        <v>633</v>
      </c>
      <c r="B635" s="13" t="str">
        <f>'Raw Data'!C635</f>
        <v xml:space="preserve"> Gratitude </v>
      </c>
      <c r="C635" s="13" t="str">
        <f t="shared" si="81"/>
        <v>Gratitude</v>
      </c>
      <c r="D635" s="13" t="str">
        <f t="shared" si="82"/>
        <v xml:space="preserve"> Gratitude </v>
      </c>
      <c r="E635" s="13" t="str">
        <f t="shared" si="83"/>
        <v>Gratitude</v>
      </c>
      <c r="F635" s="13" t="str">
        <f t="shared" si="84"/>
        <v>GRATITUDE</v>
      </c>
      <c r="G635" s="13" t="str">
        <f t="shared" si="85"/>
        <v>gratitude</v>
      </c>
      <c r="H635" s="13" t="str">
        <f t="shared" si="86"/>
        <v>Gratitude</v>
      </c>
      <c r="I635" s="13">
        <f t="shared" si="87"/>
        <v>11</v>
      </c>
      <c r="J635" s="13">
        <f t="shared" si="88"/>
        <v>9</v>
      </c>
      <c r="K635" s="13">
        <f t="shared" si="89"/>
        <v>2</v>
      </c>
    </row>
    <row r="636" spans="1:11" x14ac:dyDescent="0.25">
      <c r="A636" s="13">
        <f>'Raw Data'!A636</f>
        <v>634</v>
      </c>
      <c r="B636" s="13" t="str">
        <f>'Raw Data'!C636</f>
        <v xml:space="preserve"> Excitement </v>
      </c>
      <c r="C636" s="13" t="str">
        <f t="shared" si="81"/>
        <v>Excitement</v>
      </c>
      <c r="D636" s="13" t="str">
        <f t="shared" si="82"/>
        <v xml:space="preserve"> Excitement </v>
      </c>
      <c r="E636" s="13" t="str">
        <f t="shared" si="83"/>
        <v>Excitement</v>
      </c>
      <c r="F636" s="13" t="str">
        <f t="shared" si="84"/>
        <v>EXCITEMENT</v>
      </c>
      <c r="G636" s="13" t="str">
        <f t="shared" si="85"/>
        <v>excitement</v>
      </c>
      <c r="H636" s="13" t="str">
        <f t="shared" si="86"/>
        <v>Excitement</v>
      </c>
      <c r="I636" s="13">
        <f t="shared" si="87"/>
        <v>12</v>
      </c>
      <c r="J636" s="13">
        <f t="shared" si="88"/>
        <v>10</v>
      </c>
      <c r="K636" s="13">
        <f t="shared" si="89"/>
        <v>2</v>
      </c>
    </row>
    <row r="637" spans="1:11" x14ac:dyDescent="0.25">
      <c r="A637" s="13">
        <f>'Raw Data'!A637</f>
        <v>635</v>
      </c>
      <c r="B637" s="13" t="str">
        <f>'Raw Data'!C637</f>
        <v xml:space="preserve"> Joy </v>
      </c>
      <c r="C637" s="13" t="str">
        <f t="shared" si="81"/>
        <v>Joy</v>
      </c>
      <c r="D637" s="13" t="str">
        <f t="shared" si="82"/>
        <v xml:space="preserve"> Joy </v>
      </c>
      <c r="E637" s="13" t="str">
        <f t="shared" si="83"/>
        <v>Joy</v>
      </c>
      <c r="F637" s="13" t="str">
        <f t="shared" si="84"/>
        <v>JOY</v>
      </c>
      <c r="G637" s="13" t="str">
        <f t="shared" si="85"/>
        <v>joy</v>
      </c>
      <c r="H637" s="13" t="str">
        <f t="shared" si="86"/>
        <v>Joy</v>
      </c>
      <c r="I637" s="13">
        <f t="shared" si="87"/>
        <v>5</v>
      </c>
      <c r="J637" s="13">
        <f t="shared" si="88"/>
        <v>3</v>
      </c>
      <c r="K637" s="13">
        <f t="shared" si="89"/>
        <v>2</v>
      </c>
    </row>
    <row r="638" spans="1:11" x14ac:dyDescent="0.25">
      <c r="A638" s="13">
        <f>'Raw Data'!A638</f>
        <v>636</v>
      </c>
      <c r="B638" s="13" t="str">
        <f>'Raw Data'!C638</f>
        <v xml:space="preserve"> Joy </v>
      </c>
      <c r="C638" s="13" t="str">
        <f t="shared" si="81"/>
        <v>Joy</v>
      </c>
      <c r="D638" s="13" t="str">
        <f t="shared" si="82"/>
        <v xml:space="preserve"> Joy </v>
      </c>
      <c r="E638" s="13" t="str">
        <f t="shared" si="83"/>
        <v>Joy</v>
      </c>
      <c r="F638" s="13" t="str">
        <f t="shared" si="84"/>
        <v>JOY</v>
      </c>
      <c r="G638" s="13" t="str">
        <f t="shared" si="85"/>
        <v>joy</v>
      </c>
      <c r="H638" s="13" t="str">
        <f t="shared" si="86"/>
        <v>Joy</v>
      </c>
      <c r="I638" s="13">
        <f t="shared" si="87"/>
        <v>5</v>
      </c>
      <c r="J638" s="13">
        <f t="shared" si="88"/>
        <v>3</v>
      </c>
      <c r="K638" s="13">
        <f t="shared" si="89"/>
        <v>2</v>
      </c>
    </row>
    <row r="639" spans="1:11" x14ac:dyDescent="0.25">
      <c r="A639" s="13">
        <f>'Raw Data'!A639</f>
        <v>637</v>
      </c>
      <c r="B639" s="13" t="str">
        <f>'Raw Data'!C639</f>
        <v xml:space="preserve"> Joy </v>
      </c>
      <c r="C639" s="13" t="str">
        <f t="shared" si="81"/>
        <v>Joy</v>
      </c>
      <c r="D639" s="13" t="str">
        <f t="shared" si="82"/>
        <v xml:space="preserve"> Joy </v>
      </c>
      <c r="E639" s="13" t="str">
        <f t="shared" si="83"/>
        <v>Joy</v>
      </c>
      <c r="F639" s="13" t="str">
        <f t="shared" si="84"/>
        <v>JOY</v>
      </c>
      <c r="G639" s="13" t="str">
        <f t="shared" si="85"/>
        <v>joy</v>
      </c>
      <c r="H639" s="13" t="str">
        <f t="shared" si="86"/>
        <v>Joy</v>
      </c>
      <c r="I639" s="13">
        <f t="shared" si="87"/>
        <v>5</v>
      </c>
      <c r="J639" s="13">
        <f t="shared" si="88"/>
        <v>3</v>
      </c>
      <c r="K639" s="13">
        <f t="shared" si="89"/>
        <v>2</v>
      </c>
    </row>
    <row r="640" spans="1:11" x14ac:dyDescent="0.25">
      <c r="A640" s="13">
        <f>'Raw Data'!A640</f>
        <v>638</v>
      </c>
      <c r="B640" s="13" t="str">
        <f>'Raw Data'!C640</f>
        <v xml:space="preserve"> Gratitude </v>
      </c>
      <c r="C640" s="13" t="str">
        <f t="shared" si="81"/>
        <v>Gratitude</v>
      </c>
      <c r="D640" s="13" t="str">
        <f t="shared" si="82"/>
        <v xml:space="preserve"> Gratitude </v>
      </c>
      <c r="E640" s="13" t="str">
        <f t="shared" si="83"/>
        <v>Gratitude</v>
      </c>
      <c r="F640" s="13" t="str">
        <f t="shared" si="84"/>
        <v>GRATITUDE</v>
      </c>
      <c r="G640" s="13" t="str">
        <f t="shared" si="85"/>
        <v>gratitude</v>
      </c>
      <c r="H640" s="13" t="str">
        <f t="shared" si="86"/>
        <v>Gratitude</v>
      </c>
      <c r="I640" s="13">
        <f t="shared" si="87"/>
        <v>11</v>
      </c>
      <c r="J640" s="13">
        <f t="shared" si="88"/>
        <v>9</v>
      </c>
      <c r="K640" s="13">
        <f t="shared" si="89"/>
        <v>2</v>
      </c>
    </row>
    <row r="641" spans="1:11" x14ac:dyDescent="0.25">
      <c r="A641" s="13">
        <f>'Raw Data'!A641</f>
        <v>639</v>
      </c>
      <c r="B641" s="13" t="str">
        <f>'Raw Data'!C641</f>
        <v xml:space="preserve"> Curiosity </v>
      </c>
      <c r="C641" s="13" t="str">
        <f t="shared" si="81"/>
        <v>Curiosity</v>
      </c>
      <c r="D641" s="13" t="str">
        <f t="shared" si="82"/>
        <v xml:space="preserve"> Curiosity </v>
      </c>
      <c r="E641" s="13" t="str">
        <f t="shared" si="83"/>
        <v>Curiosity</v>
      </c>
      <c r="F641" s="13" t="str">
        <f t="shared" si="84"/>
        <v>CURIOSITY</v>
      </c>
      <c r="G641" s="13" t="str">
        <f t="shared" si="85"/>
        <v>curiosity</v>
      </c>
      <c r="H641" s="13" t="str">
        <f t="shared" si="86"/>
        <v>Curiosity</v>
      </c>
      <c r="I641" s="13">
        <f t="shared" si="87"/>
        <v>11</v>
      </c>
      <c r="J641" s="13">
        <f t="shared" si="88"/>
        <v>9</v>
      </c>
      <c r="K641" s="13">
        <f t="shared" si="89"/>
        <v>2</v>
      </c>
    </row>
    <row r="642" spans="1:11" x14ac:dyDescent="0.25">
      <c r="A642" s="13">
        <f>'Raw Data'!A642</f>
        <v>640</v>
      </c>
      <c r="B642" s="13" t="str">
        <f>'Raw Data'!C642</f>
        <v xml:space="preserve"> Joy </v>
      </c>
      <c r="C642" s="13" t="str">
        <f t="shared" si="81"/>
        <v>Joy</v>
      </c>
      <c r="D642" s="13" t="str">
        <f t="shared" si="82"/>
        <v xml:space="preserve"> Joy </v>
      </c>
      <c r="E642" s="13" t="str">
        <f t="shared" si="83"/>
        <v>Joy</v>
      </c>
      <c r="F642" s="13" t="str">
        <f t="shared" si="84"/>
        <v>JOY</v>
      </c>
      <c r="G642" s="13" t="str">
        <f t="shared" si="85"/>
        <v>joy</v>
      </c>
      <c r="H642" s="13" t="str">
        <f t="shared" si="86"/>
        <v>Joy</v>
      </c>
      <c r="I642" s="13">
        <f t="shared" si="87"/>
        <v>5</v>
      </c>
      <c r="J642" s="13">
        <f t="shared" si="88"/>
        <v>3</v>
      </c>
      <c r="K642" s="13">
        <f t="shared" si="89"/>
        <v>2</v>
      </c>
    </row>
    <row r="643" spans="1:11" x14ac:dyDescent="0.25">
      <c r="A643" s="13">
        <f>'Raw Data'!A643</f>
        <v>641</v>
      </c>
      <c r="B643" s="13" t="str">
        <f>'Raw Data'!C643</f>
        <v xml:space="preserve"> Gratitude </v>
      </c>
      <c r="C643" s="13" t="str">
        <f t="shared" si="81"/>
        <v>Gratitude</v>
      </c>
      <c r="D643" s="13" t="str">
        <f t="shared" si="82"/>
        <v xml:space="preserve"> Gratitude </v>
      </c>
      <c r="E643" s="13" t="str">
        <f t="shared" si="83"/>
        <v>Gratitude</v>
      </c>
      <c r="F643" s="13" t="str">
        <f t="shared" si="84"/>
        <v>GRATITUDE</v>
      </c>
      <c r="G643" s="13" t="str">
        <f t="shared" si="85"/>
        <v>gratitude</v>
      </c>
      <c r="H643" s="13" t="str">
        <f t="shared" si="86"/>
        <v>Gratitude</v>
      </c>
      <c r="I643" s="13">
        <f t="shared" si="87"/>
        <v>11</v>
      </c>
      <c r="J643" s="13">
        <f t="shared" si="88"/>
        <v>9</v>
      </c>
      <c r="K643" s="13">
        <f t="shared" si="89"/>
        <v>2</v>
      </c>
    </row>
    <row r="644" spans="1:11" x14ac:dyDescent="0.25">
      <c r="A644" s="13">
        <f>'Raw Data'!A644</f>
        <v>642</v>
      </c>
      <c r="B644" s="13" t="str">
        <f>'Raw Data'!C644</f>
        <v xml:space="preserve"> Excitement </v>
      </c>
      <c r="C644" s="13" t="str">
        <f t="shared" ref="C644:C707" si="90">TRIM(B644)</f>
        <v>Excitement</v>
      </c>
      <c r="D644" s="13" t="str">
        <f t="shared" ref="D644:D707" si="91">CLEAN(B644)</f>
        <v xml:space="preserve"> Excitement </v>
      </c>
      <c r="E644" s="13" t="str">
        <f t="shared" ref="E644:E707" si="92">SUBSTITUTE(SUBSTITUTE(SUBSTITUTE(TRIM(B644),"Positive","Pos"),"Negative","Neg"),"Neutral","Neu")</f>
        <v>Excitement</v>
      </c>
      <c r="F644" s="13" t="str">
        <f t="shared" ref="F644:F707" si="93">UPPER(TRIM(B644))</f>
        <v>EXCITEMENT</v>
      </c>
      <c r="G644" s="13" t="str">
        <f t="shared" ref="G644:G707" si="94">LOWER(TRIM(B644))</f>
        <v>excitement</v>
      </c>
      <c r="H644" s="13" t="str">
        <f t="shared" ref="H644:H707" si="95">PROPER(TRIM(B644))</f>
        <v>Excitement</v>
      </c>
      <c r="I644" s="13">
        <f t="shared" ref="I644:I707" si="96">LEN(B644)</f>
        <v>12</v>
      </c>
      <c r="J644" s="13">
        <f t="shared" ref="J644:J707" si="97">LEN(TRIM(B644))</f>
        <v>10</v>
      </c>
      <c r="K644" s="13">
        <f t="shared" ref="K644:K707" si="98">I644-J644</f>
        <v>2</v>
      </c>
    </row>
    <row r="645" spans="1:11" x14ac:dyDescent="0.25">
      <c r="A645" s="13">
        <f>'Raw Data'!A645</f>
        <v>643</v>
      </c>
      <c r="B645" s="13" t="str">
        <f>'Raw Data'!C645</f>
        <v xml:space="preserve"> Relief </v>
      </c>
      <c r="C645" s="13" t="str">
        <f t="shared" si="90"/>
        <v>Relief</v>
      </c>
      <c r="D645" s="13" t="str">
        <f t="shared" si="91"/>
        <v xml:space="preserve"> Relief </v>
      </c>
      <c r="E645" s="13" t="str">
        <f t="shared" si="92"/>
        <v>Relief</v>
      </c>
      <c r="F645" s="13" t="str">
        <f t="shared" si="93"/>
        <v>RELIEF</v>
      </c>
      <c r="G645" s="13" t="str">
        <f t="shared" si="94"/>
        <v>relief</v>
      </c>
      <c r="H645" s="13" t="str">
        <f t="shared" si="95"/>
        <v>Relief</v>
      </c>
      <c r="I645" s="13">
        <f t="shared" si="96"/>
        <v>8</v>
      </c>
      <c r="J645" s="13">
        <f t="shared" si="97"/>
        <v>6</v>
      </c>
      <c r="K645" s="13">
        <f t="shared" si="98"/>
        <v>2</v>
      </c>
    </row>
    <row r="646" spans="1:11" x14ac:dyDescent="0.25">
      <c r="A646" s="13">
        <f>'Raw Data'!A646</f>
        <v>644</v>
      </c>
      <c r="B646" s="13" t="str">
        <f>'Raw Data'!C646</f>
        <v xml:space="preserve"> Excitement </v>
      </c>
      <c r="C646" s="13" t="str">
        <f t="shared" si="90"/>
        <v>Excitement</v>
      </c>
      <c r="D646" s="13" t="str">
        <f t="shared" si="91"/>
        <v xml:space="preserve"> Excitement </v>
      </c>
      <c r="E646" s="13" t="str">
        <f t="shared" si="92"/>
        <v>Excitement</v>
      </c>
      <c r="F646" s="13" t="str">
        <f t="shared" si="93"/>
        <v>EXCITEMENT</v>
      </c>
      <c r="G646" s="13" t="str">
        <f t="shared" si="94"/>
        <v>excitement</v>
      </c>
      <c r="H646" s="13" t="str">
        <f t="shared" si="95"/>
        <v>Excitement</v>
      </c>
      <c r="I646" s="13">
        <f t="shared" si="96"/>
        <v>12</v>
      </c>
      <c r="J646" s="13">
        <f t="shared" si="97"/>
        <v>10</v>
      </c>
      <c r="K646" s="13">
        <f t="shared" si="98"/>
        <v>2</v>
      </c>
    </row>
    <row r="647" spans="1:11" x14ac:dyDescent="0.25">
      <c r="A647" s="13">
        <f>'Raw Data'!A647</f>
        <v>645</v>
      </c>
      <c r="B647" s="13" t="str">
        <f>'Raw Data'!C647</f>
        <v xml:space="preserve"> Excitement </v>
      </c>
      <c r="C647" s="13" t="str">
        <f t="shared" si="90"/>
        <v>Excitement</v>
      </c>
      <c r="D647" s="13" t="str">
        <f t="shared" si="91"/>
        <v xml:space="preserve"> Excitement </v>
      </c>
      <c r="E647" s="13" t="str">
        <f t="shared" si="92"/>
        <v>Excitement</v>
      </c>
      <c r="F647" s="13" t="str">
        <f t="shared" si="93"/>
        <v>EXCITEMENT</v>
      </c>
      <c r="G647" s="13" t="str">
        <f t="shared" si="94"/>
        <v>excitement</v>
      </c>
      <c r="H647" s="13" t="str">
        <f t="shared" si="95"/>
        <v>Excitement</v>
      </c>
      <c r="I647" s="13">
        <f t="shared" si="96"/>
        <v>12</v>
      </c>
      <c r="J647" s="13">
        <f t="shared" si="97"/>
        <v>10</v>
      </c>
      <c r="K647" s="13">
        <f t="shared" si="98"/>
        <v>2</v>
      </c>
    </row>
    <row r="648" spans="1:11" x14ac:dyDescent="0.25">
      <c r="A648" s="13">
        <f>'Raw Data'!A648</f>
        <v>646</v>
      </c>
      <c r="B648" s="13" t="str">
        <f>'Raw Data'!C648</f>
        <v xml:space="preserve"> Joy </v>
      </c>
      <c r="C648" s="13" t="str">
        <f t="shared" si="90"/>
        <v>Joy</v>
      </c>
      <c r="D648" s="13" t="str">
        <f t="shared" si="91"/>
        <v xml:space="preserve"> Joy </v>
      </c>
      <c r="E648" s="13" t="str">
        <f t="shared" si="92"/>
        <v>Joy</v>
      </c>
      <c r="F648" s="13" t="str">
        <f t="shared" si="93"/>
        <v>JOY</v>
      </c>
      <c r="G648" s="13" t="str">
        <f t="shared" si="94"/>
        <v>joy</v>
      </c>
      <c r="H648" s="13" t="str">
        <f t="shared" si="95"/>
        <v>Joy</v>
      </c>
      <c r="I648" s="13">
        <f t="shared" si="96"/>
        <v>5</v>
      </c>
      <c r="J648" s="13">
        <f t="shared" si="97"/>
        <v>3</v>
      </c>
      <c r="K648" s="13">
        <f t="shared" si="98"/>
        <v>2</v>
      </c>
    </row>
    <row r="649" spans="1:11" x14ac:dyDescent="0.25">
      <c r="A649" s="13">
        <f>'Raw Data'!A649</f>
        <v>647</v>
      </c>
      <c r="B649" s="13" t="str">
        <f>'Raw Data'!C649</f>
        <v xml:space="preserve"> Excitement </v>
      </c>
      <c r="C649" s="13" t="str">
        <f t="shared" si="90"/>
        <v>Excitement</v>
      </c>
      <c r="D649" s="13" t="str">
        <f t="shared" si="91"/>
        <v xml:space="preserve"> Excitement </v>
      </c>
      <c r="E649" s="13" t="str">
        <f t="shared" si="92"/>
        <v>Excitement</v>
      </c>
      <c r="F649" s="13" t="str">
        <f t="shared" si="93"/>
        <v>EXCITEMENT</v>
      </c>
      <c r="G649" s="13" t="str">
        <f t="shared" si="94"/>
        <v>excitement</v>
      </c>
      <c r="H649" s="13" t="str">
        <f t="shared" si="95"/>
        <v>Excitement</v>
      </c>
      <c r="I649" s="13">
        <f t="shared" si="96"/>
        <v>12</v>
      </c>
      <c r="J649" s="13">
        <f t="shared" si="97"/>
        <v>10</v>
      </c>
      <c r="K649" s="13">
        <f t="shared" si="98"/>
        <v>2</v>
      </c>
    </row>
    <row r="650" spans="1:11" x14ac:dyDescent="0.25">
      <c r="A650" s="13">
        <f>'Raw Data'!A650</f>
        <v>648</v>
      </c>
      <c r="B650" s="13" t="str">
        <f>'Raw Data'!C650</f>
        <v xml:space="preserve"> Positive </v>
      </c>
      <c r="C650" s="13" t="str">
        <f t="shared" si="90"/>
        <v>Positive</v>
      </c>
      <c r="D650" s="13" t="str">
        <f t="shared" si="91"/>
        <v xml:space="preserve"> Positive </v>
      </c>
      <c r="E650" s="13" t="str">
        <f t="shared" si="92"/>
        <v>Pos</v>
      </c>
      <c r="F650" s="13" t="str">
        <f t="shared" si="93"/>
        <v>POSITIVE</v>
      </c>
      <c r="G650" s="13" t="str">
        <f t="shared" si="94"/>
        <v>positive</v>
      </c>
      <c r="H650" s="13" t="str">
        <f t="shared" si="95"/>
        <v>Positive</v>
      </c>
      <c r="I650" s="13">
        <f t="shared" si="96"/>
        <v>10</v>
      </c>
      <c r="J650" s="13">
        <f t="shared" si="97"/>
        <v>8</v>
      </c>
      <c r="K650" s="13">
        <f t="shared" si="98"/>
        <v>2</v>
      </c>
    </row>
    <row r="651" spans="1:11" x14ac:dyDescent="0.25">
      <c r="A651" s="13">
        <f>'Raw Data'!A651</f>
        <v>649</v>
      </c>
      <c r="B651" s="13" t="str">
        <f>'Raw Data'!C651</f>
        <v xml:space="preserve"> Embarrassed </v>
      </c>
      <c r="C651" s="13" t="str">
        <f t="shared" si="90"/>
        <v>Embarrassed</v>
      </c>
      <c r="D651" s="13" t="str">
        <f t="shared" si="91"/>
        <v xml:space="preserve"> Embarrassed </v>
      </c>
      <c r="E651" s="13" t="str">
        <f t="shared" si="92"/>
        <v>Embarrassed</v>
      </c>
      <c r="F651" s="13" t="str">
        <f t="shared" si="93"/>
        <v>EMBARRASSED</v>
      </c>
      <c r="G651" s="13" t="str">
        <f t="shared" si="94"/>
        <v>embarrassed</v>
      </c>
      <c r="H651" s="13" t="str">
        <f t="shared" si="95"/>
        <v>Embarrassed</v>
      </c>
      <c r="I651" s="13">
        <f t="shared" si="96"/>
        <v>13</v>
      </c>
      <c r="J651" s="13">
        <f t="shared" si="97"/>
        <v>11</v>
      </c>
      <c r="K651" s="13">
        <f t="shared" si="98"/>
        <v>2</v>
      </c>
    </row>
    <row r="652" spans="1:11" x14ac:dyDescent="0.25">
      <c r="A652" s="13">
        <f>'Raw Data'!A652</f>
        <v>650</v>
      </c>
      <c r="B652" s="13" t="str">
        <f>'Raw Data'!C652</f>
        <v xml:space="preserve"> Excitement </v>
      </c>
      <c r="C652" s="13" t="str">
        <f t="shared" si="90"/>
        <v>Excitement</v>
      </c>
      <c r="D652" s="13" t="str">
        <f t="shared" si="91"/>
        <v xml:space="preserve"> Excitement </v>
      </c>
      <c r="E652" s="13" t="str">
        <f t="shared" si="92"/>
        <v>Excitement</v>
      </c>
      <c r="F652" s="13" t="str">
        <f t="shared" si="93"/>
        <v>EXCITEMENT</v>
      </c>
      <c r="G652" s="13" t="str">
        <f t="shared" si="94"/>
        <v>excitement</v>
      </c>
      <c r="H652" s="13" t="str">
        <f t="shared" si="95"/>
        <v>Excitement</v>
      </c>
      <c r="I652" s="13">
        <f t="shared" si="96"/>
        <v>12</v>
      </c>
      <c r="J652" s="13">
        <f t="shared" si="97"/>
        <v>10</v>
      </c>
      <c r="K652" s="13">
        <f t="shared" si="98"/>
        <v>2</v>
      </c>
    </row>
    <row r="653" spans="1:11" x14ac:dyDescent="0.25">
      <c r="A653" s="13">
        <f>'Raw Data'!A653</f>
        <v>651</v>
      </c>
      <c r="B653" s="13" t="str">
        <f>'Raw Data'!C653</f>
        <v xml:space="preserve"> Joy </v>
      </c>
      <c r="C653" s="13" t="str">
        <f t="shared" si="90"/>
        <v>Joy</v>
      </c>
      <c r="D653" s="13" t="str">
        <f t="shared" si="91"/>
        <v xml:space="preserve"> Joy </v>
      </c>
      <c r="E653" s="13" t="str">
        <f t="shared" si="92"/>
        <v>Joy</v>
      </c>
      <c r="F653" s="13" t="str">
        <f t="shared" si="93"/>
        <v>JOY</v>
      </c>
      <c r="G653" s="13" t="str">
        <f t="shared" si="94"/>
        <v>joy</v>
      </c>
      <c r="H653" s="13" t="str">
        <f t="shared" si="95"/>
        <v>Joy</v>
      </c>
      <c r="I653" s="13">
        <f t="shared" si="96"/>
        <v>5</v>
      </c>
      <c r="J653" s="13">
        <f t="shared" si="97"/>
        <v>3</v>
      </c>
      <c r="K653" s="13">
        <f t="shared" si="98"/>
        <v>2</v>
      </c>
    </row>
    <row r="654" spans="1:11" x14ac:dyDescent="0.25">
      <c r="A654" s="13">
        <f>'Raw Data'!A654</f>
        <v>652</v>
      </c>
      <c r="B654" s="13" t="str">
        <f>'Raw Data'!C654</f>
        <v xml:space="preserve"> Joy </v>
      </c>
      <c r="C654" s="13" t="str">
        <f t="shared" si="90"/>
        <v>Joy</v>
      </c>
      <c r="D654" s="13" t="str">
        <f t="shared" si="91"/>
        <v xml:space="preserve"> Joy </v>
      </c>
      <c r="E654" s="13" t="str">
        <f t="shared" si="92"/>
        <v>Joy</v>
      </c>
      <c r="F654" s="13" t="str">
        <f t="shared" si="93"/>
        <v>JOY</v>
      </c>
      <c r="G654" s="13" t="str">
        <f t="shared" si="94"/>
        <v>joy</v>
      </c>
      <c r="H654" s="13" t="str">
        <f t="shared" si="95"/>
        <v>Joy</v>
      </c>
      <c r="I654" s="13">
        <f t="shared" si="96"/>
        <v>5</v>
      </c>
      <c r="J654" s="13">
        <f t="shared" si="97"/>
        <v>3</v>
      </c>
      <c r="K654" s="13">
        <f t="shared" si="98"/>
        <v>2</v>
      </c>
    </row>
    <row r="655" spans="1:11" x14ac:dyDescent="0.25">
      <c r="A655" s="13">
        <f>'Raw Data'!A655</f>
        <v>653</v>
      </c>
      <c r="B655" s="13" t="str">
        <f>'Raw Data'!C655</f>
        <v xml:space="preserve"> Joy </v>
      </c>
      <c r="C655" s="13" t="str">
        <f t="shared" si="90"/>
        <v>Joy</v>
      </c>
      <c r="D655" s="13" t="str">
        <f t="shared" si="91"/>
        <v xml:space="preserve"> Joy </v>
      </c>
      <c r="E655" s="13" t="str">
        <f t="shared" si="92"/>
        <v>Joy</v>
      </c>
      <c r="F655" s="13" t="str">
        <f t="shared" si="93"/>
        <v>JOY</v>
      </c>
      <c r="G655" s="13" t="str">
        <f t="shared" si="94"/>
        <v>joy</v>
      </c>
      <c r="H655" s="13" t="str">
        <f t="shared" si="95"/>
        <v>Joy</v>
      </c>
      <c r="I655" s="13">
        <f t="shared" si="96"/>
        <v>5</v>
      </c>
      <c r="J655" s="13">
        <f t="shared" si="97"/>
        <v>3</v>
      </c>
      <c r="K655" s="13">
        <f t="shared" si="98"/>
        <v>2</v>
      </c>
    </row>
    <row r="656" spans="1:11" x14ac:dyDescent="0.25">
      <c r="A656" s="13">
        <f>'Raw Data'!A656</f>
        <v>654</v>
      </c>
      <c r="B656" s="13" t="str">
        <f>'Raw Data'!C656</f>
        <v xml:space="preserve"> Excitement </v>
      </c>
      <c r="C656" s="13" t="str">
        <f t="shared" si="90"/>
        <v>Excitement</v>
      </c>
      <c r="D656" s="13" t="str">
        <f t="shared" si="91"/>
        <v xml:space="preserve"> Excitement </v>
      </c>
      <c r="E656" s="13" t="str">
        <f t="shared" si="92"/>
        <v>Excitement</v>
      </c>
      <c r="F656" s="13" t="str">
        <f t="shared" si="93"/>
        <v>EXCITEMENT</v>
      </c>
      <c r="G656" s="13" t="str">
        <f t="shared" si="94"/>
        <v>excitement</v>
      </c>
      <c r="H656" s="13" t="str">
        <f t="shared" si="95"/>
        <v>Excitement</v>
      </c>
      <c r="I656" s="13">
        <f t="shared" si="96"/>
        <v>12</v>
      </c>
      <c r="J656" s="13">
        <f t="shared" si="97"/>
        <v>10</v>
      </c>
      <c r="K656" s="13">
        <f t="shared" si="98"/>
        <v>2</v>
      </c>
    </row>
    <row r="657" spans="1:11" x14ac:dyDescent="0.25">
      <c r="A657" s="13">
        <f>'Raw Data'!A657</f>
        <v>655</v>
      </c>
      <c r="B657" s="13" t="str">
        <f>'Raw Data'!C657</f>
        <v xml:space="preserve"> Excitement </v>
      </c>
      <c r="C657" s="13" t="str">
        <f t="shared" si="90"/>
        <v>Excitement</v>
      </c>
      <c r="D657" s="13" t="str">
        <f t="shared" si="91"/>
        <v xml:space="preserve"> Excitement </v>
      </c>
      <c r="E657" s="13" t="str">
        <f t="shared" si="92"/>
        <v>Excitement</v>
      </c>
      <c r="F657" s="13" t="str">
        <f t="shared" si="93"/>
        <v>EXCITEMENT</v>
      </c>
      <c r="G657" s="13" t="str">
        <f t="shared" si="94"/>
        <v>excitement</v>
      </c>
      <c r="H657" s="13" t="str">
        <f t="shared" si="95"/>
        <v>Excitement</v>
      </c>
      <c r="I657" s="13">
        <f t="shared" si="96"/>
        <v>12</v>
      </c>
      <c r="J657" s="13">
        <f t="shared" si="97"/>
        <v>10</v>
      </c>
      <c r="K657" s="13">
        <f t="shared" si="98"/>
        <v>2</v>
      </c>
    </row>
    <row r="658" spans="1:11" x14ac:dyDescent="0.25">
      <c r="A658" s="13">
        <f>'Raw Data'!A658</f>
        <v>656</v>
      </c>
      <c r="B658" s="13" t="str">
        <f>'Raw Data'!C658</f>
        <v xml:space="preserve"> Joy </v>
      </c>
      <c r="C658" s="13" t="str">
        <f t="shared" si="90"/>
        <v>Joy</v>
      </c>
      <c r="D658" s="13" t="str">
        <f t="shared" si="91"/>
        <v xml:space="preserve"> Joy </v>
      </c>
      <c r="E658" s="13" t="str">
        <f t="shared" si="92"/>
        <v>Joy</v>
      </c>
      <c r="F658" s="13" t="str">
        <f t="shared" si="93"/>
        <v>JOY</v>
      </c>
      <c r="G658" s="13" t="str">
        <f t="shared" si="94"/>
        <v>joy</v>
      </c>
      <c r="H658" s="13" t="str">
        <f t="shared" si="95"/>
        <v>Joy</v>
      </c>
      <c r="I658" s="13">
        <f t="shared" si="96"/>
        <v>5</v>
      </c>
      <c r="J658" s="13">
        <f t="shared" si="97"/>
        <v>3</v>
      </c>
      <c r="K658" s="13">
        <f t="shared" si="98"/>
        <v>2</v>
      </c>
    </row>
    <row r="659" spans="1:11" x14ac:dyDescent="0.25">
      <c r="A659" s="13">
        <f>'Raw Data'!A659</f>
        <v>657</v>
      </c>
      <c r="B659" s="13" t="str">
        <f>'Raw Data'!C659</f>
        <v xml:space="preserve"> Excitement </v>
      </c>
      <c r="C659" s="13" t="str">
        <f t="shared" si="90"/>
        <v>Excitement</v>
      </c>
      <c r="D659" s="13" t="str">
        <f t="shared" si="91"/>
        <v xml:space="preserve"> Excitement </v>
      </c>
      <c r="E659" s="13" t="str">
        <f t="shared" si="92"/>
        <v>Excitement</v>
      </c>
      <c r="F659" s="13" t="str">
        <f t="shared" si="93"/>
        <v>EXCITEMENT</v>
      </c>
      <c r="G659" s="13" t="str">
        <f t="shared" si="94"/>
        <v>excitement</v>
      </c>
      <c r="H659" s="13" t="str">
        <f t="shared" si="95"/>
        <v>Excitement</v>
      </c>
      <c r="I659" s="13">
        <f t="shared" si="96"/>
        <v>12</v>
      </c>
      <c r="J659" s="13">
        <f t="shared" si="97"/>
        <v>10</v>
      </c>
      <c r="K659" s="13">
        <f t="shared" si="98"/>
        <v>2</v>
      </c>
    </row>
    <row r="660" spans="1:11" x14ac:dyDescent="0.25">
      <c r="A660" s="13">
        <f>'Raw Data'!A660</f>
        <v>658</v>
      </c>
      <c r="B660" s="13" t="str">
        <f>'Raw Data'!C660</f>
        <v xml:space="preserve"> Mischievous </v>
      </c>
      <c r="C660" s="13" t="str">
        <f t="shared" si="90"/>
        <v>Mischievous</v>
      </c>
      <c r="D660" s="13" t="str">
        <f t="shared" si="91"/>
        <v xml:space="preserve"> Mischievous </v>
      </c>
      <c r="E660" s="13" t="str">
        <f t="shared" si="92"/>
        <v>Mischievous</v>
      </c>
      <c r="F660" s="13" t="str">
        <f t="shared" si="93"/>
        <v>MISCHIEVOUS</v>
      </c>
      <c r="G660" s="13" t="str">
        <f t="shared" si="94"/>
        <v>mischievous</v>
      </c>
      <c r="H660" s="13" t="str">
        <f t="shared" si="95"/>
        <v>Mischievous</v>
      </c>
      <c r="I660" s="13">
        <f t="shared" si="96"/>
        <v>13</v>
      </c>
      <c r="J660" s="13">
        <f t="shared" si="97"/>
        <v>11</v>
      </c>
      <c r="K660" s="13">
        <f t="shared" si="98"/>
        <v>2</v>
      </c>
    </row>
    <row r="661" spans="1:11" x14ac:dyDescent="0.25">
      <c r="A661" s="13">
        <f>'Raw Data'!A661</f>
        <v>659</v>
      </c>
      <c r="B661" s="13" t="str">
        <f>'Raw Data'!C661</f>
        <v xml:space="preserve"> Excitement </v>
      </c>
      <c r="C661" s="13" t="str">
        <f t="shared" si="90"/>
        <v>Excitement</v>
      </c>
      <c r="D661" s="13" t="str">
        <f t="shared" si="91"/>
        <v xml:space="preserve"> Excitement </v>
      </c>
      <c r="E661" s="13" t="str">
        <f t="shared" si="92"/>
        <v>Excitement</v>
      </c>
      <c r="F661" s="13" t="str">
        <f t="shared" si="93"/>
        <v>EXCITEMENT</v>
      </c>
      <c r="G661" s="13" t="str">
        <f t="shared" si="94"/>
        <v>excitement</v>
      </c>
      <c r="H661" s="13" t="str">
        <f t="shared" si="95"/>
        <v>Excitement</v>
      </c>
      <c r="I661" s="13">
        <f t="shared" si="96"/>
        <v>12</v>
      </c>
      <c r="J661" s="13">
        <f t="shared" si="97"/>
        <v>10</v>
      </c>
      <c r="K661" s="13">
        <f t="shared" si="98"/>
        <v>2</v>
      </c>
    </row>
    <row r="662" spans="1:11" x14ac:dyDescent="0.25">
      <c r="A662" s="13">
        <f>'Raw Data'!A662</f>
        <v>660</v>
      </c>
      <c r="B662" s="13" t="str">
        <f>'Raw Data'!C662</f>
        <v xml:space="preserve"> Embarrassed </v>
      </c>
      <c r="C662" s="13" t="str">
        <f t="shared" si="90"/>
        <v>Embarrassed</v>
      </c>
      <c r="D662" s="13" t="str">
        <f t="shared" si="91"/>
        <v xml:space="preserve"> Embarrassed </v>
      </c>
      <c r="E662" s="13" t="str">
        <f t="shared" si="92"/>
        <v>Embarrassed</v>
      </c>
      <c r="F662" s="13" t="str">
        <f t="shared" si="93"/>
        <v>EMBARRASSED</v>
      </c>
      <c r="G662" s="13" t="str">
        <f t="shared" si="94"/>
        <v>embarrassed</v>
      </c>
      <c r="H662" s="13" t="str">
        <f t="shared" si="95"/>
        <v>Embarrassed</v>
      </c>
      <c r="I662" s="13">
        <f t="shared" si="96"/>
        <v>13</v>
      </c>
      <c r="J662" s="13">
        <f t="shared" si="97"/>
        <v>11</v>
      </c>
      <c r="K662" s="13">
        <f t="shared" si="98"/>
        <v>2</v>
      </c>
    </row>
    <row r="663" spans="1:11" x14ac:dyDescent="0.25">
      <c r="A663" s="13">
        <f>'Raw Data'!A663</f>
        <v>661</v>
      </c>
      <c r="B663" s="13" t="str">
        <f>'Raw Data'!C663</f>
        <v xml:space="preserve"> Embarrassed </v>
      </c>
      <c r="C663" s="13" t="str">
        <f t="shared" si="90"/>
        <v>Embarrassed</v>
      </c>
      <c r="D663" s="13" t="str">
        <f t="shared" si="91"/>
        <v xml:space="preserve"> Embarrassed </v>
      </c>
      <c r="E663" s="13" t="str">
        <f t="shared" si="92"/>
        <v>Embarrassed</v>
      </c>
      <c r="F663" s="13" t="str">
        <f t="shared" si="93"/>
        <v>EMBARRASSED</v>
      </c>
      <c r="G663" s="13" t="str">
        <f t="shared" si="94"/>
        <v>embarrassed</v>
      </c>
      <c r="H663" s="13" t="str">
        <f t="shared" si="95"/>
        <v>Embarrassed</v>
      </c>
      <c r="I663" s="13">
        <f t="shared" si="96"/>
        <v>13</v>
      </c>
      <c r="J663" s="13">
        <f t="shared" si="97"/>
        <v>11</v>
      </c>
      <c r="K663" s="13">
        <f t="shared" si="98"/>
        <v>2</v>
      </c>
    </row>
    <row r="664" spans="1:11" x14ac:dyDescent="0.25">
      <c r="A664" s="13">
        <f>'Raw Data'!A664</f>
        <v>662</v>
      </c>
      <c r="B664" s="13" t="str">
        <f>'Raw Data'!C664</f>
        <v xml:space="preserve"> Embarrassed </v>
      </c>
      <c r="C664" s="13" t="str">
        <f t="shared" si="90"/>
        <v>Embarrassed</v>
      </c>
      <c r="D664" s="13" t="str">
        <f t="shared" si="91"/>
        <v xml:space="preserve"> Embarrassed </v>
      </c>
      <c r="E664" s="13" t="str">
        <f t="shared" si="92"/>
        <v>Embarrassed</v>
      </c>
      <c r="F664" s="13" t="str">
        <f t="shared" si="93"/>
        <v>EMBARRASSED</v>
      </c>
      <c r="G664" s="13" t="str">
        <f t="shared" si="94"/>
        <v>embarrassed</v>
      </c>
      <c r="H664" s="13" t="str">
        <f t="shared" si="95"/>
        <v>Embarrassed</v>
      </c>
      <c r="I664" s="13">
        <f t="shared" si="96"/>
        <v>13</v>
      </c>
      <c r="J664" s="13">
        <f t="shared" si="97"/>
        <v>11</v>
      </c>
      <c r="K664" s="13">
        <f t="shared" si="98"/>
        <v>2</v>
      </c>
    </row>
    <row r="665" spans="1:11" x14ac:dyDescent="0.25">
      <c r="A665" s="13">
        <f>'Raw Data'!A665</f>
        <v>663</v>
      </c>
      <c r="B665" s="13" t="str">
        <f>'Raw Data'!C665</f>
        <v xml:space="preserve"> Joy </v>
      </c>
      <c r="C665" s="13" t="str">
        <f t="shared" si="90"/>
        <v>Joy</v>
      </c>
      <c r="D665" s="13" t="str">
        <f t="shared" si="91"/>
        <v xml:space="preserve"> Joy </v>
      </c>
      <c r="E665" s="13" t="str">
        <f t="shared" si="92"/>
        <v>Joy</v>
      </c>
      <c r="F665" s="13" t="str">
        <f t="shared" si="93"/>
        <v>JOY</v>
      </c>
      <c r="G665" s="13" t="str">
        <f t="shared" si="94"/>
        <v>joy</v>
      </c>
      <c r="H665" s="13" t="str">
        <f t="shared" si="95"/>
        <v>Joy</v>
      </c>
      <c r="I665" s="13">
        <f t="shared" si="96"/>
        <v>5</v>
      </c>
      <c r="J665" s="13">
        <f t="shared" si="97"/>
        <v>3</v>
      </c>
      <c r="K665" s="13">
        <f t="shared" si="98"/>
        <v>2</v>
      </c>
    </row>
    <row r="666" spans="1:11" x14ac:dyDescent="0.25">
      <c r="A666" s="13">
        <f>'Raw Data'!A666</f>
        <v>664</v>
      </c>
      <c r="B666" s="13" t="str">
        <f>'Raw Data'!C666</f>
        <v xml:space="preserve"> Excitement </v>
      </c>
      <c r="C666" s="13" t="str">
        <f t="shared" si="90"/>
        <v>Excitement</v>
      </c>
      <c r="D666" s="13" t="str">
        <f t="shared" si="91"/>
        <v xml:space="preserve"> Excitement </v>
      </c>
      <c r="E666" s="13" t="str">
        <f t="shared" si="92"/>
        <v>Excitement</v>
      </c>
      <c r="F666" s="13" t="str">
        <f t="shared" si="93"/>
        <v>EXCITEMENT</v>
      </c>
      <c r="G666" s="13" t="str">
        <f t="shared" si="94"/>
        <v>excitement</v>
      </c>
      <c r="H666" s="13" t="str">
        <f t="shared" si="95"/>
        <v>Excitement</v>
      </c>
      <c r="I666" s="13">
        <f t="shared" si="96"/>
        <v>12</v>
      </c>
      <c r="J666" s="13">
        <f t="shared" si="97"/>
        <v>10</v>
      </c>
      <c r="K666" s="13">
        <f t="shared" si="98"/>
        <v>2</v>
      </c>
    </row>
    <row r="667" spans="1:11" x14ac:dyDescent="0.25">
      <c r="A667" s="13">
        <f>'Raw Data'!A667</f>
        <v>665</v>
      </c>
      <c r="B667" s="13" t="str">
        <f>'Raw Data'!C667</f>
        <v xml:space="preserve"> Mischievous </v>
      </c>
      <c r="C667" s="13" t="str">
        <f t="shared" si="90"/>
        <v>Mischievous</v>
      </c>
      <c r="D667" s="13" t="str">
        <f t="shared" si="91"/>
        <v xml:space="preserve"> Mischievous </v>
      </c>
      <c r="E667" s="13" t="str">
        <f t="shared" si="92"/>
        <v>Mischievous</v>
      </c>
      <c r="F667" s="13" t="str">
        <f t="shared" si="93"/>
        <v>MISCHIEVOUS</v>
      </c>
      <c r="G667" s="13" t="str">
        <f t="shared" si="94"/>
        <v>mischievous</v>
      </c>
      <c r="H667" s="13" t="str">
        <f t="shared" si="95"/>
        <v>Mischievous</v>
      </c>
      <c r="I667" s="13">
        <f t="shared" si="96"/>
        <v>13</v>
      </c>
      <c r="J667" s="13">
        <f t="shared" si="97"/>
        <v>11</v>
      </c>
      <c r="K667" s="13">
        <f t="shared" si="98"/>
        <v>2</v>
      </c>
    </row>
    <row r="668" spans="1:11" x14ac:dyDescent="0.25">
      <c r="A668" s="13">
        <f>'Raw Data'!A668</f>
        <v>666</v>
      </c>
      <c r="B668" s="13" t="str">
        <f>'Raw Data'!C668</f>
        <v xml:space="preserve"> Excitement </v>
      </c>
      <c r="C668" s="13" t="str">
        <f t="shared" si="90"/>
        <v>Excitement</v>
      </c>
      <c r="D668" s="13" t="str">
        <f t="shared" si="91"/>
        <v xml:space="preserve"> Excitement </v>
      </c>
      <c r="E668" s="13" t="str">
        <f t="shared" si="92"/>
        <v>Excitement</v>
      </c>
      <c r="F668" s="13" t="str">
        <f t="shared" si="93"/>
        <v>EXCITEMENT</v>
      </c>
      <c r="G668" s="13" t="str">
        <f t="shared" si="94"/>
        <v>excitement</v>
      </c>
      <c r="H668" s="13" t="str">
        <f t="shared" si="95"/>
        <v>Excitement</v>
      </c>
      <c r="I668" s="13">
        <f t="shared" si="96"/>
        <v>12</v>
      </c>
      <c r="J668" s="13">
        <f t="shared" si="97"/>
        <v>10</v>
      </c>
      <c r="K668" s="13">
        <f t="shared" si="98"/>
        <v>2</v>
      </c>
    </row>
    <row r="669" spans="1:11" x14ac:dyDescent="0.25">
      <c r="A669" s="13">
        <f>'Raw Data'!A669</f>
        <v>667</v>
      </c>
      <c r="B669" s="13" t="str">
        <f>'Raw Data'!C669</f>
        <v xml:space="preserve"> Joy </v>
      </c>
      <c r="C669" s="13" t="str">
        <f t="shared" si="90"/>
        <v>Joy</v>
      </c>
      <c r="D669" s="13" t="str">
        <f t="shared" si="91"/>
        <v xml:space="preserve"> Joy </v>
      </c>
      <c r="E669" s="13" t="str">
        <f t="shared" si="92"/>
        <v>Joy</v>
      </c>
      <c r="F669" s="13" t="str">
        <f t="shared" si="93"/>
        <v>JOY</v>
      </c>
      <c r="G669" s="13" t="str">
        <f t="shared" si="94"/>
        <v>joy</v>
      </c>
      <c r="H669" s="13" t="str">
        <f t="shared" si="95"/>
        <v>Joy</v>
      </c>
      <c r="I669" s="13">
        <f t="shared" si="96"/>
        <v>5</v>
      </c>
      <c r="J669" s="13">
        <f t="shared" si="97"/>
        <v>3</v>
      </c>
      <c r="K669" s="13">
        <f t="shared" si="98"/>
        <v>2</v>
      </c>
    </row>
    <row r="670" spans="1:11" x14ac:dyDescent="0.25">
      <c r="A670" s="13">
        <f>'Raw Data'!A670</f>
        <v>668</v>
      </c>
      <c r="B670" s="13" t="str">
        <f>'Raw Data'!C670</f>
        <v xml:space="preserve"> Embarrassed </v>
      </c>
      <c r="C670" s="13" t="str">
        <f t="shared" si="90"/>
        <v>Embarrassed</v>
      </c>
      <c r="D670" s="13" t="str">
        <f t="shared" si="91"/>
        <v xml:space="preserve"> Embarrassed </v>
      </c>
      <c r="E670" s="13" t="str">
        <f t="shared" si="92"/>
        <v>Embarrassed</v>
      </c>
      <c r="F670" s="13" t="str">
        <f t="shared" si="93"/>
        <v>EMBARRASSED</v>
      </c>
      <c r="G670" s="13" t="str">
        <f t="shared" si="94"/>
        <v>embarrassed</v>
      </c>
      <c r="H670" s="13" t="str">
        <f t="shared" si="95"/>
        <v>Embarrassed</v>
      </c>
      <c r="I670" s="13">
        <f t="shared" si="96"/>
        <v>13</v>
      </c>
      <c r="J670" s="13">
        <f t="shared" si="97"/>
        <v>11</v>
      </c>
      <c r="K670" s="13">
        <f t="shared" si="98"/>
        <v>2</v>
      </c>
    </row>
    <row r="671" spans="1:11" x14ac:dyDescent="0.25">
      <c r="A671" s="13">
        <f>'Raw Data'!A671</f>
        <v>669</v>
      </c>
      <c r="B671" s="13" t="str">
        <f>'Raw Data'!C671</f>
        <v xml:space="preserve"> Embarrassed </v>
      </c>
      <c r="C671" s="13" t="str">
        <f t="shared" si="90"/>
        <v>Embarrassed</v>
      </c>
      <c r="D671" s="13" t="str">
        <f t="shared" si="91"/>
        <v xml:space="preserve"> Embarrassed </v>
      </c>
      <c r="E671" s="13" t="str">
        <f t="shared" si="92"/>
        <v>Embarrassed</v>
      </c>
      <c r="F671" s="13" t="str">
        <f t="shared" si="93"/>
        <v>EMBARRASSED</v>
      </c>
      <c r="G671" s="13" t="str">
        <f t="shared" si="94"/>
        <v>embarrassed</v>
      </c>
      <c r="H671" s="13" t="str">
        <f t="shared" si="95"/>
        <v>Embarrassed</v>
      </c>
      <c r="I671" s="13">
        <f t="shared" si="96"/>
        <v>13</v>
      </c>
      <c r="J671" s="13">
        <f t="shared" si="97"/>
        <v>11</v>
      </c>
      <c r="K671" s="13">
        <f t="shared" si="98"/>
        <v>2</v>
      </c>
    </row>
    <row r="672" spans="1:11" x14ac:dyDescent="0.25">
      <c r="A672" s="13">
        <f>'Raw Data'!A672</f>
        <v>670</v>
      </c>
      <c r="B672" s="13" t="str">
        <f>'Raw Data'!C672</f>
        <v xml:space="preserve"> Joy </v>
      </c>
      <c r="C672" s="13" t="str">
        <f t="shared" si="90"/>
        <v>Joy</v>
      </c>
      <c r="D672" s="13" t="str">
        <f t="shared" si="91"/>
        <v xml:space="preserve"> Joy </v>
      </c>
      <c r="E672" s="13" t="str">
        <f t="shared" si="92"/>
        <v>Joy</v>
      </c>
      <c r="F672" s="13" t="str">
        <f t="shared" si="93"/>
        <v>JOY</v>
      </c>
      <c r="G672" s="13" t="str">
        <f t="shared" si="94"/>
        <v>joy</v>
      </c>
      <c r="H672" s="13" t="str">
        <f t="shared" si="95"/>
        <v>Joy</v>
      </c>
      <c r="I672" s="13">
        <f t="shared" si="96"/>
        <v>5</v>
      </c>
      <c r="J672" s="13">
        <f t="shared" si="97"/>
        <v>3</v>
      </c>
      <c r="K672" s="13">
        <f t="shared" si="98"/>
        <v>2</v>
      </c>
    </row>
    <row r="673" spans="1:11" x14ac:dyDescent="0.25">
      <c r="A673" s="13">
        <f>'Raw Data'!A673</f>
        <v>671</v>
      </c>
      <c r="B673" s="13" t="str">
        <f>'Raw Data'!C673</f>
        <v xml:space="preserve"> Excitement </v>
      </c>
      <c r="C673" s="13" t="str">
        <f t="shared" si="90"/>
        <v>Excitement</v>
      </c>
      <c r="D673" s="13" t="str">
        <f t="shared" si="91"/>
        <v xml:space="preserve"> Excitement </v>
      </c>
      <c r="E673" s="13" t="str">
        <f t="shared" si="92"/>
        <v>Excitement</v>
      </c>
      <c r="F673" s="13" t="str">
        <f t="shared" si="93"/>
        <v>EXCITEMENT</v>
      </c>
      <c r="G673" s="13" t="str">
        <f t="shared" si="94"/>
        <v>excitement</v>
      </c>
      <c r="H673" s="13" t="str">
        <f t="shared" si="95"/>
        <v>Excitement</v>
      </c>
      <c r="I673" s="13">
        <f t="shared" si="96"/>
        <v>12</v>
      </c>
      <c r="J673" s="13">
        <f t="shared" si="97"/>
        <v>10</v>
      </c>
      <c r="K673" s="13">
        <f t="shared" si="98"/>
        <v>2</v>
      </c>
    </row>
    <row r="674" spans="1:11" x14ac:dyDescent="0.25">
      <c r="A674" s="13">
        <f>'Raw Data'!A674</f>
        <v>672</v>
      </c>
      <c r="B674" s="13" t="str">
        <f>'Raw Data'!C674</f>
        <v xml:space="preserve"> Joy </v>
      </c>
      <c r="C674" s="13" t="str">
        <f t="shared" si="90"/>
        <v>Joy</v>
      </c>
      <c r="D674" s="13" t="str">
        <f t="shared" si="91"/>
        <v xml:space="preserve"> Joy </v>
      </c>
      <c r="E674" s="13" t="str">
        <f t="shared" si="92"/>
        <v>Joy</v>
      </c>
      <c r="F674" s="13" t="str">
        <f t="shared" si="93"/>
        <v>JOY</v>
      </c>
      <c r="G674" s="13" t="str">
        <f t="shared" si="94"/>
        <v>joy</v>
      </c>
      <c r="H674" s="13" t="str">
        <f t="shared" si="95"/>
        <v>Joy</v>
      </c>
      <c r="I674" s="13">
        <f t="shared" si="96"/>
        <v>5</v>
      </c>
      <c r="J674" s="13">
        <f t="shared" si="97"/>
        <v>3</v>
      </c>
      <c r="K674" s="13">
        <f t="shared" si="98"/>
        <v>2</v>
      </c>
    </row>
    <row r="675" spans="1:11" x14ac:dyDescent="0.25">
      <c r="A675" s="13">
        <f>'Raw Data'!A675</f>
        <v>673</v>
      </c>
      <c r="B675" s="13" t="str">
        <f>'Raw Data'!C675</f>
        <v xml:space="preserve"> Excitement </v>
      </c>
      <c r="C675" s="13" t="str">
        <f t="shared" si="90"/>
        <v>Excitement</v>
      </c>
      <c r="D675" s="13" t="str">
        <f t="shared" si="91"/>
        <v xml:space="preserve"> Excitement </v>
      </c>
      <c r="E675" s="13" t="str">
        <f t="shared" si="92"/>
        <v>Excitement</v>
      </c>
      <c r="F675" s="13" t="str">
        <f t="shared" si="93"/>
        <v>EXCITEMENT</v>
      </c>
      <c r="G675" s="13" t="str">
        <f t="shared" si="94"/>
        <v>excitement</v>
      </c>
      <c r="H675" s="13" t="str">
        <f t="shared" si="95"/>
        <v>Excitement</v>
      </c>
      <c r="I675" s="13">
        <f t="shared" si="96"/>
        <v>12</v>
      </c>
      <c r="J675" s="13">
        <f t="shared" si="97"/>
        <v>10</v>
      </c>
      <c r="K675" s="13">
        <f t="shared" si="98"/>
        <v>2</v>
      </c>
    </row>
    <row r="676" spans="1:11" x14ac:dyDescent="0.25">
      <c r="A676" s="13">
        <f>'Raw Data'!A676</f>
        <v>674</v>
      </c>
      <c r="B676" s="13" t="str">
        <f>'Raw Data'!C676</f>
        <v xml:space="preserve"> Joy </v>
      </c>
      <c r="C676" s="13" t="str">
        <f t="shared" si="90"/>
        <v>Joy</v>
      </c>
      <c r="D676" s="13" t="str">
        <f t="shared" si="91"/>
        <v xml:space="preserve"> Joy </v>
      </c>
      <c r="E676" s="13" t="str">
        <f t="shared" si="92"/>
        <v>Joy</v>
      </c>
      <c r="F676" s="13" t="str">
        <f t="shared" si="93"/>
        <v>JOY</v>
      </c>
      <c r="G676" s="13" t="str">
        <f t="shared" si="94"/>
        <v>joy</v>
      </c>
      <c r="H676" s="13" t="str">
        <f t="shared" si="95"/>
        <v>Joy</v>
      </c>
      <c r="I676" s="13">
        <f t="shared" si="96"/>
        <v>5</v>
      </c>
      <c r="J676" s="13">
        <f t="shared" si="97"/>
        <v>3</v>
      </c>
      <c r="K676" s="13">
        <f t="shared" si="98"/>
        <v>2</v>
      </c>
    </row>
    <row r="677" spans="1:11" x14ac:dyDescent="0.25">
      <c r="A677" s="13">
        <f>'Raw Data'!A677</f>
        <v>675</v>
      </c>
      <c r="B677" s="13" t="str">
        <f>'Raw Data'!C677</f>
        <v xml:space="preserve"> Embarrassed </v>
      </c>
      <c r="C677" s="13" t="str">
        <f t="shared" si="90"/>
        <v>Embarrassed</v>
      </c>
      <c r="D677" s="13" t="str">
        <f t="shared" si="91"/>
        <v xml:space="preserve"> Embarrassed </v>
      </c>
      <c r="E677" s="13" t="str">
        <f t="shared" si="92"/>
        <v>Embarrassed</v>
      </c>
      <c r="F677" s="13" t="str">
        <f t="shared" si="93"/>
        <v>EMBARRASSED</v>
      </c>
      <c r="G677" s="13" t="str">
        <f t="shared" si="94"/>
        <v>embarrassed</v>
      </c>
      <c r="H677" s="13" t="str">
        <f t="shared" si="95"/>
        <v>Embarrassed</v>
      </c>
      <c r="I677" s="13">
        <f t="shared" si="96"/>
        <v>13</v>
      </c>
      <c r="J677" s="13">
        <f t="shared" si="97"/>
        <v>11</v>
      </c>
      <c r="K677" s="13">
        <f t="shared" si="98"/>
        <v>2</v>
      </c>
    </row>
    <row r="678" spans="1:11" x14ac:dyDescent="0.25">
      <c r="A678" s="13">
        <f>'Raw Data'!A678</f>
        <v>676</v>
      </c>
      <c r="B678" s="13" t="str">
        <f>'Raw Data'!C678</f>
        <v xml:space="preserve"> Excitement </v>
      </c>
      <c r="C678" s="13" t="str">
        <f t="shared" si="90"/>
        <v>Excitement</v>
      </c>
      <c r="D678" s="13" t="str">
        <f t="shared" si="91"/>
        <v xml:space="preserve"> Excitement </v>
      </c>
      <c r="E678" s="13" t="str">
        <f t="shared" si="92"/>
        <v>Excitement</v>
      </c>
      <c r="F678" s="13" t="str">
        <f t="shared" si="93"/>
        <v>EXCITEMENT</v>
      </c>
      <c r="G678" s="13" t="str">
        <f t="shared" si="94"/>
        <v>excitement</v>
      </c>
      <c r="H678" s="13" t="str">
        <f t="shared" si="95"/>
        <v>Excitement</v>
      </c>
      <c r="I678" s="13">
        <f t="shared" si="96"/>
        <v>12</v>
      </c>
      <c r="J678" s="13">
        <f t="shared" si="97"/>
        <v>10</v>
      </c>
      <c r="K678" s="13">
        <f t="shared" si="98"/>
        <v>2</v>
      </c>
    </row>
    <row r="679" spans="1:11" x14ac:dyDescent="0.25">
      <c r="A679" s="13">
        <f>'Raw Data'!A679</f>
        <v>677</v>
      </c>
      <c r="B679" s="13" t="str">
        <f>'Raw Data'!C679</f>
        <v xml:space="preserve"> Joy </v>
      </c>
      <c r="C679" s="13" t="str">
        <f t="shared" si="90"/>
        <v>Joy</v>
      </c>
      <c r="D679" s="13" t="str">
        <f t="shared" si="91"/>
        <v xml:space="preserve"> Joy </v>
      </c>
      <c r="E679" s="13" t="str">
        <f t="shared" si="92"/>
        <v>Joy</v>
      </c>
      <c r="F679" s="13" t="str">
        <f t="shared" si="93"/>
        <v>JOY</v>
      </c>
      <c r="G679" s="13" t="str">
        <f t="shared" si="94"/>
        <v>joy</v>
      </c>
      <c r="H679" s="13" t="str">
        <f t="shared" si="95"/>
        <v>Joy</v>
      </c>
      <c r="I679" s="13">
        <f t="shared" si="96"/>
        <v>5</v>
      </c>
      <c r="J679" s="13">
        <f t="shared" si="97"/>
        <v>3</v>
      </c>
      <c r="K679" s="13">
        <f t="shared" si="98"/>
        <v>2</v>
      </c>
    </row>
    <row r="680" spans="1:11" x14ac:dyDescent="0.25">
      <c r="A680" s="13">
        <f>'Raw Data'!A680</f>
        <v>678</v>
      </c>
      <c r="B680" s="13" t="str">
        <f>'Raw Data'!C680</f>
        <v xml:space="preserve"> Excitement </v>
      </c>
      <c r="C680" s="13" t="str">
        <f t="shared" si="90"/>
        <v>Excitement</v>
      </c>
      <c r="D680" s="13" t="str">
        <f t="shared" si="91"/>
        <v xml:space="preserve"> Excitement </v>
      </c>
      <c r="E680" s="13" t="str">
        <f t="shared" si="92"/>
        <v>Excitement</v>
      </c>
      <c r="F680" s="13" t="str">
        <f t="shared" si="93"/>
        <v>EXCITEMENT</v>
      </c>
      <c r="G680" s="13" t="str">
        <f t="shared" si="94"/>
        <v>excitement</v>
      </c>
      <c r="H680" s="13" t="str">
        <f t="shared" si="95"/>
        <v>Excitement</v>
      </c>
      <c r="I680" s="13">
        <f t="shared" si="96"/>
        <v>12</v>
      </c>
      <c r="J680" s="13">
        <f t="shared" si="97"/>
        <v>10</v>
      </c>
      <c r="K680" s="13">
        <f t="shared" si="98"/>
        <v>2</v>
      </c>
    </row>
    <row r="681" spans="1:11" x14ac:dyDescent="0.25">
      <c r="A681" s="13">
        <f>'Raw Data'!A681</f>
        <v>679</v>
      </c>
      <c r="B681" s="13" t="str">
        <f>'Raw Data'!C681</f>
        <v xml:space="preserve"> Joy </v>
      </c>
      <c r="C681" s="13" t="str">
        <f t="shared" si="90"/>
        <v>Joy</v>
      </c>
      <c r="D681" s="13" t="str">
        <f t="shared" si="91"/>
        <v xml:space="preserve"> Joy </v>
      </c>
      <c r="E681" s="13" t="str">
        <f t="shared" si="92"/>
        <v>Joy</v>
      </c>
      <c r="F681" s="13" t="str">
        <f t="shared" si="93"/>
        <v>JOY</v>
      </c>
      <c r="G681" s="13" t="str">
        <f t="shared" si="94"/>
        <v>joy</v>
      </c>
      <c r="H681" s="13" t="str">
        <f t="shared" si="95"/>
        <v>Joy</v>
      </c>
      <c r="I681" s="13">
        <f t="shared" si="96"/>
        <v>5</v>
      </c>
      <c r="J681" s="13">
        <f t="shared" si="97"/>
        <v>3</v>
      </c>
      <c r="K681" s="13">
        <f t="shared" si="98"/>
        <v>2</v>
      </c>
    </row>
    <row r="682" spans="1:11" x14ac:dyDescent="0.25">
      <c r="A682" s="13">
        <f>'Raw Data'!A682</f>
        <v>680</v>
      </c>
      <c r="B682" s="13" t="str">
        <f>'Raw Data'!C682</f>
        <v xml:space="preserve"> Excitement </v>
      </c>
      <c r="C682" s="13" t="str">
        <f t="shared" si="90"/>
        <v>Excitement</v>
      </c>
      <c r="D682" s="13" t="str">
        <f t="shared" si="91"/>
        <v xml:space="preserve"> Excitement </v>
      </c>
      <c r="E682" s="13" t="str">
        <f t="shared" si="92"/>
        <v>Excitement</v>
      </c>
      <c r="F682" s="13" t="str">
        <f t="shared" si="93"/>
        <v>EXCITEMENT</v>
      </c>
      <c r="G682" s="13" t="str">
        <f t="shared" si="94"/>
        <v>excitement</v>
      </c>
      <c r="H682" s="13" t="str">
        <f t="shared" si="95"/>
        <v>Excitement</v>
      </c>
      <c r="I682" s="13">
        <f t="shared" si="96"/>
        <v>12</v>
      </c>
      <c r="J682" s="13">
        <f t="shared" si="97"/>
        <v>10</v>
      </c>
      <c r="K682" s="13">
        <f t="shared" si="98"/>
        <v>2</v>
      </c>
    </row>
    <row r="683" spans="1:11" x14ac:dyDescent="0.25">
      <c r="A683" s="13">
        <f>'Raw Data'!A683</f>
        <v>681</v>
      </c>
      <c r="B683" s="13" t="str">
        <f>'Raw Data'!C683</f>
        <v xml:space="preserve"> Joy </v>
      </c>
      <c r="C683" s="13" t="str">
        <f t="shared" si="90"/>
        <v>Joy</v>
      </c>
      <c r="D683" s="13" t="str">
        <f t="shared" si="91"/>
        <v xml:space="preserve"> Joy </v>
      </c>
      <c r="E683" s="13" t="str">
        <f t="shared" si="92"/>
        <v>Joy</v>
      </c>
      <c r="F683" s="13" t="str">
        <f t="shared" si="93"/>
        <v>JOY</v>
      </c>
      <c r="G683" s="13" t="str">
        <f t="shared" si="94"/>
        <v>joy</v>
      </c>
      <c r="H683" s="13" t="str">
        <f t="shared" si="95"/>
        <v>Joy</v>
      </c>
      <c r="I683" s="13">
        <f t="shared" si="96"/>
        <v>5</v>
      </c>
      <c r="J683" s="13">
        <f t="shared" si="97"/>
        <v>3</v>
      </c>
      <c r="K683" s="13">
        <f t="shared" si="98"/>
        <v>2</v>
      </c>
    </row>
    <row r="684" spans="1:11" x14ac:dyDescent="0.25">
      <c r="A684" s="13">
        <f>'Raw Data'!A684</f>
        <v>682</v>
      </c>
      <c r="B684" s="13" t="str">
        <f>'Raw Data'!C684</f>
        <v xml:space="preserve"> Embarrassed </v>
      </c>
      <c r="C684" s="13" t="str">
        <f t="shared" si="90"/>
        <v>Embarrassed</v>
      </c>
      <c r="D684" s="13" t="str">
        <f t="shared" si="91"/>
        <v xml:space="preserve"> Embarrassed </v>
      </c>
      <c r="E684" s="13" t="str">
        <f t="shared" si="92"/>
        <v>Embarrassed</v>
      </c>
      <c r="F684" s="13" t="str">
        <f t="shared" si="93"/>
        <v>EMBARRASSED</v>
      </c>
      <c r="G684" s="13" t="str">
        <f t="shared" si="94"/>
        <v>embarrassed</v>
      </c>
      <c r="H684" s="13" t="str">
        <f t="shared" si="95"/>
        <v>Embarrassed</v>
      </c>
      <c r="I684" s="13">
        <f t="shared" si="96"/>
        <v>13</v>
      </c>
      <c r="J684" s="13">
        <f t="shared" si="97"/>
        <v>11</v>
      </c>
      <c r="K684" s="13">
        <f t="shared" si="98"/>
        <v>2</v>
      </c>
    </row>
    <row r="685" spans="1:11" x14ac:dyDescent="0.25">
      <c r="A685" s="13">
        <f>'Raw Data'!A685</f>
        <v>683</v>
      </c>
      <c r="B685" s="13" t="str">
        <f>'Raw Data'!C685</f>
        <v xml:space="preserve"> Excitement </v>
      </c>
      <c r="C685" s="13" t="str">
        <f t="shared" si="90"/>
        <v>Excitement</v>
      </c>
      <c r="D685" s="13" t="str">
        <f t="shared" si="91"/>
        <v xml:space="preserve"> Excitement </v>
      </c>
      <c r="E685" s="13" t="str">
        <f t="shared" si="92"/>
        <v>Excitement</v>
      </c>
      <c r="F685" s="13" t="str">
        <f t="shared" si="93"/>
        <v>EXCITEMENT</v>
      </c>
      <c r="G685" s="13" t="str">
        <f t="shared" si="94"/>
        <v>excitement</v>
      </c>
      <c r="H685" s="13" t="str">
        <f t="shared" si="95"/>
        <v>Excitement</v>
      </c>
      <c r="I685" s="13">
        <f t="shared" si="96"/>
        <v>12</v>
      </c>
      <c r="J685" s="13">
        <f t="shared" si="97"/>
        <v>10</v>
      </c>
      <c r="K685" s="13">
        <f t="shared" si="98"/>
        <v>2</v>
      </c>
    </row>
    <row r="686" spans="1:11" x14ac:dyDescent="0.25">
      <c r="A686" s="13">
        <f>'Raw Data'!A686</f>
        <v>684</v>
      </c>
      <c r="B686" s="13" t="str">
        <f>'Raw Data'!C686</f>
        <v xml:space="preserve"> Sad </v>
      </c>
      <c r="C686" s="13" t="str">
        <f t="shared" si="90"/>
        <v>Sad</v>
      </c>
      <c r="D686" s="13" t="str">
        <f t="shared" si="91"/>
        <v xml:space="preserve"> Sad </v>
      </c>
      <c r="E686" s="13" t="str">
        <f t="shared" si="92"/>
        <v>Sad</v>
      </c>
      <c r="F686" s="13" t="str">
        <f t="shared" si="93"/>
        <v>SAD</v>
      </c>
      <c r="G686" s="13" t="str">
        <f t="shared" si="94"/>
        <v>sad</v>
      </c>
      <c r="H686" s="13" t="str">
        <f t="shared" si="95"/>
        <v>Sad</v>
      </c>
      <c r="I686" s="13">
        <f t="shared" si="96"/>
        <v>5</v>
      </c>
      <c r="J686" s="13">
        <f t="shared" si="97"/>
        <v>3</v>
      </c>
      <c r="K686" s="13">
        <f t="shared" si="98"/>
        <v>2</v>
      </c>
    </row>
    <row r="687" spans="1:11" x14ac:dyDescent="0.25">
      <c r="A687" s="13">
        <f>'Raw Data'!A687</f>
        <v>685</v>
      </c>
      <c r="B687" s="13" t="str">
        <f>'Raw Data'!C687</f>
        <v xml:space="preserve"> Hate </v>
      </c>
      <c r="C687" s="13" t="str">
        <f t="shared" si="90"/>
        <v>Hate</v>
      </c>
      <c r="D687" s="13" t="str">
        <f t="shared" si="91"/>
        <v xml:space="preserve"> Hate </v>
      </c>
      <c r="E687" s="13" t="str">
        <f t="shared" si="92"/>
        <v>Hate</v>
      </c>
      <c r="F687" s="13" t="str">
        <f t="shared" si="93"/>
        <v>HATE</v>
      </c>
      <c r="G687" s="13" t="str">
        <f t="shared" si="94"/>
        <v>hate</v>
      </c>
      <c r="H687" s="13" t="str">
        <f t="shared" si="95"/>
        <v>Hate</v>
      </c>
      <c r="I687" s="13">
        <f t="shared" si="96"/>
        <v>6</v>
      </c>
      <c r="J687" s="13">
        <f t="shared" si="97"/>
        <v>4</v>
      </c>
      <c r="K687" s="13">
        <f t="shared" si="98"/>
        <v>2</v>
      </c>
    </row>
    <row r="688" spans="1:11" x14ac:dyDescent="0.25">
      <c r="A688" s="13">
        <f>'Raw Data'!A688</f>
        <v>686</v>
      </c>
      <c r="B688" s="13" t="str">
        <f>'Raw Data'!C688</f>
        <v xml:space="preserve"> Bad </v>
      </c>
      <c r="C688" s="13" t="str">
        <f t="shared" si="90"/>
        <v>Bad</v>
      </c>
      <c r="D688" s="13" t="str">
        <f t="shared" si="91"/>
        <v xml:space="preserve"> Bad </v>
      </c>
      <c r="E688" s="13" t="str">
        <f t="shared" si="92"/>
        <v>Bad</v>
      </c>
      <c r="F688" s="13" t="str">
        <f t="shared" si="93"/>
        <v>BAD</v>
      </c>
      <c r="G688" s="13" t="str">
        <f t="shared" si="94"/>
        <v>bad</v>
      </c>
      <c r="H688" s="13" t="str">
        <f t="shared" si="95"/>
        <v>Bad</v>
      </c>
      <c r="I688" s="13">
        <f t="shared" si="96"/>
        <v>5</v>
      </c>
      <c r="J688" s="13">
        <f t="shared" si="97"/>
        <v>3</v>
      </c>
      <c r="K688" s="13">
        <f t="shared" si="98"/>
        <v>2</v>
      </c>
    </row>
    <row r="689" spans="1:11" x14ac:dyDescent="0.25">
      <c r="A689" s="13">
        <f>'Raw Data'!A689</f>
        <v>687</v>
      </c>
      <c r="B689" s="13" t="str">
        <f>'Raw Data'!C689</f>
        <v xml:space="preserve"> Sad </v>
      </c>
      <c r="C689" s="13" t="str">
        <f t="shared" si="90"/>
        <v>Sad</v>
      </c>
      <c r="D689" s="13" t="str">
        <f t="shared" si="91"/>
        <v xml:space="preserve"> Sad </v>
      </c>
      <c r="E689" s="13" t="str">
        <f t="shared" si="92"/>
        <v>Sad</v>
      </c>
      <c r="F689" s="13" t="str">
        <f t="shared" si="93"/>
        <v>SAD</v>
      </c>
      <c r="G689" s="13" t="str">
        <f t="shared" si="94"/>
        <v>sad</v>
      </c>
      <c r="H689" s="13" t="str">
        <f t="shared" si="95"/>
        <v>Sad</v>
      </c>
      <c r="I689" s="13">
        <f t="shared" si="96"/>
        <v>5</v>
      </c>
      <c r="J689" s="13">
        <f t="shared" si="97"/>
        <v>3</v>
      </c>
      <c r="K689" s="13">
        <f t="shared" si="98"/>
        <v>2</v>
      </c>
    </row>
    <row r="690" spans="1:11" x14ac:dyDescent="0.25">
      <c r="A690" s="13">
        <f>'Raw Data'!A690</f>
        <v>688</v>
      </c>
      <c r="B690" s="13" t="str">
        <f>'Raw Data'!C690</f>
        <v xml:space="preserve"> Hate </v>
      </c>
      <c r="C690" s="13" t="str">
        <f t="shared" si="90"/>
        <v>Hate</v>
      </c>
      <c r="D690" s="13" t="str">
        <f t="shared" si="91"/>
        <v xml:space="preserve"> Hate </v>
      </c>
      <c r="E690" s="13" t="str">
        <f t="shared" si="92"/>
        <v>Hate</v>
      </c>
      <c r="F690" s="13" t="str">
        <f t="shared" si="93"/>
        <v>HATE</v>
      </c>
      <c r="G690" s="13" t="str">
        <f t="shared" si="94"/>
        <v>hate</v>
      </c>
      <c r="H690" s="13" t="str">
        <f t="shared" si="95"/>
        <v>Hate</v>
      </c>
      <c r="I690" s="13">
        <f t="shared" si="96"/>
        <v>6</v>
      </c>
      <c r="J690" s="13">
        <f t="shared" si="97"/>
        <v>4</v>
      </c>
      <c r="K690" s="13">
        <f t="shared" si="98"/>
        <v>2</v>
      </c>
    </row>
    <row r="691" spans="1:11" x14ac:dyDescent="0.25">
      <c r="A691" s="13">
        <f>'Raw Data'!A691</f>
        <v>689</v>
      </c>
      <c r="B691" s="13" t="str">
        <f>'Raw Data'!C691</f>
        <v xml:space="preserve"> Bad </v>
      </c>
      <c r="C691" s="13" t="str">
        <f t="shared" si="90"/>
        <v>Bad</v>
      </c>
      <c r="D691" s="13" t="str">
        <f t="shared" si="91"/>
        <v xml:space="preserve"> Bad </v>
      </c>
      <c r="E691" s="13" t="str">
        <f t="shared" si="92"/>
        <v>Bad</v>
      </c>
      <c r="F691" s="13" t="str">
        <f t="shared" si="93"/>
        <v>BAD</v>
      </c>
      <c r="G691" s="13" t="str">
        <f t="shared" si="94"/>
        <v>bad</v>
      </c>
      <c r="H691" s="13" t="str">
        <f t="shared" si="95"/>
        <v>Bad</v>
      </c>
      <c r="I691" s="13">
        <f t="shared" si="96"/>
        <v>5</v>
      </c>
      <c r="J691" s="13">
        <f t="shared" si="97"/>
        <v>3</v>
      </c>
      <c r="K691" s="13">
        <f t="shared" si="98"/>
        <v>2</v>
      </c>
    </row>
    <row r="692" spans="1:11" x14ac:dyDescent="0.25">
      <c r="A692" s="13">
        <f>'Raw Data'!A692</f>
        <v>690</v>
      </c>
      <c r="B692" s="13" t="str">
        <f>'Raw Data'!C692</f>
        <v xml:space="preserve"> Sad </v>
      </c>
      <c r="C692" s="13" t="str">
        <f t="shared" si="90"/>
        <v>Sad</v>
      </c>
      <c r="D692" s="13" t="str">
        <f t="shared" si="91"/>
        <v xml:space="preserve"> Sad </v>
      </c>
      <c r="E692" s="13" t="str">
        <f t="shared" si="92"/>
        <v>Sad</v>
      </c>
      <c r="F692" s="13" t="str">
        <f t="shared" si="93"/>
        <v>SAD</v>
      </c>
      <c r="G692" s="13" t="str">
        <f t="shared" si="94"/>
        <v>sad</v>
      </c>
      <c r="H692" s="13" t="str">
        <f t="shared" si="95"/>
        <v>Sad</v>
      </c>
      <c r="I692" s="13">
        <f t="shared" si="96"/>
        <v>5</v>
      </c>
      <c r="J692" s="13">
        <f t="shared" si="97"/>
        <v>3</v>
      </c>
      <c r="K692" s="13">
        <f t="shared" si="98"/>
        <v>2</v>
      </c>
    </row>
    <row r="693" spans="1:11" x14ac:dyDescent="0.25">
      <c r="A693" s="13">
        <f>'Raw Data'!A693</f>
        <v>691</v>
      </c>
      <c r="B693" s="13" t="str">
        <f>'Raw Data'!C693</f>
        <v xml:space="preserve"> Sad </v>
      </c>
      <c r="C693" s="13" t="str">
        <f t="shared" si="90"/>
        <v>Sad</v>
      </c>
      <c r="D693" s="13" t="str">
        <f t="shared" si="91"/>
        <v xml:space="preserve"> Sad </v>
      </c>
      <c r="E693" s="13" t="str">
        <f t="shared" si="92"/>
        <v>Sad</v>
      </c>
      <c r="F693" s="13" t="str">
        <f t="shared" si="93"/>
        <v>SAD</v>
      </c>
      <c r="G693" s="13" t="str">
        <f t="shared" si="94"/>
        <v>sad</v>
      </c>
      <c r="H693" s="13" t="str">
        <f t="shared" si="95"/>
        <v>Sad</v>
      </c>
      <c r="I693" s="13">
        <f t="shared" si="96"/>
        <v>5</v>
      </c>
      <c r="J693" s="13">
        <f t="shared" si="97"/>
        <v>3</v>
      </c>
      <c r="K693" s="13">
        <f t="shared" si="98"/>
        <v>2</v>
      </c>
    </row>
    <row r="694" spans="1:11" x14ac:dyDescent="0.25">
      <c r="A694" s="13">
        <f>'Raw Data'!A694</f>
        <v>692</v>
      </c>
      <c r="B694" s="13" t="str">
        <f>'Raw Data'!C694</f>
        <v xml:space="preserve"> Hate </v>
      </c>
      <c r="C694" s="13" t="str">
        <f t="shared" si="90"/>
        <v>Hate</v>
      </c>
      <c r="D694" s="13" t="str">
        <f t="shared" si="91"/>
        <v xml:space="preserve"> Hate </v>
      </c>
      <c r="E694" s="13" t="str">
        <f t="shared" si="92"/>
        <v>Hate</v>
      </c>
      <c r="F694" s="13" t="str">
        <f t="shared" si="93"/>
        <v>HATE</v>
      </c>
      <c r="G694" s="13" t="str">
        <f t="shared" si="94"/>
        <v>hate</v>
      </c>
      <c r="H694" s="13" t="str">
        <f t="shared" si="95"/>
        <v>Hate</v>
      </c>
      <c r="I694" s="13">
        <f t="shared" si="96"/>
        <v>6</v>
      </c>
      <c r="J694" s="13">
        <f t="shared" si="97"/>
        <v>4</v>
      </c>
      <c r="K694" s="13">
        <f t="shared" si="98"/>
        <v>2</v>
      </c>
    </row>
    <row r="695" spans="1:11" x14ac:dyDescent="0.25">
      <c r="A695" s="13">
        <f>'Raw Data'!A695</f>
        <v>693</v>
      </c>
      <c r="B695" s="13" t="str">
        <f>'Raw Data'!C695</f>
        <v xml:space="preserve"> Bad </v>
      </c>
      <c r="C695" s="13" t="str">
        <f t="shared" si="90"/>
        <v>Bad</v>
      </c>
      <c r="D695" s="13" t="str">
        <f t="shared" si="91"/>
        <v xml:space="preserve"> Bad </v>
      </c>
      <c r="E695" s="13" t="str">
        <f t="shared" si="92"/>
        <v>Bad</v>
      </c>
      <c r="F695" s="13" t="str">
        <f t="shared" si="93"/>
        <v>BAD</v>
      </c>
      <c r="G695" s="13" t="str">
        <f t="shared" si="94"/>
        <v>bad</v>
      </c>
      <c r="H695" s="13" t="str">
        <f t="shared" si="95"/>
        <v>Bad</v>
      </c>
      <c r="I695" s="13">
        <f t="shared" si="96"/>
        <v>5</v>
      </c>
      <c r="J695" s="13">
        <f t="shared" si="97"/>
        <v>3</v>
      </c>
      <c r="K695" s="13">
        <f t="shared" si="98"/>
        <v>2</v>
      </c>
    </row>
    <row r="696" spans="1:11" x14ac:dyDescent="0.25">
      <c r="A696" s="13">
        <f>'Raw Data'!A696</f>
        <v>694</v>
      </c>
      <c r="B696" s="13" t="str">
        <f>'Raw Data'!C696</f>
        <v xml:space="preserve"> Sad </v>
      </c>
      <c r="C696" s="13" t="str">
        <f t="shared" si="90"/>
        <v>Sad</v>
      </c>
      <c r="D696" s="13" t="str">
        <f t="shared" si="91"/>
        <v xml:space="preserve"> Sad </v>
      </c>
      <c r="E696" s="13" t="str">
        <f t="shared" si="92"/>
        <v>Sad</v>
      </c>
      <c r="F696" s="13" t="str">
        <f t="shared" si="93"/>
        <v>SAD</v>
      </c>
      <c r="G696" s="13" t="str">
        <f t="shared" si="94"/>
        <v>sad</v>
      </c>
      <c r="H696" s="13" t="str">
        <f t="shared" si="95"/>
        <v>Sad</v>
      </c>
      <c r="I696" s="13">
        <f t="shared" si="96"/>
        <v>5</v>
      </c>
      <c r="J696" s="13">
        <f t="shared" si="97"/>
        <v>3</v>
      </c>
      <c r="K696" s="13">
        <f t="shared" si="98"/>
        <v>2</v>
      </c>
    </row>
    <row r="697" spans="1:11" x14ac:dyDescent="0.25">
      <c r="A697" s="13">
        <f>'Raw Data'!A697</f>
        <v>695</v>
      </c>
      <c r="B697" s="13" t="str">
        <f>'Raw Data'!C697</f>
        <v xml:space="preserve"> Hate </v>
      </c>
      <c r="C697" s="13" t="str">
        <f t="shared" si="90"/>
        <v>Hate</v>
      </c>
      <c r="D697" s="13" t="str">
        <f t="shared" si="91"/>
        <v xml:space="preserve"> Hate </v>
      </c>
      <c r="E697" s="13" t="str">
        <f t="shared" si="92"/>
        <v>Hate</v>
      </c>
      <c r="F697" s="13" t="str">
        <f t="shared" si="93"/>
        <v>HATE</v>
      </c>
      <c r="G697" s="13" t="str">
        <f t="shared" si="94"/>
        <v>hate</v>
      </c>
      <c r="H697" s="13" t="str">
        <f t="shared" si="95"/>
        <v>Hate</v>
      </c>
      <c r="I697" s="13">
        <f t="shared" si="96"/>
        <v>6</v>
      </c>
      <c r="J697" s="13">
        <f t="shared" si="97"/>
        <v>4</v>
      </c>
      <c r="K697" s="13">
        <f t="shared" si="98"/>
        <v>2</v>
      </c>
    </row>
    <row r="698" spans="1:11" x14ac:dyDescent="0.25">
      <c r="A698" s="13">
        <f>'Raw Data'!A698</f>
        <v>696</v>
      </c>
      <c r="B698" s="13" t="str">
        <f>'Raw Data'!C698</f>
        <v xml:space="preserve"> Bad </v>
      </c>
      <c r="C698" s="13" t="str">
        <f t="shared" si="90"/>
        <v>Bad</v>
      </c>
      <c r="D698" s="13" t="str">
        <f t="shared" si="91"/>
        <v xml:space="preserve"> Bad </v>
      </c>
      <c r="E698" s="13" t="str">
        <f t="shared" si="92"/>
        <v>Bad</v>
      </c>
      <c r="F698" s="13" t="str">
        <f t="shared" si="93"/>
        <v>BAD</v>
      </c>
      <c r="G698" s="13" t="str">
        <f t="shared" si="94"/>
        <v>bad</v>
      </c>
      <c r="H698" s="13" t="str">
        <f t="shared" si="95"/>
        <v>Bad</v>
      </c>
      <c r="I698" s="13">
        <f t="shared" si="96"/>
        <v>5</v>
      </c>
      <c r="J698" s="13">
        <f t="shared" si="97"/>
        <v>3</v>
      </c>
      <c r="K698" s="13">
        <f t="shared" si="98"/>
        <v>2</v>
      </c>
    </row>
    <row r="699" spans="1:11" x14ac:dyDescent="0.25">
      <c r="A699" s="13">
        <f>'Raw Data'!A699</f>
        <v>697</v>
      </c>
      <c r="B699" s="13" t="str">
        <f>'Raw Data'!C699</f>
        <v xml:space="preserve"> Sad </v>
      </c>
      <c r="C699" s="13" t="str">
        <f t="shared" si="90"/>
        <v>Sad</v>
      </c>
      <c r="D699" s="13" t="str">
        <f t="shared" si="91"/>
        <v xml:space="preserve"> Sad </v>
      </c>
      <c r="E699" s="13" t="str">
        <f t="shared" si="92"/>
        <v>Sad</v>
      </c>
      <c r="F699" s="13" t="str">
        <f t="shared" si="93"/>
        <v>SAD</v>
      </c>
      <c r="G699" s="13" t="str">
        <f t="shared" si="94"/>
        <v>sad</v>
      </c>
      <c r="H699" s="13" t="str">
        <f t="shared" si="95"/>
        <v>Sad</v>
      </c>
      <c r="I699" s="13">
        <f t="shared" si="96"/>
        <v>5</v>
      </c>
      <c r="J699" s="13">
        <f t="shared" si="97"/>
        <v>3</v>
      </c>
      <c r="K699" s="13">
        <f t="shared" si="98"/>
        <v>2</v>
      </c>
    </row>
    <row r="700" spans="1:11" x14ac:dyDescent="0.25">
      <c r="A700" s="13">
        <f>'Raw Data'!A700</f>
        <v>698</v>
      </c>
      <c r="B700" s="13" t="str">
        <f>'Raw Data'!C700</f>
        <v xml:space="preserve"> Sad </v>
      </c>
      <c r="C700" s="13" t="str">
        <f t="shared" si="90"/>
        <v>Sad</v>
      </c>
      <c r="D700" s="13" t="str">
        <f t="shared" si="91"/>
        <v xml:space="preserve"> Sad </v>
      </c>
      <c r="E700" s="13" t="str">
        <f t="shared" si="92"/>
        <v>Sad</v>
      </c>
      <c r="F700" s="13" t="str">
        <f t="shared" si="93"/>
        <v>SAD</v>
      </c>
      <c r="G700" s="13" t="str">
        <f t="shared" si="94"/>
        <v>sad</v>
      </c>
      <c r="H700" s="13" t="str">
        <f t="shared" si="95"/>
        <v>Sad</v>
      </c>
      <c r="I700" s="13">
        <f t="shared" si="96"/>
        <v>5</v>
      </c>
      <c r="J700" s="13">
        <f t="shared" si="97"/>
        <v>3</v>
      </c>
      <c r="K700" s="13">
        <f t="shared" si="98"/>
        <v>2</v>
      </c>
    </row>
    <row r="701" spans="1:11" x14ac:dyDescent="0.25">
      <c r="A701" s="13">
        <f>'Raw Data'!A701</f>
        <v>699</v>
      </c>
      <c r="B701" s="13" t="str">
        <f>'Raw Data'!C701</f>
        <v xml:space="preserve"> Hate </v>
      </c>
      <c r="C701" s="13" t="str">
        <f t="shared" si="90"/>
        <v>Hate</v>
      </c>
      <c r="D701" s="13" t="str">
        <f t="shared" si="91"/>
        <v xml:space="preserve"> Hate </v>
      </c>
      <c r="E701" s="13" t="str">
        <f t="shared" si="92"/>
        <v>Hate</v>
      </c>
      <c r="F701" s="13" t="str">
        <f t="shared" si="93"/>
        <v>HATE</v>
      </c>
      <c r="G701" s="13" t="str">
        <f t="shared" si="94"/>
        <v>hate</v>
      </c>
      <c r="H701" s="13" t="str">
        <f t="shared" si="95"/>
        <v>Hate</v>
      </c>
      <c r="I701" s="13">
        <f t="shared" si="96"/>
        <v>6</v>
      </c>
      <c r="J701" s="13">
        <f t="shared" si="97"/>
        <v>4</v>
      </c>
      <c r="K701" s="13">
        <f t="shared" si="98"/>
        <v>2</v>
      </c>
    </row>
    <row r="702" spans="1:11" x14ac:dyDescent="0.25">
      <c r="A702" s="13">
        <f>'Raw Data'!A702</f>
        <v>700</v>
      </c>
      <c r="B702" s="13" t="str">
        <f>'Raw Data'!C702</f>
        <v xml:space="preserve"> Bad </v>
      </c>
      <c r="C702" s="13" t="str">
        <f t="shared" si="90"/>
        <v>Bad</v>
      </c>
      <c r="D702" s="13" t="str">
        <f t="shared" si="91"/>
        <v xml:space="preserve"> Bad </v>
      </c>
      <c r="E702" s="13" t="str">
        <f t="shared" si="92"/>
        <v>Bad</v>
      </c>
      <c r="F702" s="13" t="str">
        <f t="shared" si="93"/>
        <v>BAD</v>
      </c>
      <c r="G702" s="13" t="str">
        <f t="shared" si="94"/>
        <v>bad</v>
      </c>
      <c r="H702" s="13" t="str">
        <f t="shared" si="95"/>
        <v>Bad</v>
      </c>
      <c r="I702" s="13">
        <f t="shared" si="96"/>
        <v>5</v>
      </c>
      <c r="J702" s="13">
        <f t="shared" si="97"/>
        <v>3</v>
      </c>
      <c r="K702" s="13">
        <f t="shared" si="98"/>
        <v>2</v>
      </c>
    </row>
    <row r="703" spans="1:11" x14ac:dyDescent="0.25">
      <c r="A703" s="13">
        <f>'Raw Data'!A703</f>
        <v>701</v>
      </c>
      <c r="B703" s="13" t="str">
        <f>'Raw Data'!C703</f>
        <v xml:space="preserve"> Sad </v>
      </c>
      <c r="C703" s="13" t="str">
        <f t="shared" si="90"/>
        <v>Sad</v>
      </c>
      <c r="D703" s="13" t="str">
        <f t="shared" si="91"/>
        <v xml:space="preserve"> Sad </v>
      </c>
      <c r="E703" s="13" t="str">
        <f t="shared" si="92"/>
        <v>Sad</v>
      </c>
      <c r="F703" s="13" t="str">
        <f t="shared" si="93"/>
        <v>SAD</v>
      </c>
      <c r="G703" s="13" t="str">
        <f t="shared" si="94"/>
        <v>sad</v>
      </c>
      <c r="H703" s="13" t="str">
        <f t="shared" si="95"/>
        <v>Sad</v>
      </c>
      <c r="I703" s="13">
        <f t="shared" si="96"/>
        <v>5</v>
      </c>
      <c r="J703" s="13">
        <f t="shared" si="97"/>
        <v>3</v>
      </c>
      <c r="K703" s="13">
        <f t="shared" si="98"/>
        <v>2</v>
      </c>
    </row>
    <row r="704" spans="1:11" x14ac:dyDescent="0.25">
      <c r="A704" s="13">
        <f>'Raw Data'!A704</f>
        <v>702</v>
      </c>
      <c r="B704" s="13" t="str">
        <f>'Raw Data'!C704</f>
        <v xml:space="preserve"> Hate </v>
      </c>
      <c r="C704" s="13" t="str">
        <f t="shared" si="90"/>
        <v>Hate</v>
      </c>
      <c r="D704" s="13" t="str">
        <f t="shared" si="91"/>
        <v xml:space="preserve"> Hate </v>
      </c>
      <c r="E704" s="13" t="str">
        <f t="shared" si="92"/>
        <v>Hate</v>
      </c>
      <c r="F704" s="13" t="str">
        <f t="shared" si="93"/>
        <v>HATE</v>
      </c>
      <c r="G704" s="13" t="str">
        <f t="shared" si="94"/>
        <v>hate</v>
      </c>
      <c r="H704" s="13" t="str">
        <f t="shared" si="95"/>
        <v>Hate</v>
      </c>
      <c r="I704" s="13">
        <f t="shared" si="96"/>
        <v>6</v>
      </c>
      <c r="J704" s="13">
        <f t="shared" si="97"/>
        <v>4</v>
      </c>
      <c r="K704" s="13">
        <f t="shared" si="98"/>
        <v>2</v>
      </c>
    </row>
    <row r="705" spans="1:11" x14ac:dyDescent="0.25">
      <c r="A705" s="13">
        <f>'Raw Data'!A705</f>
        <v>703</v>
      </c>
      <c r="B705" s="13" t="str">
        <f>'Raw Data'!C705</f>
        <v xml:space="preserve"> Bad </v>
      </c>
      <c r="C705" s="13" t="str">
        <f t="shared" si="90"/>
        <v>Bad</v>
      </c>
      <c r="D705" s="13" t="str">
        <f t="shared" si="91"/>
        <v xml:space="preserve"> Bad </v>
      </c>
      <c r="E705" s="13" t="str">
        <f t="shared" si="92"/>
        <v>Bad</v>
      </c>
      <c r="F705" s="13" t="str">
        <f t="shared" si="93"/>
        <v>BAD</v>
      </c>
      <c r="G705" s="13" t="str">
        <f t="shared" si="94"/>
        <v>bad</v>
      </c>
      <c r="H705" s="13" t="str">
        <f t="shared" si="95"/>
        <v>Bad</v>
      </c>
      <c r="I705" s="13">
        <f t="shared" si="96"/>
        <v>5</v>
      </c>
      <c r="J705" s="13">
        <f t="shared" si="97"/>
        <v>3</v>
      </c>
      <c r="K705" s="13">
        <f t="shared" si="98"/>
        <v>2</v>
      </c>
    </row>
    <row r="706" spans="1:11" x14ac:dyDescent="0.25">
      <c r="A706" s="13">
        <f>'Raw Data'!A706</f>
        <v>704</v>
      </c>
      <c r="B706" s="13" t="str">
        <f>'Raw Data'!C706</f>
        <v xml:space="preserve"> Sad </v>
      </c>
      <c r="C706" s="13" t="str">
        <f t="shared" si="90"/>
        <v>Sad</v>
      </c>
      <c r="D706" s="13" t="str">
        <f t="shared" si="91"/>
        <v xml:space="preserve"> Sad </v>
      </c>
      <c r="E706" s="13" t="str">
        <f t="shared" si="92"/>
        <v>Sad</v>
      </c>
      <c r="F706" s="13" t="str">
        <f t="shared" si="93"/>
        <v>SAD</v>
      </c>
      <c r="G706" s="13" t="str">
        <f t="shared" si="94"/>
        <v>sad</v>
      </c>
      <c r="H706" s="13" t="str">
        <f t="shared" si="95"/>
        <v>Sad</v>
      </c>
      <c r="I706" s="13">
        <f t="shared" si="96"/>
        <v>5</v>
      </c>
      <c r="J706" s="13">
        <f t="shared" si="97"/>
        <v>3</v>
      </c>
      <c r="K706" s="13">
        <f t="shared" si="98"/>
        <v>2</v>
      </c>
    </row>
    <row r="707" spans="1:11" x14ac:dyDescent="0.25">
      <c r="A707" s="13">
        <f>'Raw Data'!A707</f>
        <v>705</v>
      </c>
      <c r="B707" s="13" t="str">
        <f>'Raw Data'!C707</f>
        <v xml:space="preserve"> Neutral </v>
      </c>
      <c r="C707" s="13" t="str">
        <f t="shared" si="90"/>
        <v>Neutral</v>
      </c>
      <c r="D707" s="13" t="str">
        <f t="shared" si="91"/>
        <v xml:space="preserve"> Neutral </v>
      </c>
      <c r="E707" s="13" t="str">
        <f t="shared" si="92"/>
        <v>Neu</v>
      </c>
      <c r="F707" s="13" t="str">
        <f t="shared" si="93"/>
        <v>NEUTRAL</v>
      </c>
      <c r="G707" s="13" t="str">
        <f t="shared" si="94"/>
        <v>neutral</v>
      </c>
      <c r="H707" s="13" t="str">
        <f t="shared" si="95"/>
        <v>Neutral</v>
      </c>
      <c r="I707" s="13">
        <f t="shared" si="96"/>
        <v>9</v>
      </c>
      <c r="J707" s="13">
        <f t="shared" si="97"/>
        <v>7</v>
      </c>
      <c r="K707" s="13">
        <f t="shared" si="98"/>
        <v>2</v>
      </c>
    </row>
    <row r="708" spans="1:11" x14ac:dyDescent="0.25">
      <c r="A708" s="13">
        <f>'Raw Data'!A708</f>
        <v>706</v>
      </c>
      <c r="B708" s="13" t="str">
        <f>'Raw Data'!C708</f>
        <v xml:space="preserve"> Neutral </v>
      </c>
      <c r="C708" s="13" t="str">
        <f t="shared" ref="C708:C734" si="99">TRIM(B708)</f>
        <v>Neutral</v>
      </c>
      <c r="D708" s="13" t="str">
        <f t="shared" ref="D708:D734" si="100">CLEAN(B708)</f>
        <v xml:space="preserve"> Neutral </v>
      </c>
      <c r="E708" s="13" t="str">
        <f t="shared" ref="E708:E734" si="101">SUBSTITUTE(SUBSTITUTE(SUBSTITUTE(TRIM(B708),"Positive","Pos"),"Negative","Neg"),"Neutral","Neu")</f>
        <v>Neu</v>
      </c>
      <c r="F708" s="13" t="str">
        <f t="shared" ref="F708:F734" si="102">UPPER(TRIM(B708))</f>
        <v>NEUTRAL</v>
      </c>
      <c r="G708" s="13" t="str">
        <f t="shared" ref="G708:G734" si="103">LOWER(TRIM(B708))</f>
        <v>neutral</v>
      </c>
      <c r="H708" s="13" t="str">
        <f t="shared" ref="H708:H734" si="104">PROPER(TRIM(B708))</f>
        <v>Neutral</v>
      </c>
      <c r="I708" s="13">
        <f t="shared" ref="I708:I734" si="105">LEN(B708)</f>
        <v>9</v>
      </c>
      <c r="J708" s="13">
        <f t="shared" ref="J708:J734" si="106">LEN(TRIM(B708))</f>
        <v>7</v>
      </c>
      <c r="K708" s="13">
        <f t="shared" ref="K708:K734" si="107">I708-J708</f>
        <v>2</v>
      </c>
    </row>
    <row r="709" spans="1:11" x14ac:dyDescent="0.25">
      <c r="A709" s="13">
        <f>'Raw Data'!A709</f>
        <v>707</v>
      </c>
      <c r="B709" s="13" t="str">
        <f>'Raw Data'!C709</f>
        <v xml:space="preserve"> Neutral </v>
      </c>
      <c r="C709" s="13" t="str">
        <f t="shared" si="99"/>
        <v>Neutral</v>
      </c>
      <c r="D709" s="13" t="str">
        <f t="shared" si="100"/>
        <v xml:space="preserve"> Neutral </v>
      </c>
      <c r="E709" s="13" t="str">
        <f t="shared" si="101"/>
        <v>Neu</v>
      </c>
      <c r="F709" s="13" t="str">
        <f t="shared" si="102"/>
        <v>NEUTRAL</v>
      </c>
      <c r="G709" s="13" t="str">
        <f t="shared" si="103"/>
        <v>neutral</v>
      </c>
      <c r="H709" s="13" t="str">
        <f t="shared" si="104"/>
        <v>Neutral</v>
      </c>
      <c r="I709" s="13">
        <f t="shared" si="105"/>
        <v>9</v>
      </c>
      <c r="J709" s="13">
        <f t="shared" si="106"/>
        <v>7</v>
      </c>
      <c r="K709" s="13">
        <f t="shared" si="107"/>
        <v>2</v>
      </c>
    </row>
    <row r="710" spans="1:11" x14ac:dyDescent="0.25">
      <c r="A710" s="13">
        <f>'Raw Data'!A710</f>
        <v>708</v>
      </c>
      <c r="B710" s="13" t="str">
        <f>'Raw Data'!C710</f>
        <v xml:space="preserve"> Neutral </v>
      </c>
      <c r="C710" s="13" t="str">
        <f t="shared" si="99"/>
        <v>Neutral</v>
      </c>
      <c r="D710" s="13" t="str">
        <f t="shared" si="100"/>
        <v xml:space="preserve"> Neutral </v>
      </c>
      <c r="E710" s="13" t="str">
        <f t="shared" si="101"/>
        <v>Neu</v>
      </c>
      <c r="F710" s="13" t="str">
        <f t="shared" si="102"/>
        <v>NEUTRAL</v>
      </c>
      <c r="G710" s="13" t="str">
        <f t="shared" si="103"/>
        <v>neutral</v>
      </c>
      <c r="H710" s="13" t="str">
        <f t="shared" si="104"/>
        <v>Neutral</v>
      </c>
      <c r="I710" s="13">
        <f t="shared" si="105"/>
        <v>9</v>
      </c>
      <c r="J710" s="13">
        <f t="shared" si="106"/>
        <v>7</v>
      </c>
      <c r="K710" s="13">
        <f t="shared" si="107"/>
        <v>2</v>
      </c>
    </row>
    <row r="711" spans="1:11" x14ac:dyDescent="0.25">
      <c r="A711" s="13">
        <f>'Raw Data'!A711</f>
        <v>709</v>
      </c>
      <c r="B711" s="13" t="str">
        <f>'Raw Data'!C711</f>
        <v xml:space="preserve"> Neutral </v>
      </c>
      <c r="C711" s="13" t="str">
        <f t="shared" si="99"/>
        <v>Neutral</v>
      </c>
      <c r="D711" s="13" t="str">
        <f t="shared" si="100"/>
        <v xml:space="preserve"> Neutral </v>
      </c>
      <c r="E711" s="13" t="str">
        <f t="shared" si="101"/>
        <v>Neu</v>
      </c>
      <c r="F711" s="13" t="str">
        <f t="shared" si="102"/>
        <v>NEUTRAL</v>
      </c>
      <c r="G711" s="13" t="str">
        <f t="shared" si="103"/>
        <v>neutral</v>
      </c>
      <c r="H711" s="13" t="str">
        <f t="shared" si="104"/>
        <v>Neutral</v>
      </c>
      <c r="I711" s="13">
        <f t="shared" si="105"/>
        <v>9</v>
      </c>
      <c r="J711" s="13">
        <f t="shared" si="106"/>
        <v>7</v>
      </c>
      <c r="K711" s="13">
        <f t="shared" si="107"/>
        <v>2</v>
      </c>
    </row>
    <row r="712" spans="1:11" x14ac:dyDescent="0.25">
      <c r="A712" s="13">
        <f>'Raw Data'!A712</f>
        <v>710</v>
      </c>
      <c r="B712" s="13" t="str">
        <f>'Raw Data'!C712</f>
        <v xml:space="preserve"> Neutral </v>
      </c>
      <c r="C712" s="13" t="str">
        <f t="shared" si="99"/>
        <v>Neutral</v>
      </c>
      <c r="D712" s="13" t="str">
        <f t="shared" si="100"/>
        <v xml:space="preserve"> Neutral </v>
      </c>
      <c r="E712" s="13" t="str">
        <f t="shared" si="101"/>
        <v>Neu</v>
      </c>
      <c r="F712" s="13" t="str">
        <f t="shared" si="102"/>
        <v>NEUTRAL</v>
      </c>
      <c r="G712" s="13" t="str">
        <f t="shared" si="103"/>
        <v>neutral</v>
      </c>
      <c r="H712" s="13" t="str">
        <f t="shared" si="104"/>
        <v>Neutral</v>
      </c>
      <c r="I712" s="13">
        <f t="shared" si="105"/>
        <v>9</v>
      </c>
      <c r="J712" s="13">
        <f t="shared" si="106"/>
        <v>7</v>
      </c>
      <c r="K712" s="13">
        <f t="shared" si="107"/>
        <v>2</v>
      </c>
    </row>
    <row r="713" spans="1:11" x14ac:dyDescent="0.25">
      <c r="A713" s="13">
        <f>'Raw Data'!A713</f>
        <v>711</v>
      </c>
      <c r="B713" s="13" t="str">
        <f>'Raw Data'!C713</f>
        <v xml:space="preserve"> Neutral </v>
      </c>
      <c r="C713" s="13" t="str">
        <f t="shared" si="99"/>
        <v>Neutral</v>
      </c>
      <c r="D713" s="13" t="str">
        <f t="shared" si="100"/>
        <v xml:space="preserve"> Neutral </v>
      </c>
      <c r="E713" s="13" t="str">
        <f t="shared" si="101"/>
        <v>Neu</v>
      </c>
      <c r="F713" s="13" t="str">
        <f t="shared" si="102"/>
        <v>NEUTRAL</v>
      </c>
      <c r="G713" s="13" t="str">
        <f t="shared" si="103"/>
        <v>neutral</v>
      </c>
      <c r="H713" s="13" t="str">
        <f t="shared" si="104"/>
        <v>Neutral</v>
      </c>
      <c r="I713" s="13">
        <f t="shared" si="105"/>
        <v>9</v>
      </c>
      <c r="J713" s="13">
        <f t="shared" si="106"/>
        <v>7</v>
      </c>
      <c r="K713" s="13">
        <f t="shared" si="107"/>
        <v>2</v>
      </c>
    </row>
    <row r="714" spans="1:11" x14ac:dyDescent="0.25">
      <c r="A714" s="13">
        <f>'Raw Data'!A714</f>
        <v>712</v>
      </c>
      <c r="B714" s="13" t="str">
        <f>'Raw Data'!C714</f>
        <v xml:space="preserve"> Neutral </v>
      </c>
      <c r="C714" s="13" t="str">
        <f t="shared" si="99"/>
        <v>Neutral</v>
      </c>
      <c r="D714" s="13" t="str">
        <f t="shared" si="100"/>
        <v xml:space="preserve"> Neutral </v>
      </c>
      <c r="E714" s="13" t="str">
        <f t="shared" si="101"/>
        <v>Neu</v>
      </c>
      <c r="F714" s="13" t="str">
        <f t="shared" si="102"/>
        <v>NEUTRAL</v>
      </c>
      <c r="G714" s="13" t="str">
        <f t="shared" si="103"/>
        <v>neutral</v>
      </c>
      <c r="H714" s="13" t="str">
        <f t="shared" si="104"/>
        <v>Neutral</v>
      </c>
      <c r="I714" s="13">
        <f t="shared" si="105"/>
        <v>9</v>
      </c>
      <c r="J714" s="13">
        <f t="shared" si="106"/>
        <v>7</v>
      </c>
      <c r="K714" s="13">
        <f t="shared" si="107"/>
        <v>2</v>
      </c>
    </row>
    <row r="715" spans="1:11" x14ac:dyDescent="0.25">
      <c r="A715" s="13">
        <f>'Raw Data'!A715</f>
        <v>713</v>
      </c>
      <c r="B715" s="13" t="str">
        <f>'Raw Data'!C715</f>
        <v xml:space="preserve"> Neutral </v>
      </c>
      <c r="C715" s="13" t="str">
        <f t="shared" si="99"/>
        <v>Neutral</v>
      </c>
      <c r="D715" s="13" t="str">
        <f t="shared" si="100"/>
        <v xml:space="preserve"> Neutral </v>
      </c>
      <c r="E715" s="13" t="str">
        <f t="shared" si="101"/>
        <v>Neu</v>
      </c>
      <c r="F715" s="13" t="str">
        <f t="shared" si="102"/>
        <v>NEUTRAL</v>
      </c>
      <c r="G715" s="13" t="str">
        <f t="shared" si="103"/>
        <v>neutral</v>
      </c>
      <c r="H715" s="13" t="str">
        <f t="shared" si="104"/>
        <v>Neutral</v>
      </c>
      <c r="I715" s="13">
        <f t="shared" si="105"/>
        <v>9</v>
      </c>
      <c r="J715" s="13">
        <f t="shared" si="106"/>
        <v>7</v>
      </c>
      <c r="K715" s="13">
        <f t="shared" si="107"/>
        <v>2</v>
      </c>
    </row>
    <row r="716" spans="1:11" x14ac:dyDescent="0.25">
      <c r="A716" s="13">
        <f>'Raw Data'!A716</f>
        <v>714</v>
      </c>
      <c r="B716" s="13" t="str">
        <f>'Raw Data'!C716</f>
        <v xml:space="preserve"> Neutral </v>
      </c>
      <c r="C716" s="13" t="str">
        <f t="shared" si="99"/>
        <v>Neutral</v>
      </c>
      <c r="D716" s="13" t="str">
        <f t="shared" si="100"/>
        <v xml:space="preserve"> Neutral </v>
      </c>
      <c r="E716" s="13" t="str">
        <f t="shared" si="101"/>
        <v>Neu</v>
      </c>
      <c r="F716" s="13" t="str">
        <f t="shared" si="102"/>
        <v>NEUTRAL</v>
      </c>
      <c r="G716" s="13" t="str">
        <f t="shared" si="103"/>
        <v>neutral</v>
      </c>
      <c r="H716" s="13" t="str">
        <f t="shared" si="104"/>
        <v>Neutral</v>
      </c>
      <c r="I716" s="13">
        <f t="shared" si="105"/>
        <v>9</v>
      </c>
      <c r="J716" s="13">
        <f t="shared" si="106"/>
        <v>7</v>
      </c>
      <c r="K716" s="13">
        <f t="shared" si="107"/>
        <v>2</v>
      </c>
    </row>
    <row r="717" spans="1:11" x14ac:dyDescent="0.25">
      <c r="A717" s="13">
        <f>'Raw Data'!A717</f>
        <v>715</v>
      </c>
      <c r="B717" s="13" t="str">
        <f>'Raw Data'!C717</f>
        <v xml:space="preserve"> Neutral </v>
      </c>
      <c r="C717" s="13" t="str">
        <f t="shared" si="99"/>
        <v>Neutral</v>
      </c>
      <c r="D717" s="13" t="str">
        <f t="shared" si="100"/>
        <v xml:space="preserve"> Neutral </v>
      </c>
      <c r="E717" s="13" t="str">
        <f t="shared" si="101"/>
        <v>Neu</v>
      </c>
      <c r="F717" s="13" t="str">
        <f t="shared" si="102"/>
        <v>NEUTRAL</v>
      </c>
      <c r="G717" s="13" t="str">
        <f t="shared" si="103"/>
        <v>neutral</v>
      </c>
      <c r="H717" s="13" t="str">
        <f t="shared" si="104"/>
        <v>Neutral</v>
      </c>
      <c r="I717" s="13">
        <f t="shared" si="105"/>
        <v>9</v>
      </c>
      <c r="J717" s="13">
        <f>LEN(TRIM(B717))</f>
        <v>7</v>
      </c>
      <c r="K717" s="13">
        <f t="shared" si="107"/>
        <v>2</v>
      </c>
    </row>
    <row r="718" spans="1:11" x14ac:dyDescent="0.25">
      <c r="A718" s="13">
        <f>'Raw Data'!A718</f>
        <v>716</v>
      </c>
      <c r="B718" s="13" t="str">
        <f>'Raw Data'!C718</f>
        <v xml:space="preserve"> Neutral </v>
      </c>
      <c r="C718" s="13" t="str">
        <f t="shared" si="99"/>
        <v>Neutral</v>
      </c>
      <c r="D718" s="13" t="str">
        <f t="shared" si="100"/>
        <v xml:space="preserve"> Neutral </v>
      </c>
      <c r="E718" s="13" t="str">
        <f t="shared" si="101"/>
        <v>Neu</v>
      </c>
      <c r="F718" s="13" t="str">
        <f t="shared" si="102"/>
        <v>NEUTRAL</v>
      </c>
      <c r="G718" s="13" t="str">
        <f t="shared" si="103"/>
        <v>neutral</v>
      </c>
      <c r="H718" s="13" t="str">
        <f t="shared" si="104"/>
        <v>Neutral</v>
      </c>
      <c r="I718" s="13">
        <f t="shared" si="105"/>
        <v>9</v>
      </c>
      <c r="J718" s="13">
        <f t="shared" si="106"/>
        <v>7</v>
      </c>
      <c r="K718" s="13">
        <f t="shared" si="107"/>
        <v>2</v>
      </c>
    </row>
    <row r="719" spans="1:11" x14ac:dyDescent="0.25">
      <c r="A719" s="13">
        <f>'Raw Data'!A719</f>
        <v>717</v>
      </c>
      <c r="B719" s="13" t="str">
        <f>'Raw Data'!C719</f>
        <v xml:space="preserve"> Neutral </v>
      </c>
      <c r="C719" s="13" t="str">
        <f t="shared" si="99"/>
        <v>Neutral</v>
      </c>
      <c r="D719" s="13" t="str">
        <f t="shared" si="100"/>
        <v xml:space="preserve"> Neutral </v>
      </c>
      <c r="E719" s="13" t="str">
        <f t="shared" si="101"/>
        <v>Neu</v>
      </c>
      <c r="F719" s="13" t="str">
        <f t="shared" si="102"/>
        <v>NEUTRAL</v>
      </c>
      <c r="G719" s="13" t="str">
        <f t="shared" si="103"/>
        <v>neutral</v>
      </c>
      <c r="H719" s="13" t="str">
        <f t="shared" si="104"/>
        <v>Neutral</v>
      </c>
      <c r="I719" s="13">
        <f t="shared" si="105"/>
        <v>9</v>
      </c>
      <c r="J719" s="13">
        <f t="shared" si="106"/>
        <v>7</v>
      </c>
      <c r="K719" s="13">
        <f t="shared" si="107"/>
        <v>2</v>
      </c>
    </row>
    <row r="720" spans="1:11" x14ac:dyDescent="0.25">
      <c r="A720" s="13">
        <f>'Raw Data'!A720</f>
        <v>718</v>
      </c>
      <c r="B720" s="13" t="str">
        <f>'Raw Data'!C720</f>
        <v xml:space="preserve"> Neutral </v>
      </c>
      <c r="C720" s="13" t="str">
        <f t="shared" si="99"/>
        <v>Neutral</v>
      </c>
      <c r="D720" s="13" t="str">
        <f t="shared" si="100"/>
        <v xml:space="preserve"> Neutral </v>
      </c>
      <c r="E720" s="13" t="str">
        <f t="shared" si="101"/>
        <v>Neu</v>
      </c>
      <c r="F720" s="13" t="str">
        <f t="shared" si="102"/>
        <v>NEUTRAL</v>
      </c>
      <c r="G720" s="13" t="str">
        <f t="shared" si="103"/>
        <v>neutral</v>
      </c>
      <c r="H720" s="13" t="str">
        <f t="shared" si="104"/>
        <v>Neutral</v>
      </c>
      <c r="I720" s="13">
        <f t="shared" si="105"/>
        <v>9</v>
      </c>
      <c r="J720" s="13">
        <f t="shared" si="106"/>
        <v>7</v>
      </c>
      <c r="K720" s="13">
        <f t="shared" si="107"/>
        <v>2</v>
      </c>
    </row>
    <row r="721" spans="1:11" x14ac:dyDescent="0.25">
      <c r="A721" s="13">
        <f>'Raw Data'!A721</f>
        <v>719</v>
      </c>
      <c r="B721" s="13" t="str">
        <f>'Raw Data'!C721</f>
        <v xml:space="preserve"> Happy </v>
      </c>
      <c r="C721" s="13" t="str">
        <f t="shared" si="99"/>
        <v>Happy</v>
      </c>
      <c r="D721" s="13" t="str">
        <f t="shared" si="100"/>
        <v xml:space="preserve"> Happy </v>
      </c>
      <c r="E721" s="13" t="str">
        <f t="shared" si="101"/>
        <v>Happy</v>
      </c>
      <c r="F721" s="13" t="str">
        <f t="shared" si="102"/>
        <v>HAPPY</v>
      </c>
      <c r="G721" s="13" t="str">
        <f t="shared" si="103"/>
        <v>happy</v>
      </c>
      <c r="H721" s="13" t="str">
        <f t="shared" si="104"/>
        <v>Happy</v>
      </c>
      <c r="I721" s="13">
        <f t="shared" si="105"/>
        <v>7</v>
      </c>
      <c r="J721" s="13">
        <f t="shared" si="106"/>
        <v>5</v>
      </c>
      <c r="K721" s="13">
        <f t="shared" si="107"/>
        <v>2</v>
      </c>
    </row>
    <row r="722" spans="1:11" x14ac:dyDescent="0.25">
      <c r="A722" s="13">
        <f>'Raw Data'!A722</f>
        <v>720</v>
      </c>
      <c r="B722" s="13" t="str">
        <f>'Raw Data'!C722</f>
        <v xml:space="preserve"> Happy </v>
      </c>
      <c r="C722" s="13" t="str">
        <f t="shared" si="99"/>
        <v>Happy</v>
      </c>
      <c r="D722" s="13" t="str">
        <f t="shared" si="100"/>
        <v xml:space="preserve"> Happy </v>
      </c>
      <c r="E722" s="13" t="str">
        <f t="shared" si="101"/>
        <v>Happy</v>
      </c>
      <c r="F722" s="13" t="str">
        <f t="shared" si="102"/>
        <v>HAPPY</v>
      </c>
      <c r="G722" s="13" t="str">
        <f t="shared" si="103"/>
        <v>happy</v>
      </c>
      <c r="H722" s="13" t="str">
        <f t="shared" si="104"/>
        <v>Happy</v>
      </c>
      <c r="I722" s="13">
        <f t="shared" si="105"/>
        <v>7</v>
      </c>
      <c r="J722" s="13">
        <f t="shared" si="106"/>
        <v>5</v>
      </c>
      <c r="K722" s="13">
        <f t="shared" si="107"/>
        <v>2</v>
      </c>
    </row>
    <row r="723" spans="1:11" x14ac:dyDescent="0.25">
      <c r="A723" s="13">
        <f>'Raw Data'!A723</f>
        <v>721</v>
      </c>
      <c r="B723" s="13" t="str">
        <f>'Raw Data'!C723</f>
        <v xml:space="preserve"> Happy </v>
      </c>
      <c r="C723" s="13" t="str">
        <f t="shared" si="99"/>
        <v>Happy</v>
      </c>
      <c r="D723" s="13" t="str">
        <f t="shared" si="100"/>
        <v xml:space="preserve"> Happy </v>
      </c>
      <c r="E723" s="13" t="str">
        <f t="shared" si="101"/>
        <v>Happy</v>
      </c>
      <c r="F723" s="13" t="str">
        <f t="shared" si="102"/>
        <v>HAPPY</v>
      </c>
      <c r="G723" s="13" t="str">
        <f t="shared" si="103"/>
        <v>happy</v>
      </c>
      <c r="H723" s="13" t="str">
        <f t="shared" si="104"/>
        <v>Happy</v>
      </c>
      <c r="I723" s="13">
        <f t="shared" si="105"/>
        <v>7</v>
      </c>
      <c r="J723" s="13">
        <f t="shared" si="106"/>
        <v>5</v>
      </c>
      <c r="K723" s="13">
        <f t="shared" si="107"/>
        <v>2</v>
      </c>
    </row>
    <row r="724" spans="1:11" x14ac:dyDescent="0.25">
      <c r="A724" s="13">
        <f>'Raw Data'!A724</f>
        <v>722</v>
      </c>
      <c r="B724" s="13" t="str">
        <f>'Raw Data'!C724</f>
        <v xml:space="preserve"> Happy </v>
      </c>
      <c r="C724" s="13" t="str">
        <f t="shared" si="99"/>
        <v>Happy</v>
      </c>
      <c r="D724" s="13" t="str">
        <f t="shared" si="100"/>
        <v xml:space="preserve"> Happy </v>
      </c>
      <c r="E724" s="13" t="str">
        <f t="shared" si="101"/>
        <v>Happy</v>
      </c>
      <c r="F724" s="13" t="str">
        <f t="shared" si="102"/>
        <v>HAPPY</v>
      </c>
      <c r="G724" s="13" t="str">
        <f t="shared" si="103"/>
        <v>happy</v>
      </c>
      <c r="H724" s="13" t="str">
        <f t="shared" si="104"/>
        <v>Happy</v>
      </c>
      <c r="I724" s="13">
        <f t="shared" si="105"/>
        <v>7</v>
      </c>
      <c r="J724" s="13">
        <f t="shared" si="106"/>
        <v>5</v>
      </c>
      <c r="K724" s="13">
        <f t="shared" si="107"/>
        <v>2</v>
      </c>
    </row>
    <row r="725" spans="1:11" x14ac:dyDescent="0.25">
      <c r="A725" s="13">
        <f>'Raw Data'!A725</f>
        <v>723</v>
      </c>
      <c r="B725" s="13" t="str">
        <f>'Raw Data'!C725</f>
        <v xml:space="preserve"> Happy </v>
      </c>
      <c r="C725" s="13" t="str">
        <f t="shared" si="99"/>
        <v>Happy</v>
      </c>
      <c r="D725" s="13" t="str">
        <f t="shared" si="100"/>
        <v xml:space="preserve"> Happy </v>
      </c>
      <c r="E725" s="13" t="str">
        <f t="shared" si="101"/>
        <v>Happy</v>
      </c>
      <c r="F725" s="13" t="str">
        <f t="shared" si="102"/>
        <v>HAPPY</v>
      </c>
      <c r="G725" s="13" t="str">
        <f t="shared" si="103"/>
        <v>happy</v>
      </c>
      <c r="H725" s="13" t="str">
        <f t="shared" si="104"/>
        <v>Happy</v>
      </c>
      <c r="I725" s="13">
        <f t="shared" si="105"/>
        <v>7</v>
      </c>
      <c r="J725" s="13">
        <f t="shared" si="106"/>
        <v>5</v>
      </c>
      <c r="K725" s="13">
        <f t="shared" si="107"/>
        <v>2</v>
      </c>
    </row>
    <row r="726" spans="1:11" x14ac:dyDescent="0.25">
      <c r="A726" s="13">
        <f>'Raw Data'!A726</f>
        <v>724</v>
      </c>
      <c r="B726" s="13" t="str">
        <f>'Raw Data'!C726</f>
        <v xml:space="preserve"> Happy </v>
      </c>
      <c r="C726" s="13" t="str">
        <f t="shared" si="99"/>
        <v>Happy</v>
      </c>
      <c r="D726" s="13" t="str">
        <f t="shared" si="100"/>
        <v xml:space="preserve"> Happy </v>
      </c>
      <c r="E726" s="13" t="str">
        <f t="shared" si="101"/>
        <v>Happy</v>
      </c>
      <c r="F726" s="13" t="str">
        <f t="shared" si="102"/>
        <v>HAPPY</v>
      </c>
      <c r="G726" s="13" t="str">
        <f t="shared" si="103"/>
        <v>happy</v>
      </c>
      <c r="H726" s="13" t="str">
        <f t="shared" si="104"/>
        <v>Happy</v>
      </c>
      <c r="I726" s="13">
        <f t="shared" si="105"/>
        <v>7</v>
      </c>
      <c r="J726" s="13">
        <f t="shared" si="106"/>
        <v>5</v>
      </c>
      <c r="K726" s="13">
        <f t="shared" si="107"/>
        <v>2</v>
      </c>
    </row>
    <row r="727" spans="1:11" x14ac:dyDescent="0.25">
      <c r="A727" s="13">
        <f>'Raw Data'!A727</f>
        <v>725</v>
      </c>
      <c r="B727" s="13" t="str">
        <f>'Raw Data'!C727</f>
        <v xml:space="preserve"> Happy </v>
      </c>
      <c r="C727" s="13" t="str">
        <f t="shared" si="99"/>
        <v>Happy</v>
      </c>
      <c r="D727" s="13" t="str">
        <f t="shared" si="100"/>
        <v xml:space="preserve"> Happy </v>
      </c>
      <c r="E727" s="13" t="str">
        <f t="shared" si="101"/>
        <v>Happy</v>
      </c>
      <c r="F727" s="13" t="str">
        <f t="shared" si="102"/>
        <v>HAPPY</v>
      </c>
      <c r="G727" s="13" t="str">
        <f t="shared" si="103"/>
        <v>happy</v>
      </c>
      <c r="H727" s="13" t="str">
        <f t="shared" si="104"/>
        <v>Happy</v>
      </c>
      <c r="I727" s="13">
        <f t="shared" si="105"/>
        <v>7</v>
      </c>
      <c r="J727" s="13">
        <f t="shared" si="106"/>
        <v>5</v>
      </c>
      <c r="K727" s="13">
        <f t="shared" si="107"/>
        <v>2</v>
      </c>
    </row>
    <row r="728" spans="1:11" x14ac:dyDescent="0.25">
      <c r="A728" s="13">
        <f>'Raw Data'!A728</f>
        <v>726</v>
      </c>
      <c r="B728" s="13" t="str">
        <f>'Raw Data'!C728</f>
        <v xml:space="preserve"> Happy </v>
      </c>
      <c r="C728" s="13" t="str">
        <f t="shared" si="99"/>
        <v>Happy</v>
      </c>
      <c r="D728" s="13" t="str">
        <f t="shared" si="100"/>
        <v xml:space="preserve"> Happy </v>
      </c>
      <c r="E728" s="13" t="str">
        <f t="shared" si="101"/>
        <v>Happy</v>
      </c>
      <c r="F728" s="13" t="str">
        <f t="shared" si="102"/>
        <v>HAPPY</v>
      </c>
      <c r="G728" s="13" t="str">
        <f t="shared" si="103"/>
        <v>happy</v>
      </c>
      <c r="H728" s="13" t="str">
        <f t="shared" si="104"/>
        <v>Happy</v>
      </c>
      <c r="I728" s="13">
        <f t="shared" si="105"/>
        <v>7</v>
      </c>
      <c r="J728" s="13">
        <f t="shared" si="106"/>
        <v>5</v>
      </c>
      <c r="K728" s="13">
        <f t="shared" si="107"/>
        <v>2</v>
      </c>
    </row>
    <row r="729" spans="1:11" x14ac:dyDescent="0.25">
      <c r="A729" s="13">
        <f>'Raw Data'!A729</f>
        <v>727</v>
      </c>
      <c r="B729" s="13" t="str">
        <f>'Raw Data'!C729</f>
        <v xml:space="preserve"> Happy </v>
      </c>
      <c r="C729" s="13" t="str">
        <f t="shared" si="99"/>
        <v>Happy</v>
      </c>
      <c r="D729" s="13" t="str">
        <f t="shared" si="100"/>
        <v xml:space="preserve"> Happy </v>
      </c>
      <c r="E729" s="13" t="str">
        <f t="shared" si="101"/>
        <v>Happy</v>
      </c>
      <c r="F729" s="13" t="str">
        <f t="shared" si="102"/>
        <v>HAPPY</v>
      </c>
      <c r="G729" s="13" t="str">
        <f t="shared" si="103"/>
        <v>happy</v>
      </c>
      <c r="H729" s="13" t="str">
        <f t="shared" si="104"/>
        <v>Happy</v>
      </c>
      <c r="I729" s="13">
        <f t="shared" si="105"/>
        <v>7</v>
      </c>
      <c r="J729" s="13">
        <f t="shared" si="106"/>
        <v>5</v>
      </c>
      <c r="K729" s="13">
        <f t="shared" si="107"/>
        <v>2</v>
      </c>
    </row>
    <row r="730" spans="1:11" x14ac:dyDescent="0.25">
      <c r="A730" s="13">
        <f>'Raw Data'!A730</f>
        <v>728</v>
      </c>
      <c r="B730" s="13" t="str">
        <f>'Raw Data'!C730</f>
        <v xml:space="preserve"> Happy </v>
      </c>
      <c r="C730" s="13" t="str">
        <f t="shared" si="99"/>
        <v>Happy</v>
      </c>
      <c r="D730" s="13" t="str">
        <f t="shared" si="100"/>
        <v xml:space="preserve"> Happy </v>
      </c>
      <c r="E730" s="13" t="str">
        <f t="shared" si="101"/>
        <v>Happy</v>
      </c>
      <c r="F730" s="13" t="str">
        <f t="shared" si="102"/>
        <v>HAPPY</v>
      </c>
      <c r="G730" s="13" t="str">
        <f t="shared" si="103"/>
        <v>happy</v>
      </c>
      <c r="H730" s="13" t="str">
        <f t="shared" si="104"/>
        <v>Happy</v>
      </c>
      <c r="I730" s="13">
        <f t="shared" si="105"/>
        <v>7</v>
      </c>
      <c r="J730" s="13">
        <f t="shared" si="106"/>
        <v>5</v>
      </c>
      <c r="K730" s="13">
        <f t="shared" si="107"/>
        <v>2</v>
      </c>
    </row>
    <row r="731" spans="1:11" x14ac:dyDescent="0.25">
      <c r="A731" s="13">
        <f>'Raw Data'!A731</f>
        <v>729</v>
      </c>
      <c r="B731" s="13" t="str">
        <f>'Raw Data'!C731</f>
        <v xml:space="preserve"> Happy </v>
      </c>
      <c r="C731" s="13" t="str">
        <f t="shared" si="99"/>
        <v>Happy</v>
      </c>
      <c r="D731" s="13" t="str">
        <f t="shared" si="100"/>
        <v xml:space="preserve"> Happy </v>
      </c>
      <c r="E731" s="13" t="str">
        <f t="shared" si="101"/>
        <v>Happy</v>
      </c>
      <c r="F731" s="13" t="str">
        <f t="shared" si="102"/>
        <v>HAPPY</v>
      </c>
      <c r="G731" s="13" t="str">
        <f t="shared" si="103"/>
        <v>happy</v>
      </c>
      <c r="H731" s="13" t="str">
        <f t="shared" si="104"/>
        <v>Happy</v>
      </c>
      <c r="I731" s="13">
        <f t="shared" si="105"/>
        <v>7</v>
      </c>
      <c r="J731" s="13">
        <f t="shared" si="106"/>
        <v>5</v>
      </c>
      <c r="K731" s="13">
        <f t="shared" si="107"/>
        <v>2</v>
      </c>
    </row>
    <row r="732" spans="1:11" x14ac:dyDescent="0.25">
      <c r="A732" s="13">
        <f>'Raw Data'!A732</f>
        <v>730</v>
      </c>
      <c r="B732" s="13" t="str">
        <f>'Raw Data'!C732</f>
        <v xml:space="preserve"> Happy </v>
      </c>
      <c r="C732" s="13" t="str">
        <f t="shared" si="99"/>
        <v>Happy</v>
      </c>
      <c r="D732" s="13" t="str">
        <f t="shared" si="100"/>
        <v xml:space="preserve"> Happy </v>
      </c>
      <c r="E732" s="13" t="str">
        <f t="shared" si="101"/>
        <v>Happy</v>
      </c>
      <c r="F732" s="13" t="str">
        <f t="shared" si="102"/>
        <v>HAPPY</v>
      </c>
      <c r="G732" s="13" t="str">
        <f t="shared" si="103"/>
        <v>happy</v>
      </c>
      <c r="H732" s="13" t="str">
        <f t="shared" si="104"/>
        <v>Happy</v>
      </c>
      <c r="I732" s="13">
        <f t="shared" si="105"/>
        <v>7</v>
      </c>
      <c r="J732" s="13">
        <f t="shared" si="106"/>
        <v>5</v>
      </c>
      <c r="K732" s="13">
        <f t="shared" si="107"/>
        <v>2</v>
      </c>
    </row>
    <row r="733" spans="1:11" x14ac:dyDescent="0.25">
      <c r="A733" s="13">
        <f>'Raw Data'!A733</f>
        <v>731</v>
      </c>
      <c r="B733" s="13" t="str">
        <f>'Raw Data'!C733</f>
        <v xml:space="preserve"> Happy </v>
      </c>
      <c r="C733" s="13" t="str">
        <f t="shared" si="99"/>
        <v>Happy</v>
      </c>
      <c r="D733" s="13" t="str">
        <f t="shared" si="100"/>
        <v xml:space="preserve"> Happy </v>
      </c>
      <c r="E733" s="13" t="str">
        <f t="shared" si="101"/>
        <v>Happy</v>
      </c>
      <c r="F733" s="13" t="str">
        <f t="shared" si="102"/>
        <v>HAPPY</v>
      </c>
      <c r="G733" s="13" t="str">
        <f t="shared" si="103"/>
        <v>happy</v>
      </c>
      <c r="H733" s="13" t="str">
        <f t="shared" si="104"/>
        <v>Happy</v>
      </c>
      <c r="I733" s="13">
        <f t="shared" si="105"/>
        <v>7</v>
      </c>
      <c r="J733" s="13">
        <f t="shared" si="106"/>
        <v>5</v>
      </c>
      <c r="K733" s="13">
        <f t="shared" si="107"/>
        <v>2</v>
      </c>
    </row>
    <row r="734" spans="1:11" x14ac:dyDescent="0.25">
      <c r="A734" s="13">
        <f>'Raw Data'!A734</f>
        <v>732</v>
      </c>
      <c r="B734" s="13" t="str">
        <f>'Raw Data'!C734</f>
        <v xml:space="preserve"> Happy </v>
      </c>
      <c r="C734" s="13" t="str">
        <f t="shared" si="99"/>
        <v>Happy</v>
      </c>
      <c r="D734" s="13" t="str">
        <f t="shared" si="100"/>
        <v xml:space="preserve"> Happy </v>
      </c>
      <c r="E734" s="13" t="str">
        <f t="shared" si="101"/>
        <v>Happy</v>
      </c>
      <c r="F734" s="13" t="str">
        <f t="shared" si="102"/>
        <v>HAPPY</v>
      </c>
      <c r="G734" s="13" t="str">
        <f t="shared" si="103"/>
        <v>happy</v>
      </c>
      <c r="H734" s="13" t="str">
        <f t="shared" si="104"/>
        <v>Happy</v>
      </c>
      <c r="I734" s="13">
        <f t="shared" si="105"/>
        <v>7</v>
      </c>
      <c r="J734" s="13">
        <f t="shared" si="106"/>
        <v>5</v>
      </c>
      <c r="K734" s="13">
        <f t="shared" si="107"/>
        <v>2</v>
      </c>
    </row>
  </sheetData>
  <mergeCells count="1">
    <mergeCell ref="A1:H1"/>
  </mergeCells>
  <conditionalFormatting sqref="A3:K734">
    <cfRule type="expression" dxfId="3" priority="1">
      <formula>MOD(ROW(),2)=0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7EEE3-1B40-457B-9366-68D5C06778FB}">
  <dimension ref="A1:K734"/>
  <sheetViews>
    <sheetView zoomScale="68" zoomScaleNormal="68" workbookViewId="0">
      <selection activeCell="J16" sqref="J16"/>
    </sheetView>
  </sheetViews>
  <sheetFormatPr defaultRowHeight="15" x14ac:dyDescent="0.25"/>
  <cols>
    <col min="1" max="1" width="8.7109375" customWidth="1"/>
    <col min="2" max="2" width="25.7109375" customWidth="1"/>
    <col min="3" max="6" width="22.7109375" customWidth="1"/>
    <col min="8" max="8" width="10.5703125" customWidth="1"/>
    <col min="9" max="9" width="14.28515625" customWidth="1"/>
    <col min="10" max="10" width="21.7109375" customWidth="1"/>
    <col min="11" max="11" width="17.42578125" customWidth="1"/>
  </cols>
  <sheetData>
    <row r="1" spans="1:11" ht="30" customHeight="1" x14ac:dyDescent="0.25">
      <c r="A1" s="25" t="s">
        <v>2521</v>
      </c>
      <c r="B1" s="25"/>
      <c r="C1" s="25"/>
      <c r="D1" s="25"/>
      <c r="E1" s="25"/>
      <c r="F1" s="25"/>
    </row>
    <row r="2" spans="1:11" ht="36" customHeight="1" x14ac:dyDescent="0.25">
      <c r="A2" s="14" t="s">
        <v>2510</v>
      </c>
      <c r="B2" s="14" t="s">
        <v>2522</v>
      </c>
      <c r="C2" s="14" t="s">
        <v>2523</v>
      </c>
      <c r="D2" s="14" t="s">
        <v>2524</v>
      </c>
      <c r="E2" s="14" t="s">
        <v>2525</v>
      </c>
      <c r="F2" s="14" t="s">
        <v>2526</v>
      </c>
      <c r="G2" s="27"/>
      <c r="H2" s="14" t="s">
        <v>2510</v>
      </c>
      <c r="I2" s="14" t="s">
        <v>2527</v>
      </c>
      <c r="J2" s="14" t="s">
        <v>2528</v>
      </c>
      <c r="K2" s="14" t="s">
        <v>2557</v>
      </c>
    </row>
    <row r="3" spans="1:11" x14ac:dyDescent="0.25">
      <c r="A3" s="15">
        <f>'Raw Data'!A3</f>
        <v>0</v>
      </c>
      <c r="B3" s="16">
        <f>'Raw Data'!D3</f>
        <v>44941.520833333336</v>
      </c>
      <c r="C3" s="15">
        <v>2023</v>
      </c>
      <c r="D3" s="15" t="str">
        <f>TEXT(B3,"MMMM")</f>
        <v>January</v>
      </c>
      <c r="E3" s="15">
        <v>15</v>
      </c>
      <c r="F3" s="17">
        <v>0.52083333333333337</v>
      </c>
      <c r="G3" s="28"/>
      <c r="H3" s="15">
        <f>'Raw Data'!A3</f>
        <v>0</v>
      </c>
      <c r="I3" s="15" t="str">
        <f>'Raw Data'!J3</f>
        <v xml:space="preserve"> USA      </v>
      </c>
      <c r="J3" s="15" t="s">
        <v>2529</v>
      </c>
      <c r="K3" s="15" t="str">
        <f>IF(I3=J3,"No Change","Updated")</f>
        <v>Updated</v>
      </c>
    </row>
    <row r="4" spans="1:11" x14ac:dyDescent="0.25">
      <c r="A4" s="15">
        <f>'Raw Data'!A4</f>
        <v>1</v>
      </c>
      <c r="B4" s="16">
        <f>'Raw Data'!D4</f>
        <v>44941.364583333336</v>
      </c>
      <c r="C4" s="15">
        <v>2023</v>
      </c>
      <c r="D4" s="15" t="str">
        <f t="shared" ref="D4:D67" si="0">TEXT(B4,"MMMM")</f>
        <v>January</v>
      </c>
      <c r="E4" s="15">
        <v>15</v>
      </c>
      <c r="F4" s="17">
        <v>0.36458333333333331</v>
      </c>
      <c r="G4" s="28"/>
      <c r="H4" s="15">
        <f>'Raw Data'!A4</f>
        <v>1</v>
      </c>
      <c r="I4" s="15" t="str">
        <f>'Raw Data'!J4</f>
        <v xml:space="preserve"> Canada   </v>
      </c>
      <c r="J4" s="15" t="s">
        <v>21</v>
      </c>
      <c r="K4" s="15" t="str">
        <f t="shared" ref="K4:K67" si="1">IF(I4=J4,"No Change","Updated")</f>
        <v>No Change</v>
      </c>
    </row>
    <row r="5" spans="1:11" x14ac:dyDescent="0.25">
      <c r="A5" s="15">
        <f>'Raw Data'!A5</f>
        <v>2</v>
      </c>
      <c r="B5" s="16">
        <f>'Raw Data'!D5</f>
        <v>44941.65625</v>
      </c>
      <c r="C5" s="15">
        <v>2023</v>
      </c>
      <c r="D5" s="15" t="str">
        <f t="shared" si="0"/>
        <v>January</v>
      </c>
      <c r="E5" s="15">
        <v>15</v>
      </c>
      <c r="F5" s="17">
        <v>0.65625</v>
      </c>
      <c r="G5" s="28"/>
      <c r="H5" s="15">
        <f>'Raw Data'!A5</f>
        <v>2</v>
      </c>
      <c r="I5" s="15" t="str">
        <f>'Raw Data'!J5</f>
        <v xml:space="preserve"> USA        </v>
      </c>
      <c r="J5" s="15" t="s">
        <v>2530</v>
      </c>
      <c r="K5" s="15" t="str">
        <f t="shared" si="1"/>
        <v>Updated</v>
      </c>
    </row>
    <row r="6" spans="1:11" x14ac:dyDescent="0.25">
      <c r="A6" s="15">
        <f>'Raw Data'!A6</f>
        <v>3</v>
      </c>
      <c r="B6" s="16">
        <f>'Raw Data'!D6</f>
        <v>44941.763888888891</v>
      </c>
      <c r="C6" s="15">
        <v>2023</v>
      </c>
      <c r="D6" s="15" t="str">
        <f t="shared" si="0"/>
        <v>January</v>
      </c>
      <c r="E6" s="15">
        <v>15</v>
      </c>
      <c r="F6" s="17">
        <v>0.76388888888888884</v>
      </c>
      <c r="G6" s="28"/>
      <c r="H6" s="15">
        <f>'Raw Data'!A6</f>
        <v>3</v>
      </c>
      <c r="I6" s="15" t="str">
        <f>'Raw Data'!J6</f>
        <v xml:space="preserve"> UK       </v>
      </c>
      <c r="J6" s="15" t="s">
        <v>2544</v>
      </c>
      <c r="K6" s="15" t="str">
        <f t="shared" si="1"/>
        <v>Updated</v>
      </c>
    </row>
    <row r="7" spans="1:11" x14ac:dyDescent="0.25">
      <c r="A7" s="15">
        <f>'Raw Data'!A7</f>
        <v>4</v>
      </c>
      <c r="B7" s="16">
        <f>'Raw Data'!D7</f>
        <v>44941.829861111109</v>
      </c>
      <c r="C7" s="15">
        <v>2023</v>
      </c>
      <c r="D7" s="15" t="str">
        <f t="shared" si="0"/>
        <v>January</v>
      </c>
      <c r="E7" s="15">
        <v>15</v>
      </c>
      <c r="F7" s="17">
        <v>0.82986111111111116</v>
      </c>
      <c r="G7" s="28"/>
      <c r="H7" s="15">
        <f>'Raw Data'!A7</f>
        <v>4</v>
      </c>
      <c r="I7" s="15" t="str">
        <f>'Raw Data'!J7</f>
        <v xml:space="preserve"> Australia </v>
      </c>
      <c r="J7" s="15" t="s">
        <v>36</v>
      </c>
      <c r="K7" s="15" t="str">
        <f t="shared" si="1"/>
        <v>No Change</v>
      </c>
    </row>
    <row r="8" spans="1:11" x14ac:dyDescent="0.25">
      <c r="A8" s="15">
        <f>'Raw Data'!A8</f>
        <v>5</v>
      </c>
      <c r="B8" s="16">
        <f>'Raw Data'!D8</f>
        <v>44942.381944444445</v>
      </c>
      <c r="C8" s="15">
        <v>2023</v>
      </c>
      <c r="D8" s="15" t="str">
        <f t="shared" si="0"/>
        <v>January</v>
      </c>
      <c r="E8" s="15">
        <v>16</v>
      </c>
      <c r="F8" s="17">
        <v>0.38194444444444442</v>
      </c>
      <c r="G8" s="28"/>
      <c r="H8" s="15">
        <f>'Raw Data'!A8</f>
        <v>5</v>
      </c>
      <c r="I8" s="15" t="str">
        <f>'Raw Data'!J8</f>
        <v xml:space="preserve"> India    </v>
      </c>
      <c r="J8" s="15" t="s">
        <v>40</v>
      </c>
      <c r="K8" s="15" t="str">
        <f t="shared" si="1"/>
        <v>No Change</v>
      </c>
    </row>
    <row r="9" spans="1:11" x14ac:dyDescent="0.25">
      <c r="A9" s="15">
        <f>'Raw Data'!A9</f>
        <v>6</v>
      </c>
      <c r="B9" s="16">
        <f>'Raw Data'!D9</f>
        <v>44942.614583333336</v>
      </c>
      <c r="C9" s="15">
        <v>2023</v>
      </c>
      <c r="D9" s="15" t="str">
        <f t="shared" si="0"/>
        <v>January</v>
      </c>
      <c r="E9" s="15">
        <v>16</v>
      </c>
      <c r="F9" s="17">
        <v>0.61458333333333337</v>
      </c>
      <c r="G9" s="28"/>
      <c r="H9" s="15">
        <f>'Raw Data'!A9</f>
        <v>6</v>
      </c>
      <c r="I9" s="15" t="str">
        <f>'Raw Data'!J9</f>
        <v xml:space="preserve"> Canada   </v>
      </c>
      <c r="J9" s="15" t="s">
        <v>21</v>
      </c>
      <c r="K9" s="15" t="str">
        <f t="shared" si="1"/>
        <v>No Change</v>
      </c>
    </row>
    <row r="10" spans="1:11" x14ac:dyDescent="0.25">
      <c r="A10" s="15">
        <f>'Raw Data'!A10</f>
        <v>7</v>
      </c>
      <c r="B10" s="16">
        <f>'Raw Data'!D10</f>
        <v>44942.8125</v>
      </c>
      <c r="C10" s="15">
        <v>2023</v>
      </c>
      <c r="D10" s="15" t="str">
        <f t="shared" si="0"/>
        <v>January</v>
      </c>
      <c r="E10" s="15">
        <v>16</v>
      </c>
      <c r="F10" s="17">
        <v>0.8125</v>
      </c>
      <c r="G10" s="28"/>
      <c r="H10" s="15">
        <f>'Raw Data'!A10</f>
        <v>7</v>
      </c>
      <c r="I10" s="15" t="str">
        <f>'Raw Data'!J10</f>
        <v xml:space="preserve"> USA    </v>
      </c>
      <c r="J10" s="15" t="s">
        <v>2531</v>
      </c>
      <c r="K10" s="15" t="str">
        <f t="shared" si="1"/>
        <v>Updated</v>
      </c>
    </row>
    <row r="11" spans="1:11" x14ac:dyDescent="0.25">
      <c r="A11" s="15">
        <f>'Raw Data'!A11</f>
        <v>8</v>
      </c>
      <c r="B11" s="16">
        <f>'Raw Data'!D11</f>
        <v>44943.333333333336</v>
      </c>
      <c r="C11" s="15">
        <v>2023</v>
      </c>
      <c r="D11" s="15" t="str">
        <f t="shared" si="0"/>
        <v>January</v>
      </c>
      <c r="E11" s="15">
        <v>17</v>
      </c>
      <c r="F11" s="17">
        <v>0.33333333333333331</v>
      </c>
      <c r="G11" s="28"/>
      <c r="H11" s="15">
        <f>'Raw Data'!A11</f>
        <v>8</v>
      </c>
      <c r="I11" s="15" t="str">
        <f>'Raw Data'!J11</f>
        <v xml:space="preserve"> USA      </v>
      </c>
      <c r="J11" s="15" t="s">
        <v>2529</v>
      </c>
      <c r="K11" s="15" t="str">
        <f t="shared" si="1"/>
        <v>Updated</v>
      </c>
    </row>
    <row r="12" spans="1:11" x14ac:dyDescent="0.25">
      <c r="A12" s="15">
        <f>'Raw Data'!A12</f>
        <v>9</v>
      </c>
      <c r="B12" s="16">
        <f>'Raw Data'!D12</f>
        <v>44943.513888888891</v>
      </c>
      <c r="C12" s="15">
        <v>2023</v>
      </c>
      <c r="D12" s="15" t="str">
        <f t="shared" si="0"/>
        <v>January</v>
      </c>
      <c r="E12" s="15">
        <v>17</v>
      </c>
      <c r="F12" s="17">
        <v>0.51388888888888884</v>
      </c>
      <c r="G12" s="28"/>
      <c r="H12" s="15">
        <f>'Raw Data'!A12</f>
        <v>9</v>
      </c>
      <c r="I12" s="15" t="str">
        <f>'Raw Data'!J12</f>
        <v xml:space="preserve"> Australia </v>
      </c>
      <c r="J12" s="15" t="s">
        <v>36</v>
      </c>
      <c r="K12" s="15" t="str">
        <f t="shared" si="1"/>
        <v>No Change</v>
      </c>
    </row>
    <row r="13" spans="1:11" x14ac:dyDescent="0.25">
      <c r="A13" s="15">
        <f>'Raw Data'!A13</f>
        <v>10</v>
      </c>
      <c r="B13" s="16">
        <f>'Raw Data'!D13</f>
        <v>44943.635416666664</v>
      </c>
      <c r="C13" s="15">
        <v>2023</v>
      </c>
      <c r="D13" s="15" t="str">
        <f t="shared" si="0"/>
        <v>January</v>
      </c>
      <c r="E13" s="15">
        <v>17</v>
      </c>
      <c r="F13" s="17">
        <v>0.63541666666666663</v>
      </c>
      <c r="G13" s="28"/>
      <c r="H13" s="15">
        <f>'Raw Data'!A13</f>
        <v>10</v>
      </c>
      <c r="I13" s="15" t="str">
        <f>'Raw Data'!J13</f>
        <v>USA</v>
      </c>
      <c r="J13" s="15" t="s">
        <v>2532</v>
      </c>
      <c r="K13" s="15" t="str">
        <f t="shared" si="1"/>
        <v>Updated</v>
      </c>
    </row>
    <row r="14" spans="1:11" x14ac:dyDescent="0.25">
      <c r="A14" s="15">
        <f>'Raw Data'!A14</f>
        <v>11</v>
      </c>
      <c r="B14" s="16">
        <f>'Raw Data'!D14</f>
        <v>44944.4375</v>
      </c>
      <c r="C14" s="15">
        <v>2023</v>
      </c>
      <c r="D14" s="15" t="str">
        <f t="shared" si="0"/>
        <v>January</v>
      </c>
      <c r="E14" s="15">
        <v>18</v>
      </c>
      <c r="F14" s="17">
        <v>0.4375</v>
      </c>
      <c r="G14" s="28"/>
      <c r="H14" s="15">
        <f>'Raw Data'!A14</f>
        <v>11</v>
      </c>
      <c r="I14" s="15" t="str">
        <f>'Raw Data'!J14</f>
        <v xml:space="preserve"> Canada   </v>
      </c>
      <c r="J14" s="15" t="s">
        <v>21</v>
      </c>
      <c r="K14" s="15" t="str">
        <f t="shared" si="1"/>
        <v>No Change</v>
      </c>
    </row>
    <row r="15" spans="1:11" x14ac:dyDescent="0.25">
      <c r="A15" s="15">
        <f>'Raw Data'!A15</f>
        <v>12</v>
      </c>
      <c r="B15" s="16">
        <f>'Raw Data'!D15</f>
        <v>44944.618055555555</v>
      </c>
      <c r="C15" s="15">
        <v>2023</v>
      </c>
      <c r="D15" s="15" t="str">
        <f t="shared" si="0"/>
        <v>January</v>
      </c>
      <c r="E15" s="15">
        <v>18</v>
      </c>
      <c r="F15" s="17">
        <v>0.61805555555555558</v>
      </c>
      <c r="G15" s="28"/>
      <c r="H15" s="15">
        <f>'Raw Data'!A15</f>
        <v>12</v>
      </c>
      <c r="I15" s="15" t="str">
        <f>'Raw Data'!J15</f>
        <v xml:space="preserve"> UK       </v>
      </c>
      <c r="J15" s="15" t="s">
        <v>2544</v>
      </c>
      <c r="K15" s="15" t="str">
        <f t="shared" si="1"/>
        <v>Updated</v>
      </c>
    </row>
    <row r="16" spans="1:11" x14ac:dyDescent="0.25">
      <c r="A16" s="15">
        <f>'Raw Data'!A16</f>
        <v>13</v>
      </c>
      <c r="B16" s="16">
        <f>'Raw Data'!D16</f>
        <v>44944.75</v>
      </c>
      <c r="C16" s="15">
        <v>2023</v>
      </c>
      <c r="D16" s="15" t="str">
        <f t="shared" si="0"/>
        <v>January</v>
      </c>
      <c r="E16" s="15">
        <v>18</v>
      </c>
      <c r="F16" s="17">
        <v>0.75</v>
      </c>
      <c r="G16" s="28"/>
      <c r="H16" s="15">
        <f>'Raw Data'!A16</f>
        <v>13</v>
      </c>
      <c r="I16" s="15" t="str">
        <f>'Raw Data'!J16</f>
        <v xml:space="preserve"> USA        </v>
      </c>
      <c r="J16" s="15" t="s">
        <v>2530</v>
      </c>
      <c r="K16" s="15" t="str">
        <f t="shared" si="1"/>
        <v>Updated</v>
      </c>
    </row>
    <row r="17" spans="1:11" x14ac:dyDescent="0.25">
      <c r="A17" s="15">
        <f>'Raw Data'!A17</f>
        <v>14</v>
      </c>
      <c r="B17" s="16">
        <f>'Raw Data'!D17</f>
        <v>44945.40625</v>
      </c>
      <c r="C17" s="15">
        <v>2023</v>
      </c>
      <c r="D17" s="15" t="str">
        <f t="shared" si="0"/>
        <v>January</v>
      </c>
      <c r="E17" s="15">
        <v>19</v>
      </c>
      <c r="F17" s="17">
        <v>0.40625</v>
      </c>
      <c r="G17" s="28"/>
      <c r="H17" s="15">
        <f>'Raw Data'!A17</f>
        <v>14</v>
      </c>
      <c r="I17" s="15" t="str">
        <f>'Raw Data'!J17</f>
        <v xml:space="preserve"> India    </v>
      </c>
      <c r="J17" s="15" t="s">
        <v>40</v>
      </c>
      <c r="K17" s="15" t="str">
        <f t="shared" si="1"/>
        <v>No Change</v>
      </c>
    </row>
    <row r="18" spans="1:11" x14ac:dyDescent="0.25">
      <c r="A18" s="15">
        <f>'Raw Data'!A18</f>
        <v>15</v>
      </c>
      <c r="B18" s="16">
        <f>'Raw Data'!D18</f>
        <v>44945.555555555555</v>
      </c>
      <c r="C18" s="15">
        <v>2023</v>
      </c>
      <c r="D18" s="15" t="str">
        <f t="shared" si="0"/>
        <v>January</v>
      </c>
      <c r="E18" s="15">
        <v>19</v>
      </c>
      <c r="F18" s="17">
        <v>0.55555555555555558</v>
      </c>
      <c r="G18" s="28"/>
      <c r="H18" s="15">
        <f>'Raw Data'!A18</f>
        <v>15</v>
      </c>
      <c r="I18" s="15" t="str">
        <f>'Raw Data'!J18</f>
        <v xml:space="preserve"> USA      </v>
      </c>
      <c r="J18" s="15" t="s">
        <v>2529</v>
      </c>
      <c r="K18" s="15" t="str">
        <f t="shared" si="1"/>
        <v>Updated</v>
      </c>
    </row>
    <row r="19" spans="1:11" x14ac:dyDescent="0.25">
      <c r="A19" s="15">
        <f>'Raw Data'!A19</f>
        <v>16</v>
      </c>
      <c r="B19" s="16">
        <f>'Raw Data'!D19</f>
        <v>44945.715277777781</v>
      </c>
      <c r="C19" s="15">
        <v>2023</v>
      </c>
      <c r="D19" s="15" t="str">
        <f t="shared" si="0"/>
        <v>January</v>
      </c>
      <c r="E19" s="15">
        <v>19</v>
      </c>
      <c r="F19" s="17">
        <v>0.71527777777777779</v>
      </c>
      <c r="G19" s="28"/>
      <c r="H19" s="15">
        <f>'Raw Data'!A19</f>
        <v>16</v>
      </c>
      <c r="I19" s="15" t="str">
        <f>'Raw Data'!J19</f>
        <v xml:space="preserve"> Canada    </v>
      </c>
      <c r="J19" s="15" t="s">
        <v>76</v>
      </c>
      <c r="K19" s="15" t="str">
        <f t="shared" si="1"/>
        <v>No Change</v>
      </c>
    </row>
    <row r="20" spans="1:11" x14ac:dyDescent="0.25">
      <c r="A20" s="15">
        <f>'Raw Data'!A20</f>
        <v>17</v>
      </c>
      <c r="B20" s="16">
        <f>'Raw Data'!D20</f>
        <v>44946.003472222219</v>
      </c>
      <c r="C20" s="15">
        <v>2023</v>
      </c>
      <c r="D20" s="15" t="str">
        <f t="shared" si="0"/>
        <v>January</v>
      </c>
      <c r="E20" s="15">
        <v>20</v>
      </c>
      <c r="F20" s="17">
        <v>3.472222222222222E-3</v>
      </c>
      <c r="G20" s="28"/>
      <c r="H20" s="15">
        <f>'Raw Data'!A20</f>
        <v>17</v>
      </c>
      <c r="I20" s="15" t="str">
        <f>'Raw Data'!J20</f>
        <v xml:space="preserve"> UK       </v>
      </c>
      <c r="J20" s="15" t="s">
        <v>2544</v>
      </c>
      <c r="K20" s="15" t="str">
        <f t="shared" si="1"/>
        <v>Updated</v>
      </c>
    </row>
    <row r="21" spans="1:11" x14ac:dyDescent="0.25">
      <c r="A21" s="15">
        <f>'Raw Data'!A21</f>
        <v>18</v>
      </c>
      <c r="B21" s="16">
        <f>'Raw Data'!D21</f>
        <v>44946.479166666664</v>
      </c>
      <c r="C21" s="15">
        <v>2023</v>
      </c>
      <c r="D21" s="15" t="str">
        <f t="shared" si="0"/>
        <v>January</v>
      </c>
      <c r="E21" s="15">
        <v>20</v>
      </c>
      <c r="F21" s="17">
        <v>0.47916666666666669</v>
      </c>
      <c r="G21" s="28"/>
      <c r="H21" s="15">
        <f>'Raw Data'!A21</f>
        <v>18</v>
      </c>
      <c r="I21" s="15" t="str">
        <f>'Raw Data'!J21</f>
        <v>USA</v>
      </c>
      <c r="J21" s="15" t="s">
        <v>2532</v>
      </c>
      <c r="K21" s="15" t="str">
        <f t="shared" si="1"/>
        <v>Updated</v>
      </c>
    </row>
    <row r="22" spans="1:11" x14ac:dyDescent="0.25">
      <c r="A22" s="15">
        <f>'Raw Data'!A22</f>
        <v>19</v>
      </c>
      <c r="B22" s="16">
        <f>'Raw Data'!D22</f>
        <v>44946.635416666664</v>
      </c>
      <c r="C22" s="15">
        <v>2023</v>
      </c>
      <c r="D22" s="15" t="str">
        <f t="shared" si="0"/>
        <v>January</v>
      </c>
      <c r="E22" s="15">
        <v>20</v>
      </c>
      <c r="F22" s="17">
        <v>0.63541666666666663</v>
      </c>
      <c r="G22" s="28"/>
      <c r="H22" s="15">
        <f>'Raw Data'!A22</f>
        <v>19</v>
      </c>
      <c r="I22" s="15" t="str">
        <f>'Raw Data'!J22</f>
        <v xml:space="preserve"> USA       </v>
      </c>
      <c r="J22" s="15" t="s">
        <v>2533</v>
      </c>
      <c r="K22" s="15" t="str">
        <f t="shared" si="1"/>
        <v>Updated</v>
      </c>
    </row>
    <row r="23" spans="1:11" x14ac:dyDescent="0.25">
      <c r="A23" s="15">
        <f>'Raw Data'!A23</f>
        <v>20</v>
      </c>
      <c r="B23" s="16">
        <f>'Raw Data'!D23</f>
        <v>44947.361111111109</v>
      </c>
      <c r="C23" s="15">
        <v>2023</v>
      </c>
      <c r="D23" s="15" t="str">
        <f t="shared" si="0"/>
        <v>January</v>
      </c>
      <c r="E23" s="15">
        <v>21</v>
      </c>
      <c r="F23" s="17">
        <v>0.3611111111111111</v>
      </c>
      <c r="G23" s="28"/>
      <c r="H23" s="15">
        <f>'Raw Data'!A23</f>
        <v>20</v>
      </c>
      <c r="I23" s="15" t="str">
        <f>'Raw Data'!J23</f>
        <v xml:space="preserve"> India    </v>
      </c>
      <c r="J23" s="15" t="s">
        <v>40</v>
      </c>
      <c r="K23" s="15" t="str">
        <f t="shared" si="1"/>
        <v>No Change</v>
      </c>
    </row>
    <row r="24" spans="1:11" x14ac:dyDescent="0.25">
      <c r="A24" s="15">
        <f>'Raw Data'!A24</f>
        <v>21</v>
      </c>
      <c r="B24" s="16">
        <f>'Raw Data'!D24</f>
        <v>44947.555555555555</v>
      </c>
      <c r="C24" s="15">
        <v>2023</v>
      </c>
      <c r="D24" s="15" t="str">
        <f t="shared" si="0"/>
        <v>January</v>
      </c>
      <c r="E24" s="15">
        <v>21</v>
      </c>
      <c r="F24" s="17">
        <v>0.55555555555555558</v>
      </c>
      <c r="G24" s="28"/>
      <c r="H24" s="15">
        <f>'Raw Data'!A24</f>
        <v>21</v>
      </c>
      <c r="I24" s="15" t="str">
        <f>'Raw Data'!J24</f>
        <v>USA</v>
      </c>
      <c r="J24" s="15" t="s">
        <v>2532</v>
      </c>
      <c r="K24" s="15" t="str">
        <f t="shared" si="1"/>
        <v>Updated</v>
      </c>
    </row>
    <row r="25" spans="1:11" x14ac:dyDescent="0.25">
      <c r="A25" s="15">
        <f>'Raw Data'!A25</f>
        <v>22</v>
      </c>
      <c r="B25" s="16">
        <f>'Raw Data'!D25</f>
        <v>44947.697916666664</v>
      </c>
      <c r="C25" s="15">
        <v>2023</v>
      </c>
      <c r="D25" s="15" t="str">
        <f t="shared" si="0"/>
        <v>January</v>
      </c>
      <c r="E25" s="15">
        <v>21</v>
      </c>
      <c r="F25" s="17">
        <v>0.69791666666666663</v>
      </c>
      <c r="G25" s="28"/>
      <c r="H25" s="15">
        <f>'Raw Data'!A25</f>
        <v>22</v>
      </c>
      <c r="I25" s="15" t="str">
        <f>'Raw Data'!J25</f>
        <v xml:space="preserve"> USA </v>
      </c>
      <c r="J25" s="15" t="s">
        <v>2534</v>
      </c>
      <c r="K25" s="15" t="str">
        <f t="shared" si="1"/>
        <v>Updated</v>
      </c>
    </row>
    <row r="26" spans="1:11" x14ac:dyDescent="0.25">
      <c r="A26" s="15">
        <f>'Raw Data'!A26</f>
        <v>23</v>
      </c>
      <c r="B26" s="16">
        <f>'Raw Data'!D26</f>
        <v>44948.385416666664</v>
      </c>
      <c r="C26" s="15">
        <v>2023</v>
      </c>
      <c r="D26" s="15" t="str">
        <f t="shared" si="0"/>
        <v>January</v>
      </c>
      <c r="E26" s="15">
        <v>22</v>
      </c>
      <c r="F26" s="17">
        <v>0.38541666666666669</v>
      </c>
      <c r="G26" s="28"/>
      <c r="H26" s="15">
        <f>'Raw Data'!A26</f>
        <v>23</v>
      </c>
      <c r="I26" s="15" t="str">
        <f>'Raw Data'!J26</f>
        <v xml:space="preserve"> UK       </v>
      </c>
      <c r="J26" s="15" t="s">
        <v>2544</v>
      </c>
      <c r="K26" s="15" t="str">
        <f t="shared" si="1"/>
        <v>Updated</v>
      </c>
    </row>
    <row r="27" spans="1:11" x14ac:dyDescent="0.25">
      <c r="A27" s="15">
        <f>'Raw Data'!A27</f>
        <v>24</v>
      </c>
      <c r="B27" s="16">
        <f>'Raw Data'!D27</f>
        <v>44948.604166666664</v>
      </c>
      <c r="C27" s="15">
        <v>2023</v>
      </c>
      <c r="D27" s="15" t="str">
        <f t="shared" si="0"/>
        <v>January</v>
      </c>
      <c r="E27" s="15">
        <v>22</v>
      </c>
      <c r="F27" s="17">
        <v>0.60416666666666663</v>
      </c>
      <c r="G27" s="28"/>
      <c r="H27" s="15">
        <f>'Raw Data'!A27</f>
        <v>24</v>
      </c>
      <c r="I27" s="15" t="str">
        <f>'Raw Data'!J27</f>
        <v xml:space="preserve"> Canada  </v>
      </c>
      <c r="J27" s="15" t="s">
        <v>103</v>
      </c>
      <c r="K27" s="15" t="str">
        <f t="shared" si="1"/>
        <v>No Change</v>
      </c>
    </row>
    <row r="28" spans="1:11" x14ac:dyDescent="0.25">
      <c r="A28" s="15">
        <f>'Raw Data'!A28</f>
        <v>25</v>
      </c>
      <c r="B28" s="16">
        <f>'Raw Data'!D28</f>
        <v>44948.5</v>
      </c>
      <c r="C28" s="15">
        <v>2023</v>
      </c>
      <c r="D28" s="15" t="str">
        <f t="shared" si="0"/>
        <v>January</v>
      </c>
      <c r="E28" s="15">
        <v>22</v>
      </c>
      <c r="F28" s="17">
        <v>0.5</v>
      </c>
      <c r="G28" s="28"/>
      <c r="H28" s="15">
        <f>'Raw Data'!A28</f>
        <v>25</v>
      </c>
      <c r="I28" s="15" t="str">
        <f>'Raw Data'!J28</f>
        <v xml:space="preserve"> UK </v>
      </c>
      <c r="J28" s="15" t="s">
        <v>2545</v>
      </c>
      <c r="K28" s="15" t="str">
        <f t="shared" si="1"/>
        <v>Updated</v>
      </c>
    </row>
    <row r="29" spans="1:11" x14ac:dyDescent="0.25">
      <c r="A29" s="15">
        <f>'Raw Data'!A29</f>
        <v>27</v>
      </c>
      <c r="B29" s="16">
        <f>'Raw Data'!D29</f>
        <v>44949.680555555555</v>
      </c>
      <c r="C29" s="15">
        <v>2023</v>
      </c>
      <c r="D29" s="15" t="str">
        <f t="shared" si="0"/>
        <v>January</v>
      </c>
      <c r="E29" s="15">
        <v>23</v>
      </c>
      <c r="F29" s="17">
        <v>0.68055555555555558</v>
      </c>
      <c r="G29" s="28"/>
      <c r="H29" s="15">
        <f>'Raw Data'!A29</f>
        <v>27</v>
      </c>
      <c r="I29" s="15" t="str">
        <f>'Raw Data'!J29</f>
        <v xml:space="preserve"> India     </v>
      </c>
      <c r="J29" s="15" t="s">
        <v>111</v>
      </c>
      <c r="K29" s="15" t="str">
        <f t="shared" si="1"/>
        <v>No Change</v>
      </c>
    </row>
    <row r="30" spans="1:11" x14ac:dyDescent="0.25">
      <c r="A30" s="15">
        <f>'Raw Data'!A30</f>
        <v>28</v>
      </c>
      <c r="B30" s="16">
        <f>'Raw Data'!D30</f>
        <v>44949.822916666664</v>
      </c>
      <c r="C30" s="15">
        <v>2023</v>
      </c>
      <c r="D30" s="15" t="str">
        <f t="shared" si="0"/>
        <v>January</v>
      </c>
      <c r="E30" s="15">
        <v>23</v>
      </c>
      <c r="F30" s="17">
        <v>0.82291666666666663</v>
      </c>
      <c r="G30" s="28"/>
      <c r="H30" s="15">
        <f>'Raw Data'!A30</f>
        <v>28</v>
      </c>
      <c r="I30" s="15" t="str">
        <f>'Raw Data'!J30</f>
        <v xml:space="preserve"> Australia </v>
      </c>
      <c r="J30" s="15" t="s">
        <v>36</v>
      </c>
      <c r="K30" s="15" t="str">
        <f t="shared" si="1"/>
        <v>No Change</v>
      </c>
    </row>
    <row r="31" spans="1:11" x14ac:dyDescent="0.25">
      <c r="A31" s="15">
        <f>'Raw Data'!A31</f>
        <v>29</v>
      </c>
      <c r="B31" s="16">
        <f>'Raw Data'!D31</f>
        <v>44950.479166666664</v>
      </c>
      <c r="C31" s="15">
        <v>2023</v>
      </c>
      <c r="D31" s="15" t="str">
        <f t="shared" si="0"/>
        <v>January</v>
      </c>
      <c r="E31" s="15">
        <v>24</v>
      </c>
      <c r="F31" s="17">
        <v>0.47916666666666669</v>
      </c>
      <c r="G31" s="28"/>
      <c r="H31" s="15">
        <f>'Raw Data'!A31</f>
        <v>29</v>
      </c>
      <c r="I31" s="15" t="str">
        <f>'Raw Data'!J31</f>
        <v xml:space="preserve"> USA      </v>
      </c>
      <c r="J31" s="15" t="s">
        <v>2529</v>
      </c>
      <c r="K31" s="15" t="str">
        <f t="shared" si="1"/>
        <v>Updated</v>
      </c>
    </row>
    <row r="32" spans="1:11" x14ac:dyDescent="0.25">
      <c r="A32" s="15">
        <f>'Raw Data'!A32</f>
        <v>30</v>
      </c>
      <c r="B32" s="16">
        <f>'Raw Data'!D32</f>
        <v>44950.625</v>
      </c>
      <c r="C32" s="15">
        <v>2023</v>
      </c>
      <c r="D32" s="15" t="str">
        <f t="shared" si="0"/>
        <v>January</v>
      </c>
      <c r="E32" s="15">
        <v>24</v>
      </c>
      <c r="F32" s="17">
        <v>0.625</v>
      </c>
      <c r="G32" s="28"/>
      <c r="H32" s="15">
        <f>'Raw Data'!A32</f>
        <v>30</v>
      </c>
      <c r="I32" s="15" t="str">
        <f>'Raw Data'!J32</f>
        <v xml:space="preserve"> Canada </v>
      </c>
      <c r="J32" s="15" t="s">
        <v>121</v>
      </c>
      <c r="K32" s="15" t="str">
        <f t="shared" si="1"/>
        <v>No Change</v>
      </c>
    </row>
    <row r="33" spans="1:11" x14ac:dyDescent="0.25">
      <c r="A33" s="15">
        <f>'Raw Data'!A33</f>
        <v>31</v>
      </c>
      <c r="B33" s="16">
        <f>'Raw Data'!D33</f>
        <v>44950.729166666664</v>
      </c>
      <c r="C33" s="15">
        <v>2023</v>
      </c>
      <c r="D33" s="15" t="str">
        <f t="shared" si="0"/>
        <v>January</v>
      </c>
      <c r="E33" s="15">
        <v>24</v>
      </c>
      <c r="F33" s="17">
        <v>0.72916666666666663</v>
      </c>
      <c r="G33" s="28"/>
      <c r="H33" s="15">
        <f>'Raw Data'!A33</f>
        <v>31</v>
      </c>
      <c r="I33" s="15" t="str">
        <f>'Raw Data'!J33</f>
        <v xml:space="preserve"> UK        </v>
      </c>
      <c r="J33" s="15" t="s">
        <v>2546</v>
      </c>
      <c r="K33" s="15" t="str">
        <f t="shared" si="1"/>
        <v>Updated</v>
      </c>
    </row>
    <row r="34" spans="1:11" x14ac:dyDescent="0.25">
      <c r="A34" s="15">
        <f>'Raw Data'!A34</f>
        <v>32</v>
      </c>
      <c r="B34" s="16">
        <f>'Raw Data'!D34</f>
        <v>44951.75</v>
      </c>
      <c r="C34" s="15">
        <v>2023</v>
      </c>
      <c r="D34" s="15" t="str">
        <f t="shared" si="0"/>
        <v>January</v>
      </c>
      <c r="E34" s="15">
        <v>25</v>
      </c>
      <c r="F34" s="17">
        <v>0.75</v>
      </c>
      <c r="G34" s="28"/>
      <c r="H34" s="15">
        <f>'Raw Data'!A34</f>
        <v>32</v>
      </c>
      <c r="I34" s="15" t="str">
        <f>'Raw Data'!J34</f>
        <v xml:space="preserve"> India    </v>
      </c>
      <c r="J34" s="15" t="s">
        <v>40</v>
      </c>
      <c r="K34" s="15" t="str">
        <f t="shared" si="1"/>
        <v>No Change</v>
      </c>
    </row>
    <row r="35" spans="1:11" x14ac:dyDescent="0.25">
      <c r="A35" s="15">
        <f>'Raw Data'!A35</f>
        <v>33</v>
      </c>
      <c r="B35" s="16">
        <f>'Raw Data'!D35</f>
        <v>44951.552083333336</v>
      </c>
      <c r="C35" s="15">
        <v>2023</v>
      </c>
      <c r="D35" s="15" t="str">
        <f t="shared" si="0"/>
        <v>January</v>
      </c>
      <c r="E35" s="15">
        <v>25</v>
      </c>
      <c r="F35" s="17">
        <v>0.55208333333333337</v>
      </c>
      <c r="G35" s="28"/>
      <c r="H35" s="15">
        <f>'Raw Data'!A35</f>
        <v>33</v>
      </c>
      <c r="I35" s="15" t="str">
        <f>'Raw Data'!J35</f>
        <v xml:space="preserve"> USA </v>
      </c>
      <c r="J35" s="15" t="s">
        <v>2534</v>
      </c>
      <c r="K35" s="15" t="str">
        <f t="shared" si="1"/>
        <v>Updated</v>
      </c>
    </row>
    <row r="36" spans="1:11" x14ac:dyDescent="0.25">
      <c r="A36" s="15">
        <f>'Raw Data'!A36</f>
        <v>34</v>
      </c>
      <c r="B36" s="16">
        <f>'Raw Data'!D36</f>
        <v>44952.40625</v>
      </c>
      <c r="C36" s="15">
        <v>2023</v>
      </c>
      <c r="D36" s="15" t="str">
        <f t="shared" si="0"/>
        <v>January</v>
      </c>
      <c r="E36" s="15">
        <v>26</v>
      </c>
      <c r="F36" s="17">
        <v>0.40625</v>
      </c>
      <c r="G36" s="28"/>
      <c r="H36" s="15">
        <f>'Raw Data'!A36</f>
        <v>34</v>
      </c>
      <c r="I36" s="15" t="str">
        <f>'Raw Data'!J36</f>
        <v>USA</v>
      </c>
      <c r="J36" s="15" t="s">
        <v>2532</v>
      </c>
      <c r="K36" s="15" t="str">
        <f t="shared" si="1"/>
        <v>Updated</v>
      </c>
    </row>
    <row r="37" spans="1:11" x14ac:dyDescent="0.25">
      <c r="A37" s="15">
        <f>'Raw Data'!A37</f>
        <v>35</v>
      </c>
      <c r="B37" s="16">
        <f>'Raw Data'!D37</f>
        <v>44952.597222222219</v>
      </c>
      <c r="C37" s="15">
        <v>2023</v>
      </c>
      <c r="D37" s="15" t="str">
        <f t="shared" si="0"/>
        <v>January</v>
      </c>
      <c r="E37" s="15">
        <v>26</v>
      </c>
      <c r="F37" s="17">
        <v>0.59722222222222221</v>
      </c>
      <c r="G37" s="28"/>
      <c r="H37" s="15">
        <f>'Raw Data'!A37</f>
        <v>35</v>
      </c>
      <c r="I37" s="15" t="str">
        <f>'Raw Data'!J37</f>
        <v xml:space="preserve"> Canada   </v>
      </c>
      <c r="J37" s="15" t="s">
        <v>21</v>
      </c>
      <c r="K37" s="15" t="str">
        <f t="shared" si="1"/>
        <v>No Change</v>
      </c>
    </row>
    <row r="38" spans="1:11" x14ac:dyDescent="0.25">
      <c r="A38" s="15">
        <f>'Raw Data'!A38</f>
        <v>36</v>
      </c>
      <c r="B38" s="16">
        <f>'Raw Data'!D38</f>
        <v>44952.736111111109</v>
      </c>
      <c r="C38" s="15">
        <v>2023</v>
      </c>
      <c r="D38" s="15" t="str">
        <f t="shared" si="0"/>
        <v>January</v>
      </c>
      <c r="E38" s="15">
        <v>26</v>
      </c>
      <c r="F38" s="17">
        <v>0.73611111111111116</v>
      </c>
      <c r="G38" s="28"/>
      <c r="H38" s="15">
        <f>'Raw Data'!A38</f>
        <v>36</v>
      </c>
      <c r="I38" s="15" t="str">
        <f>'Raw Data'!J38</f>
        <v xml:space="preserve"> UK        </v>
      </c>
      <c r="J38" s="15" t="s">
        <v>2546</v>
      </c>
      <c r="K38" s="15" t="str">
        <f t="shared" si="1"/>
        <v>Updated</v>
      </c>
    </row>
    <row r="39" spans="1:11" x14ac:dyDescent="0.25">
      <c r="A39" s="15">
        <f>'Raw Data'!A39</f>
        <v>37</v>
      </c>
      <c r="B39" s="16">
        <f>'Raw Data'!D39</f>
        <v>44953.833333333336</v>
      </c>
      <c r="C39" s="15">
        <v>2023</v>
      </c>
      <c r="D39" s="15" t="str">
        <f t="shared" si="0"/>
        <v>January</v>
      </c>
      <c r="E39" s="15">
        <v>27</v>
      </c>
      <c r="F39" s="17">
        <v>0.83333333333333337</v>
      </c>
      <c r="G39" s="28"/>
      <c r="H39" s="15">
        <f>'Raw Data'!A39</f>
        <v>37</v>
      </c>
      <c r="I39" s="15" t="str">
        <f>'Raw Data'!J39</f>
        <v xml:space="preserve"> USA </v>
      </c>
      <c r="J39" s="15" t="s">
        <v>2534</v>
      </c>
      <c r="K39" s="15" t="str">
        <f t="shared" si="1"/>
        <v>Updated</v>
      </c>
    </row>
    <row r="40" spans="1:11" x14ac:dyDescent="0.25">
      <c r="A40" s="15">
        <f>'Raw Data'!A40</f>
        <v>38</v>
      </c>
      <c r="B40" s="16">
        <f>'Raw Data'!D40</f>
        <v>44953.520833333336</v>
      </c>
      <c r="C40" s="15">
        <v>2023</v>
      </c>
      <c r="D40" s="15" t="str">
        <f t="shared" si="0"/>
        <v>January</v>
      </c>
      <c r="E40" s="15">
        <v>27</v>
      </c>
      <c r="F40" s="17">
        <v>0.52083333333333337</v>
      </c>
      <c r="G40" s="28"/>
      <c r="H40" s="15">
        <f>'Raw Data'!A40</f>
        <v>38</v>
      </c>
      <c r="I40" s="15" t="str">
        <f>'Raw Data'!J40</f>
        <v xml:space="preserve"> India    </v>
      </c>
      <c r="J40" s="15" t="s">
        <v>40</v>
      </c>
      <c r="K40" s="15" t="str">
        <f t="shared" si="1"/>
        <v>No Change</v>
      </c>
    </row>
    <row r="41" spans="1:11" x14ac:dyDescent="0.25">
      <c r="A41" s="15">
        <f>'Raw Data'!A41</f>
        <v>39</v>
      </c>
      <c r="B41" s="16">
        <f>'Raw Data'!D41</f>
        <v>44953.673611111109</v>
      </c>
      <c r="C41" s="15">
        <v>2023</v>
      </c>
      <c r="D41" s="15" t="str">
        <f t="shared" si="0"/>
        <v>January</v>
      </c>
      <c r="E41" s="15">
        <v>27</v>
      </c>
      <c r="F41" s="17">
        <v>0.67361111111111116</v>
      </c>
      <c r="G41" s="28"/>
      <c r="H41" s="15">
        <f>'Raw Data'!A41</f>
        <v>39</v>
      </c>
      <c r="I41" s="15" t="str">
        <f>'Raw Data'!J41</f>
        <v xml:space="preserve"> Canada </v>
      </c>
      <c r="J41" s="15" t="s">
        <v>121</v>
      </c>
      <c r="K41" s="15" t="str">
        <f t="shared" si="1"/>
        <v>No Change</v>
      </c>
    </row>
    <row r="42" spans="1:11" x14ac:dyDescent="0.25">
      <c r="A42" s="15">
        <f>'Raw Data'!A42</f>
        <v>40</v>
      </c>
      <c r="B42" s="16">
        <f>'Raw Data'!D42</f>
        <v>44954.375</v>
      </c>
      <c r="C42" s="15">
        <v>2023</v>
      </c>
      <c r="D42" s="15" t="str">
        <f t="shared" si="0"/>
        <v>January</v>
      </c>
      <c r="E42" s="15">
        <v>28</v>
      </c>
      <c r="F42" s="17">
        <v>0.375</v>
      </c>
      <c r="G42" s="28"/>
      <c r="H42" s="15">
        <f>'Raw Data'!A42</f>
        <v>40</v>
      </c>
      <c r="I42" s="15" t="str">
        <f>'Raw Data'!J42</f>
        <v>USA</v>
      </c>
      <c r="J42" s="15" t="s">
        <v>2532</v>
      </c>
      <c r="K42" s="15" t="str">
        <f t="shared" si="1"/>
        <v>Updated</v>
      </c>
    </row>
    <row r="43" spans="1:11" x14ac:dyDescent="0.25">
      <c r="A43" s="15">
        <f>'Raw Data'!A43</f>
        <v>41</v>
      </c>
      <c r="B43" s="16">
        <f>'Raw Data'!D43</f>
        <v>44954.614583333336</v>
      </c>
      <c r="C43" s="15">
        <v>2023</v>
      </c>
      <c r="D43" s="15" t="str">
        <f t="shared" si="0"/>
        <v>January</v>
      </c>
      <c r="E43" s="15">
        <v>28</v>
      </c>
      <c r="F43" s="17">
        <v>0.61458333333333337</v>
      </c>
      <c r="G43" s="28"/>
      <c r="H43" s="15">
        <f>'Raw Data'!A43</f>
        <v>41</v>
      </c>
      <c r="I43" s="15" t="str">
        <f>'Raw Data'!J43</f>
        <v xml:space="preserve"> USA      </v>
      </c>
      <c r="J43" s="15" t="s">
        <v>2529</v>
      </c>
      <c r="K43" s="15" t="str">
        <f t="shared" si="1"/>
        <v>Updated</v>
      </c>
    </row>
    <row r="44" spans="1:11" x14ac:dyDescent="0.25">
      <c r="A44" s="15">
        <f>'Raw Data'!A44</f>
        <v>42</v>
      </c>
      <c r="B44" s="16">
        <f>'Raw Data'!D44</f>
        <v>44954.8125</v>
      </c>
      <c r="C44" s="15">
        <v>2023</v>
      </c>
      <c r="D44" s="15" t="str">
        <f t="shared" si="0"/>
        <v>January</v>
      </c>
      <c r="E44" s="15">
        <v>28</v>
      </c>
      <c r="F44" s="17">
        <v>0.8125</v>
      </c>
      <c r="G44" s="28"/>
      <c r="H44" s="15">
        <f>'Raw Data'!A44</f>
        <v>42</v>
      </c>
      <c r="I44" s="15" t="str">
        <f>'Raw Data'!J44</f>
        <v xml:space="preserve"> UK </v>
      </c>
      <c r="J44" s="15" t="s">
        <v>2545</v>
      </c>
      <c r="K44" s="15" t="str">
        <f t="shared" si="1"/>
        <v>Updated</v>
      </c>
    </row>
    <row r="45" spans="1:11" x14ac:dyDescent="0.25">
      <c r="A45" s="15">
        <f>'Raw Data'!A45</f>
        <v>43</v>
      </c>
      <c r="B45" s="16">
        <f>'Raw Data'!D45</f>
        <v>44955.708333333336</v>
      </c>
      <c r="C45" s="15">
        <v>2023</v>
      </c>
      <c r="D45" s="15" t="str">
        <f t="shared" si="0"/>
        <v>January</v>
      </c>
      <c r="E45" s="15">
        <v>29</v>
      </c>
      <c r="F45" s="17">
        <v>0.70833333333333337</v>
      </c>
      <c r="G45" s="28"/>
      <c r="H45" s="15">
        <f>'Raw Data'!A45</f>
        <v>43</v>
      </c>
      <c r="I45" s="15" t="str">
        <f>'Raw Data'!J45</f>
        <v xml:space="preserve"> India </v>
      </c>
      <c r="J45" s="15" t="s">
        <v>162</v>
      </c>
      <c r="K45" s="15" t="str">
        <f t="shared" si="1"/>
        <v>No Change</v>
      </c>
    </row>
    <row r="46" spans="1:11" x14ac:dyDescent="0.25">
      <c r="A46" s="15">
        <f>'Raw Data'!A46</f>
        <v>44</v>
      </c>
      <c r="B46" s="16">
        <f>'Raw Data'!D46</f>
        <v>44955.847222222219</v>
      </c>
      <c r="C46" s="15">
        <v>2023</v>
      </c>
      <c r="D46" s="15" t="str">
        <f t="shared" si="0"/>
        <v>January</v>
      </c>
      <c r="E46" s="15">
        <v>29</v>
      </c>
      <c r="F46" s="17">
        <v>0.84722222222222221</v>
      </c>
      <c r="G46" s="28"/>
      <c r="H46" s="15">
        <f>'Raw Data'!A46</f>
        <v>44</v>
      </c>
      <c r="I46" s="15" t="str">
        <f>'Raw Data'!J46</f>
        <v xml:space="preserve"> Canada   </v>
      </c>
      <c r="J46" s="15" t="s">
        <v>21</v>
      </c>
      <c r="K46" s="15" t="str">
        <f t="shared" si="1"/>
        <v>No Change</v>
      </c>
    </row>
    <row r="47" spans="1:11" x14ac:dyDescent="0.25">
      <c r="A47" s="15">
        <f>'Raw Data'!A47</f>
        <v>45</v>
      </c>
      <c r="B47" s="16">
        <f>'Raw Data'!D47</f>
        <v>44956.479166666664</v>
      </c>
      <c r="C47" s="15">
        <v>2023</v>
      </c>
      <c r="D47" s="15" t="str">
        <f t="shared" si="0"/>
        <v>January</v>
      </c>
      <c r="E47" s="15">
        <v>30</v>
      </c>
      <c r="F47" s="17">
        <v>0.47916666666666669</v>
      </c>
      <c r="G47" s="28"/>
      <c r="H47" s="15">
        <f>'Raw Data'!A47</f>
        <v>45</v>
      </c>
      <c r="I47" s="15" t="str">
        <f>'Raw Data'!J47</f>
        <v xml:space="preserve"> USA      </v>
      </c>
      <c r="J47" s="15" t="s">
        <v>2529</v>
      </c>
      <c r="K47" s="15" t="str">
        <f t="shared" si="1"/>
        <v>Updated</v>
      </c>
    </row>
    <row r="48" spans="1:11" x14ac:dyDescent="0.25">
      <c r="A48" s="15">
        <f>'Raw Data'!A48</f>
        <v>46</v>
      </c>
      <c r="B48" s="16">
        <f>'Raw Data'!D48</f>
        <v>44956.65625</v>
      </c>
      <c r="C48" s="15">
        <v>2023</v>
      </c>
      <c r="D48" s="15" t="str">
        <f t="shared" si="0"/>
        <v>January</v>
      </c>
      <c r="E48" s="15">
        <v>30</v>
      </c>
      <c r="F48" s="17">
        <v>0.65625</v>
      </c>
      <c r="G48" s="28"/>
      <c r="H48" s="15">
        <f>'Raw Data'!A48</f>
        <v>46</v>
      </c>
      <c r="I48" s="15" t="str">
        <f>'Raw Data'!J48</f>
        <v xml:space="preserve"> UK   </v>
      </c>
      <c r="J48" s="15" t="s">
        <v>2547</v>
      </c>
      <c r="K48" s="15" t="str">
        <f t="shared" si="1"/>
        <v>Updated</v>
      </c>
    </row>
    <row r="49" spans="1:11" x14ac:dyDescent="0.25">
      <c r="A49" s="15">
        <f>'Raw Data'!A49</f>
        <v>47</v>
      </c>
      <c r="B49" s="16">
        <f>'Raw Data'!D49</f>
        <v>44956.770833333336</v>
      </c>
      <c r="C49" s="15">
        <v>2023</v>
      </c>
      <c r="D49" s="15" t="str">
        <f t="shared" si="0"/>
        <v>January</v>
      </c>
      <c r="E49" s="15">
        <v>30</v>
      </c>
      <c r="F49" s="17">
        <v>0.77083333333333337</v>
      </c>
      <c r="G49" s="28"/>
      <c r="H49" s="15">
        <f>'Raw Data'!A49</f>
        <v>47</v>
      </c>
      <c r="I49" s="15" t="str">
        <f>'Raw Data'!J49</f>
        <v xml:space="preserve"> India    </v>
      </c>
      <c r="J49" s="15" t="s">
        <v>40</v>
      </c>
      <c r="K49" s="15" t="str">
        <f t="shared" si="1"/>
        <v>No Change</v>
      </c>
    </row>
    <row r="50" spans="1:11" x14ac:dyDescent="0.25">
      <c r="A50" s="15">
        <f>'Raw Data'!A50</f>
        <v>48</v>
      </c>
      <c r="B50" s="16">
        <f>'Raw Data'!D50</f>
        <v>44957.447916666664</v>
      </c>
      <c r="C50" s="15">
        <v>2023</v>
      </c>
      <c r="D50" s="15" t="str">
        <f t="shared" si="0"/>
        <v>January</v>
      </c>
      <c r="E50" s="15">
        <v>31</v>
      </c>
      <c r="F50" s="17">
        <v>0.44791666666666669</v>
      </c>
      <c r="G50" s="28"/>
      <c r="H50" s="15">
        <f>'Raw Data'!A50</f>
        <v>48</v>
      </c>
      <c r="I50" s="15" t="str">
        <f>'Raw Data'!J50</f>
        <v xml:space="preserve"> Australia </v>
      </c>
      <c r="J50" s="15" t="s">
        <v>36</v>
      </c>
      <c r="K50" s="15" t="str">
        <f t="shared" si="1"/>
        <v>No Change</v>
      </c>
    </row>
    <row r="51" spans="1:11" x14ac:dyDescent="0.25">
      <c r="A51" s="15">
        <f>'Raw Data'!A51</f>
        <v>49</v>
      </c>
      <c r="B51" s="16">
        <f>'Raw Data'!D51</f>
        <v>44957.791666666664</v>
      </c>
      <c r="C51" s="15">
        <v>2023</v>
      </c>
      <c r="D51" s="15" t="str">
        <f t="shared" si="0"/>
        <v>January</v>
      </c>
      <c r="E51" s="15">
        <v>31</v>
      </c>
      <c r="F51" s="17">
        <v>0.79166666666666663</v>
      </c>
      <c r="G51" s="28"/>
      <c r="H51" s="15">
        <f>'Raw Data'!A51</f>
        <v>49</v>
      </c>
      <c r="I51" s="15" t="str">
        <f>'Raw Data'!J51</f>
        <v xml:space="preserve"> USA       </v>
      </c>
      <c r="J51" s="15" t="s">
        <v>2533</v>
      </c>
      <c r="K51" s="15" t="str">
        <f t="shared" si="1"/>
        <v>Updated</v>
      </c>
    </row>
    <row r="52" spans="1:11" x14ac:dyDescent="0.25">
      <c r="A52" s="15">
        <f>'Raw Data'!A52</f>
        <v>50</v>
      </c>
      <c r="B52" s="16">
        <f>'Raw Data'!D52</f>
        <v>44957.680555555555</v>
      </c>
      <c r="C52" s="15">
        <v>2023</v>
      </c>
      <c r="D52" s="15" t="str">
        <f t="shared" si="0"/>
        <v>January</v>
      </c>
      <c r="E52" s="15">
        <v>31</v>
      </c>
      <c r="F52" s="17">
        <v>0.68055555555555558</v>
      </c>
      <c r="G52" s="28"/>
      <c r="H52" s="15">
        <f>'Raw Data'!A52</f>
        <v>50</v>
      </c>
      <c r="I52" s="15" t="str">
        <f>'Raw Data'!J52</f>
        <v xml:space="preserve"> Canada   </v>
      </c>
      <c r="J52" s="15" t="s">
        <v>21</v>
      </c>
      <c r="K52" s="15" t="str">
        <f t="shared" si="1"/>
        <v>No Change</v>
      </c>
    </row>
    <row r="53" spans="1:11" x14ac:dyDescent="0.25">
      <c r="A53" s="15">
        <f>'Raw Data'!A53</f>
        <v>51</v>
      </c>
      <c r="B53" s="16">
        <f>'Raw Data'!D53</f>
        <v>44958.333333333336</v>
      </c>
      <c r="C53" s="15">
        <v>2023</v>
      </c>
      <c r="D53" s="15" t="str">
        <f t="shared" si="0"/>
        <v>February</v>
      </c>
      <c r="E53" s="15">
        <v>1</v>
      </c>
      <c r="F53" s="17">
        <v>0.33333333333333331</v>
      </c>
      <c r="G53" s="28"/>
      <c r="H53" s="15">
        <f>'Raw Data'!A53</f>
        <v>51</v>
      </c>
      <c r="I53" s="15" t="str">
        <f>'Raw Data'!J53</f>
        <v xml:space="preserve"> UK         </v>
      </c>
      <c r="J53" s="15" t="s">
        <v>2548</v>
      </c>
      <c r="K53" s="15" t="str">
        <f t="shared" si="1"/>
        <v>Updated</v>
      </c>
    </row>
    <row r="54" spans="1:11" x14ac:dyDescent="0.25">
      <c r="A54" s="15">
        <f>'Raw Data'!A54</f>
        <v>52</v>
      </c>
      <c r="B54" s="16">
        <f>'Raw Data'!D54</f>
        <v>44958.5625</v>
      </c>
      <c r="C54" s="15">
        <v>2023</v>
      </c>
      <c r="D54" s="15" t="str">
        <f t="shared" si="0"/>
        <v>February</v>
      </c>
      <c r="E54" s="15">
        <v>1</v>
      </c>
      <c r="F54" s="17">
        <v>0.5625</v>
      </c>
      <c r="G54" s="28"/>
      <c r="H54" s="15">
        <f>'Raw Data'!A54</f>
        <v>52</v>
      </c>
      <c r="I54" s="15" t="str">
        <f>'Raw Data'!J54</f>
        <v xml:space="preserve"> USA     </v>
      </c>
      <c r="J54" s="15" t="s">
        <v>2535</v>
      </c>
      <c r="K54" s="15" t="str">
        <f t="shared" si="1"/>
        <v>Updated</v>
      </c>
    </row>
    <row r="55" spans="1:11" x14ac:dyDescent="0.25">
      <c r="A55" s="15">
        <f>'Raw Data'!A55</f>
        <v>53</v>
      </c>
      <c r="B55" s="16">
        <f>'Raw Data'!D55</f>
        <v>44968.395833333336</v>
      </c>
      <c r="C55" s="15">
        <v>2023</v>
      </c>
      <c r="D55" s="15" t="str">
        <f t="shared" si="0"/>
        <v>February</v>
      </c>
      <c r="E55" s="15">
        <v>11</v>
      </c>
      <c r="F55" s="17">
        <v>0.39583333333333331</v>
      </c>
      <c r="G55" s="28"/>
      <c r="H55" s="15">
        <f>'Raw Data'!A55</f>
        <v>53</v>
      </c>
      <c r="I55" s="15" t="str">
        <f>'Raw Data'!J55</f>
        <v xml:space="preserve"> Canada     </v>
      </c>
      <c r="J55" s="15" t="s">
        <v>197</v>
      </c>
      <c r="K55" s="15" t="str">
        <f t="shared" si="1"/>
        <v>No Change</v>
      </c>
    </row>
    <row r="56" spans="1:11" x14ac:dyDescent="0.25">
      <c r="A56" s="15">
        <f>'Raw Data'!A56</f>
        <v>54</v>
      </c>
      <c r="B56" s="16">
        <f>'Raw Data'!D56</f>
        <v>44968.885416666664</v>
      </c>
      <c r="C56" s="15">
        <v>2023</v>
      </c>
      <c r="D56" s="15" t="str">
        <f t="shared" si="0"/>
        <v>February</v>
      </c>
      <c r="E56" s="15">
        <v>11</v>
      </c>
      <c r="F56" s="17">
        <v>0.88541666666666663</v>
      </c>
      <c r="G56" s="28"/>
      <c r="H56" s="15">
        <f>'Raw Data'!A56</f>
        <v>54</v>
      </c>
      <c r="I56" s="15" t="str">
        <f>'Raw Data'!J56</f>
        <v xml:space="preserve"> USA          </v>
      </c>
      <c r="J56" s="15" t="s">
        <v>2536</v>
      </c>
      <c r="K56" s="15" t="str">
        <f t="shared" si="1"/>
        <v>Updated</v>
      </c>
    </row>
    <row r="57" spans="1:11" x14ac:dyDescent="0.25">
      <c r="A57" s="15">
        <f>'Raw Data'!A57</f>
        <v>55</v>
      </c>
      <c r="B57" s="16">
        <f>'Raw Data'!D57</f>
        <v>44969.614583333336</v>
      </c>
      <c r="C57" s="15">
        <v>2023</v>
      </c>
      <c r="D57" s="15" t="str">
        <f t="shared" si="0"/>
        <v>February</v>
      </c>
      <c r="E57" s="15">
        <v>12</v>
      </c>
      <c r="F57" s="17">
        <v>0.61458333333333337</v>
      </c>
      <c r="G57" s="28"/>
      <c r="H57" s="15">
        <f>'Raw Data'!A57</f>
        <v>55</v>
      </c>
      <c r="I57" s="15" t="str">
        <f>'Raw Data'!J57</f>
        <v xml:space="preserve"> India      </v>
      </c>
      <c r="J57" s="15" t="s">
        <v>207</v>
      </c>
      <c r="K57" s="15" t="str">
        <f t="shared" si="1"/>
        <v>No Change</v>
      </c>
    </row>
    <row r="58" spans="1:11" x14ac:dyDescent="0.25">
      <c r="A58" s="15">
        <f>'Raw Data'!A58</f>
        <v>56</v>
      </c>
      <c r="B58" s="16">
        <f>'Raw Data'!D58</f>
        <v>44969.763888888891</v>
      </c>
      <c r="C58" s="15">
        <v>2023</v>
      </c>
      <c r="D58" s="15" t="str">
        <f t="shared" si="0"/>
        <v>February</v>
      </c>
      <c r="E58" s="15">
        <v>12</v>
      </c>
      <c r="F58" s="17">
        <v>0.76388888888888884</v>
      </c>
      <c r="G58" s="28"/>
      <c r="H58" s="15">
        <f>'Raw Data'!A58</f>
        <v>56</v>
      </c>
      <c r="I58" s="15" t="str">
        <f>'Raw Data'!J58</f>
        <v xml:space="preserve"> UK         </v>
      </c>
      <c r="J58" s="15" t="s">
        <v>2548</v>
      </c>
      <c r="K58" s="15" t="str">
        <f t="shared" si="1"/>
        <v>Updated</v>
      </c>
    </row>
    <row r="59" spans="1:11" x14ac:dyDescent="0.25">
      <c r="A59" s="15">
        <f>'Raw Data'!A59</f>
        <v>57</v>
      </c>
      <c r="B59" s="16">
        <f>'Raw Data'!D59</f>
        <v>44970.416666666664</v>
      </c>
      <c r="C59" s="15">
        <v>2023</v>
      </c>
      <c r="D59" s="15" t="str">
        <f t="shared" si="0"/>
        <v>February</v>
      </c>
      <c r="E59" s="15">
        <v>13</v>
      </c>
      <c r="F59" s="17">
        <v>0.41666666666666669</v>
      </c>
      <c r="G59" s="28"/>
      <c r="H59" s="15">
        <f>'Raw Data'!A59</f>
        <v>57</v>
      </c>
      <c r="I59" s="15" t="str">
        <f>'Raw Data'!J59</f>
        <v xml:space="preserve"> USA </v>
      </c>
      <c r="J59" s="15" t="s">
        <v>2534</v>
      </c>
      <c r="K59" s="15" t="str">
        <f t="shared" si="1"/>
        <v>Updated</v>
      </c>
    </row>
    <row r="60" spans="1:11" x14ac:dyDescent="0.25">
      <c r="A60" s="15">
        <f>'Raw Data'!A60</f>
        <v>58</v>
      </c>
      <c r="B60" s="16">
        <f>'Raw Data'!D60</f>
        <v>44970.8125</v>
      </c>
      <c r="C60" s="15">
        <v>2023</v>
      </c>
      <c r="D60" s="15" t="str">
        <f t="shared" si="0"/>
        <v>February</v>
      </c>
      <c r="E60" s="15">
        <v>13</v>
      </c>
      <c r="F60" s="17">
        <v>0.8125</v>
      </c>
      <c r="G60" s="28"/>
      <c r="H60" s="15">
        <f>'Raw Data'!A60</f>
        <v>58</v>
      </c>
      <c r="I60" s="15" t="str">
        <f>'Raw Data'!J60</f>
        <v xml:space="preserve"> Canada    </v>
      </c>
      <c r="J60" s="15" t="s">
        <v>76</v>
      </c>
      <c r="K60" s="15" t="str">
        <f t="shared" si="1"/>
        <v>No Change</v>
      </c>
    </row>
    <row r="61" spans="1:11" x14ac:dyDescent="0.25">
      <c r="A61" s="15">
        <f>'Raw Data'!A61</f>
        <v>59</v>
      </c>
      <c r="B61" s="16">
        <f>'Raw Data'!D61</f>
        <v>44971.354166666664</v>
      </c>
      <c r="C61" s="15">
        <v>2023</v>
      </c>
      <c r="D61" s="15" t="str">
        <f t="shared" si="0"/>
        <v>February</v>
      </c>
      <c r="E61" s="15">
        <v>14</v>
      </c>
      <c r="F61" s="17">
        <v>0.35416666666666669</v>
      </c>
      <c r="G61" s="28"/>
      <c r="H61" s="15">
        <f>'Raw Data'!A61</f>
        <v>59</v>
      </c>
      <c r="I61" s="15" t="str">
        <f>'Raw Data'!J61</f>
        <v xml:space="preserve"> Australia  </v>
      </c>
      <c r="J61" s="15" t="s">
        <v>224</v>
      </c>
      <c r="K61" s="15" t="str">
        <f t="shared" si="1"/>
        <v>No Change</v>
      </c>
    </row>
    <row r="62" spans="1:11" x14ac:dyDescent="0.25">
      <c r="A62" s="15">
        <f>'Raw Data'!A62</f>
        <v>60</v>
      </c>
      <c r="B62" s="16">
        <f>'Raw Data'!D62</f>
        <v>44971.597222222219</v>
      </c>
      <c r="C62" s="15">
        <v>2023</v>
      </c>
      <c r="D62" s="15" t="str">
        <f t="shared" si="0"/>
        <v>February</v>
      </c>
      <c r="E62" s="15">
        <v>14</v>
      </c>
      <c r="F62" s="17">
        <v>0.59722222222222221</v>
      </c>
      <c r="G62" s="28"/>
      <c r="H62" s="15">
        <f>'Raw Data'!A62</f>
        <v>60</v>
      </c>
      <c r="I62" s="15" t="str">
        <f>'Raw Data'!J62</f>
        <v xml:space="preserve"> UK           </v>
      </c>
      <c r="J62" s="15" t="s">
        <v>2549</v>
      </c>
      <c r="K62" s="15" t="str">
        <f t="shared" si="1"/>
        <v>Updated</v>
      </c>
    </row>
    <row r="63" spans="1:11" x14ac:dyDescent="0.25">
      <c r="A63" s="15">
        <f>'Raw Data'!A63</f>
        <v>61</v>
      </c>
      <c r="B63" s="16">
        <f>'Raw Data'!D63</f>
        <v>44971.822916666664</v>
      </c>
      <c r="C63" s="15">
        <v>2023</v>
      </c>
      <c r="D63" s="15" t="str">
        <f t="shared" si="0"/>
        <v>February</v>
      </c>
      <c r="E63" s="15">
        <v>14</v>
      </c>
      <c r="F63" s="17">
        <v>0.82291666666666663</v>
      </c>
      <c r="G63" s="28"/>
      <c r="H63" s="15">
        <f>'Raw Data'!A63</f>
        <v>61</v>
      </c>
      <c r="I63" s="15" t="str">
        <f>'Raw Data'!J63</f>
        <v xml:space="preserve"> Canada       </v>
      </c>
      <c r="J63" s="15" t="s">
        <v>234</v>
      </c>
      <c r="K63" s="15" t="str">
        <f t="shared" si="1"/>
        <v>No Change</v>
      </c>
    </row>
    <row r="64" spans="1:11" x14ac:dyDescent="0.25">
      <c r="A64" s="15">
        <f>'Raw Data'!A64</f>
        <v>62</v>
      </c>
      <c r="B64" s="16">
        <f>'Raw Data'!D64</f>
        <v>44972.479166666664</v>
      </c>
      <c r="C64" s="15">
        <v>2023</v>
      </c>
      <c r="D64" s="15" t="str">
        <f t="shared" si="0"/>
        <v>February</v>
      </c>
      <c r="E64" s="15">
        <v>15</v>
      </c>
      <c r="F64" s="17">
        <v>0.47916666666666669</v>
      </c>
      <c r="G64" s="28"/>
      <c r="H64" s="15">
        <f>'Raw Data'!A64</f>
        <v>62</v>
      </c>
      <c r="I64" s="15" t="str">
        <f>'Raw Data'!J64</f>
        <v xml:space="preserve"> USA       </v>
      </c>
      <c r="J64" s="15" t="s">
        <v>2533</v>
      </c>
      <c r="K64" s="15" t="str">
        <f t="shared" si="1"/>
        <v>Updated</v>
      </c>
    </row>
    <row r="65" spans="1:11" x14ac:dyDescent="0.25">
      <c r="A65" s="15">
        <f>'Raw Data'!A65</f>
        <v>63</v>
      </c>
      <c r="B65" s="16">
        <f>'Raw Data'!D65</f>
        <v>44972.666666666664</v>
      </c>
      <c r="C65" s="15">
        <v>2023</v>
      </c>
      <c r="D65" s="15" t="str">
        <f t="shared" si="0"/>
        <v>February</v>
      </c>
      <c r="E65" s="15">
        <v>15</v>
      </c>
      <c r="F65" s="17">
        <v>0.66666666666666663</v>
      </c>
      <c r="G65" s="28"/>
      <c r="H65" s="15">
        <f>'Raw Data'!A65</f>
        <v>63</v>
      </c>
      <c r="I65" s="15" t="str">
        <f>'Raw Data'!J65</f>
        <v>USA</v>
      </c>
      <c r="J65" s="15" t="s">
        <v>2532</v>
      </c>
      <c r="K65" s="15" t="str">
        <f t="shared" si="1"/>
        <v>Updated</v>
      </c>
    </row>
    <row r="66" spans="1:11" x14ac:dyDescent="0.25">
      <c r="A66" s="15">
        <f>'Raw Data'!A66</f>
        <v>64</v>
      </c>
      <c r="B66" s="16">
        <f>'Raw Data'!D66</f>
        <v>44972.854166666664</v>
      </c>
      <c r="C66" s="15">
        <v>2023</v>
      </c>
      <c r="D66" s="15" t="str">
        <f t="shared" si="0"/>
        <v>February</v>
      </c>
      <c r="E66" s="15">
        <v>15</v>
      </c>
      <c r="F66" s="17">
        <v>0.85416666666666663</v>
      </c>
      <c r="G66" s="28"/>
      <c r="H66" s="15">
        <f>'Raw Data'!A66</f>
        <v>64</v>
      </c>
      <c r="I66" s="15" t="str">
        <f>'Raw Data'!J66</f>
        <v xml:space="preserve"> Australia   </v>
      </c>
      <c r="J66" s="15" t="s">
        <v>247</v>
      </c>
      <c r="K66" s="15" t="str">
        <f t="shared" si="1"/>
        <v>No Change</v>
      </c>
    </row>
    <row r="67" spans="1:11" x14ac:dyDescent="0.25">
      <c r="A67" s="15">
        <f>'Raw Data'!A67</f>
        <v>65</v>
      </c>
      <c r="B67" s="16">
        <f>'Raw Data'!D67</f>
        <v>44973.375</v>
      </c>
      <c r="C67" s="15">
        <v>2023</v>
      </c>
      <c r="D67" s="15" t="str">
        <f t="shared" si="0"/>
        <v>February</v>
      </c>
      <c r="E67" s="15">
        <v>16</v>
      </c>
      <c r="F67" s="17">
        <v>0.375</v>
      </c>
      <c r="G67" s="28"/>
      <c r="H67" s="15">
        <f>'Raw Data'!A67</f>
        <v>65</v>
      </c>
      <c r="I67" s="15" t="str">
        <f>'Raw Data'!J67</f>
        <v xml:space="preserve"> India      </v>
      </c>
      <c r="J67" s="15" t="s">
        <v>207</v>
      </c>
      <c r="K67" s="15" t="str">
        <f t="shared" si="1"/>
        <v>No Change</v>
      </c>
    </row>
    <row r="68" spans="1:11" x14ac:dyDescent="0.25">
      <c r="A68" s="15">
        <f>'Raw Data'!A68</f>
        <v>66</v>
      </c>
      <c r="B68" s="16">
        <f>'Raw Data'!D68</f>
        <v>44973.614583333336</v>
      </c>
      <c r="C68" s="15">
        <v>2023</v>
      </c>
      <c r="D68" s="15" t="str">
        <f t="shared" ref="D68:D131" si="2">TEXT(B68,"MMMM")</f>
        <v>February</v>
      </c>
      <c r="E68" s="15">
        <v>16</v>
      </c>
      <c r="F68" s="17">
        <v>0.61458333333333337</v>
      </c>
      <c r="G68" s="28"/>
      <c r="H68" s="15">
        <f>'Raw Data'!A68</f>
        <v>66</v>
      </c>
      <c r="I68" s="15" t="str">
        <f>'Raw Data'!J68</f>
        <v xml:space="preserve"> USA          </v>
      </c>
      <c r="J68" s="15" t="s">
        <v>2536</v>
      </c>
      <c r="K68" s="15" t="str">
        <f t="shared" ref="K68:K131" si="3">IF(I68=J68,"No Change","Updated")</f>
        <v>Updated</v>
      </c>
    </row>
    <row r="69" spans="1:11" x14ac:dyDescent="0.25">
      <c r="A69" s="15">
        <f>'Raw Data'!A69</f>
        <v>67</v>
      </c>
      <c r="B69" s="16">
        <f>'Raw Data'!D69</f>
        <v>44973.763888888891</v>
      </c>
      <c r="C69" s="15">
        <v>2023</v>
      </c>
      <c r="D69" s="15" t="str">
        <f t="shared" si="2"/>
        <v>February</v>
      </c>
      <c r="E69" s="15">
        <v>16</v>
      </c>
      <c r="F69" s="17">
        <v>0.76388888888888884</v>
      </c>
      <c r="G69" s="28"/>
      <c r="H69" s="15">
        <f>'Raw Data'!A69</f>
        <v>67</v>
      </c>
      <c r="I69" s="15" t="str">
        <f>'Raw Data'!J69</f>
        <v xml:space="preserve"> Canada     </v>
      </c>
      <c r="J69" s="15" t="s">
        <v>197</v>
      </c>
      <c r="K69" s="15" t="str">
        <f t="shared" si="3"/>
        <v>No Change</v>
      </c>
    </row>
    <row r="70" spans="1:11" x14ac:dyDescent="0.25">
      <c r="A70" s="15">
        <f>'Raw Data'!A70</f>
        <v>68</v>
      </c>
      <c r="B70" s="16">
        <f>'Raw Data'!D70</f>
        <v>44974.447916666664</v>
      </c>
      <c r="C70" s="15">
        <v>2023</v>
      </c>
      <c r="D70" s="15" t="str">
        <f t="shared" si="2"/>
        <v>February</v>
      </c>
      <c r="E70" s="15">
        <v>17</v>
      </c>
      <c r="F70" s="17">
        <v>0.44791666666666669</v>
      </c>
      <c r="G70" s="28"/>
      <c r="H70" s="15">
        <f>'Raw Data'!A70</f>
        <v>68</v>
      </c>
      <c r="I70" s="15" t="str">
        <f>'Raw Data'!J70</f>
        <v xml:space="preserve"> UK        </v>
      </c>
      <c r="J70" s="15" t="s">
        <v>2546</v>
      </c>
      <c r="K70" s="15" t="str">
        <f t="shared" si="3"/>
        <v>Updated</v>
      </c>
    </row>
    <row r="71" spans="1:11" x14ac:dyDescent="0.25">
      <c r="A71" s="15">
        <f>'Raw Data'!A71</f>
        <v>69</v>
      </c>
      <c r="B71" s="16">
        <f>'Raw Data'!D71</f>
        <v>44974.3125</v>
      </c>
      <c r="C71" s="15">
        <v>2023</v>
      </c>
      <c r="D71" s="15" t="str">
        <f t="shared" si="2"/>
        <v>February</v>
      </c>
      <c r="E71" s="15">
        <v>17</v>
      </c>
      <c r="F71" s="17">
        <v>0.3125</v>
      </c>
      <c r="G71" s="28"/>
      <c r="H71" s="15">
        <f>'Raw Data'!A71</f>
        <v>69</v>
      </c>
      <c r="I71" s="15" t="str">
        <f>'Raw Data'!J71</f>
        <v>USA</v>
      </c>
      <c r="J71" s="15" t="s">
        <v>2532</v>
      </c>
      <c r="K71" s="15" t="str">
        <f t="shared" si="3"/>
        <v>Updated</v>
      </c>
    </row>
    <row r="72" spans="1:11" x14ac:dyDescent="0.25">
      <c r="A72" s="15">
        <f>'Raw Data'!A72</f>
        <v>70</v>
      </c>
      <c r="B72" s="16">
        <f>'Raw Data'!D72</f>
        <v>44974.625</v>
      </c>
      <c r="C72" s="15">
        <v>2023</v>
      </c>
      <c r="D72" s="15" t="str">
        <f t="shared" si="2"/>
        <v>February</v>
      </c>
      <c r="E72" s="15">
        <v>17</v>
      </c>
      <c r="F72" s="17">
        <v>0.625</v>
      </c>
      <c r="G72" s="28"/>
      <c r="H72" s="15">
        <f>'Raw Data'!A72</f>
        <v>70</v>
      </c>
      <c r="I72" s="15" t="str">
        <f>'Raw Data'!J72</f>
        <v xml:space="preserve"> USA       </v>
      </c>
      <c r="J72" s="15" t="s">
        <v>2533</v>
      </c>
      <c r="K72" s="15" t="str">
        <f t="shared" si="3"/>
        <v>Updated</v>
      </c>
    </row>
    <row r="73" spans="1:11" x14ac:dyDescent="0.25">
      <c r="A73" s="15">
        <f>'Raw Data'!A73</f>
        <v>71</v>
      </c>
      <c r="B73" s="16">
        <f>'Raw Data'!D73</f>
        <v>44975.395833333336</v>
      </c>
      <c r="C73" s="15">
        <v>2023</v>
      </c>
      <c r="D73" s="15" t="str">
        <f t="shared" si="2"/>
        <v>February</v>
      </c>
      <c r="E73" s="15">
        <v>18</v>
      </c>
      <c r="F73" s="17">
        <v>0.39583333333333331</v>
      </c>
      <c r="G73" s="28"/>
      <c r="H73" s="15">
        <f>'Raw Data'!A73</f>
        <v>71</v>
      </c>
      <c r="I73" s="15" t="str">
        <f>'Raw Data'!J73</f>
        <v xml:space="preserve"> India     </v>
      </c>
      <c r="J73" s="15" t="s">
        <v>111</v>
      </c>
      <c r="K73" s="15" t="str">
        <f t="shared" si="3"/>
        <v>No Change</v>
      </c>
    </row>
    <row r="74" spans="1:11" x14ac:dyDescent="0.25">
      <c r="A74" s="15">
        <f>'Raw Data'!A74</f>
        <v>72</v>
      </c>
      <c r="B74" s="16">
        <f>'Raw Data'!D74</f>
        <v>44975.597222222219</v>
      </c>
      <c r="C74" s="15">
        <v>2023</v>
      </c>
      <c r="D74" s="15" t="str">
        <f t="shared" si="2"/>
        <v>February</v>
      </c>
      <c r="E74" s="15">
        <v>18</v>
      </c>
      <c r="F74" s="17">
        <v>0.59722222222222221</v>
      </c>
      <c r="G74" s="28"/>
      <c r="H74" s="15">
        <f>'Raw Data'!A74</f>
        <v>72</v>
      </c>
      <c r="I74" s="15" t="str">
        <f>'Raw Data'!J74</f>
        <v xml:space="preserve"> UK   </v>
      </c>
      <c r="J74" s="15" t="s">
        <v>2547</v>
      </c>
      <c r="K74" s="15" t="str">
        <f t="shared" si="3"/>
        <v>Updated</v>
      </c>
    </row>
    <row r="75" spans="1:11" x14ac:dyDescent="0.25">
      <c r="A75" s="15">
        <f>'Raw Data'!A75</f>
        <v>73</v>
      </c>
      <c r="B75" s="16">
        <f>'Raw Data'!D75</f>
        <v>44975.78125</v>
      </c>
      <c r="C75" s="15">
        <v>2023</v>
      </c>
      <c r="D75" s="15" t="str">
        <f t="shared" si="2"/>
        <v>February</v>
      </c>
      <c r="E75" s="15">
        <v>18</v>
      </c>
      <c r="F75" s="17">
        <v>0.78125</v>
      </c>
      <c r="G75" s="28"/>
      <c r="H75" s="15">
        <f>'Raw Data'!A75</f>
        <v>73</v>
      </c>
      <c r="I75" s="15" t="str">
        <f>'Raw Data'!J75</f>
        <v xml:space="preserve"> Canada    </v>
      </c>
      <c r="J75" s="15" t="s">
        <v>76</v>
      </c>
      <c r="K75" s="15" t="str">
        <f t="shared" si="3"/>
        <v>No Change</v>
      </c>
    </row>
    <row r="76" spans="1:11" x14ac:dyDescent="0.25">
      <c r="A76" s="15">
        <f>'Raw Data'!A76</f>
        <v>74</v>
      </c>
      <c r="B76" s="16">
        <f>'Raw Data'!D76</f>
        <v>44976.479166666664</v>
      </c>
      <c r="C76" s="15">
        <v>2023</v>
      </c>
      <c r="D76" s="15" t="str">
        <f t="shared" si="2"/>
        <v>February</v>
      </c>
      <c r="E76" s="15">
        <v>19</v>
      </c>
      <c r="F76" s="17">
        <v>0.47916666666666669</v>
      </c>
      <c r="G76" s="28"/>
      <c r="H76" s="15">
        <f>'Raw Data'!A76</f>
        <v>74</v>
      </c>
      <c r="I76" s="15" t="str">
        <f>'Raw Data'!J76</f>
        <v xml:space="preserve"> USA       </v>
      </c>
      <c r="J76" s="15" t="s">
        <v>2533</v>
      </c>
      <c r="K76" s="15" t="str">
        <f t="shared" si="3"/>
        <v>Updated</v>
      </c>
    </row>
    <row r="77" spans="1:11" x14ac:dyDescent="0.25">
      <c r="A77" s="15">
        <f>'Raw Data'!A77</f>
        <v>75</v>
      </c>
      <c r="B77" s="16">
        <f>'Raw Data'!D77</f>
        <v>44976.666666666664</v>
      </c>
      <c r="C77" s="15">
        <v>2023</v>
      </c>
      <c r="D77" s="15" t="str">
        <f t="shared" si="2"/>
        <v>February</v>
      </c>
      <c r="E77" s="15">
        <v>19</v>
      </c>
      <c r="F77" s="17">
        <v>0.66666666666666663</v>
      </c>
      <c r="G77" s="28"/>
      <c r="H77" s="15">
        <f>'Raw Data'!A77</f>
        <v>75</v>
      </c>
      <c r="I77" s="15" t="str">
        <f>'Raw Data'!J77</f>
        <v xml:space="preserve"> Australia    </v>
      </c>
      <c r="J77" s="15" t="s">
        <v>292</v>
      </c>
      <c r="K77" s="15" t="str">
        <f t="shared" si="3"/>
        <v>No Change</v>
      </c>
    </row>
    <row r="78" spans="1:11" x14ac:dyDescent="0.25">
      <c r="A78" s="15">
        <f>'Raw Data'!A78</f>
        <v>76</v>
      </c>
      <c r="B78" s="16">
        <f>'Raw Data'!D78</f>
        <v>44976.822916666664</v>
      </c>
      <c r="C78" s="15">
        <v>2023</v>
      </c>
      <c r="D78" s="15" t="str">
        <f t="shared" si="2"/>
        <v>February</v>
      </c>
      <c r="E78" s="15">
        <v>19</v>
      </c>
      <c r="F78" s="17">
        <v>0.82291666666666663</v>
      </c>
      <c r="G78" s="28"/>
      <c r="H78" s="15">
        <f>'Raw Data'!A78</f>
        <v>76</v>
      </c>
      <c r="I78" s="15" t="str">
        <f>'Raw Data'!J78</f>
        <v xml:space="preserve"> India      </v>
      </c>
      <c r="J78" s="15" t="s">
        <v>207</v>
      </c>
      <c r="K78" s="15" t="str">
        <f t="shared" si="3"/>
        <v>No Change</v>
      </c>
    </row>
    <row r="79" spans="1:11" x14ac:dyDescent="0.25">
      <c r="A79" s="15">
        <f>'Raw Data'!A79</f>
        <v>77</v>
      </c>
      <c r="B79" s="16">
        <f>'Raw Data'!D79</f>
        <v>44977.395833333336</v>
      </c>
      <c r="C79" s="15">
        <v>2023</v>
      </c>
      <c r="D79" s="15" t="str">
        <f t="shared" si="2"/>
        <v>February</v>
      </c>
      <c r="E79" s="15">
        <v>20</v>
      </c>
      <c r="F79" s="17">
        <v>0.39583333333333331</v>
      </c>
      <c r="G79" s="28"/>
      <c r="H79" s="15">
        <f>'Raw Data'!A79</f>
        <v>77</v>
      </c>
      <c r="I79" s="15" t="str">
        <f>'Raw Data'!J79</f>
        <v xml:space="preserve"> Canada     </v>
      </c>
      <c r="J79" s="15" t="s">
        <v>197</v>
      </c>
      <c r="K79" s="15" t="str">
        <f t="shared" si="3"/>
        <v>No Change</v>
      </c>
    </row>
    <row r="80" spans="1:11" x14ac:dyDescent="0.25">
      <c r="A80" s="15">
        <f>'Raw Data'!A80</f>
        <v>78</v>
      </c>
      <c r="B80" s="16">
        <f>'Raw Data'!D80</f>
        <v>44977.885416666664</v>
      </c>
      <c r="C80" s="15">
        <v>2023</v>
      </c>
      <c r="D80" s="15" t="str">
        <f t="shared" si="2"/>
        <v>February</v>
      </c>
      <c r="E80" s="15">
        <v>20</v>
      </c>
      <c r="F80" s="17">
        <v>0.88541666666666663</v>
      </c>
      <c r="G80" s="28"/>
      <c r="H80" s="15">
        <f>'Raw Data'!A80</f>
        <v>78</v>
      </c>
      <c r="I80" s="15" t="str">
        <f>'Raw Data'!J80</f>
        <v xml:space="preserve"> USA          </v>
      </c>
      <c r="J80" s="15" t="s">
        <v>2536</v>
      </c>
      <c r="K80" s="15" t="str">
        <f t="shared" si="3"/>
        <v>Updated</v>
      </c>
    </row>
    <row r="81" spans="1:11" x14ac:dyDescent="0.25">
      <c r="A81" s="15">
        <f>'Raw Data'!A81</f>
        <v>79</v>
      </c>
      <c r="B81" s="16">
        <f>'Raw Data'!D81</f>
        <v>44978.614583333336</v>
      </c>
      <c r="C81" s="15">
        <v>2023</v>
      </c>
      <c r="D81" s="15" t="str">
        <f t="shared" si="2"/>
        <v>February</v>
      </c>
      <c r="E81" s="15">
        <v>21</v>
      </c>
      <c r="F81" s="17">
        <v>0.61458333333333337</v>
      </c>
      <c r="G81" s="28"/>
      <c r="H81" s="15">
        <f>'Raw Data'!A81</f>
        <v>79</v>
      </c>
      <c r="I81" s="15" t="str">
        <f>'Raw Data'!J81</f>
        <v xml:space="preserve"> India      </v>
      </c>
      <c r="J81" s="15" t="s">
        <v>207</v>
      </c>
      <c r="K81" s="15" t="str">
        <f t="shared" si="3"/>
        <v>No Change</v>
      </c>
    </row>
    <row r="82" spans="1:11" x14ac:dyDescent="0.25">
      <c r="A82" s="15">
        <f>'Raw Data'!A82</f>
        <v>80</v>
      </c>
      <c r="B82" s="16">
        <f>'Raw Data'!D82</f>
        <v>44978.763888888891</v>
      </c>
      <c r="C82" s="15">
        <v>2023</v>
      </c>
      <c r="D82" s="15" t="str">
        <f t="shared" si="2"/>
        <v>February</v>
      </c>
      <c r="E82" s="15">
        <v>21</v>
      </c>
      <c r="F82" s="17">
        <v>0.76388888888888884</v>
      </c>
      <c r="G82" s="28"/>
      <c r="H82" s="15">
        <f>'Raw Data'!A82</f>
        <v>80</v>
      </c>
      <c r="I82" s="15" t="str">
        <f>'Raw Data'!J82</f>
        <v xml:space="preserve"> UK         </v>
      </c>
      <c r="J82" s="15" t="s">
        <v>2548</v>
      </c>
      <c r="K82" s="15" t="str">
        <f t="shared" si="3"/>
        <v>Updated</v>
      </c>
    </row>
    <row r="83" spans="1:11" x14ac:dyDescent="0.25">
      <c r="A83" s="15">
        <f>'Raw Data'!A83</f>
        <v>81</v>
      </c>
      <c r="B83" s="16">
        <f>'Raw Data'!D83</f>
        <v>44979.416666666664</v>
      </c>
      <c r="C83" s="15">
        <v>2023</v>
      </c>
      <c r="D83" s="15" t="str">
        <f t="shared" si="2"/>
        <v>February</v>
      </c>
      <c r="E83" s="15">
        <v>22</v>
      </c>
      <c r="F83" s="17">
        <v>0.41666666666666669</v>
      </c>
      <c r="G83" s="28"/>
      <c r="H83" s="15">
        <f>'Raw Data'!A83</f>
        <v>81</v>
      </c>
      <c r="I83" s="15" t="str">
        <f>'Raw Data'!J83</f>
        <v xml:space="preserve"> UK           </v>
      </c>
      <c r="J83" s="15" t="s">
        <v>2549</v>
      </c>
      <c r="K83" s="15" t="str">
        <f t="shared" si="3"/>
        <v>Updated</v>
      </c>
    </row>
    <row r="84" spans="1:11" x14ac:dyDescent="0.25">
      <c r="A84" s="15">
        <f>'Raw Data'!A84</f>
        <v>82</v>
      </c>
      <c r="B84" s="16">
        <f>'Raw Data'!D84</f>
        <v>44979.8125</v>
      </c>
      <c r="C84" s="15">
        <v>2023</v>
      </c>
      <c r="D84" s="15" t="str">
        <f t="shared" si="2"/>
        <v>February</v>
      </c>
      <c r="E84" s="15">
        <v>22</v>
      </c>
      <c r="F84" s="17">
        <v>0.8125</v>
      </c>
      <c r="G84" s="28"/>
      <c r="H84" s="15">
        <f>'Raw Data'!A84</f>
        <v>82</v>
      </c>
      <c r="I84" s="15" t="str">
        <f>'Raw Data'!J84</f>
        <v xml:space="preserve"> Canada    </v>
      </c>
      <c r="J84" s="15" t="s">
        <v>76</v>
      </c>
      <c r="K84" s="15" t="str">
        <f t="shared" si="3"/>
        <v>No Change</v>
      </c>
    </row>
    <row r="85" spans="1:11" x14ac:dyDescent="0.25">
      <c r="A85" s="15">
        <f>'Raw Data'!A85</f>
        <v>83</v>
      </c>
      <c r="B85" s="16">
        <f>'Raw Data'!D85</f>
        <v>44980.354166666664</v>
      </c>
      <c r="C85" s="15">
        <v>2023</v>
      </c>
      <c r="D85" s="15" t="str">
        <f t="shared" si="2"/>
        <v>February</v>
      </c>
      <c r="E85" s="15">
        <v>23</v>
      </c>
      <c r="F85" s="17">
        <v>0.35416666666666669</v>
      </c>
      <c r="G85" s="28"/>
      <c r="H85" s="15">
        <f>'Raw Data'!A85</f>
        <v>83</v>
      </c>
      <c r="I85" s="15" t="str">
        <f>'Raw Data'!J85</f>
        <v xml:space="preserve"> Australia  </v>
      </c>
      <c r="J85" s="15" t="s">
        <v>224</v>
      </c>
      <c r="K85" s="15" t="str">
        <f t="shared" si="3"/>
        <v>No Change</v>
      </c>
    </row>
    <row r="86" spans="1:11" x14ac:dyDescent="0.25">
      <c r="A86" s="15">
        <f>'Raw Data'!A86</f>
        <v>84</v>
      </c>
      <c r="B86" s="16">
        <f>'Raw Data'!D86</f>
        <v>44980.597222222219</v>
      </c>
      <c r="C86" s="15">
        <v>2023</v>
      </c>
      <c r="D86" s="15" t="str">
        <f t="shared" si="2"/>
        <v>February</v>
      </c>
      <c r="E86" s="15">
        <v>23</v>
      </c>
      <c r="F86" s="17">
        <v>0.59722222222222221</v>
      </c>
      <c r="G86" s="28"/>
      <c r="H86" s="15">
        <f>'Raw Data'!A86</f>
        <v>84</v>
      </c>
      <c r="I86" s="15" t="str">
        <f>'Raw Data'!J86</f>
        <v xml:space="preserve"> UK           </v>
      </c>
      <c r="J86" s="15" t="s">
        <v>2549</v>
      </c>
      <c r="K86" s="15" t="str">
        <f t="shared" si="3"/>
        <v>Updated</v>
      </c>
    </row>
    <row r="87" spans="1:11" x14ac:dyDescent="0.25">
      <c r="A87" s="15">
        <f>'Raw Data'!A87</f>
        <v>85</v>
      </c>
      <c r="B87" s="16">
        <f>'Raw Data'!D87</f>
        <v>44980.822916666664</v>
      </c>
      <c r="C87" s="15">
        <v>2023</v>
      </c>
      <c r="D87" s="15" t="str">
        <f t="shared" si="2"/>
        <v>February</v>
      </c>
      <c r="E87" s="15">
        <v>23</v>
      </c>
      <c r="F87" s="17">
        <v>0.82291666666666663</v>
      </c>
      <c r="G87" s="28"/>
      <c r="H87" s="15">
        <f>'Raw Data'!A87</f>
        <v>85</v>
      </c>
      <c r="I87" s="15" t="str">
        <f>'Raw Data'!J87</f>
        <v xml:space="preserve"> USA </v>
      </c>
      <c r="J87" s="15" t="s">
        <v>2534</v>
      </c>
      <c r="K87" s="15" t="str">
        <f t="shared" si="3"/>
        <v>Updated</v>
      </c>
    </row>
    <row r="88" spans="1:11" x14ac:dyDescent="0.25">
      <c r="A88" s="15">
        <f>'Raw Data'!A88</f>
        <v>86</v>
      </c>
      <c r="B88" s="16">
        <f>'Raw Data'!D88</f>
        <v>44981.479166666664</v>
      </c>
      <c r="C88" s="15">
        <v>2023</v>
      </c>
      <c r="D88" s="15" t="str">
        <f t="shared" si="2"/>
        <v>February</v>
      </c>
      <c r="E88" s="15">
        <v>24</v>
      </c>
      <c r="F88" s="17">
        <v>0.47916666666666669</v>
      </c>
      <c r="G88" s="28"/>
      <c r="H88" s="15">
        <f>'Raw Data'!A88</f>
        <v>86</v>
      </c>
      <c r="I88" s="15" t="str">
        <f>'Raw Data'!J88</f>
        <v xml:space="preserve"> USA        </v>
      </c>
      <c r="J88" s="15" t="s">
        <v>2530</v>
      </c>
      <c r="K88" s="15" t="str">
        <f t="shared" si="3"/>
        <v>Updated</v>
      </c>
    </row>
    <row r="89" spans="1:11" x14ac:dyDescent="0.25">
      <c r="A89" s="15">
        <f>'Raw Data'!A89</f>
        <v>87</v>
      </c>
      <c r="B89" s="16">
        <f>'Raw Data'!D89</f>
        <v>44981.666666666664</v>
      </c>
      <c r="C89" s="15">
        <v>2023</v>
      </c>
      <c r="D89" s="15" t="str">
        <f t="shared" si="2"/>
        <v>February</v>
      </c>
      <c r="E89" s="15">
        <v>24</v>
      </c>
      <c r="F89" s="17">
        <v>0.66666666666666663</v>
      </c>
      <c r="G89" s="28"/>
      <c r="H89" s="15">
        <f>'Raw Data'!A89</f>
        <v>87</v>
      </c>
      <c r="I89" s="15" t="str">
        <f>'Raw Data'!J89</f>
        <v>USA</v>
      </c>
      <c r="J89" s="15" t="s">
        <v>2532</v>
      </c>
      <c r="K89" s="15" t="str">
        <f t="shared" si="3"/>
        <v>Updated</v>
      </c>
    </row>
    <row r="90" spans="1:11" x14ac:dyDescent="0.25">
      <c r="A90" s="15">
        <f>'Raw Data'!A90</f>
        <v>88</v>
      </c>
      <c r="B90" s="16">
        <f>'Raw Data'!D90</f>
        <v>44981.854166666664</v>
      </c>
      <c r="C90" s="15">
        <v>2023</v>
      </c>
      <c r="D90" s="15" t="str">
        <f t="shared" si="2"/>
        <v>February</v>
      </c>
      <c r="E90" s="15">
        <v>24</v>
      </c>
      <c r="F90" s="17">
        <v>0.85416666666666663</v>
      </c>
      <c r="G90" s="28"/>
      <c r="H90" s="15">
        <f>'Raw Data'!A90</f>
        <v>88</v>
      </c>
      <c r="I90" s="15" t="str">
        <f>'Raw Data'!J90</f>
        <v xml:space="preserve"> Australia </v>
      </c>
      <c r="J90" s="15" t="s">
        <v>36</v>
      </c>
      <c r="K90" s="15" t="str">
        <f t="shared" si="3"/>
        <v>No Change</v>
      </c>
    </row>
    <row r="91" spans="1:11" x14ac:dyDescent="0.25">
      <c r="A91" s="15">
        <f>'Raw Data'!A91</f>
        <v>89</v>
      </c>
      <c r="B91" s="16">
        <f>'Raw Data'!D91</f>
        <v>44982.375</v>
      </c>
      <c r="C91" s="15">
        <v>2023</v>
      </c>
      <c r="D91" s="15" t="str">
        <f t="shared" si="2"/>
        <v>February</v>
      </c>
      <c r="E91" s="15">
        <v>25</v>
      </c>
      <c r="F91" s="17">
        <v>0.375</v>
      </c>
      <c r="G91" s="28"/>
      <c r="H91" s="15">
        <f>'Raw Data'!A91</f>
        <v>89</v>
      </c>
      <c r="I91" s="15" t="str">
        <f>'Raw Data'!J91</f>
        <v xml:space="preserve"> India      </v>
      </c>
      <c r="J91" s="15" t="s">
        <v>207</v>
      </c>
      <c r="K91" s="15" t="str">
        <f t="shared" si="3"/>
        <v>No Change</v>
      </c>
    </row>
    <row r="92" spans="1:11" x14ac:dyDescent="0.25">
      <c r="A92" s="15">
        <f>'Raw Data'!A92</f>
        <v>90</v>
      </c>
      <c r="B92" s="16">
        <f>'Raw Data'!D92</f>
        <v>44982.614583333336</v>
      </c>
      <c r="C92" s="15">
        <v>2023</v>
      </c>
      <c r="D92" s="15" t="str">
        <f t="shared" si="2"/>
        <v>February</v>
      </c>
      <c r="E92" s="15">
        <v>25</v>
      </c>
      <c r="F92" s="17">
        <v>0.61458333333333337</v>
      </c>
      <c r="G92" s="28"/>
      <c r="H92" s="15">
        <f>'Raw Data'!A92</f>
        <v>90</v>
      </c>
      <c r="I92" s="15" t="str">
        <f>'Raw Data'!J92</f>
        <v xml:space="preserve"> USA          </v>
      </c>
      <c r="J92" s="15" t="s">
        <v>2536</v>
      </c>
      <c r="K92" s="15" t="str">
        <f t="shared" si="3"/>
        <v>Updated</v>
      </c>
    </row>
    <row r="93" spans="1:11" x14ac:dyDescent="0.25">
      <c r="A93" s="15">
        <f>'Raw Data'!A93</f>
        <v>91</v>
      </c>
      <c r="B93" s="16">
        <f>'Raw Data'!D93</f>
        <v>44982.763888888891</v>
      </c>
      <c r="C93" s="15">
        <v>2023</v>
      </c>
      <c r="D93" s="15" t="str">
        <f t="shared" si="2"/>
        <v>February</v>
      </c>
      <c r="E93" s="15">
        <v>25</v>
      </c>
      <c r="F93" s="17">
        <v>0.76388888888888884</v>
      </c>
      <c r="G93" s="28"/>
      <c r="H93" s="15">
        <f>'Raw Data'!A93</f>
        <v>91</v>
      </c>
      <c r="I93" s="15" t="str">
        <f>'Raw Data'!J93</f>
        <v xml:space="preserve"> Canada     </v>
      </c>
      <c r="J93" s="15" t="s">
        <v>197</v>
      </c>
      <c r="K93" s="15" t="str">
        <f t="shared" si="3"/>
        <v>No Change</v>
      </c>
    </row>
    <row r="94" spans="1:11" x14ac:dyDescent="0.25">
      <c r="A94" s="15">
        <f>'Raw Data'!A94</f>
        <v>92</v>
      </c>
      <c r="B94" s="16">
        <f>'Raw Data'!D94</f>
        <v>44983.447916666664</v>
      </c>
      <c r="C94" s="15">
        <v>2023</v>
      </c>
      <c r="D94" s="15" t="str">
        <f t="shared" si="2"/>
        <v>February</v>
      </c>
      <c r="E94" s="15">
        <v>26</v>
      </c>
      <c r="F94" s="17">
        <v>0.44791666666666669</v>
      </c>
      <c r="G94" s="28"/>
      <c r="H94" s="15">
        <f>'Raw Data'!A94</f>
        <v>92</v>
      </c>
      <c r="I94" s="15" t="str">
        <f>'Raw Data'!J94</f>
        <v xml:space="preserve"> UK         </v>
      </c>
      <c r="J94" s="15" t="s">
        <v>2548</v>
      </c>
      <c r="K94" s="15" t="str">
        <f t="shared" si="3"/>
        <v>Updated</v>
      </c>
    </row>
    <row r="95" spans="1:11" x14ac:dyDescent="0.25">
      <c r="A95" s="15">
        <f>'Raw Data'!A95</f>
        <v>93</v>
      </c>
      <c r="B95" s="16">
        <f>'Raw Data'!D95</f>
        <v>44983.3125</v>
      </c>
      <c r="C95" s="15">
        <v>2023</v>
      </c>
      <c r="D95" s="15" t="str">
        <f t="shared" si="2"/>
        <v>February</v>
      </c>
      <c r="E95" s="15">
        <v>26</v>
      </c>
      <c r="F95" s="17">
        <v>0.3125</v>
      </c>
      <c r="G95" s="28"/>
      <c r="H95" s="15">
        <f>'Raw Data'!A95</f>
        <v>93</v>
      </c>
      <c r="I95" s="15" t="str">
        <f>'Raw Data'!J95</f>
        <v xml:space="preserve"> Australia    </v>
      </c>
      <c r="J95" s="15" t="s">
        <v>292</v>
      </c>
      <c r="K95" s="15" t="str">
        <f t="shared" si="3"/>
        <v>No Change</v>
      </c>
    </row>
    <row r="96" spans="1:11" x14ac:dyDescent="0.25">
      <c r="A96" s="15">
        <f>'Raw Data'!A96</f>
        <v>94</v>
      </c>
      <c r="B96" s="16">
        <f>'Raw Data'!D96</f>
        <v>44983.625</v>
      </c>
      <c r="C96" s="15">
        <v>2023</v>
      </c>
      <c r="D96" s="15" t="str">
        <f t="shared" si="2"/>
        <v>February</v>
      </c>
      <c r="E96" s="15">
        <v>26</v>
      </c>
      <c r="F96" s="17">
        <v>0.625</v>
      </c>
      <c r="G96" s="28"/>
      <c r="H96" s="15">
        <f>'Raw Data'!A96</f>
        <v>94</v>
      </c>
      <c r="I96" s="15" t="str">
        <f>'Raw Data'!J96</f>
        <v xml:space="preserve"> USA       </v>
      </c>
      <c r="J96" s="15" t="s">
        <v>2533</v>
      </c>
      <c r="K96" s="15" t="str">
        <f t="shared" si="3"/>
        <v>Updated</v>
      </c>
    </row>
    <row r="97" spans="1:11" x14ac:dyDescent="0.25">
      <c r="A97" s="15">
        <f>'Raw Data'!A97</f>
        <v>95</v>
      </c>
      <c r="B97" s="16">
        <f>'Raw Data'!D97</f>
        <v>44984.395833333336</v>
      </c>
      <c r="C97" s="15">
        <v>2023</v>
      </c>
      <c r="D97" s="15" t="str">
        <f t="shared" si="2"/>
        <v>February</v>
      </c>
      <c r="E97" s="15">
        <v>27</v>
      </c>
      <c r="F97" s="17">
        <v>0.39583333333333331</v>
      </c>
      <c r="G97" s="28"/>
      <c r="H97" s="15">
        <f>'Raw Data'!A97</f>
        <v>95</v>
      </c>
      <c r="I97" s="15" t="str">
        <f>'Raw Data'!J97</f>
        <v xml:space="preserve"> India     </v>
      </c>
      <c r="J97" s="15" t="s">
        <v>111</v>
      </c>
      <c r="K97" s="15" t="str">
        <f t="shared" si="3"/>
        <v>No Change</v>
      </c>
    </row>
    <row r="98" spans="1:11" x14ac:dyDescent="0.25">
      <c r="A98" s="15">
        <f>'Raw Data'!A98</f>
        <v>96</v>
      </c>
      <c r="B98" s="16">
        <f>'Raw Data'!D98</f>
        <v>44984.597222222219</v>
      </c>
      <c r="C98" s="15">
        <v>2023</v>
      </c>
      <c r="D98" s="15" t="str">
        <f t="shared" si="2"/>
        <v>February</v>
      </c>
      <c r="E98" s="15">
        <v>27</v>
      </c>
      <c r="F98" s="17">
        <v>0.59722222222222221</v>
      </c>
      <c r="G98" s="28"/>
      <c r="H98" s="15">
        <f>'Raw Data'!A98</f>
        <v>96</v>
      </c>
      <c r="I98" s="15" t="str">
        <f>'Raw Data'!J98</f>
        <v xml:space="preserve"> UK   </v>
      </c>
      <c r="J98" s="15" t="s">
        <v>2547</v>
      </c>
      <c r="K98" s="15" t="str">
        <f t="shared" si="3"/>
        <v>Updated</v>
      </c>
    </row>
    <row r="99" spans="1:11" x14ac:dyDescent="0.25">
      <c r="A99" s="15">
        <f>'Raw Data'!A99</f>
        <v>97</v>
      </c>
      <c r="B99" s="16">
        <f>'Raw Data'!D99</f>
        <v>44984.78125</v>
      </c>
      <c r="C99" s="15">
        <v>2023</v>
      </c>
      <c r="D99" s="15" t="str">
        <f t="shared" si="2"/>
        <v>February</v>
      </c>
      <c r="E99" s="15">
        <v>27</v>
      </c>
      <c r="F99" s="17">
        <v>0.78125</v>
      </c>
      <c r="G99" s="28"/>
      <c r="H99" s="15">
        <f>'Raw Data'!A99</f>
        <v>97</v>
      </c>
      <c r="I99" s="15" t="str">
        <f>'Raw Data'!J99</f>
        <v xml:space="preserve"> Canada </v>
      </c>
      <c r="J99" s="15" t="s">
        <v>121</v>
      </c>
      <c r="K99" s="15" t="str">
        <f t="shared" si="3"/>
        <v>No Change</v>
      </c>
    </row>
    <row r="100" spans="1:11" x14ac:dyDescent="0.25">
      <c r="A100" s="15">
        <f>'Raw Data'!A100</f>
        <v>98</v>
      </c>
      <c r="B100" s="16">
        <f>'Raw Data'!D100</f>
        <v>44985.479166666664</v>
      </c>
      <c r="C100" s="15">
        <v>2023</v>
      </c>
      <c r="D100" s="15" t="str">
        <f t="shared" si="2"/>
        <v>February</v>
      </c>
      <c r="E100" s="15">
        <v>28</v>
      </c>
      <c r="F100" s="17">
        <v>0.47916666666666669</v>
      </c>
      <c r="G100" s="28"/>
      <c r="H100" s="15">
        <f>'Raw Data'!A100</f>
        <v>98</v>
      </c>
      <c r="I100" s="15" t="str">
        <f>'Raw Data'!J100</f>
        <v xml:space="preserve"> USA       </v>
      </c>
      <c r="J100" s="15" t="s">
        <v>2533</v>
      </c>
      <c r="K100" s="15" t="str">
        <f t="shared" si="3"/>
        <v>Updated</v>
      </c>
    </row>
    <row r="101" spans="1:11" x14ac:dyDescent="0.25">
      <c r="A101" s="15">
        <f>'Raw Data'!A101</f>
        <v>99</v>
      </c>
      <c r="B101" s="16">
        <f>'Raw Data'!D101</f>
        <v>44985.666666666664</v>
      </c>
      <c r="C101" s="15">
        <v>2023</v>
      </c>
      <c r="D101" s="15" t="str">
        <f t="shared" si="2"/>
        <v>February</v>
      </c>
      <c r="E101" s="15">
        <v>28</v>
      </c>
      <c r="F101" s="17">
        <v>0.66666666666666663</v>
      </c>
      <c r="G101" s="28"/>
      <c r="H101" s="15">
        <f>'Raw Data'!A101</f>
        <v>99</v>
      </c>
      <c r="I101" s="15" t="str">
        <f>'Raw Data'!J101</f>
        <v xml:space="preserve"> UK            </v>
      </c>
      <c r="J101" s="15" t="s">
        <v>2550</v>
      </c>
      <c r="K101" s="15" t="str">
        <f t="shared" si="3"/>
        <v>Updated</v>
      </c>
    </row>
    <row r="102" spans="1:11" x14ac:dyDescent="0.25">
      <c r="A102" s="15">
        <f>'Raw Data'!A102</f>
        <v>100</v>
      </c>
      <c r="B102" s="16">
        <f>'Raw Data'!D102</f>
        <v>44985.822916666664</v>
      </c>
      <c r="C102" s="15">
        <v>2023</v>
      </c>
      <c r="D102" s="15" t="str">
        <f t="shared" si="2"/>
        <v>February</v>
      </c>
      <c r="E102" s="15">
        <v>28</v>
      </c>
      <c r="F102" s="17">
        <v>0.82291666666666663</v>
      </c>
      <c r="G102" s="28"/>
      <c r="H102" s="15">
        <f>'Raw Data'!A102</f>
        <v>100</v>
      </c>
      <c r="I102" s="15" t="str">
        <f>'Raw Data'!J102</f>
        <v xml:space="preserve"> India     </v>
      </c>
      <c r="J102" s="15" t="s">
        <v>111</v>
      </c>
      <c r="K102" s="15" t="str">
        <f t="shared" si="3"/>
        <v>No Change</v>
      </c>
    </row>
    <row r="103" spans="1:11" x14ac:dyDescent="0.25">
      <c r="A103" s="15">
        <f>'Raw Data'!A103</f>
        <v>101</v>
      </c>
      <c r="B103" s="16">
        <f>'Raw Data'!D103</f>
        <v>44986.447916666664</v>
      </c>
      <c r="C103" s="15">
        <v>2023</v>
      </c>
      <c r="D103" s="15" t="str">
        <f t="shared" si="2"/>
        <v>March</v>
      </c>
      <c r="E103" s="15">
        <v>1</v>
      </c>
      <c r="F103" s="17">
        <v>0.44791666666666669</v>
      </c>
      <c r="G103" s="28"/>
      <c r="H103" s="15">
        <f>'Raw Data'!A103</f>
        <v>101</v>
      </c>
      <c r="I103" s="15" t="str">
        <f>'Raw Data'!J103</f>
        <v xml:space="preserve"> Australia </v>
      </c>
      <c r="J103" s="15" t="s">
        <v>36</v>
      </c>
      <c r="K103" s="15" t="str">
        <f t="shared" si="3"/>
        <v>No Change</v>
      </c>
    </row>
    <row r="104" spans="1:11" x14ac:dyDescent="0.25">
      <c r="A104" s="15">
        <f>'Raw Data'!A104</f>
        <v>102</v>
      </c>
      <c r="B104" s="16">
        <f>'Raw Data'!D104</f>
        <v>44986.5625</v>
      </c>
      <c r="C104" s="15">
        <v>2023</v>
      </c>
      <c r="D104" s="15" t="str">
        <f t="shared" si="2"/>
        <v>March</v>
      </c>
      <c r="E104" s="15">
        <v>1</v>
      </c>
      <c r="F104" s="17">
        <v>0.5625</v>
      </c>
      <c r="G104" s="28"/>
      <c r="H104" s="15">
        <f>'Raw Data'!A104</f>
        <v>102</v>
      </c>
      <c r="I104" s="15" t="str">
        <f>'Raw Data'!J104</f>
        <v xml:space="preserve"> USA          </v>
      </c>
      <c r="J104" s="15" t="s">
        <v>2536</v>
      </c>
      <c r="K104" s="15" t="str">
        <f t="shared" si="3"/>
        <v>Updated</v>
      </c>
    </row>
    <row r="105" spans="1:11" x14ac:dyDescent="0.25">
      <c r="A105" s="15">
        <f>'Raw Data'!A105</f>
        <v>103</v>
      </c>
      <c r="B105" s="16">
        <f>'Raw Data'!D105</f>
        <v>44986.739583333336</v>
      </c>
      <c r="C105" s="15">
        <v>2023</v>
      </c>
      <c r="D105" s="15" t="str">
        <f t="shared" si="2"/>
        <v>March</v>
      </c>
      <c r="E105" s="15">
        <v>1</v>
      </c>
      <c r="F105" s="17">
        <v>0.73958333333333337</v>
      </c>
      <c r="G105" s="28"/>
      <c r="H105" s="15">
        <f>'Raw Data'!A105</f>
        <v>103</v>
      </c>
      <c r="I105" s="15" t="str">
        <f>'Raw Data'!J105</f>
        <v xml:space="preserve"> Canada    </v>
      </c>
      <c r="J105" s="15" t="s">
        <v>76</v>
      </c>
      <c r="K105" s="15" t="str">
        <f t="shared" si="3"/>
        <v>No Change</v>
      </c>
    </row>
    <row r="106" spans="1:11" x14ac:dyDescent="0.25">
      <c r="A106" s="15">
        <f>'Raw Data'!A106</f>
        <v>104</v>
      </c>
      <c r="B106" s="16">
        <f>'Raw Data'!D106</f>
        <v>44987.75</v>
      </c>
      <c r="C106" s="15">
        <v>2023</v>
      </c>
      <c r="D106" s="15" t="str">
        <f t="shared" si="2"/>
        <v>March</v>
      </c>
      <c r="E106" s="15">
        <v>2</v>
      </c>
      <c r="F106" s="17">
        <v>0.75</v>
      </c>
      <c r="G106" s="28"/>
      <c r="H106" s="15">
        <f>'Raw Data'!A106</f>
        <v>104</v>
      </c>
      <c r="I106" s="15" t="str">
        <f>'Raw Data'!J106</f>
        <v xml:space="preserve"> UK        </v>
      </c>
      <c r="J106" s="15" t="s">
        <v>2546</v>
      </c>
      <c r="K106" s="15" t="str">
        <f t="shared" si="3"/>
        <v>Updated</v>
      </c>
    </row>
    <row r="107" spans="1:11" x14ac:dyDescent="0.25">
      <c r="A107" s="15">
        <f>'Raw Data'!A107</f>
        <v>105</v>
      </c>
      <c r="B107" s="16">
        <f>'Raw Data'!D107</f>
        <v>44987.552083333336</v>
      </c>
      <c r="C107" s="15">
        <v>2023</v>
      </c>
      <c r="D107" s="15" t="str">
        <f t="shared" si="2"/>
        <v>March</v>
      </c>
      <c r="E107" s="15">
        <v>2</v>
      </c>
      <c r="F107" s="17">
        <v>0.55208333333333337</v>
      </c>
      <c r="G107" s="28"/>
      <c r="H107" s="15">
        <f>'Raw Data'!A107</f>
        <v>105</v>
      </c>
      <c r="I107" s="15" t="str">
        <f>'Raw Data'!J107</f>
        <v xml:space="preserve"> USA   </v>
      </c>
      <c r="J107" s="15" t="s">
        <v>2537</v>
      </c>
      <c r="K107" s="15" t="str">
        <f t="shared" si="3"/>
        <v>Updated</v>
      </c>
    </row>
    <row r="108" spans="1:11" x14ac:dyDescent="0.25">
      <c r="A108" s="15">
        <f>'Raw Data'!A108</f>
        <v>106</v>
      </c>
      <c r="B108" s="16">
        <f>'Raw Data'!D108</f>
        <v>44987.697916666664</v>
      </c>
      <c r="C108" s="15">
        <v>2023</v>
      </c>
      <c r="D108" s="15" t="str">
        <f t="shared" si="2"/>
        <v>March</v>
      </c>
      <c r="E108" s="15">
        <v>2</v>
      </c>
      <c r="F108" s="17">
        <v>0.69791666666666663</v>
      </c>
      <c r="G108" s="28"/>
      <c r="H108" s="15">
        <f>'Raw Data'!A108</f>
        <v>106</v>
      </c>
      <c r="I108" s="15" t="str">
        <f>'Raw Data'!J108</f>
        <v xml:space="preserve"> India     </v>
      </c>
      <c r="J108" s="15" t="s">
        <v>111</v>
      </c>
      <c r="K108" s="15" t="str">
        <f t="shared" si="3"/>
        <v>No Change</v>
      </c>
    </row>
    <row r="109" spans="1:11" x14ac:dyDescent="0.25">
      <c r="A109" s="15">
        <f>'Raw Data'!A109</f>
        <v>107</v>
      </c>
      <c r="B109" s="16">
        <f>'Raw Data'!D109</f>
        <v>44988.479166666664</v>
      </c>
      <c r="C109" s="15">
        <v>2023</v>
      </c>
      <c r="D109" s="15" t="str">
        <f t="shared" si="2"/>
        <v>March</v>
      </c>
      <c r="E109" s="15">
        <v>3</v>
      </c>
      <c r="F109" s="17">
        <v>0.47916666666666669</v>
      </c>
      <c r="G109" s="28"/>
      <c r="H109" s="15">
        <f>'Raw Data'!A109</f>
        <v>107</v>
      </c>
      <c r="I109" s="15" t="str">
        <f>'Raw Data'!J109</f>
        <v xml:space="preserve"> USA       </v>
      </c>
      <c r="J109" s="15" t="s">
        <v>2533</v>
      </c>
      <c r="K109" s="15" t="str">
        <f t="shared" si="3"/>
        <v>Updated</v>
      </c>
    </row>
    <row r="110" spans="1:11" x14ac:dyDescent="0.25">
      <c r="A110" s="15">
        <f>'Raw Data'!A110</f>
        <v>108</v>
      </c>
      <c r="B110" s="16">
        <f>'Raw Data'!D110</f>
        <v>44988.604166666664</v>
      </c>
      <c r="C110" s="15">
        <v>2023</v>
      </c>
      <c r="D110" s="15" t="str">
        <f t="shared" si="2"/>
        <v>March</v>
      </c>
      <c r="E110" s="15">
        <v>3</v>
      </c>
      <c r="F110" s="17">
        <v>0.60416666666666663</v>
      </c>
      <c r="G110" s="28"/>
      <c r="H110" s="15">
        <f>'Raw Data'!A110</f>
        <v>108</v>
      </c>
      <c r="I110" s="15" t="str">
        <f>'Raw Data'!J110</f>
        <v xml:space="preserve"> Canada </v>
      </c>
      <c r="J110" s="15" t="s">
        <v>121</v>
      </c>
      <c r="K110" s="15" t="str">
        <f t="shared" si="3"/>
        <v>No Change</v>
      </c>
    </row>
    <row r="111" spans="1:11" x14ac:dyDescent="0.25">
      <c r="A111" s="15">
        <f>'Raw Data'!A111</f>
        <v>109</v>
      </c>
      <c r="B111" s="16">
        <f>'Raw Data'!D111</f>
        <v>44988.5</v>
      </c>
      <c r="C111" s="15">
        <v>2023</v>
      </c>
      <c r="D111" s="15" t="str">
        <f t="shared" si="2"/>
        <v>March</v>
      </c>
      <c r="E111" s="15">
        <v>3</v>
      </c>
      <c r="F111" s="17">
        <v>0.5</v>
      </c>
      <c r="G111" s="28"/>
      <c r="H111" s="15">
        <f>'Raw Data'!A111</f>
        <v>109</v>
      </c>
      <c r="I111" s="15" t="str">
        <f>'Raw Data'!J111</f>
        <v xml:space="preserve"> UK        </v>
      </c>
      <c r="J111" s="15" t="s">
        <v>2546</v>
      </c>
      <c r="K111" s="15" t="str">
        <f t="shared" si="3"/>
        <v>Updated</v>
      </c>
    </row>
    <row r="112" spans="1:11" x14ac:dyDescent="0.25">
      <c r="A112" s="15">
        <f>'Raw Data'!A112</f>
        <v>110</v>
      </c>
      <c r="B112" s="16">
        <f>'Raw Data'!D112</f>
        <v>40313.645833333336</v>
      </c>
      <c r="C112" s="15">
        <v>2010</v>
      </c>
      <c r="D112" s="15" t="str">
        <f t="shared" si="2"/>
        <v>May</v>
      </c>
      <c r="E112" s="15">
        <v>15</v>
      </c>
      <c r="F112" s="17">
        <v>0.64583333333333337</v>
      </c>
      <c r="G112" s="28"/>
      <c r="H112" s="15">
        <f>'Raw Data'!A112</f>
        <v>110</v>
      </c>
      <c r="I112" s="15" t="str">
        <f>'Raw Data'!J112</f>
        <v xml:space="preserve"> Canada    </v>
      </c>
      <c r="J112" s="15" t="s">
        <v>76</v>
      </c>
      <c r="K112" s="15" t="str">
        <f t="shared" si="3"/>
        <v>No Change</v>
      </c>
    </row>
    <row r="113" spans="1:11" x14ac:dyDescent="0.25">
      <c r="A113" s="15">
        <f>'Raw Data'!A113</f>
        <v>111</v>
      </c>
      <c r="B113" s="16">
        <f>'Raw Data'!D113</f>
        <v>44418.885416666664</v>
      </c>
      <c r="C113" s="15">
        <v>2021</v>
      </c>
      <c r="D113" s="15" t="str">
        <f t="shared" si="2"/>
        <v>August</v>
      </c>
      <c r="E113" s="15">
        <v>10</v>
      </c>
      <c r="F113" s="17">
        <v>0.88541666666666663</v>
      </c>
      <c r="G113" s="28"/>
      <c r="H113" s="15">
        <f>'Raw Data'!A113</f>
        <v>111</v>
      </c>
      <c r="I113" s="15" t="str">
        <f>'Raw Data'!J113</f>
        <v xml:space="preserve"> USA      </v>
      </c>
      <c r="J113" s="15" t="s">
        <v>2529</v>
      </c>
      <c r="K113" s="15" t="str">
        <f t="shared" si="3"/>
        <v>Updated</v>
      </c>
    </row>
    <row r="114" spans="1:11" x14ac:dyDescent="0.25">
      <c r="A114" s="15">
        <f>'Raw Data'!A114</f>
        <v>112</v>
      </c>
      <c r="B114" s="16">
        <f>'Raw Data'!D114</f>
        <v>40714.614583333336</v>
      </c>
      <c r="C114" s="15">
        <v>2011</v>
      </c>
      <c r="D114" s="15" t="str">
        <f t="shared" si="2"/>
        <v>June</v>
      </c>
      <c r="E114" s="15">
        <v>20</v>
      </c>
      <c r="F114" s="17">
        <v>0.61458333333333337</v>
      </c>
      <c r="G114" s="28"/>
      <c r="H114" s="15">
        <f>'Raw Data'!A114</f>
        <v>112</v>
      </c>
      <c r="I114" s="15" t="str">
        <f>'Raw Data'!J114</f>
        <v xml:space="preserve"> India       </v>
      </c>
      <c r="J114" s="15" t="s">
        <v>411</v>
      </c>
      <c r="K114" s="15" t="str">
        <f t="shared" si="3"/>
        <v>No Change</v>
      </c>
    </row>
    <row r="115" spans="1:11" x14ac:dyDescent="0.25">
      <c r="A115" s="15">
        <f>'Raw Data'!A115</f>
        <v>113</v>
      </c>
      <c r="B115" s="16">
        <f>'Raw Data'!D115</f>
        <v>44604.763888888891</v>
      </c>
      <c r="C115" s="15">
        <v>2022</v>
      </c>
      <c r="D115" s="15" t="str">
        <f t="shared" si="2"/>
        <v>February</v>
      </c>
      <c r="E115" s="15">
        <v>12</v>
      </c>
      <c r="F115" s="17">
        <v>0.76388888888888884</v>
      </c>
      <c r="G115" s="28"/>
      <c r="H115" s="15">
        <f>'Raw Data'!A115</f>
        <v>113</v>
      </c>
      <c r="I115" s="15" t="str">
        <f>'Raw Data'!J115</f>
        <v xml:space="preserve"> UK          </v>
      </c>
      <c r="J115" s="15" t="s">
        <v>2551</v>
      </c>
      <c r="K115" s="15" t="str">
        <f t="shared" si="3"/>
        <v>Updated</v>
      </c>
    </row>
    <row r="116" spans="1:11" x14ac:dyDescent="0.25">
      <c r="A116" s="15">
        <f>'Raw Data'!A116</f>
        <v>114</v>
      </c>
      <c r="B116" s="16">
        <f>'Raw Data'!D116</f>
        <v>41238.416666666664</v>
      </c>
      <c r="C116" s="15">
        <v>2012</v>
      </c>
      <c r="D116" s="15" t="str">
        <f t="shared" si="2"/>
        <v>November</v>
      </c>
      <c r="E116" s="15">
        <v>25</v>
      </c>
      <c r="F116" s="17">
        <v>0.41666666666666669</v>
      </c>
      <c r="G116" s="28"/>
      <c r="H116" s="15">
        <f>'Raw Data'!A116</f>
        <v>114</v>
      </c>
      <c r="I116" s="15" t="str">
        <f>'Raw Data'!J116</f>
        <v xml:space="preserve"> Australia   </v>
      </c>
      <c r="J116" s="15" t="s">
        <v>247</v>
      </c>
      <c r="K116" s="15" t="str">
        <f t="shared" si="3"/>
        <v>No Change</v>
      </c>
    </row>
    <row r="117" spans="1:11" x14ac:dyDescent="0.25">
      <c r="A117" s="15">
        <f>'Raw Data'!A117</f>
        <v>115</v>
      </c>
      <c r="B117" s="16">
        <f>'Raw Data'!D117</f>
        <v>41369.8125</v>
      </c>
      <c r="C117" s="15">
        <v>2013</v>
      </c>
      <c r="D117" s="15" t="str">
        <f t="shared" si="2"/>
        <v>April</v>
      </c>
      <c r="E117" s="15">
        <v>5</v>
      </c>
      <c r="F117" s="17">
        <v>0.8125</v>
      </c>
      <c r="G117" s="28"/>
      <c r="H117" s="15">
        <f>'Raw Data'!A117</f>
        <v>115</v>
      </c>
      <c r="I117" s="15" t="str">
        <f>'Raw Data'!J117</f>
        <v xml:space="preserve"> USA      </v>
      </c>
      <c r="J117" s="15" t="s">
        <v>2529</v>
      </c>
      <c r="K117" s="15" t="str">
        <f t="shared" si="3"/>
        <v>Updated</v>
      </c>
    </row>
    <row r="118" spans="1:11" x14ac:dyDescent="0.25">
      <c r="A118" s="15">
        <f>'Raw Data'!A118</f>
        <v>116</v>
      </c>
      <c r="B118" s="16">
        <f>'Raw Data'!D118</f>
        <v>41896.354166666664</v>
      </c>
      <c r="C118" s="15">
        <v>2014</v>
      </c>
      <c r="D118" s="15" t="str">
        <f t="shared" si="2"/>
        <v>September</v>
      </c>
      <c r="E118" s="15">
        <v>14</v>
      </c>
      <c r="F118" s="17">
        <v>0.35416666666666669</v>
      </c>
      <c r="G118" s="28"/>
      <c r="H118" s="15">
        <f>'Raw Data'!A118</f>
        <v>116</v>
      </c>
      <c r="I118" s="15" t="str">
        <f>'Raw Data'!J118</f>
        <v xml:space="preserve"> UK       </v>
      </c>
      <c r="J118" s="15" t="s">
        <v>2544</v>
      </c>
      <c r="K118" s="15" t="str">
        <f t="shared" si="3"/>
        <v>Updated</v>
      </c>
    </row>
    <row r="119" spans="1:11" x14ac:dyDescent="0.25">
      <c r="A119" s="15">
        <f>'Raw Data'!A119</f>
        <v>117</v>
      </c>
      <c r="B119" s="16">
        <f>'Raw Data'!D119</f>
        <v>42203.597222222219</v>
      </c>
      <c r="C119" s="15">
        <v>2015</v>
      </c>
      <c r="D119" s="15" t="str">
        <f t="shared" si="2"/>
        <v>July</v>
      </c>
      <c r="E119" s="15">
        <v>18</v>
      </c>
      <c r="F119" s="17">
        <v>0.59722222222222221</v>
      </c>
      <c r="G119" s="28"/>
      <c r="H119" s="15">
        <f>'Raw Data'!A119</f>
        <v>117</v>
      </c>
      <c r="I119" s="15" t="str">
        <f>'Raw Data'!J119</f>
        <v xml:space="preserve"> Canada </v>
      </c>
      <c r="J119" s="15" t="s">
        <v>121</v>
      </c>
      <c r="K119" s="15" t="str">
        <f t="shared" si="3"/>
        <v>No Change</v>
      </c>
    </row>
    <row r="120" spans="1:11" x14ac:dyDescent="0.25">
      <c r="A120" s="15">
        <f>'Raw Data'!A120</f>
        <v>118</v>
      </c>
      <c r="B120" s="16">
        <f>'Raw Data'!D120</f>
        <v>42423.822916666664</v>
      </c>
      <c r="C120" s="15">
        <v>2016</v>
      </c>
      <c r="D120" s="15" t="str">
        <f t="shared" si="2"/>
        <v>February</v>
      </c>
      <c r="E120" s="15">
        <v>23</v>
      </c>
      <c r="F120" s="17">
        <v>0.82291666666666663</v>
      </c>
      <c r="G120" s="28"/>
      <c r="H120" s="15">
        <f>'Raw Data'!A120</f>
        <v>118</v>
      </c>
      <c r="I120" s="15" t="str">
        <f>'Raw Data'!J120</f>
        <v xml:space="preserve"> UK          </v>
      </c>
      <c r="J120" s="15" t="s">
        <v>2551</v>
      </c>
      <c r="K120" s="15" t="str">
        <f t="shared" si="3"/>
        <v>Updated</v>
      </c>
    </row>
    <row r="121" spans="1:11" x14ac:dyDescent="0.25">
      <c r="A121" s="15">
        <f>'Raw Data'!A121</f>
        <v>119</v>
      </c>
      <c r="B121" s="16">
        <f>'Raw Data'!D121</f>
        <v>43038.479166666664</v>
      </c>
      <c r="C121" s="15">
        <v>2017</v>
      </c>
      <c r="D121" s="15" t="str">
        <f t="shared" si="2"/>
        <v>October</v>
      </c>
      <c r="E121" s="15">
        <v>30</v>
      </c>
      <c r="F121" s="17">
        <v>0.47916666666666669</v>
      </c>
      <c r="G121" s="28"/>
      <c r="H121" s="15">
        <f>'Raw Data'!A121</f>
        <v>119</v>
      </c>
      <c r="I121" s="15" t="str">
        <f>'Raw Data'!J121</f>
        <v xml:space="preserve"> Australia </v>
      </c>
      <c r="J121" s="15" t="s">
        <v>36</v>
      </c>
      <c r="K121" s="15" t="str">
        <f t="shared" si="3"/>
        <v>No Change</v>
      </c>
    </row>
    <row r="122" spans="1:11" x14ac:dyDescent="0.25">
      <c r="A122" s="15">
        <f>'Raw Data'!A122</f>
        <v>120</v>
      </c>
      <c r="B122" s="16">
        <f>'Raw Data'!D122</f>
        <v>43266.666666666664</v>
      </c>
      <c r="C122" s="15">
        <v>2018</v>
      </c>
      <c r="D122" s="15" t="str">
        <f t="shared" si="2"/>
        <v>June</v>
      </c>
      <c r="E122" s="15">
        <v>15</v>
      </c>
      <c r="F122" s="17">
        <v>0.66666666666666663</v>
      </c>
      <c r="G122" s="28"/>
      <c r="H122" s="15">
        <f>'Raw Data'!A122</f>
        <v>120</v>
      </c>
      <c r="I122" s="15" t="str">
        <f>'Raw Data'!J122</f>
        <v xml:space="preserve"> USA  </v>
      </c>
      <c r="J122" s="15" t="s">
        <v>2538</v>
      </c>
      <c r="K122" s="15" t="str">
        <f t="shared" si="3"/>
        <v>Updated</v>
      </c>
    </row>
    <row r="123" spans="1:11" x14ac:dyDescent="0.25">
      <c r="A123" s="15">
        <f>'Raw Data'!A123</f>
        <v>121</v>
      </c>
      <c r="B123" s="16">
        <f>'Raw Data'!D123</f>
        <v>43552.763888888891</v>
      </c>
      <c r="C123" s="15">
        <v>2019</v>
      </c>
      <c r="D123" s="15" t="str">
        <f t="shared" si="2"/>
        <v>March</v>
      </c>
      <c r="E123" s="15">
        <v>28</v>
      </c>
      <c r="F123" s="17">
        <v>0.76388888888888884</v>
      </c>
      <c r="G123" s="28"/>
      <c r="H123" s="15">
        <f>'Raw Data'!A123</f>
        <v>121</v>
      </c>
      <c r="I123" s="15" t="str">
        <f>'Raw Data'!J123</f>
        <v xml:space="preserve"> India     </v>
      </c>
      <c r="J123" s="15" t="s">
        <v>111</v>
      </c>
      <c r="K123" s="15" t="str">
        <f t="shared" si="3"/>
        <v>No Change</v>
      </c>
    </row>
    <row r="124" spans="1:11" x14ac:dyDescent="0.25">
      <c r="A124" s="15">
        <f>'Raw Data'!A124</f>
        <v>122</v>
      </c>
      <c r="B124" s="16">
        <f>'Raw Data'!D124</f>
        <v>43780.625</v>
      </c>
      <c r="C124" s="15">
        <v>2019</v>
      </c>
      <c r="D124" s="15" t="str">
        <f t="shared" si="2"/>
        <v>November</v>
      </c>
      <c r="E124" s="15">
        <v>11</v>
      </c>
      <c r="F124" s="17">
        <v>0.625</v>
      </c>
      <c r="G124" s="28"/>
      <c r="H124" s="15">
        <f>'Raw Data'!A124</f>
        <v>122</v>
      </c>
      <c r="I124" s="15" t="str">
        <f>'Raw Data'!J124</f>
        <v xml:space="preserve"> UK      </v>
      </c>
      <c r="J124" s="15" t="s">
        <v>2552</v>
      </c>
      <c r="K124" s="15" t="str">
        <f t="shared" si="3"/>
        <v>Updated</v>
      </c>
    </row>
    <row r="125" spans="1:11" x14ac:dyDescent="0.25">
      <c r="A125" s="15">
        <f>'Raw Data'!A125</f>
        <v>123</v>
      </c>
      <c r="B125" s="16">
        <f>'Raw Data'!D125</f>
        <v>43923.395833333336</v>
      </c>
      <c r="C125" s="15">
        <v>2020</v>
      </c>
      <c r="D125" s="15" t="str">
        <f t="shared" si="2"/>
        <v>April</v>
      </c>
      <c r="E125" s="15">
        <v>2</v>
      </c>
      <c r="F125" s="17">
        <v>0.39583333333333331</v>
      </c>
      <c r="G125" s="28"/>
      <c r="H125" s="15">
        <f>'Raw Data'!A125</f>
        <v>123</v>
      </c>
      <c r="I125" s="15" t="str">
        <f>'Raw Data'!J125</f>
        <v xml:space="preserve"> Canada      </v>
      </c>
      <c r="J125" s="15" t="s">
        <v>458</v>
      </c>
      <c r="K125" s="15" t="str">
        <f t="shared" si="3"/>
        <v>No Change</v>
      </c>
    </row>
    <row r="126" spans="1:11" x14ac:dyDescent="0.25">
      <c r="A126" s="15">
        <f>'Raw Data'!A126</f>
        <v>124</v>
      </c>
      <c r="B126" s="16">
        <f>'Raw Data'!D126</f>
        <v>44366.614583333336</v>
      </c>
      <c r="C126" s="15">
        <v>2021</v>
      </c>
      <c r="D126" s="15" t="str">
        <f t="shared" si="2"/>
        <v>June</v>
      </c>
      <c r="E126" s="15">
        <v>19</v>
      </c>
      <c r="F126" s="17">
        <v>0.61458333333333337</v>
      </c>
      <c r="G126" s="28"/>
      <c r="H126" s="15">
        <f>'Raw Data'!A126</f>
        <v>124</v>
      </c>
      <c r="I126" s="15" t="str">
        <f>'Raw Data'!J126</f>
        <v xml:space="preserve"> USA </v>
      </c>
      <c r="J126" s="15" t="s">
        <v>2534</v>
      </c>
      <c r="K126" s="15" t="str">
        <f t="shared" si="3"/>
        <v>Updated</v>
      </c>
    </row>
    <row r="127" spans="1:11" x14ac:dyDescent="0.25">
      <c r="A127" s="15">
        <f>'Raw Data'!A127</f>
        <v>125</v>
      </c>
      <c r="B127" s="16">
        <f>'Raw Data'!D127</f>
        <v>40405.416666666664</v>
      </c>
      <c r="C127" s="15">
        <v>2010</v>
      </c>
      <c r="D127" s="15" t="str">
        <f t="shared" si="2"/>
        <v>August</v>
      </c>
      <c r="E127" s="15">
        <v>15</v>
      </c>
      <c r="F127" s="17">
        <v>0.41666666666666669</v>
      </c>
      <c r="G127" s="28"/>
      <c r="H127" s="15">
        <f>'Raw Data'!A127</f>
        <v>125</v>
      </c>
      <c r="I127" s="15" t="str">
        <f>'Raw Data'!J127</f>
        <v xml:space="preserve"> Australia </v>
      </c>
      <c r="J127" s="15" t="s">
        <v>36</v>
      </c>
      <c r="K127" s="15" t="str">
        <f t="shared" si="3"/>
        <v>No Change</v>
      </c>
    </row>
    <row r="128" spans="1:11" x14ac:dyDescent="0.25">
      <c r="A128" s="15">
        <f>'Raw Data'!A128</f>
        <v>126</v>
      </c>
      <c r="B128" s="16">
        <f>'Raw Data'!D128</f>
        <v>40808.8125</v>
      </c>
      <c r="C128" s="15">
        <v>2011</v>
      </c>
      <c r="D128" s="15" t="str">
        <f t="shared" si="2"/>
        <v>September</v>
      </c>
      <c r="E128" s="15">
        <v>22</v>
      </c>
      <c r="F128" s="17">
        <v>0.8125</v>
      </c>
      <c r="G128" s="28"/>
      <c r="H128" s="15">
        <f>'Raw Data'!A128</f>
        <v>126</v>
      </c>
      <c r="I128" s="15" t="str">
        <f>'Raw Data'!J128</f>
        <v xml:space="preserve"> UK          </v>
      </c>
      <c r="J128" s="15" t="s">
        <v>2551</v>
      </c>
      <c r="K128" s="15" t="str">
        <f t="shared" si="3"/>
        <v>Updated</v>
      </c>
    </row>
    <row r="129" spans="1:11" x14ac:dyDescent="0.25">
      <c r="A129" s="15">
        <f>'Raw Data'!A129</f>
        <v>127</v>
      </c>
      <c r="B129" s="16">
        <f>'Raw Data'!D129</f>
        <v>40978.354166666664</v>
      </c>
      <c r="C129" s="15">
        <v>2012</v>
      </c>
      <c r="D129" s="15" t="str">
        <f t="shared" si="2"/>
        <v>March</v>
      </c>
      <c r="E129" s="15">
        <v>10</v>
      </c>
      <c r="F129" s="17">
        <v>0.35416666666666669</v>
      </c>
      <c r="G129" s="28"/>
      <c r="H129" s="15">
        <f>'Raw Data'!A129</f>
        <v>127</v>
      </c>
      <c r="I129" s="15" t="str">
        <f>'Raw Data'!J129</f>
        <v xml:space="preserve"> India     </v>
      </c>
      <c r="J129" s="15" t="s">
        <v>111</v>
      </c>
      <c r="K129" s="15" t="str">
        <f t="shared" si="3"/>
        <v>No Change</v>
      </c>
    </row>
    <row r="130" spans="1:11" x14ac:dyDescent="0.25">
      <c r="A130" s="15">
        <f>'Raw Data'!A130</f>
        <v>128</v>
      </c>
      <c r="B130" s="16">
        <f>'Raw Data'!D130</f>
        <v>41613.666666666664</v>
      </c>
      <c r="C130" s="15">
        <v>2013</v>
      </c>
      <c r="D130" s="15" t="str">
        <f t="shared" si="2"/>
        <v>December</v>
      </c>
      <c r="E130" s="15">
        <v>5</v>
      </c>
      <c r="F130" s="17">
        <v>0.66666666666666663</v>
      </c>
      <c r="G130" s="28"/>
      <c r="H130" s="15">
        <f>'Raw Data'!A130</f>
        <v>128</v>
      </c>
      <c r="I130" s="15" t="str">
        <f>'Raw Data'!J130</f>
        <v xml:space="preserve"> Canada    </v>
      </c>
      <c r="J130" s="15" t="s">
        <v>76</v>
      </c>
      <c r="K130" s="15" t="str">
        <f t="shared" si="3"/>
        <v>No Change</v>
      </c>
    </row>
    <row r="131" spans="1:11" x14ac:dyDescent="0.25">
      <c r="A131" s="15">
        <f>'Raw Data'!A131</f>
        <v>129</v>
      </c>
      <c r="B131" s="16">
        <f>'Raw Data'!D131</f>
        <v>41840.479166666664</v>
      </c>
      <c r="C131" s="15">
        <v>2014</v>
      </c>
      <c r="D131" s="15" t="str">
        <f t="shared" si="2"/>
        <v>July</v>
      </c>
      <c r="E131" s="15">
        <v>20</v>
      </c>
      <c r="F131" s="17">
        <v>0.47916666666666669</v>
      </c>
      <c r="G131" s="28"/>
      <c r="H131" s="15">
        <f>'Raw Data'!A131</f>
        <v>129</v>
      </c>
      <c r="I131" s="15" t="str">
        <f>'Raw Data'!J131</f>
        <v>USA</v>
      </c>
      <c r="J131" s="15" t="s">
        <v>2532</v>
      </c>
      <c r="K131" s="15" t="str">
        <f t="shared" si="3"/>
        <v>Updated</v>
      </c>
    </row>
    <row r="132" spans="1:11" x14ac:dyDescent="0.25">
      <c r="A132" s="15">
        <f>'Raw Data'!A132</f>
        <v>130</v>
      </c>
      <c r="B132" s="16">
        <f>'Raw Data'!D132</f>
        <v>42360.597222222219</v>
      </c>
      <c r="C132" s="15">
        <v>2015</v>
      </c>
      <c r="D132" s="15" t="str">
        <f t="shared" ref="D132:D195" si="4">TEXT(B132,"MMMM")</f>
        <v>December</v>
      </c>
      <c r="E132" s="15">
        <v>22</v>
      </c>
      <c r="F132" s="17">
        <v>0.59722222222222221</v>
      </c>
      <c r="G132" s="28"/>
      <c r="H132" s="15">
        <f>'Raw Data'!A132</f>
        <v>130</v>
      </c>
      <c r="I132" s="15" t="str">
        <f>'Raw Data'!J132</f>
        <v xml:space="preserve"> USA      </v>
      </c>
      <c r="J132" s="15" t="s">
        <v>2529</v>
      </c>
      <c r="K132" s="15" t="str">
        <f t="shared" ref="K132:K195" si="5">IF(I132=J132,"No Change","Updated")</f>
        <v>Updated</v>
      </c>
    </row>
    <row r="133" spans="1:11" x14ac:dyDescent="0.25">
      <c r="A133" s="15">
        <f>'Raw Data'!A133</f>
        <v>131</v>
      </c>
      <c r="B133" s="16">
        <f>'Raw Data'!D133</f>
        <v>42410.822916666664</v>
      </c>
      <c r="C133" s="15">
        <v>2016</v>
      </c>
      <c r="D133" s="15" t="str">
        <f t="shared" si="4"/>
        <v>February</v>
      </c>
      <c r="E133" s="15">
        <v>10</v>
      </c>
      <c r="F133" s="17">
        <v>0.82291666666666663</v>
      </c>
      <c r="G133" s="28"/>
      <c r="H133" s="15">
        <f>'Raw Data'!A133</f>
        <v>131</v>
      </c>
      <c r="I133" s="15" t="str">
        <f>'Raw Data'!J133</f>
        <v xml:space="preserve"> UK       </v>
      </c>
      <c r="J133" s="15" t="s">
        <v>2544</v>
      </c>
      <c r="K133" s="15" t="str">
        <f t="shared" si="5"/>
        <v>Updated</v>
      </c>
    </row>
    <row r="134" spans="1:11" x14ac:dyDescent="0.25">
      <c r="A134" s="15">
        <f>'Raw Data'!A134</f>
        <v>132</v>
      </c>
      <c r="B134" s="16">
        <f>'Raw Data'!D134</f>
        <v>42855.479166666664</v>
      </c>
      <c r="C134" s="15">
        <v>2017</v>
      </c>
      <c r="D134" s="15" t="str">
        <f t="shared" si="4"/>
        <v>April</v>
      </c>
      <c r="E134" s="15">
        <v>30</v>
      </c>
      <c r="F134" s="17">
        <v>0.47916666666666669</v>
      </c>
      <c r="G134" s="28"/>
      <c r="H134" s="15">
        <f>'Raw Data'!A134</f>
        <v>132</v>
      </c>
      <c r="I134" s="15" t="str">
        <f>'Raw Data'!J134</f>
        <v xml:space="preserve"> Australia </v>
      </c>
      <c r="J134" s="15" t="s">
        <v>36</v>
      </c>
      <c r="K134" s="15" t="str">
        <f t="shared" si="5"/>
        <v>No Change</v>
      </c>
    </row>
    <row r="135" spans="1:11" x14ac:dyDescent="0.25">
      <c r="A135" s="15">
        <f>'Raw Data'!A135</f>
        <v>133</v>
      </c>
      <c r="B135" s="16">
        <f>'Raw Data'!D135</f>
        <v>43358.666666666664</v>
      </c>
      <c r="C135" s="15">
        <v>2018</v>
      </c>
      <c r="D135" s="15" t="str">
        <f t="shared" si="4"/>
        <v>September</v>
      </c>
      <c r="E135" s="15">
        <v>15</v>
      </c>
      <c r="F135" s="17">
        <v>0.66666666666666663</v>
      </c>
      <c r="G135" s="28"/>
      <c r="H135" s="15">
        <f>'Raw Data'!A135</f>
        <v>133</v>
      </c>
      <c r="I135" s="15" t="str">
        <f>'Raw Data'!J135</f>
        <v xml:space="preserve"> Canada    </v>
      </c>
      <c r="J135" s="15" t="s">
        <v>76</v>
      </c>
      <c r="K135" s="15" t="str">
        <f t="shared" si="5"/>
        <v>No Change</v>
      </c>
    </row>
    <row r="136" spans="1:11" x14ac:dyDescent="0.25">
      <c r="A136" s="15">
        <f>'Raw Data'!A136</f>
        <v>134</v>
      </c>
      <c r="B136" s="16">
        <f>'Raw Data'!D136</f>
        <v>43644.763888888891</v>
      </c>
      <c r="C136" s="15">
        <v>2019</v>
      </c>
      <c r="D136" s="15" t="str">
        <f t="shared" si="4"/>
        <v>June</v>
      </c>
      <c r="E136" s="15">
        <v>28</v>
      </c>
      <c r="F136" s="17">
        <v>0.76388888888888884</v>
      </c>
      <c r="G136" s="28"/>
      <c r="H136" s="15">
        <f>'Raw Data'!A136</f>
        <v>134</v>
      </c>
      <c r="I136" s="15" t="str">
        <f>'Raw Data'!J136</f>
        <v xml:space="preserve"> India     </v>
      </c>
      <c r="J136" s="15" t="s">
        <v>111</v>
      </c>
      <c r="K136" s="15" t="str">
        <f t="shared" si="5"/>
        <v>No Change</v>
      </c>
    </row>
    <row r="137" spans="1:11" x14ac:dyDescent="0.25">
      <c r="A137" s="15">
        <f>'Raw Data'!A137</f>
        <v>135</v>
      </c>
      <c r="B137" s="16">
        <f>'Raw Data'!D137</f>
        <v>44146.625</v>
      </c>
      <c r="C137" s="15">
        <v>2020</v>
      </c>
      <c r="D137" s="15" t="str">
        <f t="shared" si="4"/>
        <v>November</v>
      </c>
      <c r="E137" s="15">
        <v>11</v>
      </c>
      <c r="F137" s="17">
        <v>0.625</v>
      </c>
      <c r="G137" s="28"/>
      <c r="H137" s="15">
        <f>'Raw Data'!A137</f>
        <v>135</v>
      </c>
      <c r="I137" s="15" t="str">
        <f>'Raw Data'!J137</f>
        <v xml:space="preserve"> UK        </v>
      </c>
      <c r="J137" s="15" t="s">
        <v>2546</v>
      </c>
      <c r="K137" s="15" t="str">
        <f t="shared" si="5"/>
        <v>Updated</v>
      </c>
    </row>
    <row r="138" spans="1:11" x14ac:dyDescent="0.25">
      <c r="A138" s="15">
        <f>'Raw Data'!A138</f>
        <v>136</v>
      </c>
      <c r="B138" s="16">
        <f>'Raw Data'!D138</f>
        <v>44257.395833333336</v>
      </c>
      <c r="C138" s="15">
        <v>2021</v>
      </c>
      <c r="D138" s="15" t="str">
        <f t="shared" si="4"/>
        <v>March</v>
      </c>
      <c r="E138" s="15">
        <v>2</v>
      </c>
      <c r="F138" s="17">
        <v>0.39583333333333331</v>
      </c>
      <c r="G138" s="28"/>
      <c r="H138" s="15">
        <f>'Raw Data'!A138</f>
        <v>136</v>
      </c>
      <c r="I138" s="15" t="str">
        <f>'Raw Data'!J138</f>
        <v xml:space="preserve"> USA      </v>
      </c>
      <c r="J138" s="15" t="s">
        <v>2529</v>
      </c>
      <c r="K138" s="15" t="str">
        <f t="shared" si="5"/>
        <v>Updated</v>
      </c>
    </row>
    <row r="139" spans="1:11" x14ac:dyDescent="0.25">
      <c r="A139" s="15">
        <f>'Raw Data'!A139</f>
        <v>137</v>
      </c>
      <c r="B139" s="16">
        <f>'Raw Data'!D139</f>
        <v>40957.604166666664</v>
      </c>
      <c r="C139" s="15">
        <v>2012</v>
      </c>
      <c r="D139" s="15" t="str">
        <f t="shared" si="4"/>
        <v>February</v>
      </c>
      <c r="E139" s="15">
        <v>18</v>
      </c>
      <c r="F139" s="17">
        <v>0.60416666666666663</v>
      </c>
      <c r="G139" s="28"/>
      <c r="H139" s="15">
        <f>'Raw Data'!A139</f>
        <v>137</v>
      </c>
      <c r="I139" s="15" t="str">
        <f>'Raw Data'!J139</f>
        <v xml:space="preserve"> USA      </v>
      </c>
      <c r="J139" s="15" t="s">
        <v>2529</v>
      </c>
      <c r="K139" s="15" t="str">
        <f t="shared" si="5"/>
        <v>Updated</v>
      </c>
    </row>
    <row r="140" spans="1:11" x14ac:dyDescent="0.25">
      <c r="A140" s="15">
        <f>'Raw Data'!A140</f>
        <v>138</v>
      </c>
      <c r="B140" s="16">
        <f>'Raw Data'!D140</f>
        <v>43409.90625</v>
      </c>
      <c r="C140" s="15">
        <v>2018</v>
      </c>
      <c r="D140" s="15" t="str">
        <f t="shared" si="4"/>
        <v>November</v>
      </c>
      <c r="E140" s="15">
        <v>5</v>
      </c>
      <c r="F140" s="17">
        <v>0.90625</v>
      </c>
      <c r="G140" s="28"/>
      <c r="H140" s="15">
        <f>'Raw Data'!A140</f>
        <v>138</v>
      </c>
      <c r="I140" s="15" t="str">
        <f>'Raw Data'!J140</f>
        <v xml:space="preserve"> UK   </v>
      </c>
      <c r="J140" s="15" t="s">
        <v>2547</v>
      </c>
      <c r="K140" s="15" t="str">
        <f t="shared" si="5"/>
        <v>Updated</v>
      </c>
    </row>
    <row r="141" spans="1:11" x14ac:dyDescent="0.25">
      <c r="A141" s="15">
        <f>'Raw Data'!A141</f>
        <v>139</v>
      </c>
      <c r="B141" s="16">
        <f>'Raw Data'!D141</f>
        <v>42259.555555555555</v>
      </c>
      <c r="C141" s="15">
        <v>2015</v>
      </c>
      <c r="D141" s="15" t="str">
        <f t="shared" si="4"/>
        <v>September</v>
      </c>
      <c r="E141" s="15">
        <v>12</v>
      </c>
      <c r="F141" s="17">
        <v>0.55555555555555558</v>
      </c>
      <c r="G141" s="28"/>
      <c r="H141" s="15">
        <f>'Raw Data'!A141</f>
        <v>139</v>
      </c>
      <c r="I141" s="15" t="str">
        <f>'Raw Data'!J141</f>
        <v xml:space="preserve"> India    </v>
      </c>
      <c r="J141" s="15" t="s">
        <v>40</v>
      </c>
      <c r="K141" s="15" t="str">
        <f t="shared" si="5"/>
        <v>No Change</v>
      </c>
    </row>
    <row r="142" spans="1:11" x14ac:dyDescent="0.25">
      <c r="A142" s="15">
        <f>'Raw Data'!A142</f>
        <v>140</v>
      </c>
      <c r="B142" s="16">
        <f>'Raw Data'!D142</f>
        <v>42581.756944444445</v>
      </c>
      <c r="C142" s="15">
        <v>2016</v>
      </c>
      <c r="D142" s="15" t="str">
        <f t="shared" si="4"/>
        <v>July</v>
      </c>
      <c r="E142" s="15">
        <v>30</v>
      </c>
      <c r="F142" s="17">
        <v>0.75694444444444442</v>
      </c>
      <c r="G142" s="28"/>
      <c r="H142" s="15">
        <f>'Raw Data'!A142</f>
        <v>140</v>
      </c>
      <c r="I142" s="15" t="str">
        <f>'Raw Data'!J142</f>
        <v xml:space="preserve"> Canada      </v>
      </c>
      <c r="J142" s="15" t="s">
        <v>458</v>
      </c>
      <c r="K142" s="15" t="str">
        <f t="shared" si="5"/>
        <v>No Change</v>
      </c>
    </row>
    <row r="143" spans="1:11" x14ac:dyDescent="0.25">
      <c r="A143" s="15">
        <f>'Raw Data'!A143</f>
        <v>141</v>
      </c>
      <c r="B143" s="16">
        <f>'Raw Data'!D143</f>
        <v>41384.4375</v>
      </c>
      <c r="C143" s="15">
        <v>2013</v>
      </c>
      <c r="D143" s="15" t="str">
        <f t="shared" si="4"/>
        <v>April</v>
      </c>
      <c r="E143" s="15">
        <v>20</v>
      </c>
      <c r="F143" s="17">
        <v>0.4375</v>
      </c>
      <c r="G143" s="28"/>
      <c r="H143" s="15">
        <f>'Raw Data'!A143</f>
        <v>141</v>
      </c>
      <c r="I143" s="15" t="str">
        <f>'Raw Data'!J143</f>
        <v xml:space="preserve"> USA </v>
      </c>
      <c r="J143" s="15" t="s">
        <v>2534</v>
      </c>
      <c r="K143" s="15" t="str">
        <f t="shared" si="5"/>
        <v>Updated</v>
      </c>
    </row>
    <row r="144" spans="1:11" x14ac:dyDescent="0.25">
      <c r="A144" s="15">
        <f>'Raw Data'!A144</f>
        <v>142</v>
      </c>
      <c r="B144" s="16">
        <f>'Raw Data'!D144</f>
        <v>43077.802083333336</v>
      </c>
      <c r="C144" s="15">
        <v>2017</v>
      </c>
      <c r="D144" s="15" t="str">
        <f t="shared" si="4"/>
        <v>December</v>
      </c>
      <c r="E144" s="15">
        <v>8</v>
      </c>
      <c r="F144" s="17">
        <v>0.80208333333333337</v>
      </c>
      <c r="G144" s="28"/>
      <c r="H144" s="15">
        <f>'Raw Data'!A144</f>
        <v>142</v>
      </c>
      <c r="I144" s="15" t="str">
        <f>'Raw Data'!J144</f>
        <v xml:space="preserve"> Canada    </v>
      </c>
      <c r="J144" s="15" t="s">
        <v>76</v>
      </c>
      <c r="K144" s="15" t="str">
        <f t="shared" si="5"/>
        <v>No Change</v>
      </c>
    </row>
    <row r="145" spans="1:11" x14ac:dyDescent="0.25">
      <c r="A145" s="15">
        <f>'Raw Data'!A145</f>
        <v>143</v>
      </c>
      <c r="B145" s="16">
        <f>'Raw Data'!D145</f>
        <v>41793.347222222219</v>
      </c>
      <c r="C145" s="15">
        <v>2014</v>
      </c>
      <c r="D145" s="15" t="str">
        <f t="shared" si="4"/>
        <v>June</v>
      </c>
      <c r="E145" s="15">
        <v>3</v>
      </c>
      <c r="F145" s="17">
        <v>0.34722222222222221</v>
      </c>
      <c r="G145" s="28"/>
      <c r="H145" s="15">
        <f>'Raw Data'!A145</f>
        <v>143</v>
      </c>
      <c r="I145" s="15" t="str">
        <f>'Raw Data'!J145</f>
        <v xml:space="preserve"> UK       </v>
      </c>
      <c r="J145" s="15" t="s">
        <v>2544</v>
      </c>
      <c r="K145" s="15" t="str">
        <f t="shared" si="5"/>
        <v>Updated</v>
      </c>
    </row>
    <row r="146" spans="1:11" x14ac:dyDescent="0.25">
      <c r="A146" s="15">
        <f>'Raw Data'!A146</f>
        <v>144</v>
      </c>
      <c r="B146" s="16">
        <f>'Raw Data'!D146</f>
        <v>43480.618055555555</v>
      </c>
      <c r="C146" s="15">
        <v>2019</v>
      </c>
      <c r="D146" s="15" t="str">
        <f t="shared" si="4"/>
        <v>January</v>
      </c>
      <c r="E146" s="15">
        <v>15</v>
      </c>
      <c r="F146" s="17">
        <v>0.61805555555555558</v>
      </c>
      <c r="G146" s="28"/>
      <c r="H146" s="15">
        <f>'Raw Data'!A146</f>
        <v>144</v>
      </c>
      <c r="I146" s="15" t="str">
        <f>'Raw Data'!J146</f>
        <v xml:space="preserve"> Australia </v>
      </c>
      <c r="J146" s="15" t="s">
        <v>36</v>
      </c>
      <c r="K146" s="15" t="str">
        <f t="shared" si="5"/>
        <v>No Change</v>
      </c>
    </row>
    <row r="147" spans="1:11" x14ac:dyDescent="0.25">
      <c r="A147" s="15">
        <f>'Raw Data'!A147</f>
        <v>145</v>
      </c>
      <c r="B147" s="16">
        <f>'Raw Data'!D147</f>
        <v>42729.8125</v>
      </c>
      <c r="C147" s="15">
        <v>2016</v>
      </c>
      <c r="D147" s="15" t="str">
        <f t="shared" si="4"/>
        <v>December</v>
      </c>
      <c r="E147" s="15">
        <v>25</v>
      </c>
      <c r="F147" s="17">
        <v>0.8125</v>
      </c>
      <c r="G147" s="28"/>
      <c r="H147" s="15">
        <f>'Raw Data'!A147</f>
        <v>145</v>
      </c>
      <c r="I147" s="15" t="str">
        <f>'Raw Data'!J147</f>
        <v xml:space="preserve"> UK          </v>
      </c>
      <c r="J147" s="15" t="s">
        <v>2551</v>
      </c>
      <c r="K147" s="15" t="str">
        <f t="shared" si="5"/>
        <v>Updated</v>
      </c>
    </row>
    <row r="148" spans="1:11" x14ac:dyDescent="0.25">
      <c r="A148" s="15">
        <f>'Raw Data'!A148</f>
        <v>146</v>
      </c>
      <c r="B148" s="16">
        <f>'Raw Data'!D148</f>
        <v>43169.40625</v>
      </c>
      <c r="C148" s="15">
        <v>2018</v>
      </c>
      <c r="D148" s="15" t="str">
        <f t="shared" si="4"/>
        <v>March</v>
      </c>
      <c r="E148" s="15">
        <v>10</v>
      </c>
      <c r="F148" s="17">
        <v>0.40625</v>
      </c>
      <c r="G148" s="28"/>
      <c r="H148" s="15">
        <f>'Raw Data'!A148</f>
        <v>146</v>
      </c>
      <c r="I148" s="15" t="str">
        <f>'Raw Data'!J148</f>
        <v xml:space="preserve"> India    </v>
      </c>
      <c r="J148" s="15" t="s">
        <v>40</v>
      </c>
      <c r="K148" s="15" t="str">
        <f t="shared" si="5"/>
        <v>No Change</v>
      </c>
    </row>
    <row r="149" spans="1:11" x14ac:dyDescent="0.25">
      <c r="A149" s="15">
        <f>'Raw Data'!A149</f>
        <v>147</v>
      </c>
      <c r="B149" s="16">
        <f>'Raw Data'!D149</f>
        <v>44091.6875</v>
      </c>
      <c r="C149" s="15">
        <v>2020</v>
      </c>
      <c r="D149" s="15" t="str">
        <f t="shared" si="4"/>
        <v>September</v>
      </c>
      <c r="E149" s="15">
        <v>17</v>
      </c>
      <c r="F149" s="17">
        <v>0.6875</v>
      </c>
      <c r="G149" s="28"/>
      <c r="H149" s="15">
        <f>'Raw Data'!A149</f>
        <v>147</v>
      </c>
      <c r="I149" s="15" t="str">
        <f>'Raw Data'!J149</f>
        <v xml:space="preserve"> USA       </v>
      </c>
      <c r="J149" s="15" t="s">
        <v>2533</v>
      </c>
      <c r="K149" s="15" t="str">
        <f t="shared" si="5"/>
        <v>Updated</v>
      </c>
    </row>
    <row r="150" spans="1:11" x14ac:dyDescent="0.25">
      <c r="A150" s="15">
        <f>'Raw Data'!A150</f>
        <v>148</v>
      </c>
      <c r="B150" s="16">
        <f>'Raw Data'!D150</f>
        <v>40783.78125</v>
      </c>
      <c r="C150" s="15">
        <v>2011</v>
      </c>
      <c r="D150" s="15" t="str">
        <f t="shared" si="4"/>
        <v>August</v>
      </c>
      <c r="E150" s="15">
        <v>28</v>
      </c>
      <c r="F150" s="17">
        <v>0.78125</v>
      </c>
      <c r="G150" s="28"/>
      <c r="H150" s="15">
        <f>'Raw Data'!A150</f>
        <v>148</v>
      </c>
      <c r="I150" s="15" t="str">
        <f>'Raw Data'!J150</f>
        <v xml:space="preserve"> Canada    </v>
      </c>
      <c r="J150" s="15" t="s">
        <v>76</v>
      </c>
      <c r="K150" s="15" t="str">
        <f t="shared" si="5"/>
        <v>No Change</v>
      </c>
    </row>
    <row r="151" spans="1:11" x14ac:dyDescent="0.25">
      <c r="A151" s="15">
        <f>'Raw Data'!A151</f>
        <v>149</v>
      </c>
      <c r="B151" s="16">
        <f>'Raw Data'!D151</f>
        <v>43040.645833333336</v>
      </c>
      <c r="C151" s="15">
        <v>2017</v>
      </c>
      <c r="D151" s="15" t="str">
        <f t="shared" si="4"/>
        <v>November</v>
      </c>
      <c r="E151" s="15">
        <v>1</v>
      </c>
      <c r="F151" s="17">
        <v>0.64583333333333337</v>
      </c>
      <c r="G151" s="28"/>
      <c r="H151" s="15">
        <f>'Raw Data'!A151</f>
        <v>149</v>
      </c>
      <c r="I151" s="15" t="str">
        <f>'Raw Data'!J151</f>
        <v xml:space="preserve"> Australia </v>
      </c>
      <c r="J151" s="15" t="s">
        <v>36</v>
      </c>
      <c r="K151" s="15" t="str">
        <f t="shared" si="5"/>
        <v>No Change</v>
      </c>
    </row>
    <row r="152" spans="1:11" x14ac:dyDescent="0.25">
      <c r="A152" s="15">
        <f>'Raw Data'!A152</f>
        <v>150</v>
      </c>
      <c r="B152" s="16">
        <f>'Raw Data'!D152</f>
        <v>43631.416666666664</v>
      </c>
      <c r="C152" s="15">
        <v>2019</v>
      </c>
      <c r="D152" s="15" t="str">
        <f t="shared" si="4"/>
        <v>June</v>
      </c>
      <c r="E152" s="15">
        <v>15</v>
      </c>
      <c r="F152" s="17">
        <v>0.41666666666666669</v>
      </c>
      <c r="G152" s="28"/>
      <c r="H152" s="15">
        <f>'Raw Data'!A152</f>
        <v>150</v>
      </c>
      <c r="I152" s="15" t="str">
        <f>'Raw Data'!J152</f>
        <v xml:space="preserve"> UK           </v>
      </c>
      <c r="J152" s="15" t="s">
        <v>2549</v>
      </c>
      <c r="K152" s="15" t="str">
        <f t="shared" si="5"/>
        <v>Updated</v>
      </c>
    </row>
    <row r="153" spans="1:11" x14ac:dyDescent="0.25">
      <c r="A153" s="15">
        <f>'Raw Data'!A153</f>
        <v>151</v>
      </c>
      <c r="B153" s="16">
        <f>'Raw Data'!D153</f>
        <v>44654.489583333336</v>
      </c>
      <c r="C153" s="15">
        <v>2022</v>
      </c>
      <c r="D153" s="15" t="str">
        <f t="shared" si="4"/>
        <v>April</v>
      </c>
      <c r="E153" s="15">
        <v>3</v>
      </c>
      <c r="F153" s="17">
        <v>0.48958333333333331</v>
      </c>
      <c r="G153" s="28"/>
      <c r="H153" s="15">
        <f>'Raw Data'!A153</f>
        <v>151</v>
      </c>
      <c r="I153" s="15" t="str">
        <f>'Raw Data'!J153</f>
        <v xml:space="preserve"> USA       </v>
      </c>
      <c r="J153" s="15" t="s">
        <v>2533</v>
      </c>
      <c r="K153" s="15" t="str">
        <f t="shared" si="5"/>
        <v>Updated</v>
      </c>
    </row>
    <row r="154" spans="1:11" x14ac:dyDescent="0.25">
      <c r="A154" s="15">
        <f>'Raw Data'!A154</f>
        <v>152</v>
      </c>
      <c r="B154" s="16">
        <f>'Raw Data'!D154</f>
        <v>40494.847222222219</v>
      </c>
      <c r="C154" s="15">
        <v>2010</v>
      </c>
      <c r="D154" s="15" t="str">
        <f t="shared" si="4"/>
        <v>November</v>
      </c>
      <c r="E154" s="15">
        <v>12</v>
      </c>
      <c r="F154" s="17">
        <v>0.84722222222222221</v>
      </c>
      <c r="G154" s="28"/>
      <c r="H154" s="15">
        <f>'Raw Data'!A154</f>
        <v>152</v>
      </c>
      <c r="I154" s="15" t="str">
        <f>'Raw Data'!J154</f>
        <v xml:space="preserve"> India    </v>
      </c>
      <c r="J154" s="15" t="s">
        <v>40</v>
      </c>
      <c r="K154" s="15" t="str">
        <f t="shared" si="5"/>
        <v>No Change</v>
      </c>
    </row>
    <row r="155" spans="1:11" x14ac:dyDescent="0.25">
      <c r="A155" s="15">
        <f>'Raw Data'!A155</f>
        <v>153</v>
      </c>
      <c r="B155" s="16">
        <f>'Raw Data'!D155</f>
        <v>40746.770833333336</v>
      </c>
      <c r="C155" s="15">
        <v>2011</v>
      </c>
      <c r="D155" s="15" t="str">
        <f t="shared" si="4"/>
        <v>July</v>
      </c>
      <c r="E155" s="15">
        <v>22</v>
      </c>
      <c r="F155" s="17">
        <v>0.77083333333333337</v>
      </c>
      <c r="G155" s="28"/>
      <c r="H155" s="15">
        <f>'Raw Data'!A155</f>
        <v>153</v>
      </c>
      <c r="I155" s="15" t="str">
        <f>'Raw Data'!J155</f>
        <v xml:space="preserve"> Canada     </v>
      </c>
      <c r="J155" s="15" t="s">
        <v>197</v>
      </c>
      <c r="K155" s="15" t="str">
        <f t="shared" si="5"/>
        <v>No Change</v>
      </c>
    </row>
    <row r="156" spans="1:11" x14ac:dyDescent="0.25">
      <c r="A156" s="15">
        <f>'Raw Data'!A156</f>
        <v>154</v>
      </c>
      <c r="B156" s="16">
        <f>'Raw Data'!D156</f>
        <v>40998.472222222219</v>
      </c>
      <c r="C156" s="15">
        <v>2012</v>
      </c>
      <c r="D156" s="15" t="str">
        <f t="shared" si="4"/>
        <v>March</v>
      </c>
      <c r="E156" s="15">
        <v>30</v>
      </c>
      <c r="F156" s="17">
        <v>0.47222222222222221</v>
      </c>
      <c r="G156" s="28"/>
      <c r="H156" s="15">
        <f>'Raw Data'!A156</f>
        <v>154</v>
      </c>
      <c r="I156" s="15" t="str">
        <f>'Raw Data'!J156</f>
        <v xml:space="preserve"> Australia   </v>
      </c>
      <c r="J156" s="15" t="s">
        <v>247</v>
      </c>
      <c r="K156" s="15" t="str">
        <f t="shared" si="5"/>
        <v>No Change</v>
      </c>
    </row>
    <row r="157" spans="1:11" x14ac:dyDescent="0.25">
      <c r="A157" s="15">
        <f>'Raw Data'!A157</f>
        <v>155</v>
      </c>
      <c r="B157" s="16">
        <f>'Raw Data'!D157</f>
        <v>41552.694444444445</v>
      </c>
      <c r="C157" s="15">
        <v>2013</v>
      </c>
      <c r="D157" s="15" t="str">
        <f t="shared" si="4"/>
        <v>October</v>
      </c>
      <c r="E157" s="15">
        <v>5</v>
      </c>
      <c r="F157" s="17">
        <v>0.69444444444444442</v>
      </c>
      <c r="G157" s="28"/>
      <c r="H157" s="15">
        <f>'Raw Data'!A157</f>
        <v>155</v>
      </c>
      <c r="I157" s="15" t="str">
        <f>'Raw Data'!J157</f>
        <v xml:space="preserve"> UK       </v>
      </c>
      <c r="J157" s="15" t="s">
        <v>2544</v>
      </c>
      <c r="K157" s="15" t="str">
        <f t="shared" si="5"/>
        <v>Updated</v>
      </c>
    </row>
    <row r="158" spans="1:11" x14ac:dyDescent="0.25">
      <c r="A158" s="15">
        <f>'Raw Data'!A158</f>
        <v>156</v>
      </c>
      <c r="B158" s="16">
        <f>'Raw Data'!D158</f>
        <v>41830.552083333336</v>
      </c>
      <c r="C158" s="15">
        <v>2014</v>
      </c>
      <c r="D158" s="15" t="str">
        <f t="shared" si="4"/>
        <v>July</v>
      </c>
      <c r="E158" s="15">
        <v>10</v>
      </c>
      <c r="F158" s="17">
        <v>0.55208333333333337</v>
      </c>
      <c r="G158" s="28"/>
      <c r="H158" s="15">
        <f>'Raw Data'!A158</f>
        <v>156</v>
      </c>
      <c r="I158" s="15" t="str">
        <f>'Raw Data'!J158</f>
        <v xml:space="preserve"> India   </v>
      </c>
      <c r="J158" s="15" t="s">
        <v>561</v>
      </c>
      <c r="K158" s="15" t="str">
        <f t="shared" si="5"/>
        <v>No Change</v>
      </c>
    </row>
    <row r="159" spans="1:11" x14ac:dyDescent="0.25">
      <c r="A159" s="15">
        <f>'Raw Data'!A159</f>
        <v>157</v>
      </c>
      <c r="B159" s="16">
        <f>'Raw Data'!D159</f>
        <v>42356.597222222219</v>
      </c>
      <c r="C159" s="15">
        <v>2015</v>
      </c>
      <c r="D159" s="15" t="str">
        <f t="shared" si="4"/>
        <v>December</v>
      </c>
      <c r="E159" s="15">
        <v>18</v>
      </c>
      <c r="F159" s="17">
        <v>0.59722222222222221</v>
      </c>
      <c r="G159" s="28"/>
      <c r="H159" s="15">
        <f>'Raw Data'!A159</f>
        <v>157</v>
      </c>
      <c r="I159" s="15" t="str">
        <f>'Raw Data'!J159</f>
        <v xml:space="preserve"> USA      </v>
      </c>
      <c r="J159" s="15" t="s">
        <v>2529</v>
      </c>
      <c r="K159" s="15" t="str">
        <f t="shared" si="5"/>
        <v>Updated</v>
      </c>
    </row>
    <row r="160" spans="1:11" x14ac:dyDescent="0.25">
      <c r="A160" s="15">
        <f>'Raw Data'!A160</f>
        <v>158</v>
      </c>
      <c r="B160" s="16">
        <f>'Raw Data'!D160</f>
        <v>42410.822916666664</v>
      </c>
      <c r="C160" s="15">
        <v>2016</v>
      </c>
      <c r="D160" s="15" t="str">
        <f t="shared" si="4"/>
        <v>February</v>
      </c>
      <c r="E160" s="15">
        <v>10</v>
      </c>
      <c r="F160" s="17">
        <v>0.82291666666666663</v>
      </c>
      <c r="G160" s="28"/>
      <c r="H160" s="15">
        <f>'Raw Data'!A160</f>
        <v>158</v>
      </c>
      <c r="I160" s="15" t="str">
        <f>'Raw Data'!J160</f>
        <v xml:space="preserve"> Canada   </v>
      </c>
      <c r="J160" s="15" t="s">
        <v>21</v>
      </c>
      <c r="K160" s="15" t="str">
        <f t="shared" si="5"/>
        <v>No Change</v>
      </c>
    </row>
    <row r="161" spans="1:11" x14ac:dyDescent="0.25">
      <c r="A161" s="15">
        <f>'Raw Data'!A161</f>
        <v>159</v>
      </c>
      <c r="B161" s="16">
        <f>'Raw Data'!D161</f>
        <v>43003.479166666664</v>
      </c>
      <c r="C161" s="15">
        <v>2017</v>
      </c>
      <c r="D161" s="15" t="str">
        <f t="shared" si="4"/>
        <v>September</v>
      </c>
      <c r="E161" s="15">
        <v>25</v>
      </c>
      <c r="F161" s="17">
        <v>0.47916666666666669</v>
      </c>
      <c r="G161" s="28"/>
      <c r="H161" s="15">
        <f>'Raw Data'!A161</f>
        <v>159</v>
      </c>
      <c r="I161" s="15" t="str">
        <f>'Raw Data'!J161</f>
        <v xml:space="preserve"> UK </v>
      </c>
      <c r="J161" s="15" t="s">
        <v>2545</v>
      </c>
      <c r="K161" s="15" t="str">
        <f t="shared" si="5"/>
        <v>Updated</v>
      </c>
    </row>
    <row r="162" spans="1:11" x14ac:dyDescent="0.25">
      <c r="A162" s="15">
        <f>'Raw Data'!A162</f>
        <v>160</v>
      </c>
      <c r="B162" s="16">
        <f>'Raw Data'!D162</f>
        <v>43205.666666666664</v>
      </c>
      <c r="C162" s="15">
        <v>2018</v>
      </c>
      <c r="D162" s="15" t="str">
        <f t="shared" si="4"/>
        <v>April</v>
      </c>
      <c r="E162" s="15">
        <v>15</v>
      </c>
      <c r="F162" s="17">
        <v>0.66666666666666663</v>
      </c>
      <c r="G162" s="28"/>
      <c r="H162" s="15">
        <f>'Raw Data'!A162</f>
        <v>160</v>
      </c>
      <c r="I162" s="15" t="str">
        <f>'Raw Data'!J162</f>
        <v xml:space="preserve"> Australia   </v>
      </c>
      <c r="J162" s="15" t="s">
        <v>247</v>
      </c>
      <c r="K162" s="15" t="str">
        <f t="shared" si="5"/>
        <v>No Change</v>
      </c>
    </row>
    <row r="163" spans="1:11" x14ac:dyDescent="0.25">
      <c r="A163" s="15">
        <f>'Raw Data'!A163</f>
        <v>161</v>
      </c>
      <c r="B163" s="16">
        <f>'Raw Data'!D163</f>
        <v>43797.763888888891</v>
      </c>
      <c r="C163" s="15">
        <v>2019</v>
      </c>
      <c r="D163" s="15" t="str">
        <f t="shared" si="4"/>
        <v>November</v>
      </c>
      <c r="E163" s="15">
        <v>28</v>
      </c>
      <c r="F163" s="17">
        <v>0.76388888888888884</v>
      </c>
      <c r="G163" s="28"/>
      <c r="H163" s="15">
        <f>'Raw Data'!A163</f>
        <v>161</v>
      </c>
      <c r="I163" s="15" t="str">
        <f>'Raw Data'!J163</f>
        <v xml:space="preserve"> India    </v>
      </c>
      <c r="J163" s="15" t="s">
        <v>40</v>
      </c>
      <c r="K163" s="15" t="str">
        <f t="shared" si="5"/>
        <v>No Change</v>
      </c>
    </row>
    <row r="164" spans="1:11" x14ac:dyDescent="0.25">
      <c r="A164" s="15">
        <f>'Raw Data'!A164</f>
        <v>162</v>
      </c>
      <c r="B164" s="16">
        <f>'Raw Data'!D164</f>
        <v>43962.625</v>
      </c>
      <c r="C164" s="15">
        <v>2020</v>
      </c>
      <c r="D164" s="15" t="str">
        <f t="shared" si="4"/>
        <v>May</v>
      </c>
      <c r="E164" s="15">
        <v>11</v>
      </c>
      <c r="F164" s="17">
        <v>0.625</v>
      </c>
      <c r="G164" s="28"/>
      <c r="H164" s="15">
        <f>'Raw Data'!A164</f>
        <v>162</v>
      </c>
      <c r="I164" s="15" t="str">
        <f>'Raw Data'!J164</f>
        <v xml:space="preserve"> USA        </v>
      </c>
      <c r="J164" s="15" t="s">
        <v>2530</v>
      </c>
      <c r="K164" s="15" t="str">
        <f t="shared" si="5"/>
        <v>Updated</v>
      </c>
    </row>
    <row r="165" spans="1:11" x14ac:dyDescent="0.25">
      <c r="A165" s="15">
        <f>'Raw Data'!A165</f>
        <v>163</v>
      </c>
      <c r="B165" s="16">
        <f>'Raw Data'!D165</f>
        <v>44232.395833333336</v>
      </c>
      <c r="C165" s="15">
        <v>2021</v>
      </c>
      <c r="D165" s="15" t="str">
        <f t="shared" si="4"/>
        <v>February</v>
      </c>
      <c r="E165" s="15">
        <v>5</v>
      </c>
      <c r="F165" s="17">
        <v>0.39583333333333331</v>
      </c>
      <c r="G165" s="28"/>
      <c r="H165" s="15">
        <f>'Raw Data'!A165</f>
        <v>163</v>
      </c>
      <c r="I165" s="15" t="str">
        <f>'Raw Data'!J165</f>
        <v xml:space="preserve"> Canada      </v>
      </c>
      <c r="J165" s="15" t="s">
        <v>458</v>
      </c>
      <c r="K165" s="15" t="str">
        <f t="shared" si="5"/>
        <v>No Change</v>
      </c>
    </row>
    <row r="166" spans="1:11" x14ac:dyDescent="0.25">
      <c r="A166" s="15">
        <f>'Raw Data'!A166</f>
        <v>164</v>
      </c>
      <c r="B166" s="16">
        <f>'Raw Data'!D166</f>
        <v>44265.354166666664</v>
      </c>
      <c r="C166" s="15">
        <v>2021</v>
      </c>
      <c r="D166" s="15" t="str">
        <f t="shared" si="4"/>
        <v>March</v>
      </c>
      <c r="E166" s="15">
        <v>10</v>
      </c>
      <c r="F166" s="17">
        <v>0.35416666666666669</v>
      </c>
      <c r="G166" s="28"/>
      <c r="H166" s="15">
        <f>'Raw Data'!A166</f>
        <v>164</v>
      </c>
      <c r="I166" s="15" t="str">
        <f>'Raw Data'!J166</f>
        <v xml:space="preserve"> USA          </v>
      </c>
      <c r="J166" s="15" t="s">
        <v>2536</v>
      </c>
      <c r="K166" s="15" t="str">
        <f t="shared" si="5"/>
        <v>Updated</v>
      </c>
    </row>
    <row r="167" spans="1:11" x14ac:dyDescent="0.25">
      <c r="A167" s="15">
        <f>'Raw Data'!A167</f>
        <v>165</v>
      </c>
      <c r="B167" s="16">
        <f>'Raw Data'!D167</f>
        <v>44747.65625</v>
      </c>
      <c r="C167" s="15">
        <v>2022</v>
      </c>
      <c r="D167" s="15" t="str">
        <f t="shared" si="4"/>
        <v>July</v>
      </c>
      <c r="E167" s="15">
        <v>5</v>
      </c>
      <c r="F167" s="17">
        <v>0.65625</v>
      </c>
      <c r="G167" s="28"/>
      <c r="H167" s="15">
        <f>'Raw Data'!A167</f>
        <v>165</v>
      </c>
      <c r="I167" s="15" t="str">
        <f>'Raw Data'!J167</f>
        <v xml:space="preserve"> Canada          </v>
      </c>
      <c r="J167" s="15" t="s">
        <v>591</v>
      </c>
      <c r="K167" s="15" t="str">
        <f t="shared" si="5"/>
        <v>No Change</v>
      </c>
    </row>
    <row r="168" spans="1:11" x14ac:dyDescent="0.25">
      <c r="A168" s="15">
        <f>'Raw Data'!A168</f>
        <v>166</v>
      </c>
      <c r="B168" s="16">
        <f>'Raw Data'!D168</f>
        <v>43787.888888888891</v>
      </c>
      <c r="C168" s="15">
        <v>2019</v>
      </c>
      <c r="D168" s="15" t="str">
        <f t="shared" si="4"/>
        <v>November</v>
      </c>
      <c r="E168" s="15">
        <v>18</v>
      </c>
      <c r="F168" s="17">
        <v>0.88888888888888884</v>
      </c>
      <c r="G168" s="28"/>
      <c r="H168" s="15">
        <f>'Raw Data'!A168</f>
        <v>166</v>
      </c>
      <c r="I168" s="15" t="str">
        <f>'Raw Data'!J168</f>
        <v xml:space="preserve"> UK           </v>
      </c>
      <c r="J168" s="15" t="s">
        <v>2549</v>
      </c>
      <c r="K168" s="15" t="str">
        <f t="shared" si="5"/>
        <v>Updated</v>
      </c>
    </row>
    <row r="169" spans="1:11" x14ac:dyDescent="0.25">
      <c r="A169" s="15">
        <f>'Raw Data'!A169</f>
        <v>167</v>
      </c>
      <c r="B169" s="16">
        <f>'Raw Data'!D169</f>
        <v>44055.479166666664</v>
      </c>
      <c r="C169" s="15">
        <v>2020</v>
      </c>
      <c r="D169" s="15" t="str">
        <f t="shared" si="4"/>
        <v>August</v>
      </c>
      <c r="E169" s="15">
        <v>12</v>
      </c>
      <c r="F169" s="17">
        <v>0.47916666666666669</v>
      </c>
      <c r="G169" s="28"/>
      <c r="H169" s="15">
        <f>'Raw Data'!A169</f>
        <v>167</v>
      </c>
      <c r="I169" s="15" t="str">
        <f>'Raw Data'!J169</f>
        <v xml:space="preserve"> India        </v>
      </c>
      <c r="J169" s="15" t="s">
        <v>600</v>
      </c>
      <c r="K169" s="15" t="str">
        <f t="shared" si="5"/>
        <v>No Change</v>
      </c>
    </row>
    <row r="170" spans="1:11" x14ac:dyDescent="0.25">
      <c r="A170" s="15">
        <f>'Raw Data'!A170</f>
        <v>168</v>
      </c>
      <c r="B170" s="16">
        <f>'Raw Data'!D170</f>
        <v>43242.614583333336</v>
      </c>
      <c r="C170" s="15">
        <v>2018</v>
      </c>
      <c r="D170" s="15" t="str">
        <f t="shared" si="4"/>
        <v>May</v>
      </c>
      <c r="E170" s="15">
        <v>22</v>
      </c>
      <c r="F170" s="17">
        <v>0.61458333333333337</v>
      </c>
      <c r="G170" s="28"/>
      <c r="H170" s="15">
        <f>'Raw Data'!A170</f>
        <v>168</v>
      </c>
      <c r="I170" s="15" t="str">
        <f>'Raw Data'!J170</f>
        <v xml:space="preserve"> Australia     </v>
      </c>
      <c r="J170" s="15" t="s">
        <v>605</v>
      </c>
      <c r="K170" s="15" t="str">
        <f t="shared" si="5"/>
        <v>No Change</v>
      </c>
    </row>
    <row r="171" spans="1:11" x14ac:dyDescent="0.25">
      <c r="A171" s="15">
        <f>'Raw Data'!A171</f>
        <v>169</v>
      </c>
      <c r="B171" s="16">
        <f>'Raw Data'!D171</f>
        <v>42765.673611111109</v>
      </c>
      <c r="C171" s="15">
        <v>2017</v>
      </c>
      <c r="D171" s="15" t="str">
        <f t="shared" si="4"/>
        <v>January</v>
      </c>
      <c r="E171" s="15">
        <v>30</v>
      </c>
      <c r="F171" s="17">
        <v>0.67361111111111116</v>
      </c>
      <c r="G171" s="28"/>
      <c r="H171" s="15">
        <f>'Raw Data'!A171</f>
        <v>169</v>
      </c>
      <c r="I171" s="15" t="str">
        <f>'Raw Data'!J171</f>
        <v xml:space="preserve"> USA          </v>
      </c>
      <c r="J171" s="15" t="s">
        <v>2536</v>
      </c>
      <c r="K171" s="15" t="str">
        <f t="shared" si="5"/>
        <v>Updated</v>
      </c>
    </row>
    <row r="172" spans="1:11" x14ac:dyDescent="0.25">
      <c r="A172" s="15">
        <f>'Raw Data'!A172</f>
        <v>170</v>
      </c>
      <c r="B172" s="16">
        <f>'Raw Data'!D172</f>
        <v>42641.822916666664</v>
      </c>
      <c r="C172" s="15">
        <v>2016</v>
      </c>
      <c r="D172" s="15" t="str">
        <f t="shared" si="4"/>
        <v>September</v>
      </c>
      <c r="E172" s="15">
        <v>28</v>
      </c>
      <c r="F172" s="17">
        <v>0.82291666666666663</v>
      </c>
      <c r="G172" s="28"/>
      <c r="H172" s="15">
        <f>'Raw Data'!A172</f>
        <v>170</v>
      </c>
      <c r="I172" s="15" t="str">
        <f>'Raw Data'!J172</f>
        <v xml:space="preserve"> Canada        </v>
      </c>
      <c r="J172" s="15" t="s">
        <v>614</v>
      </c>
      <c r="K172" s="15" t="str">
        <f t="shared" si="5"/>
        <v>No Change</v>
      </c>
    </row>
    <row r="173" spans="1:11" x14ac:dyDescent="0.25">
      <c r="A173" s="15">
        <f>'Raw Data'!A173</f>
        <v>171</v>
      </c>
      <c r="B173" s="16">
        <f>'Raw Data'!D173</f>
        <v>43570.375</v>
      </c>
      <c r="C173" s="15">
        <v>2019</v>
      </c>
      <c r="D173" s="15" t="str">
        <f t="shared" si="4"/>
        <v>April</v>
      </c>
      <c r="E173" s="15">
        <v>15</v>
      </c>
      <c r="F173" s="17">
        <v>0.375</v>
      </c>
      <c r="G173" s="28"/>
      <c r="H173" s="15">
        <f>'Raw Data'!A173</f>
        <v>171</v>
      </c>
      <c r="I173" s="15" t="str">
        <f>'Raw Data'!J173</f>
        <v xml:space="preserve"> UK           </v>
      </c>
      <c r="J173" s="15" t="s">
        <v>2549</v>
      </c>
      <c r="K173" s="15" t="str">
        <f t="shared" si="5"/>
        <v>Updated</v>
      </c>
    </row>
    <row r="174" spans="1:11" x14ac:dyDescent="0.25">
      <c r="A174" s="15">
        <f>'Raw Data'!A174</f>
        <v>172</v>
      </c>
      <c r="B174" s="16">
        <f>'Raw Data'!D174</f>
        <v>44533.770833333336</v>
      </c>
      <c r="C174" s="15">
        <v>2021</v>
      </c>
      <c r="D174" s="15" t="str">
        <f t="shared" si="4"/>
        <v>December</v>
      </c>
      <c r="E174" s="15">
        <v>3</v>
      </c>
      <c r="F174" s="17">
        <v>0.77083333333333337</v>
      </c>
      <c r="G174" s="28"/>
      <c r="H174" s="15">
        <f>'Raw Data'!A174</f>
        <v>172</v>
      </c>
      <c r="I174" s="15" t="str">
        <f>'Raw Data'!J174</f>
        <v xml:space="preserve"> India        </v>
      </c>
      <c r="J174" s="15" t="s">
        <v>600</v>
      </c>
      <c r="K174" s="15" t="str">
        <f t="shared" si="5"/>
        <v>No Change</v>
      </c>
    </row>
    <row r="175" spans="1:11" x14ac:dyDescent="0.25">
      <c r="A175" s="15">
        <f>'Raw Data'!A175</f>
        <v>173</v>
      </c>
      <c r="B175" s="16">
        <f>'Raw Data'!D175</f>
        <v>44002.597222222219</v>
      </c>
      <c r="C175" s="15">
        <v>2020</v>
      </c>
      <c r="D175" s="15" t="str">
        <f t="shared" si="4"/>
        <v>June</v>
      </c>
      <c r="E175" s="15">
        <v>20</v>
      </c>
      <c r="F175" s="17">
        <v>0.59722222222222221</v>
      </c>
      <c r="G175" s="28"/>
      <c r="H175" s="15">
        <f>'Raw Data'!A175</f>
        <v>173</v>
      </c>
      <c r="I175" s="15" t="str">
        <f>'Raw Data'!J175</f>
        <v xml:space="preserve"> Australia    </v>
      </c>
      <c r="J175" s="15" t="s">
        <v>292</v>
      </c>
      <c r="K175" s="15" t="str">
        <f t="shared" si="5"/>
        <v>No Change</v>
      </c>
    </row>
    <row r="176" spans="1:11" x14ac:dyDescent="0.25">
      <c r="A176" s="15">
        <f>'Raw Data'!A176</f>
        <v>174</v>
      </c>
      <c r="B176" s="16">
        <f>'Raw Data'!D176</f>
        <v>43411.479166666664</v>
      </c>
      <c r="C176" s="15">
        <v>2018</v>
      </c>
      <c r="D176" s="15" t="str">
        <f t="shared" si="4"/>
        <v>November</v>
      </c>
      <c r="E176" s="15">
        <v>7</v>
      </c>
      <c r="F176" s="17">
        <v>0.47916666666666669</v>
      </c>
      <c r="G176" s="28"/>
      <c r="H176" s="15">
        <f>'Raw Data'!A176</f>
        <v>174</v>
      </c>
      <c r="I176" s="15" t="str">
        <f>'Raw Data'!J176</f>
        <v xml:space="preserve"> Canada        </v>
      </c>
      <c r="J176" s="15" t="s">
        <v>614</v>
      </c>
      <c r="K176" s="15" t="str">
        <f t="shared" si="5"/>
        <v>No Change</v>
      </c>
    </row>
    <row r="177" spans="1:11" x14ac:dyDescent="0.25">
      <c r="A177" s="15">
        <f>'Raw Data'!A177</f>
        <v>175</v>
      </c>
      <c r="B177" s="16">
        <f>'Raw Data'!D177</f>
        <v>42972.666666666664</v>
      </c>
      <c r="C177" s="15">
        <v>2017</v>
      </c>
      <c r="D177" s="15" t="str">
        <f t="shared" si="4"/>
        <v>August</v>
      </c>
      <c r="E177" s="15">
        <v>25</v>
      </c>
      <c r="F177" s="17">
        <v>0.66666666666666663</v>
      </c>
      <c r="G177" s="28"/>
      <c r="H177" s="15">
        <f>'Raw Data'!A177</f>
        <v>175</v>
      </c>
      <c r="I177" s="15" t="str">
        <f>'Raw Data'!J177</f>
        <v xml:space="preserve"> UK           </v>
      </c>
      <c r="J177" s="15" t="s">
        <v>2549</v>
      </c>
      <c r="K177" s="15" t="str">
        <f t="shared" si="5"/>
        <v>Updated</v>
      </c>
    </row>
    <row r="178" spans="1:11" x14ac:dyDescent="0.25">
      <c r="A178" s="15">
        <f>'Raw Data'!A178</f>
        <v>176</v>
      </c>
      <c r="B178" s="16">
        <f>'Raw Data'!D178</f>
        <v>43507.40625</v>
      </c>
      <c r="C178" s="15">
        <v>2019</v>
      </c>
      <c r="D178" s="15" t="str">
        <f t="shared" si="4"/>
        <v>February</v>
      </c>
      <c r="E178" s="15">
        <v>11</v>
      </c>
      <c r="F178" s="17">
        <v>0.40625</v>
      </c>
      <c r="G178" s="28"/>
      <c r="H178" s="15">
        <f>'Raw Data'!A178</f>
        <v>176</v>
      </c>
      <c r="I178" s="15" t="str">
        <f>'Raw Data'!J178</f>
        <v xml:space="preserve"> India        </v>
      </c>
      <c r="J178" s="15" t="s">
        <v>600</v>
      </c>
      <c r="K178" s="15" t="str">
        <f t="shared" si="5"/>
        <v>No Change</v>
      </c>
    </row>
    <row r="179" spans="1:11" x14ac:dyDescent="0.25">
      <c r="A179" s="15">
        <f>'Raw Data'!A179</f>
        <v>177</v>
      </c>
      <c r="B179" s="16">
        <f>'Raw Data'!D179</f>
        <v>42462.847222222219</v>
      </c>
      <c r="C179" s="15">
        <v>2016</v>
      </c>
      <c r="D179" s="15" t="str">
        <f t="shared" si="4"/>
        <v>April</v>
      </c>
      <c r="E179" s="15">
        <v>2</v>
      </c>
      <c r="F179" s="17">
        <v>0.84722222222222221</v>
      </c>
      <c r="G179" s="28"/>
      <c r="H179" s="15">
        <f>'Raw Data'!A179</f>
        <v>177</v>
      </c>
      <c r="I179" s="15" t="str">
        <f>'Raw Data'!J179</f>
        <v xml:space="preserve"> USA          </v>
      </c>
      <c r="J179" s="15" t="s">
        <v>2536</v>
      </c>
      <c r="K179" s="15" t="str">
        <f t="shared" si="5"/>
        <v>Updated</v>
      </c>
    </row>
    <row r="180" spans="1:11" x14ac:dyDescent="0.25">
      <c r="A180" s="15">
        <f>'Raw Data'!A180</f>
        <v>178</v>
      </c>
      <c r="B180" s="16">
        <f>'Raw Data'!D180</f>
        <v>42295.645833333336</v>
      </c>
      <c r="C180" s="15">
        <v>2015</v>
      </c>
      <c r="D180" s="15" t="str">
        <f t="shared" si="4"/>
        <v>October</v>
      </c>
      <c r="E180" s="15">
        <v>18</v>
      </c>
      <c r="F180" s="17">
        <v>0.64583333333333337</v>
      </c>
      <c r="G180" s="28"/>
      <c r="H180" s="15">
        <f>'Raw Data'!A180</f>
        <v>178</v>
      </c>
      <c r="I180" s="15" t="str">
        <f>'Raw Data'!J180</f>
        <v xml:space="preserve"> Canada        </v>
      </c>
      <c r="J180" s="15" t="s">
        <v>614</v>
      </c>
      <c r="K180" s="15" t="str">
        <f t="shared" si="5"/>
        <v>No Change</v>
      </c>
    </row>
    <row r="181" spans="1:11" x14ac:dyDescent="0.25">
      <c r="A181" s="15">
        <f>'Raw Data'!A181</f>
        <v>179</v>
      </c>
      <c r="B181" s="16">
        <f>'Raw Data'!D181</f>
        <v>43658.756944444445</v>
      </c>
      <c r="C181" s="15">
        <v>2019</v>
      </c>
      <c r="D181" s="15" t="str">
        <f t="shared" si="4"/>
        <v>July</v>
      </c>
      <c r="E181" s="15">
        <v>12</v>
      </c>
      <c r="F181" s="17">
        <v>0.75694444444444442</v>
      </c>
      <c r="G181" s="28"/>
      <c r="H181" s="15">
        <f>'Raw Data'!A181</f>
        <v>179</v>
      </c>
      <c r="I181" s="15" t="str">
        <f>'Raw Data'!J181</f>
        <v xml:space="preserve"> UK            </v>
      </c>
      <c r="J181" s="15" t="s">
        <v>2550</v>
      </c>
      <c r="K181" s="15" t="str">
        <f t="shared" si="5"/>
        <v>Updated</v>
      </c>
    </row>
    <row r="182" spans="1:11" x14ac:dyDescent="0.25">
      <c r="A182" s="15">
        <f>'Raw Data'!A182</f>
        <v>180</v>
      </c>
      <c r="B182" s="16">
        <f>'Raw Data'!D182</f>
        <v>43254.6875</v>
      </c>
      <c r="C182" s="15">
        <v>2018</v>
      </c>
      <c r="D182" s="15" t="str">
        <f t="shared" si="4"/>
        <v>June</v>
      </c>
      <c r="E182" s="15">
        <v>3</v>
      </c>
      <c r="F182" s="17">
        <v>0.6875</v>
      </c>
      <c r="G182" s="28"/>
      <c r="H182" s="15">
        <f>'Raw Data'!A182</f>
        <v>180</v>
      </c>
      <c r="I182" s="15" t="str">
        <f>'Raw Data'!J182</f>
        <v xml:space="preserve"> India         </v>
      </c>
      <c r="J182" s="15" t="s">
        <v>653</v>
      </c>
      <c r="K182" s="15" t="str">
        <f t="shared" si="5"/>
        <v>No Change</v>
      </c>
    </row>
    <row r="183" spans="1:11" x14ac:dyDescent="0.25">
      <c r="A183" s="15">
        <f>'Raw Data'!A183</f>
        <v>181</v>
      </c>
      <c r="B183" s="16">
        <f>'Raw Data'!D183</f>
        <v>44576.5</v>
      </c>
      <c r="C183" s="15">
        <v>2022</v>
      </c>
      <c r="D183" s="15" t="str">
        <f t="shared" si="4"/>
        <v>January</v>
      </c>
      <c r="E183" s="15">
        <v>15</v>
      </c>
      <c r="F183" s="17">
        <v>0.5</v>
      </c>
      <c r="G183" s="28"/>
      <c r="H183" s="15">
        <f>'Raw Data'!A183</f>
        <v>181</v>
      </c>
      <c r="I183" s="15" t="str">
        <f>'Raw Data'!J183</f>
        <v xml:space="preserve"> Australia    </v>
      </c>
      <c r="J183" s="15" t="s">
        <v>292</v>
      </c>
      <c r="K183" s="15" t="str">
        <f t="shared" si="5"/>
        <v>No Change</v>
      </c>
    </row>
    <row r="184" spans="1:11" x14ac:dyDescent="0.25">
      <c r="A184" s="15">
        <f>'Raw Data'!A184</f>
        <v>182</v>
      </c>
      <c r="B184" s="16">
        <f>'Raw Data'!D184</f>
        <v>42835.614583333336</v>
      </c>
      <c r="C184" s="15">
        <v>2017</v>
      </c>
      <c r="D184" s="15" t="str">
        <f t="shared" si="4"/>
        <v>April</v>
      </c>
      <c r="E184" s="15">
        <v>10</v>
      </c>
      <c r="F184" s="17">
        <v>0.61458333333333337</v>
      </c>
      <c r="G184" s="28"/>
      <c r="H184" s="15">
        <f>'Raw Data'!A184</f>
        <v>182</v>
      </c>
      <c r="I184" s="15" t="str">
        <f>'Raw Data'!J184</f>
        <v xml:space="preserve"> USA          </v>
      </c>
      <c r="J184" s="15" t="s">
        <v>2536</v>
      </c>
      <c r="K184" s="15" t="str">
        <f t="shared" si="5"/>
        <v>Updated</v>
      </c>
    </row>
    <row r="185" spans="1:11" x14ac:dyDescent="0.25">
      <c r="A185" s="15">
        <f>'Raw Data'!A185</f>
        <v>183</v>
      </c>
      <c r="B185" s="16">
        <f>'Raw Data'!D185</f>
        <v>42702.791666666664</v>
      </c>
      <c r="C185" s="15">
        <v>2016</v>
      </c>
      <c r="D185" s="15" t="str">
        <f t="shared" si="4"/>
        <v>November</v>
      </c>
      <c r="E185" s="15">
        <v>28</v>
      </c>
      <c r="F185" s="17">
        <v>0.79166666666666663</v>
      </c>
      <c r="G185" s="28"/>
      <c r="H185" s="15">
        <f>'Raw Data'!A185</f>
        <v>183</v>
      </c>
      <c r="I185" s="15" t="str">
        <f>'Raw Data'!J185</f>
        <v xml:space="preserve"> Canada        </v>
      </c>
      <c r="J185" s="15" t="s">
        <v>614</v>
      </c>
      <c r="K185" s="15" t="str">
        <f t="shared" si="5"/>
        <v>No Change</v>
      </c>
    </row>
    <row r="186" spans="1:11" x14ac:dyDescent="0.25">
      <c r="A186" s="15">
        <f>'Raw Data'!A186</f>
        <v>184</v>
      </c>
      <c r="B186" s="16">
        <f>'Raw Data'!D186</f>
        <v>43348.395833333336</v>
      </c>
      <c r="C186" s="15">
        <v>2018</v>
      </c>
      <c r="D186" s="15" t="str">
        <f t="shared" si="4"/>
        <v>September</v>
      </c>
      <c r="E186" s="15">
        <v>5</v>
      </c>
      <c r="F186" s="17">
        <v>0.39583333333333331</v>
      </c>
      <c r="G186" s="28"/>
      <c r="H186" s="15">
        <f>'Raw Data'!A186</f>
        <v>184</v>
      </c>
      <c r="I186" s="15" t="str">
        <f>'Raw Data'!J186</f>
        <v xml:space="preserve"> UK            </v>
      </c>
      <c r="J186" s="15" t="s">
        <v>2550</v>
      </c>
      <c r="K186" s="15" t="str">
        <f t="shared" si="5"/>
        <v>Updated</v>
      </c>
    </row>
    <row r="187" spans="1:11" x14ac:dyDescent="0.25">
      <c r="A187" s="15">
        <f>'Raw Data'!A187</f>
        <v>185</v>
      </c>
      <c r="B187" s="16">
        <f>'Raw Data'!D187</f>
        <v>44491.770833333336</v>
      </c>
      <c r="C187" s="15">
        <v>2021</v>
      </c>
      <c r="D187" s="15" t="str">
        <f t="shared" si="4"/>
        <v>October</v>
      </c>
      <c r="E187" s="15">
        <v>22</v>
      </c>
      <c r="F187" s="17">
        <v>0.77083333333333337</v>
      </c>
      <c r="G187" s="28"/>
      <c r="H187" s="15">
        <f>'Raw Data'!A187</f>
        <v>185</v>
      </c>
      <c r="I187" s="15" t="str">
        <f>'Raw Data'!J187</f>
        <v xml:space="preserve"> India         </v>
      </c>
      <c r="J187" s="15" t="s">
        <v>653</v>
      </c>
      <c r="K187" s="15" t="str">
        <f t="shared" si="5"/>
        <v>No Change</v>
      </c>
    </row>
    <row r="188" spans="1:11" x14ac:dyDescent="0.25">
      <c r="A188" s="15">
        <f>'Raw Data'!A188</f>
        <v>186</v>
      </c>
      <c r="B188" s="16">
        <f>'Raw Data'!D188</f>
        <v>43593.597222222219</v>
      </c>
      <c r="C188" s="15">
        <v>2019</v>
      </c>
      <c r="D188" s="15" t="str">
        <f t="shared" si="4"/>
        <v>May</v>
      </c>
      <c r="E188" s="15">
        <v>8</v>
      </c>
      <c r="F188" s="17">
        <v>0.59722222222222221</v>
      </c>
      <c r="G188" s="28"/>
      <c r="H188" s="15">
        <f>'Raw Data'!A188</f>
        <v>186</v>
      </c>
      <c r="I188" s="15" t="str">
        <f>'Raw Data'!J188</f>
        <v xml:space="preserve"> Australia    </v>
      </c>
      <c r="J188" s="15" t="s">
        <v>292</v>
      </c>
      <c r="K188" s="15" t="str">
        <f t="shared" si="5"/>
        <v>No Change</v>
      </c>
    </row>
    <row r="189" spans="1:11" x14ac:dyDescent="0.25">
      <c r="A189" s="15">
        <f>'Raw Data'!A189</f>
        <v>187</v>
      </c>
      <c r="B189" s="16">
        <f>'Raw Data'!D189</f>
        <v>42814.479166666664</v>
      </c>
      <c r="C189" s="15">
        <v>2017</v>
      </c>
      <c r="D189" s="15" t="str">
        <f t="shared" si="4"/>
        <v>March</v>
      </c>
      <c r="E189" s="15">
        <v>20</v>
      </c>
      <c r="F189" s="17">
        <v>0.47916666666666669</v>
      </c>
      <c r="G189" s="28"/>
      <c r="H189" s="15">
        <f>'Raw Data'!A189</f>
        <v>187</v>
      </c>
      <c r="I189" s="15" t="str">
        <f>'Raw Data'!J189</f>
        <v xml:space="preserve"> Canada        </v>
      </c>
      <c r="J189" s="15" t="s">
        <v>614</v>
      </c>
      <c r="K189" s="15" t="str">
        <f t="shared" si="5"/>
        <v>No Change</v>
      </c>
    </row>
    <row r="190" spans="1:11" x14ac:dyDescent="0.25">
      <c r="A190" s="15">
        <f>'Raw Data'!A190</f>
        <v>188</v>
      </c>
      <c r="B190" s="16">
        <f>'Raw Data'!D190</f>
        <v>43449.666666666664</v>
      </c>
      <c r="C190" s="15">
        <v>2018</v>
      </c>
      <c r="D190" s="15" t="str">
        <f t="shared" si="4"/>
        <v>December</v>
      </c>
      <c r="E190" s="15">
        <v>15</v>
      </c>
      <c r="F190" s="17">
        <v>0.66666666666666663</v>
      </c>
      <c r="G190" s="28"/>
      <c r="H190" s="15">
        <f>'Raw Data'!A190</f>
        <v>188</v>
      </c>
      <c r="I190" s="15" t="str">
        <f>'Raw Data'!J190</f>
        <v xml:space="preserve"> USA          </v>
      </c>
      <c r="J190" s="15" t="s">
        <v>2536</v>
      </c>
      <c r="K190" s="15" t="str">
        <f t="shared" si="5"/>
        <v>Updated</v>
      </c>
    </row>
    <row r="191" spans="1:11" x14ac:dyDescent="0.25">
      <c r="A191" s="15">
        <f>'Raw Data'!A191</f>
        <v>189</v>
      </c>
      <c r="B191" s="16">
        <f>'Raw Data'!D191</f>
        <v>42552.40625</v>
      </c>
      <c r="C191" s="15">
        <v>2016</v>
      </c>
      <c r="D191" s="15" t="str">
        <f t="shared" si="4"/>
        <v>July</v>
      </c>
      <c r="E191" s="15">
        <v>1</v>
      </c>
      <c r="F191" s="17">
        <v>0.40625</v>
      </c>
      <c r="G191" s="28"/>
      <c r="H191" s="15">
        <f>'Raw Data'!A191</f>
        <v>189</v>
      </c>
      <c r="I191" s="15" t="str">
        <f>'Raw Data'!J191</f>
        <v xml:space="preserve"> UK            </v>
      </c>
      <c r="J191" s="15" t="s">
        <v>2550</v>
      </c>
      <c r="K191" s="15" t="str">
        <f t="shared" si="5"/>
        <v>Updated</v>
      </c>
    </row>
    <row r="192" spans="1:11" x14ac:dyDescent="0.25">
      <c r="A192" s="15">
        <f>'Raw Data'!A192</f>
        <v>190</v>
      </c>
      <c r="B192" s="16">
        <f>'Raw Data'!D192</f>
        <v>44063.847222222219</v>
      </c>
      <c r="C192" s="15">
        <v>2020</v>
      </c>
      <c r="D192" s="15" t="str">
        <f t="shared" si="4"/>
        <v>August</v>
      </c>
      <c r="E192" s="15">
        <v>20</v>
      </c>
      <c r="F192" s="17">
        <v>0.84722222222222221</v>
      </c>
      <c r="G192" s="28"/>
      <c r="H192" s="15">
        <f>'Raw Data'!A192</f>
        <v>190</v>
      </c>
      <c r="I192" s="15" t="str">
        <f>'Raw Data'!J192</f>
        <v xml:space="preserve"> India         </v>
      </c>
      <c r="J192" s="15" t="s">
        <v>653</v>
      </c>
      <c r="K192" s="15" t="str">
        <f t="shared" si="5"/>
        <v>No Change</v>
      </c>
    </row>
    <row r="193" spans="1:11" x14ac:dyDescent="0.25">
      <c r="A193" s="15">
        <f>'Raw Data'!A193</f>
        <v>191</v>
      </c>
      <c r="B193" s="16">
        <f>'Raw Data'!D193</f>
        <v>44252.645833333336</v>
      </c>
      <c r="C193" s="15">
        <v>2021</v>
      </c>
      <c r="D193" s="15" t="str">
        <f t="shared" si="4"/>
        <v>February</v>
      </c>
      <c r="E193" s="15">
        <v>25</v>
      </c>
      <c r="F193" s="17">
        <v>0.64583333333333337</v>
      </c>
      <c r="G193" s="28"/>
      <c r="H193" s="15">
        <f>'Raw Data'!A193</f>
        <v>191</v>
      </c>
      <c r="I193" s="15" t="str">
        <f>'Raw Data'!J193</f>
        <v xml:space="preserve"> Canada        </v>
      </c>
      <c r="J193" s="15" t="s">
        <v>614</v>
      </c>
      <c r="K193" s="15" t="str">
        <f t="shared" si="5"/>
        <v>No Change</v>
      </c>
    </row>
    <row r="194" spans="1:11" x14ac:dyDescent="0.25">
      <c r="A194" s="15">
        <f>'Raw Data'!A194</f>
        <v>192</v>
      </c>
      <c r="B194" s="16">
        <f>'Raw Data'!D194</f>
        <v>43720.756944444445</v>
      </c>
      <c r="C194" s="15">
        <v>2019</v>
      </c>
      <c r="D194" s="15" t="str">
        <f t="shared" si="4"/>
        <v>September</v>
      </c>
      <c r="E194" s="15">
        <v>12</v>
      </c>
      <c r="F194" s="17">
        <v>0.75694444444444442</v>
      </c>
      <c r="G194" s="28"/>
      <c r="H194" s="15">
        <f>'Raw Data'!A194</f>
        <v>192</v>
      </c>
      <c r="I194" s="15" t="str">
        <f>'Raw Data'!J194</f>
        <v xml:space="preserve"> Australia     </v>
      </c>
      <c r="J194" s="15" t="s">
        <v>605</v>
      </c>
      <c r="K194" s="15" t="str">
        <f t="shared" si="5"/>
        <v>No Change</v>
      </c>
    </row>
    <row r="195" spans="1:11" x14ac:dyDescent="0.25">
      <c r="A195" s="15">
        <f>'Raw Data'!A195</f>
        <v>193</v>
      </c>
      <c r="B195" s="16">
        <f>'Raw Data'!D195</f>
        <v>43317.6875</v>
      </c>
      <c r="C195" s="15">
        <v>2018</v>
      </c>
      <c r="D195" s="15" t="str">
        <f t="shared" si="4"/>
        <v>August</v>
      </c>
      <c r="E195" s="15">
        <v>5</v>
      </c>
      <c r="F195" s="17">
        <v>0.6875</v>
      </c>
      <c r="G195" s="28"/>
      <c r="H195" s="15">
        <f>'Raw Data'!A195</f>
        <v>193</v>
      </c>
      <c r="I195" s="15" t="str">
        <f>'Raw Data'!J195</f>
        <v xml:space="preserve"> USA           </v>
      </c>
      <c r="J195" s="15" t="s">
        <v>2539</v>
      </c>
      <c r="K195" s="15" t="str">
        <f t="shared" si="5"/>
        <v>Updated</v>
      </c>
    </row>
    <row r="196" spans="1:11" x14ac:dyDescent="0.25">
      <c r="A196" s="15">
        <f>'Raw Data'!A196</f>
        <v>194</v>
      </c>
      <c r="B196" s="16">
        <f>'Raw Data'!D196</f>
        <v>42747.5</v>
      </c>
      <c r="C196" s="15">
        <v>2017</v>
      </c>
      <c r="D196" s="15" t="str">
        <f t="shared" ref="D196:D259" si="6">TEXT(B196,"MMMM")</f>
        <v>January</v>
      </c>
      <c r="E196" s="15">
        <v>12</v>
      </c>
      <c r="F196" s="17">
        <v>0.5</v>
      </c>
      <c r="G196" s="28"/>
      <c r="H196" s="15">
        <f>'Raw Data'!A196</f>
        <v>194</v>
      </c>
      <c r="I196" s="15" t="str">
        <f>'Raw Data'!J196</f>
        <v xml:space="preserve"> India         </v>
      </c>
      <c r="J196" s="15" t="s">
        <v>653</v>
      </c>
      <c r="K196" s="15" t="str">
        <f t="shared" ref="K196:K259" si="7">IF(I196=J196,"No Change","Updated")</f>
        <v>No Change</v>
      </c>
    </row>
    <row r="197" spans="1:11" x14ac:dyDescent="0.25">
      <c r="A197" s="15">
        <f>'Raw Data'!A197</f>
        <v>195</v>
      </c>
      <c r="B197" s="16">
        <f>'Raw Data'!D197</f>
        <v>44656.614583333336</v>
      </c>
      <c r="C197" s="15">
        <v>2022</v>
      </c>
      <c r="D197" s="15" t="str">
        <f t="shared" si="6"/>
        <v>April</v>
      </c>
      <c r="E197" s="15">
        <v>5</v>
      </c>
      <c r="F197" s="17">
        <v>0.61458333333333337</v>
      </c>
      <c r="G197" s="28"/>
      <c r="H197" s="15">
        <f>'Raw Data'!A197</f>
        <v>195</v>
      </c>
      <c r="I197" s="15" t="str">
        <f>'Raw Data'!J197</f>
        <v xml:space="preserve"> UK            </v>
      </c>
      <c r="J197" s="15" t="s">
        <v>2550</v>
      </c>
      <c r="K197" s="15" t="str">
        <f t="shared" si="7"/>
        <v>Updated</v>
      </c>
    </row>
    <row r="198" spans="1:11" x14ac:dyDescent="0.25">
      <c r="A198" s="15">
        <f>'Raw Data'!A198</f>
        <v>196</v>
      </c>
      <c r="B198" s="16">
        <f>'Raw Data'!D198</f>
        <v>44471.791666666664</v>
      </c>
      <c r="C198" s="15">
        <v>2021</v>
      </c>
      <c r="D198" s="15" t="str">
        <f t="shared" si="6"/>
        <v>October</v>
      </c>
      <c r="E198" s="15">
        <v>2</v>
      </c>
      <c r="F198" s="17">
        <v>0.79166666666666663</v>
      </c>
      <c r="G198" s="28"/>
      <c r="H198" s="15">
        <f>'Raw Data'!A198</f>
        <v>196</v>
      </c>
      <c r="I198" s="15" t="str">
        <f>'Raw Data'!J198</f>
        <v xml:space="preserve"> Canada        </v>
      </c>
      <c r="J198" s="15" t="s">
        <v>614</v>
      </c>
      <c r="K198" s="15" t="str">
        <f t="shared" si="7"/>
        <v>No Change</v>
      </c>
    </row>
    <row r="199" spans="1:11" x14ac:dyDescent="0.25">
      <c r="A199" s="15">
        <f>'Raw Data'!A199</f>
        <v>197</v>
      </c>
      <c r="B199" s="16">
        <f>'Raw Data'!D199</f>
        <v>45031.427083333336</v>
      </c>
      <c r="C199" s="15">
        <v>2023</v>
      </c>
      <c r="D199" s="15" t="str">
        <f t="shared" si="6"/>
        <v>April</v>
      </c>
      <c r="E199" s="15">
        <v>15</v>
      </c>
      <c r="F199" s="17">
        <v>0.42708333333333331</v>
      </c>
      <c r="G199" s="28"/>
      <c r="H199" s="15">
        <f>'Raw Data'!A199</f>
        <v>197</v>
      </c>
      <c r="I199" s="15" t="str">
        <f>'Raw Data'!J199</f>
        <v xml:space="preserve"> USA          </v>
      </c>
      <c r="J199" s="15" t="s">
        <v>2536</v>
      </c>
      <c r="K199" s="15" t="str">
        <f t="shared" si="7"/>
        <v>Updated</v>
      </c>
    </row>
    <row r="200" spans="1:11" x14ac:dyDescent="0.25">
      <c r="A200" s="15">
        <f>'Raw Data'!A200</f>
        <v>198</v>
      </c>
      <c r="B200" s="16">
        <f>'Raw Data'!D200</f>
        <v>44893.729166666664</v>
      </c>
      <c r="C200" s="15">
        <v>2022</v>
      </c>
      <c r="D200" s="15" t="str">
        <f t="shared" si="6"/>
        <v>November</v>
      </c>
      <c r="E200" s="15">
        <v>28</v>
      </c>
      <c r="F200" s="17">
        <v>0.72916666666666663</v>
      </c>
      <c r="G200" s="28"/>
      <c r="H200" s="15">
        <f>'Raw Data'!A200</f>
        <v>198</v>
      </c>
      <c r="I200" s="15" t="str">
        <f>'Raw Data'!J200</f>
        <v xml:space="preserve"> Canada          </v>
      </c>
      <c r="J200" s="15" t="s">
        <v>591</v>
      </c>
      <c r="K200" s="15" t="str">
        <f t="shared" si="7"/>
        <v>No Change</v>
      </c>
    </row>
    <row r="201" spans="1:11" x14ac:dyDescent="0.25">
      <c r="A201" s="15">
        <f>'Raw Data'!A201</f>
        <v>199</v>
      </c>
      <c r="B201" s="16">
        <f>'Raw Data'!D201</f>
        <v>43923.40625</v>
      </c>
      <c r="C201" s="15">
        <v>2020</v>
      </c>
      <c r="D201" s="15" t="str">
        <f t="shared" si="6"/>
        <v>April</v>
      </c>
      <c r="E201" s="15">
        <v>2</v>
      </c>
      <c r="F201" s="17">
        <v>0.40625</v>
      </c>
      <c r="G201" s="28"/>
      <c r="H201" s="15">
        <f>'Raw Data'!A201</f>
        <v>199</v>
      </c>
      <c r="I201" s="15" t="str">
        <f>'Raw Data'!J201</f>
        <v xml:space="preserve"> UK           </v>
      </c>
      <c r="J201" s="15" t="s">
        <v>2549</v>
      </c>
      <c r="K201" s="15" t="str">
        <f t="shared" si="7"/>
        <v>Updated</v>
      </c>
    </row>
    <row r="202" spans="1:11" x14ac:dyDescent="0.25">
      <c r="A202" s="15">
        <f>'Raw Data'!A202</f>
        <v>200</v>
      </c>
      <c r="B202" s="16">
        <f>'Raw Data'!D202</f>
        <v>44418.583333333336</v>
      </c>
      <c r="C202" s="15">
        <v>2021</v>
      </c>
      <c r="D202" s="15" t="str">
        <f t="shared" si="6"/>
        <v>August</v>
      </c>
      <c r="E202" s="15">
        <v>10</v>
      </c>
      <c r="F202" s="17">
        <v>0.58333333333333337</v>
      </c>
      <c r="G202" s="28"/>
      <c r="H202" s="15">
        <f>'Raw Data'!A202</f>
        <v>200</v>
      </c>
      <c r="I202" s="15" t="str">
        <f>'Raw Data'!J202</f>
        <v xml:space="preserve"> India        </v>
      </c>
      <c r="J202" s="15" t="s">
        <v>600</v>
      </c>
      <c r="K202" s="15" t="str">
        <f t="shared" si="7"/>
        <v>No Change</v>
      </c>
    </row>
    <row r="203" spans="1:11" x14ac:dyDescent="0.25">
      <c r="A203" s="15">
        <f>'Raw Data'!A203</f>
        <v>201</v>
      </c>
      <c r="B203" s="16">
        <f>'Raw Data'!D203</f>
        <v>43634.864583333336</v>
      </c>
      <c r="C203" s="15">
        <v>2019</v>
      </c>
      <c r="D203" s="15" t="str">
        <f t="shared" si="6"/>
        <v>June</v>
      </c>
      <c r="E203" s="15">
        <v>18</v>
      </c>
      <c r="F203" s="17">
        <v>0.86458333333333337</v>
      </c>
      <c r="G203" s="28"/>
      <c r="H203" s="15">
        <f>'Raw Data'!A203</f>
        <v>201</v>
      </c>
      <c r="I203" s="15" t="str">
        <f>'Raw Data'!J203</f>
        <v xml:space="preserve"> Australia     </v>
      </c>
      <c r="J203" s="15" t="s">
        <v>605</v>
      </c>
      <c r="K203" s="15" t="str">
        <f t="shared" si="7"/>
        <v>No Change</v>
      </c>
    </row>
    <row r="204" spans="1:11" x14ac:dyDescent="0.25">
      <c r="A204" s="15">
        <f>'Raw Data'!A204</f>
        <v>202</v>
      </c>
      <c r="B204" s="16">
        <f>'Raw Data'!D204</f>
        <v>43136.635416666664</v>
      </c>
      <c r="C204" s="15">
        <v>2018</v>
      </c>
      <c r="D204" s="15" t="str">
        <f t="shared" si="6"/>
        <v>February</v>
      </c>
      <c r="E204" s="15">
        <v>5</v>
      </c>
      <c r="F204" s="17">
        <v>0.63541666666666663</v>
      </c>
      <c r="G204" s="28"/>
      <c r="H204" s="15">
        <f>'Raw Data'!A204</f>
        <v>202</v>
      </c>
      <c r="I204" s="15" t="str">
        <f>'Raw Data'!J204</f>
        <v xml:space="preserve"> USA          </v>
      </c>
      <c r="J204" s="15" t="s">
        <v>2536</v>
      </c>
      <c r="K204" s="15" t="str">
        <f t="shared" si="7"/>
        <v>Updated</v>
      </c>
    </row>
    <row r="205" spans="1:11" x14ac:dyDescent="0.25">
      <c r="A205" s="15">
        <f>'Raw Data'!A205</f>
        <v>203</v>
      </c>
      <c r="B205" s="16">
        <f>'Raw Data'!D205</f>
        <v>44711.479166666664</v>
      </c>
      <c r="C205" s="15">
        <v>2022</v>
      </c>
      <c r="D205" s="15" t="str">
        <f t="shared" si="6"/>
        <v>May</v>
      </c>
      <c r="E205" s="15">
        <v>30</v>
      </c>
      <c r="F205" s="17">
        <v>0.47916666666666669</v>
      </c>
      <c r="G205" s="28"/>
      <c r="H205" s="15">
        <f>'Raw Data'!A205</f>
        <v>203</v>
      </c>
      <c r="I205" s="15" t="str">
        <f>'Raw Data'!J205</f>
        <v xml:space="preserve"> Canada        </v>
      </c>
      <c r="J205" s="15" t="s">
        <v>614</v>
      </c>
      <c r="K205" s="15" t="str">
        <f t="shared" si="7"/>
        <v>No Change</v>
      </c>
    </row>
    <row r="206" spans="1:11" x14ac:dyDescent="0.25">
      <c r="A206" s="15">
        <f>'Raw Data'!A206</f>
        <v>204</v>
      </c>
      <c r="B206" s="16">
        <f>'Raw Data'!D206</f>
        <v>44936.680555555555</v>
      </c>
      <c r="C206" s="15">
        <v>2023</v>
      </c>
      <c r="D206" s="15" t="str">
        <f t="shared" si="6"/>
        <v>January</v>
      </c>
      <c r="E206" s="15">
        <v>10</v>
      </c>
      <c r="F206" s="17">
        <v>0.68055555555555558</v>
      </c>
      <c r="G206" s="28"/>
      <c r="H206" s="15">
        <f>'Raw Data'!A206</f>
        <v>204</v>
      </c>
      <c r="I206" s="15" t="str">
        <f>'Raw Data'!J206</f>
        <v xml:space="preserve"> UK           </v>
      </c>
      <c r="J206" s="15" t="s">
        <v>2549</v>
      </c>
      <c r="K206" s="15" t="str">
        <f t="shared" si="7"/>
        <v>Updated</v>
      </c>
    </row>
    <row r="207" spans="1:11" x14ac:dyDescent="0.25">
      <c r="A207" s="15">
        <f>'Raw Data'!A207</f>
        <v>205</v>
      </c>
      <c r="B207" s="16">
        <f>'Raw Data'!D207</f>
        <v>44092.572916666664</v>
      </c>
      <c r="C207" s="15">
        <v>2020</v>
      </c>
      <c r="D207" s="15" t="str">
        <f t="shared" si="6"/>
        <v>September</v>
      </c>
      <c r="E207" s="15">
        <v>18</v>
      </c>
      <c r="F207" s="17">
        <v>0.57291666666666663</v>
      </c>
      <c r="G207" s="28"/>
      <c r="H207" s="15">
        <f>'Raw Data'!A207</f>
        <v>205</v>
      </c>
      <c r="I207" s="15" t="str">
        <f>'Raw Data'!J207</f>
        <v xml:space="preserve"> India        </v>
      </c>
      <c r="J207" s="15" t="s">
        <v>600</v>
      </c>
      <c r="K207" s="15" t="str">
        <f t="shared" si="7"/>
        <v>No Change</v>
      </c>
    </row>
    <row r="208" spans="1:11" x14ac:dyDescent="0.25">
      <c r="A208" s="15">
        <f>'Raw Data'!A208</f>
        <v>206</v>
      </c>
      <c r="B208" s="16">
        <f>'Raw Data'!D208</f>
        <v>44380.791666666664</v>
      </c>
      <c r="C208" s="15">
        <v>2021</v>
      </c>
      <c r="D208" s="15" t="str">
        <f t="shared" si="6"/>
        <v>July</v>
      </c>
      <c r="E208" s="15">
        <v>3</v>
      </c>
      <c r="F208" s="17">
        <v>0.79166666666666663</v>
      </c>
      <c r="G208" s="28"/>
      <c r="H208" s="15">
        <f>'Raw Data'!A208</f>
        <v>206</v>
      </c>
      <c r="I208" s="15" t="str">
        <f>'Raw Data'!J208</f>
        <v xml:space="preserve"> Australia    </v>
      </c>
      <c r="J208" s="15" t="s">
        <v>292</v>
      </c>
      <c r="K208" s="15" t="str">
        <f t="shared" si="7"/>
        <v>No Change</v>
      </c>
    </row>
    <row r="209" spans="1:11" x14ac:dyDescent="0.25">
      <c r="A209" s="15">
        <f>'Raw Data'!A209</f>
        <v>207</v>
      </c>
      <c r="B209" s="16">
        <f>'Raw Data'!D209</f>
        <v>44842.34375</v>
      </c>
      <c r="C209" s="15">
        <v>2022</v>
      </c>
      <c r="D209" s="15" t="str">
        <f t="shared" si="6"/>
        <v>October</v>
      </c>
      <c r="E209" s="15">
        <v>8</v>
      </c>
      <c r="F209" s="17">
        <v>0.34375</v>
      </c>
      <c r="G209" s="28"/>
      <c r="H209" s="15">
        <f>'Raw Data'!A209</f>
        <v>207</v>
      </c>
      <c r="I209" s="15" t="str">
        <f>'Raw Data'!J209</f>
        <v xml:space="preserve"> USA          </v>
      </c>
      <c r="J209" s="15" t="s">
        <v>2536</v>
      </c>
      <c r="K209" s="15" t="str">
        <f t="shared" si="7"/>
        <v>Updated</v>
      </c>
    </row>
    <row r="210" spans="1:11" x14ac:dyDescent="0.25">
      <c r="A210" s="15">
        <f>'Raw Data'!A210</f>
        <v>208</v>
      </c>
      <c r="B210" s="16">
        <f>'Raw Data'!D210</f>
        <v>45007.6875</v>
      </c>
      <c r="C210" s="15">
        <v>2023</v>
      </c>
      <c r="D210" s="15" t="str">
        <f t="shared" si="6"/>
        <v>March</v>
      </c>
      <c r="E210" s="15">
        <v>22</v>
      </c>
      <c r="F210" s="17">
        <v>0.6875</v>
      </c>
      <c r="G210" s="28"/>
      <c r="H210" s="15">
        <f>'Raw Data'!A210</f>
        <v>208</v>
      </c>
      <c r="I210" s="15" t="str">
        <f>'Raw Data'!J210</f>
        <v xml:space="preserve"> Canada        </v>
      </c>
      <c r="J210" s="15" t="s">
        <v>614</v>
      </c>
      <c r="K210" s="15" t="str">
        <f t="shared" si="7"/>
        <v>No Change</v>
      </c>
    </row>
    <row r="211" spans="1:11" x14ac:dyDescent="0.25">
      <c r="A211" s="15">
        <f>'Raw Data'!A211</f>
        <v>209</v>
      </c>
      <c r="B211" s="16">
        <f>'Raw Data'!D211</f>
        <v>44331.489583333336</v>
      </c>
      <c r="C211" s="15">
        <v>2021</v>
      </c>
      <c r="D211" s="15" t="str">
        <f t="shared" si="6"/>
        <v>May</v>
      </c>
      <c r="E211" s="15">
        <v>15</v>
      </c>
      <c r="F211" s="17">
        <v>0.48958333333333331</v>
      </c>
      <c r="G211" s="28"/>
      <c r="H211" s="15">
        <f>'Raw Data'!A211</f>
        <v>209</v>
      </c>
      <c r="I211" s="15" t="str">
        <f>'Raw Data'!J211</f>
        <v xml:space="preserve"> UK            </v>
      </c>
      <c r="J211" s="15" t="s">
        <v>2550</v>
      </c>
      <c r="K211" s="15" t="str">
        <f t="shared" si="7"/>
        <v>Updated</v>
      </c>
    </row>
    <row r="212" spans="1:11" x14ac:dyDescent="0.25">
      <c r="A212" s="15">
        <f>'Raw Data'!A212</f>
        <v>210</v>
      </c>
      <c r="B212" s="16">
        <f>'Raw Data'!D212</f>
        <v>43827.604166666664</v>
      </c>
      <c r="C212" s="15">
        <v>2019</v>
      </c>
      <c r="D212" s="15" t="str">
        <f t="shared" si="6"/>
        <v>December</v>
      </c>
      <c r="E212" s="15">
        <v>28</v>
      </c>
      <c r="F212" s="17">
        <v>0.60416666666666663</v>
      </c>
      <c r="G212" s="28"/>
      <c r="H212" s="15">
        <f>'Raw Data'!A212</f>
        <v>210</v>
      </c>
      <c r="I212" s="15" t="str">
        <f>'Raw Data'!J212</f>
        <v xml:space="preserve"> Australia     </v>
      </c>
      <c r="J212" s="15" t="s">
        <v>605</v>
      </c>
      <c r="K212" s="15" t="str">
        <f t="shared" si="7"/>
        <v>No Change</v>
      </c>
    </row>
    <row r="213" spans="1:11" x14ac:dyDescent="0.25">
      <c r="A213" s="15">
        <f>'Raw Data'!A213</f>
        <v>211</v>
      </c>
      <c r="B213" s="16">
        <f>'Raw Data'!D213</f>
        <v>43891.791666666664</v>
      </c>
      <c r="C213" s="15">
        <v>2020</v>
      </c>
      <c r="D213" s="15" t="str">
        <f t="shared" si="6"/>
        <v>March</v>
      </c>
      <c r="E213" s="15">
        <v>1</v>
      </c>
      <c r="F213" s="17">
        <v>0.79166666666666663</v>
      </c>
      <c r="G213" s="28"/>
      <c r="H213" s="15">
        <f>'Raw Data'!A213</f>
        <v>211</v>
      </c>
      <c r="I213" s="15" t="str">
        <f>'Raw Data'!J213</f>
        <v xml:space="preserve"> India         </v>
      </c>
      <c r="J213" s="15" t="s">
        <v>653</v>
      </c>
      <c r="K213" s="15" t="str">
        <f t="shared" si="7"/>
        <v>No Change</v>
      </c>
    </row>
    <row r="214" spans="1:11" x14ac:dyDescent="0.25">
      <c r="A214" s="15">
        <f>'Raw Data'!A214</f>
        <v>212</v>
      </c>
      <c r="B214" s="16">
        <f>'Raw Data'!D214</f>
        <v>43291.65625</v>
      </c>
      <c r="C214" s="15">
        <v>2018</v>
      </c>
      <c r="D214" s="15" t="str">
        <f t="shared" si="6"/>
        <v>July</v>
      </c>
      <c r="E214" s="15">
        <v>10</v>
      </c>
      <c r="F214" s="17">
        <v>0.65625</v>
      </c>
      <c r="G214" s="28"/>
      <c r="H214" s="15">
        <f>'Raw Data'!A214</f>
        <v>212</v>
      </c>
      <c r="I214" s="15" t="str">
        <f>'Raw Data'!J214</f>
        <v xml:space="preserve"> Canada        </v>
      </c>
      <c r="J214" s="15" t="s">
        <v>614</v>
      </c>
      <c r="K214" s="15" t="str">
        <f t="shared" si="7"/>
        <v>No Change</v>
      </c>
    </row>
    <row r="215" spans="1:11" x14ac:dyDescent="0.25">
      <c r="A215" s="15">
        <f>'Raw Data'!A215</f>
        <v>213</v>
      </c>
      <c r="B215" s="16">
        <f>'Raw Data'!D215</f>
        <v>44566.4375</v>
      </c>
      <c r="C215" s="15">
        <v>2022</v>
      </c>
      <c r="D215" s="15" t="str">
        <f t="shared" si="6"/>
        <v>January</v>
      </c>
      <c r="E215" s="15">
        <v>5</v>
      </c>
      <c r="F215" s="17">
        <v>0.4375</v>
      </c>
      <c r="G215" s="28"/>
      <c r="H215" s="15">
        <f>'Raw Data'!A215</f>
        <v>213</v>
      </c>
      <c r="I215" s="15" t="str">
        <f>'Raw Data'!J215</f>
        <v xml:space="preserve"> UK            </v>
      </c>
      <c r="J215" s="15" t="s">
        <v>2550</v>
      </c>
      <c r="K215" s="15" t="str">
        <f t="shared" si="7"/>
        <v>Updated</v>
      </c>
    </row>
    <row r="216" spans="1:11" x14ac:dyDescent="0.25">
      <c r="A216" s="15">
        <f>'Raw Data'!A216</f>
        <v>214</v>
      </c>
      <c r="B216" s="16">
        <f>'Raw Data'!D216</f>
        <v>44428.680555555555</v>
      </c>
      <c r="C216" s="15">
        <v>2021</v>
      </c>
      <c r="D216" s="15" t="str">
        <f t="shared" si="6"/>
        <v>August</v>
      </c>
      <c r="E216" s="15">
        <v>20</v>
      </c>
      <c r="F216" s="17">
        <v>0.68055555555555558</v>
      </c>
      <c r="G216" s="28"/>
      <c r="H216" s="15">
        <f>'Raw Data'!A216</f>
        <v>214</v>
      </c>
      <c r="I216" s="15" t="str">
        <f>'Raw Data'!J216</f>
        <v xml:space="preserve"> Australia    </v>
      </c>
      <c r="J216" s="15" t="s">
        <v>292</v>
      </c>
      <c r="K216" s="15" t="str">
        <f t="shared" si="7"/>
        <v>No Change</v>
      </c>
    </row>
    <row r="217" spans="1:11" x14ac:dyDescent="0.25">
      <c r="A217" s="15">
        <f>'Raw Data'!A217</f>
        <v>215</v>
      </c>
      <c r="B217" s="16">
        <f>'Raw Data'!D217</f>
        <v>43772.572916666664</v>
      </c>
      <c r="C217" s="15">
        <v>2019</v>
      </c>
      <c r="D217" s="15" t="str">
        <f t="shared" si="6"/>
        <v>November</v>
      </c>
      <c r="E217" s="15">
        <v>3</v>
      </c>
      <c r="F217" s="17">
        <v>0.57291666666666663</v>
      </c>
      <c r="G217" s="28"/>
      <c r="H217" s="15">
        <f>'Raw Data'!A217</f>
        <v>215</v>
      </c>
      <c r="I217" s="15" t="str">
        <f>'Raw Data'!J217</f>
        <v xml:space="preserve"> USA          </v>
      </c>
      <c r="J217" s="15" t="s">
        <v>2536</v>
      </c>
      <c r="K217" s="15" t="str">
        <f t="shared" si="7"/>
        <v>Updated</v>
      </c>
    </row>
    <row r="218" spans="1:11" x14ac:dyDescent="0.25">
      <c r="A218" s="15">
        <f>'Raw Data'!A218</f>
        <v>216</v>
      </c>
      <c r="B218" s="16">
        <f>'Raw Data'!D218</f>
        <v>43933.8125</v>
      </c>
      <c r="C218" s="15">
        <v>2020</v>
      </c>
      <c r="D218" s="15" t="str">
        <f t="shared" si="6"/>
        <v>April</v>
      </c>
      <c r="E218" s="15">
        <v>12</v>
      </c>
      <c r="F218" s="17">
        <v>0.8125</v>
      </c>
      <c r="G218" s="28"/>
      <c r="H218" s="15">
        <f>'Raw Data'!A218</f>
        <v>216</v>
      </c>
      <c r="I218" s="15" t="str">
        <f>'Raw Data'!J218</f>
        <v xml:space="preserve"> Canada        </v>
      </c>
      <c r="J218" s="15" t="s">
        <v>614</v>
      </c>
      <c r="K218" s="15" t="str">
        <f t="shared" si="7"/>
        <v>No Change</v>
      </c>
    </row>
    <row r="219" spans="1:11" x14ac:dyDescent="0.25">
      <c r="A219" s="15">
        <f>'Raw Data'!A219</f>
        <v>217</v>
      </c>
      <c r="B219" s="16">
        <f>'Raw Data'!D219</f>
        <v>44666.364583333336</v>
      </c>
      <c r="C219" s="15">
        <v>2022</v>
      </c>
      <c r="D219" s="15" t="str">
        <f t="shared" si="6"/>
        <v>April</v>
      </c>
      <c r="E219" s="15">
        <v>15</v>
      </c>
      <c r="F219" s="17">
        <v>0.36458333333333331</v>
      </c>
      <c r="G219" s="28"/>
      <c r="H219" s="15">
        <f>'Raw Data'!A219</f>
        <v>217</v>
      </c>
      <c r="I219" s="15" t="str">
        <f>'Raw Data'!J219</f>
        <v xml:space="preserve"> India         </v>
      </c>
      <c r="J219" s="15" t="s">
        <v>653</v>
      </c>
      <c r="K219" s="15" t="str">
        <f t="shared" si="7"/>
        <v>No Change</v>
      </c>
    </row>
    <row r="220" spans="1:11" x14ac:dyDescent="0.25">
      <c r="A220" s="15">
        <f>'Raw Data'!A220</f>
        <v>218</v>
      </c>
      <c r="B220" s="16">
        <f>'Raw Data'!D220</f>
        <v>44967.708333333336</v>
      </c>
      <c r="C220" s="15">
        <v>2023</v>
      </c>
      <c r="D220" s="15" t="str">
        <f t="shared" si="6"/>
        <v>February</v>
      </c>
      <c r="E220" s="15">
        <v>10</v>
      </c>
      <c r="F220" s="17">
        <v>0.70833333333333337</v>
      </c>
      <c r="G220" s="28"/>
      <c r="H220" s="15">
        <f>'Raw Data'!A220</f>
        <v>218</v>
      </c>
      <c r="I220" s="15" t="str">
        <f>'Raw Data'!J220</f>
        <v xml:space="preserve"> UK            </v>
      </c>
      <c r="J220" s="15" t="s">
        <v>2550</v>
      </c>
      <c r="K220" s="15" t="str">
        <f t="shared" si="7"/>
        <v>Updated</v>
      </c>
    </row>
    <row r="221" spans="1:11" x14ac:dyDescent="0.25">
      <c r="A221" s="15">
        <f>'Raw Data'!A221</f>
        <v>219</v>
      </c>
      <c r="B221" s="16">
        <f>'Raw Data'!D221</f>
        <v>44048.510416666664</v>
      </c>
      <c r="C221" s="15">
        <v>2020</v>
      </c>
      <c r="D221" s="15" t="str">
        <f t="shared" si="6"/>
        <v>August</v>
      </c>
      <c r="E221" s="15">
        <v>5</v>
      </c>
      <c r="F221" s="17">
        <v>0.51041666666666663</v>
      </c>
      <c r="G221" s="28"/>
      <c r="H221" s="15">
        <f>'Raw Data'!A221</f>
        <v>219</v>
      </c>
      <c r="I221" s="15" t="str">
        <f>'Raw Data'!J221</f>
        <v xml:space="preserve"> Australia    </v>
      </c>
      <c r="J221" s="15" t="s">
        <v>292</v>
      </c>
      <c r="K221" s="15" t="str">
        <f t="shared" si="7"/>
        <v>No Change</v>
      </c>
    </row>
    <row r="222" spans="1:11" x14ac:dyDescent="0.25">
      <c r="A222" s="15">
        <f>'Raw Data'!A222</f>
        <v>220</v>
      </c>
      <c r="B222" s="16">
        <f>'Raw Data'!D222</f>
        <v>44531.645833333336</v>
      </c>
      <c r="C222" s="15">
        <v>2021</v>
      </c>
      <c r="D222" s="15" t="str">
        <f t="shared" si="6"/>
        <v>December</v>
      </c>
      <c r="E222" s="15">
        <v>1</v>
      </c>
      <c r="F222" s="17">
        <v>0.64583333333333337</v>
      </c>
      <c r="G222" s="28"/>
      <c r="H222" s="15">
        <f>'Raw Data'!A222</f>
        <v>220</v>
      </c>
      <c r="I222" s="15" t="str">
        <f>'Raw Data'!J222</f>
        <v xml:space="preserve"> USA          </v>
      </c>
      <c r="J222" s="15" t="s">
        <v>2536</v>
      </c>
      <c r="K222" s="15" t="str">
        <f t="shared" si="7"/>
        <v>Updated</v>
      </c>
    </row>
    <row r="223" spans="1:11" x14ac:dyDescent="0.25">
      <c r="A223" s="15">
        <f>'Raw Data'!A223</f>
        <v>221</v>
      </c>
      <c r="B223" s="16">
        <f>'Raw Data'!D223</f>
        <v>43549.875</v>
      </c>
      <c r="C223" s="15">
        <v>2019</v>
      </c>
      <c r="D223" s="15" t="str">
        <f t="shared" si="6"/>
        <v>March</v>
      </c>
      <c r="E223" s="15">
        <v>25</v>
      </c>
      <c r="F223" s="17">
        <v>0.875</v>
      </c>
      <c r="G223" s="28"/>
      <c r="H223" s="15">
        <f>'Raw Data'!A223</f>
        <v>221</v>
      </c>
      <c r="I223" s="15" t="str">
        <f>'Raw Data'!J223</f>
        <v xml:space="preserve"> Canada        </v>
      </c>
      <c r="J223" s="15" t="s">
        <v>614</v>
      </c>
      <c r="K223" s="15" t="str">
        <f t="shared" si="7"/>
        <v>No Change</v>
      </c>
    </row>
    <row r="224" spans="1:11" x14ac:dyDescent="0.25">
      <c r="A224" s="15">
        <f>'Raw Data'!A224</f>
        <v>222</v>
      </c>
      <c r="B224" s="16">
        <f>'Raw Data'!D224</f>
        <v>42904.614583333336</v>
      </c>
      <c r="C224" s="15">
        <v>2017</v>
      </c>
      <c r="D224" s="15" t="str">
        <f t="shared" si="6"/>
        <v>June</v>
      </c>
      <c r="E224" s="15">
        <v>18</v>
      </c>
      <c r="F224" s="17">
        <v>0.61458333333333337</v>
      </c>
      <c r="G224" s="28"/>
      <c r="H224" s="15">
        <f>'Raw Data'!A224</f>
        <v>222</v>
      </c>
      <c r="I224" s="15" t="str">
        <f>'Raw Data'!J224</f>
        <v xml:space="preserve"> India         </v>
      </c>
      <c r="J224" s="15" t="s">
        <v>653</v>
      </c>
      <c r="K224" s="15" t="str">
        <f t="shared" si="7"/>
        <v>No Change</v>
      </c>
    </row>
    <row r="225" spans="1:11" x14ac:dyDescent="0.25">
      <c r="A225" s="15">
        <f>'Raw Data'!A225</f>
        <v>223</v>
      </c>
      <c r="B225" s="16">
        <f>'Raw Data'!D225</f>
        <v>44750.479166666664</v>
      </c>
      <c r="C225" s="15">
        <v>2022</v>
      </c>
      <c r="D225" s="15" t="str">
        <f t="shared" si="6"/>
        <v>July</v>
      </c>
      <c r="E225" s="15">
        <v>8</v>
      </c>
      <c r="F225" s="17">
        <v>0.47916666666666669</v>
      </c>
      <c r="G225" s="28"/>
      <c r="H225" s="15">
        <f>'Raw Data'!A225</f>
        <v>223</v>
      </c>
      <c r="I225" s="15" t="str">
        <f>'Raw Data'!J225</f>
        <v xml:space="preserve"> Australia    </v>
      </c>
      <c r="J225" s="15" t="s">
        <v>292</v>
      </c>
      <c r="K225" s="15" t="str">
        <f t="shared" si="7"/>
        <v>No Change</v>
      </c>
    </row>
    <row r="226" spans="1:11" x14ac:dyDescent="0.25">
      <c r="A226" s="15">
        <f>'Raw Data'!A226</f>
        <v>224</v>
      </c>
      <c r="B226" s="16">
        <f>'Raw Data'!D226</f>
        <v>45061.680555555555</v>
      </c>
      <c r="C226" s="15">
        <v>2023</v>
      </c>
      <c r="D226" s="15" t="str">
        <f t="shared" si="6"/>
        <v>May</v>
      </c>
      <c r="E226" s="15">
        <v>15</v>
      </c>
      <c r="F226" s="17">
        <v>0.68055555555555558</v>
      </c>
      <c r="G226" s="28"/>
      <c r="H226" s="15">
        <f>'Raw Data'!A226</f>
        <v>224</v>
      </c>
      <c r="I226" s="15" t="str">
        <f>'Raw Data'!J226</f>
        <v xml:space="preserve"> Canada        </v>
      </c>
      <c r="J226" s="15" t="s">
        <v>614</v>
      </c>
      <c r="K226" s="15" t="str">
        <f t="shared" si="7"/>
        <v>No Change</v>
      </c>
    </row>
    <row r="227" spans="1:11" x14ac:dyDescent="0.25">
      <c r="A227" s="15">
        <f>'Raw Data'!A227</f>
        <v>225</v>
      </c>
      <c r="B227" s="16">
        <f>'Raw Data'!D227</f>
        <v>44449.614583333336</v>
      </c>
      <c r="C227" s="15">
        <v>2021</v>
      </c>
      <c r="D227" s="15" t="str">
        <f t="shared" si="6"/>
        <v>September</v>
      </c>
      <c r="E227" s="15">
        <v>10</v>
      </c>
      <c r="F227" s="17">
        <v>0.61458333333333337</v>
      </c>
      <c r="G227" s="28"/>
      <c r="H227" s="15">
        <f>'Raw Data'!A227</f>
        <v>225</v>
      </c>
      <c r="I227" s="15" t="str">
        <f>'Raw Data'!J227</f>
        <v xml:space="preserve"> UK            </v>
      </c>
      <c r="J227" s="15" t="s">
        <v>2550</v>
      </c>
      <c r="K227" s="15" t="str">
        <f t="shared" si="7"/>
        <v>Updated</v>
      </c>
    </row>
    <row r="228" spans="1:11" x14ac:dyDescent="0.25">
      <c r="A228" s="15">
        <f>'Raw Data'!A228</f>
        <v>226</v>
      </c>
      <c r="B228" s="16">
        <f>'Raw Data'!D228</f>
        <v>43889.770833333336</v>
      </c>
      <c r="C228" s="15">
        <v>2020</v>
      </c>
      <c r="D228" s="15" t="str">
        <f t="shared" si="6"/>
        <v>February</v>
      </c>
      <c r="E228" s="15">
        <v>28</v>
      </c>
      <c r="F228" s="17">
        <v>0.77083333333333337</v>
      </c>
      <c r="G228" s="28"/>
      <c r="H228" s="15">
        <f>'Raw Data'!A228</f>
        <v>226</v>
      </c>
      <c r="I228" s="15" t="str">
        <f>'Raw Data'!J228</f>
        <v xml:space="preserve"> USA          </v>
      </c>
      <c r="J228" s="15" t="s">
        <v>2536</v>
      </c>
      <c r="K228" s="15" t="str">
        <f t="shared" si="7"/>
        <v>Updated</v>
      </c>
    </row>
    <row r="229" spans="1:11" x14ac:dyDescent="0.25">
      <c r="A229" s="15">
        <f>'Raw Data'!A229</f>
        <v>227</v>
      </c>
      <c r="B229" s="16">
        <f>'Raw Data'!D229</f>
        <v>44995.6875</v>
      </c>
      <c r="C229" s="15">
        <v>2023</v>
      </c>
      <c r="D229" s="15" t="str">
        <f t="shared" si="6"/>
        <v>March</v>
      </c>
      <c r="E229" s="15">
        <v>10</v>
      </c>
      <c r="F229" s="17">
        <v>0.6875</v>
      </c>
      <c r="G229" s="28"/>
      <c r="H229" s="15">
        <f>'Raw Data'!A229</f>
        <v>227</v>
      </c>
      <c r="I229" s="15" t="str">
        <f>'Raw Data'!J229</f>
        <v xml:space="preserve"> India         </v>
      </c>
      <c r="J229" s="15" t="s">
        <v>653</v>
      </c>
      <c r="K229" s="15" t="str">
        <f t="shared" si="7"/>
        <v>No Change</v>
      </c>
    </row>
    <row r="230" spans="1:11" x14ac:dyDescent="0.25">
      <c r="A230" s="15">
        <f>'Raw Data'!A230</f>
        <v>228</v>
      </c>
      <c r="B230" s="16">
        <f>'Raw Data'!D230</f>
        <v>44318.489583333336</v>
      </c>
      <c r="C230" s="15">
        <v>2021</v>
      </c>
      <c r="D230" s="15" t="str">
        <f t="shared" si="6"/>
        <v>May</v>
      </c>
      <c r="E230" s="15">
        <v>2</v>
      </c>
      <c r="F230" s="17">
        <v>0.48958333333333331</v>
      </c>
      <c r="G230" s="28"/>
      <c r="H230" s="15">
        <f>'Raw Data'!A230</f>
        <v>228</v>
      </c>
      <c r="I230" s="15" t="str">
        <f>'Raw Data'!J230</f>
        <v xml:space="preserve"> Australia    </v>
      </c>
      <c r="J230" s="15" t="s">
        <v>292</v>
      </c>
      <c r="K230" s="15" t="str">
        <f t="shared" si="7"/>
        <v>No Change</v>
      </c>
    </row>
    <row r="231" spans="1:11" x14ac:dyDescent="0.25">
      <c r="A231" s="15">
        <f>'Raw Data'!A231</f>
        <v>229</v>
      </c>
      <c r="B231" s="16">
        <f>'Raw Data'!D231</f>
        <v>43756.604166666664</v>
      </c>
      <c r="C231" s="15">
        <v>2019</v>
      </c>
      <c r="D231" s="15" t="str">
        <f t="shared" si="6"/>
        <v>October</v>
      </c>
      <c r="E231" s="15">
        <v>18</v>
      </c>
      <c r="F231" s="17">
        <v>0.60416666666666663</v>
      </c>
      <c r="G231" s="28"/>
      <c r="H231" s="15">
        <f>'Raw Data'!A231</f>
        <v>229</v>
      </c>
      <c r="I231" s="15" t="str">
        <f>'Raw Data'!J231</f>
        <v xml:space="preserve"> UK            </v>
      </c>
      <c r="J231" s="15" t="s">
        <v>2550</v>
      </c>
      <c r="K231" s="15" t="str">
        <f t="shared" si="7"/>
        <v>Updated</v>
      </c>
    </row>
    <row r="232" spans="1:11" x14ac:dyDescent="0.25">
      <c r="A232" s="15">
        <f>'Raw Data'!A232</f>
        <v>230</v>
      </c>
      <c r="B232" s="16">
        <f>'Raw Data'!D232</f>
        <v>43835.833333333336</v>
      </c>
      <c r="C232" s="15">
        <v>2020</v>
      </c>
      <c r="D232" s="15" t="str">
        <f t="shared" si="6"/>
        <v>January</v>
      </c>
      <c r="E232" s="15">
        <v>5</v>
      </c>
      <c r="F232" s="17">
        <v>0.83333333333333337</v>
      </c>
      <c r="G232" s="28"/>
      <c r="H232" s="15">
        <f>'Raw Data'!A232</f>
        <v>230</v>
      </c>
      <c r="I232" s="15" t="str">
        <f>'Raw Data'!J232</f>
        <v xml:space="preserve"> USA          </v>
      </c>
      <c r="J232" s="15" t="s">
        <v>2536</v>
      </c>
      <c r="K232" s="15" t="str">
        <f t="shared" si="7"/>
        <v>Updated</v>
      </c>
    </row>
    <row r="233" spans="1:11" x14ac:dyDescent="0.25">
      <c r="A233" s="15">
        <f>'Raw Data'!A233</f>
        <v>231</v>
      </c>
      <c r="B233" s="16">
        <f>'Raw Data'!D233</f>
        <v>43322.65625</v>
      </c>
      <c r="C233" s="15">
        <v>2018</v>
      </c>
      <c r="D233" s="15" t="str">
        <f t="shared" si="6"/>
        <v>August</v>
      </c>
      <c r="E233" s="15">
        <v>10</v>
      </c>
      <c r="F233" s="17">
        <v>0.65625</v>
      </c>
      <c r="G233" s="28"/>
      <c r="H233" s="15">
        <f>'Raw Data'!A233</f>
        <v>231</v>
      </c>
      <c r="I233" s="15" t="str">
        <f>'Raw Data'!J233</f>
        <v xml:space="preserve"> Canada        </v>
      </c>
      <c r="J233" s="15" t="s">
        <v>614</v>
      </c>
      <c r="K233" s="15" t="str">
        <f t="shared" si="7"/>
        <v>No Change</v>
      </c>
    </row>
    <row r="234" spans="1:11" x14ac:dyDescent="0.25">
      <c r="A234" s="15">
        <f>'Raw Data'!A234</f>
        <v>232</v>
      </c>
      <c r="B234" s="16">
        <f>'Raw Data'!D234</f>
        <v>44576.4375</v>
      </c>
      <c r="C234" s="15">
        <v>2022</v>
      </c>
      <c r="D234" s="15" t="str">
        <f t="shared" si="6"/>
        <v>January</v>
      </c>
      <c r="E234" s="15">
        <v>15</v>
      </c>
      <c r="F234" s="17">
        <v>0.4375</v>
      </c>
      <c r="G234" s="28"/>
      <c r="H234" s="15">
        <f>'Raw Data'!A234</f>
        <v>232</v>
      </c>
      <c r="I234" s="15" t="str">
        <f>'Raw Data'!J234</f>
        <v xml:space="preserve"> India         </v>
      </c>
      <c r="J234" s="15" t="s">
        <v>653</v>
      </c>
      <c r="K234" s="15" t="str">
        <f t="shared" si="7"/>
        <v>No Change</v>
      </c>
    </row>
    <row r="235" spans="1:11" x14ac:dyDescent="0.25">
      <c r="A235" s="15">
        <f>'Raw Data'!A235</f>
        <v>233</v>
      </c>
      <c r="B235" s="16">
        <f>'Raw Data'!D235</f>
        <v>44397.680555555555</v>
      </c>
      <c r="C235" s="15">
        <v>2021</v>
      </c>
      <c r="D235" s="15" t="str">
        <f t="shared" si="6"/>
        <v>July</v>
      </c>
      <c r="E235" s="15">
        <v>20</v>
      </c>
      <c r="F235" s="17">
        <v>0.68055555555555558</v>
      </c>
      <c r="G235" s="28"/>
      <c r="H235" s="15">
        <f>'Raw Data'!A235</f>
        <v>233</v>
      </c>
      <c r="I235" s="15" t="str">
        <f>'Raw Data'!J235</f>
        <v xml:space="preserve"> Australia     </v>
      </c>
      <c r="J235" s="15" t="s">
        <v>605</v>
      </c>
      <c r="K235" s="15" t="str">
        <f t="shared" si="7"/>
        <v>No Change</v>
      </c>
    </row>
    <row r="236" spans="1:11" x14ac:dyDescent="0.25">
      <c r="A236" s="15">
        <f>'Raw Data'!A236</f>
        <v>234</v>
      </c>
      <c r="B236" s="16">
        <f>'Raw Data'!D236</f>
        <v>43802.572916666664</v>
      </c>
      <c r="C236" s="15">
        <v>2019</v>
      </c>
      <c r="D236" s="15" t="str">
        <f t="shared" si="6"/>
        <v>December</v>
      </c>
      <c r="E236" s="15">
        <v>3</v>
      </c>
      <c r="F236" s="17">
        <v>0.57291666666666663</v>
      </c>
      <c r="G236" s="28"/>
      <c r="H236" s="15">
        <f>'Raw Data'!A236</f>
        <v>234</v>
      </c>
      <c r="I236" s="15" t="str">
        <f>'Raw Data'!J236</f>
        <v xml:space="preserve"> USA          </v>
      </c>
      <c r="J236" s="15" t="s">
        <v>2536</v>
      </c>
      <c r="K236" s="15" t="str">
        <f t="shared" si="7"/>
        <v>Updated</v>
      </c>
    </row>
    <row r="237" spans="1:11" x14ac:dyDescent="0.25">
      <c r="A237" s="15">
        <f>'Raw Data'!A237</f>
        <v>235</v>
      </c>
      <c r="B237" s="16">
        <f>'Raw Data'!D237</f>
        <v>43933.8125</v>
      </c>
      <c r="C237" s="15">
        <v>2020</v>
      </c>
      <c r="D237" s="15" t="str">
        <f t="shared" si="6"/>
        <v>April</v>
      </c>
      <c r="E237" s="15">
        <v>12</v>
      </c>
      <c r="F237" s="17">
        <v>0.8125</v>
      </c>
      <c r="G237" s="28"/>
      <c r="H237" s="15">
        <f>'Raw Data'!A237</f>
        <v>235</v>
      </c>
      <c r="I237" s="15" t="str">
        <f>'Raw Data'!J237</f>
        <v xml:space="preserve"> Canada        </v>
      </c>
      <c r="J237" s="15" t="s">
        <v>614</v>
      </c>
      <c r="K237" s="15" t="str">
        <f t="shared" si="7"/>
        <v>No Change</v>
      </c>
    </row>
    <row r="238" spans="1:11" x14ac:dyDescent="0.25">
      <c r="A238" s="15">
        <f>'Raw Data'!A238</f>
        <v>236</v>
      </c>
      <c r="B238" s="16">
        <f>'Raw Data'!D238</f>
        <v>44689.364583333336</v>
      </c>
      <c r="C238" s="15">
        <v>2022</v>
      </c>
      <c r="D238" s="15" t="str">
        <f t="shared" si="6"/>
        <v>May</v>
      </c>
      <c r="E238" s="15">
        <v>8</v>
      </c>
      <c r="F238" s="17">
        <v>0.36458333333333331</v>
      </c>
      <c r="G238" s="28"/>
      <c r="H238" s="15">
        <f>'Raw Data'!A238</f>
        <v>236</v>
      </c>
      <c r="I238" s="15" t="str">
        <f>'Raw Data'!J238</f>
        <v xml:space="preserve"> UK            </v>
      </c>
      <c r="J238" s="15" t="s">
        <v>2550</v>
      </c>
      <c r="K238" s="15" t="str">
        <f t="shared" si="7"/>
        <v>Updated</v>
      </c>
    </row>
    <row r="239" spans="1:11" x14ac:dyDescent="0.25">
      <c r="A239" s="15">
        <f>'Raw Data'!A239</f>
        <v>237</v>
      </c>
      <c r="B239" s="16">
        <f>'Raw Data'!D239</f>
        <v>44979.708333333336</v>
      </c>
      <c r="C239" s="15">
        <v>2023</v>
      </c>
      <c r="D239" s="15" t="str">
        <f t="shared" si="6"/>
        <v>February</v>
      </c>
      <c r="E239" s="15">
        <v>22</v>
      </c>
      <c r="F239" s="17">
        <v>0.70833333333333337</v>
      </c>
      <c r="G239" s="28"/>
      <c r="H239" s="15">
        <f>'Raw Data'!A239</f>
        <v>237</v>
      </c>
      <c r="I239" s="15" t="str">
        <f>'Raw Data'!J239</f>
        <v xml:space="preserve"> India         </v>
      </c>
      <c r="J239" s="15" t="s">
        <v>653</v>
      </c>
      <c r="K239" s="15" t="str">
        <f t="shared" si="7"/>
        <v>No Change</v>
      </c>
    </row>
    <row r="240" spans="1:11" x14ac:dyDescent="0.25">
      <c r="A240" s="15">
        <f>'Raw Data'!A240</f>
        <v>238</v>
      </c>
      <c r="B240" s="16">
        <f>'Raw Data'!D240</f>
        <v>43987.510416666664</v>
      </c>
      <c r="C240" s="15">
        <v>2020</v>
      </c>
      <c r="D240" s="15" t="str">
        <f t="shared" si="6"/>
        <v>June</v>
      </c>
      <c r="E240" s="15">
        <v>5</v>
      </c>
      <c r="F240" s="17">
        <v>0.51041666666666663</v>
      </c>
      <c r="G240" s="28"/>
      <c r="H240" s="15">
        <f>'Raw Data'!A240</f>
        <v>238</v>
      </c>
      <c r="I240" s="15" t="str">
        <f>'Raw Data'!J240</f>
        <v xml:space="preserve"> Australia    </v>
      </c>
      <c r="J240" s="15" t="s">
        <v>292</v>
      </c>
      <c r="K240" s="15" t="str">
        <f t="shared" si="7"/>
        <v>No Change</v>
      </c>
    </row>
    <row r="241" spans="1:11" x14ac:dyDescent="0.25">
      <c r="A241" s="15">
        <f>'Raw Data'!A241</f>
        <v>239</v>
      </c>
      <c r="B241" s="16">
        <f>'Raw Data'!D241</f>
        <v>44530.645833333336</v>
      </c>
      <c r="C241" s="15">
        <v>2021</v>
      </c>
      <c r="D241" s="15" t="str">
        <f t="shared" si="6"/>
        <v>November</v>
      </c>
      <c r="E241" s="15">
        <v>30</v>
      </c>
      <c r="F241" s="17">
        <v>0.64583333333333337</v>
      </c>
      <c r="G241" s="28"/>
      <c r="H241" s="15">
        <f>'Raw Data'!A241</f>
        <v>239</v>
      </c>
      <c r="I241" s="15" t="str">
        <f>'Raw Data'!J241</f>
        <v xml:space="preserve"> Canada        </v>
      </c>
      <c r="J241" s="15" t="s">
        <v>614</v>
      </c>
      <c r="K241" s="15" t="str">
        <f t="shared" si="7"/>
        <v>No Change</v>
      </c>
    </row>
    <row r="242" spans="1:11" x14ac:dyDescent="0.25">
      <c r="A242" s="15">
        <f>'Raw Data'!A242</f>
        <v>240</v>
      </c>
      <c r="B242" s="16">
        <f>'Raw Data'!D242</f>
        <v>43521.875</v>
      </c>
      <c r="C242" s="15">
        <v>2019</v>
      </c>
      <c r="D242" s="15" t="str">
        <f t="shared" si="6"/>
        <v>February</v>
      </c>
      <c r="E242" s="15">
        <v>25</v>
      </c>
      <c r="F242" s="17">
        <v>0.875</v>
      </c>
      <c r="G242" s="28"/>
      <c r="H242" s="15">
        <f>'Raw Data'!A242</f>
        <v>240</v>
      </c>
      <c r="I242" s="15" t="str">
        <f>'Raw Data'!J242</f>
        <v xml:space="preserve"> UK            </v>
      </c>
      <c r="J242" s="15" t="s">
        <v>2550</v>
      </c>
      <c r="K242" s="15" t="str">
        <f t="shared" si="7"/>
        <v>Updated</v>
      </c>
    </row>
    <row r="243" spans="1:11" x14ac:dyDescent="0.25">
      <c r="A243" s="15">
        <f>'Raw Data'!A243</f>
        <v>241</v>
      </c>
      <c r="B243" s="16">
        <f>'Raw Data'!D243</f>
        <v>42873.614583333336</v>
      </c>
      <c r="C243" s="15">
        <v>2017</v>
      </c>
      <c r="D243" s="15" t="str">
        <f t="shared" si="6"/>
        <v>May</v>
      </c>
      <c r="E243" s="15">
        <v>18</v>
      </c>
      <c r="F243" s="17">
        <v>0.61458333333333337</v>
      </c>
      <c r="G243" s="28"/>
      <c r="H243" s="15">
        <f>'Raw Data'!A243</f>
        <v>241</v>
      </c>
      <c r="I243" s="15" t="str">
        <f>'Raw Data'!J243</f>
        <v xml:space="preserve"> USA          </v>
      </c>
      <c r="J243" s="15" t="s">
        <v>2536</v>
      </c>
      <c r="K243" s="15" t="str">
        <f t="shared" si="7"/>
        <v>Updated</v>
      </c>
    </row>
    <row r="244" spans="1:11" x14ac:dyDescent="0.25">
      <c r="A244" s="15">
        <f>'Raw Data'!A244</f>
        <v>242</v>
      </c>
      <c r="B244" s="16">
        <f>'Raw Data'!D244</f>
        <v>44778.479166666664</v>
      </c>
      <c r="C244" s="15">
        <v>2022</v>
      </c>
      <c r="D244" s="15" t="str">
        <f t="shared" si="6"/>
        <v>August</v>
      </c>
      <c r="E244" s="15">
        <v>5</v>
      </c>
      <c r="F244" s="17">
        <v>0.47916666666666669</v>
      </c>
      <c r="G244" s="28"/>
      <c r="H244" s="15">
        <f>'Raw Data'!A244</f>
        <v>242</v>
      </c>
      <c r="I244" s="15" t="str">
        <f>'Raw Data'!J244</f>
        <v xml:space="preserve"> Canada        </v>
      </c>
      <c r="J244" s="15" t="s">
        <v>614</v>
      </c>
      <c r="K244" s="15" t="str">
        <f t="shared" si="7"/>
        <v>No Change</v>
      </c>
    </row>
    <row r="245" spans="1:11" x14ac:dyDescent="0.25">
      <c r="A245" s="15">
        <f>'Raw Data'!A245</f>
        <v>243</v>
      </c>
      <c r="B245" s="16">
        <f>'Raw Data'!D245</f>
        <v>45092.680555555555</v>
      </c>
      <c r="C245" s="15">
        <v>2023</v>
      </c>
      <c r="D245" s="15" t="str">
        <f t="shared" si="6"/>
        <v>June</v>
      </c>
      <c r="E245" s="15">
        <v>15</v>
      </c>
      <c r="F245" s="17">
        <v>0.68055555555555558</v>
      </c>
      <c r="G245" s="28"/>
      <c r="H245" s="15">
        <f>'Raw Data'!A245</f>
        <v>243</v>
      </c>
      <c r="I245" s="15" t="str">
        <f>'Raw Data'!J245</f>
        <v xml:space="preserve"> Australia    </v>
      </c>
      <c r="J245" s="15" t="s">
        <v>292</v>
      </c>
      <c r="K245" s="15" t="str">
        <f t="shared" si="7"/>
        <v>No Change</v>
      </c>
    </row>
    <row r="246" spans="1:11" x14ac:dyDescent="0.25">
      <c r="A246" s="15">
        <f>'Raw Data'!A246</f>
        <v>244</v>
      </c>
      <c r="B246" s="16">
        <f>'Raw Data'!D246</f>
        <v>44479.614583333336</v>
      </c>
      <c r="C246" s="15">
        <v>2021</v>
      </c>
      <c r="D246" s="15" t="str">
        <f t="shared" si="6"/>
        <v>October</v>
      </c>
      <c r="E246" s="15">
        <v>10</v>
      </c>
      <c r="F246" s="17">
        <v>0.61458333333333337</v>
      </c>
      <c r="G246" s="28"/>
      <c r="H246" s="15">
        <f>'Raw Data'!A246</f>
        <v>244</v>
      </c>
      <c r="I246" s="15" t="str">
        <f>'Raw Data'!J246</f>
        <v xml:space="preserve"> UK            </v>
      </c>
      <c r="J246" s="15" t="s">
        <v>2550</v>
      </c>
      <c r="K246" s="15" t="str">
        <f t="shared" si="7"/>
        <v>Updated</v>
      </c>
    </row>
    <row r="247" spans="1:11" x14ac:dyDescent="0.25">
      <c r="A247" s="15">
        <f>'Raw Data'!A247</f>
        <v>245</v>
      </c>
      <c r="B247" s="16">
        <f>'Raw Data'!D247</f>
        <v>43963.8125</v>
      </c>
      <c r="C247" s="15">
        <v>2020</v>
      </c>
      <c r="D247" s="15" t="str">
        <f t="shared" si="6"/>
        <v>May</v>
      </c>
      <c r="E247" s="15">
        <v>12</v>
      </c>
      <c r="F247" s="17">
        <v>0.8125</v>
      </c>
      <c r="G247" s="28"/>
      <c r="H247" s="15">
        <f>'Raw Data'!A247</f>
        <v>245</v>
      </c>
      <c r="I247" s="15" t="str">
        <f>'Raw Data'!J247</f>
        <v xml:space="preserve"> USA          </v>
      </c>
      <c r="J247" s="15" t="s">
        <v>2536</v>
      </c>
      <c r="K247" s="15" t="str">
        <f t="shared" si="7"/>
        <v>Updated</v>
      </c>
    </row>
    <row r="248" spans="1:11" x14ac:dyDescent="0.25">
      <c r="A248" s="15">
        <f>'Raw Data'!A248</f>
        <v>246</v>
      </c>
      <c r="B248" s="16">
        <f>'Raw Data'!D248</f>
        <v>44896.385416666664</v>
      </c>
      <c r="C248" s="15">
        <v>2022</v>
      </c>
      <c r="D248" s="15" t="str">
        <f t="shared" si="6"/>
        <v>December</v>
      </c>
      <c r="E248" s="15">
        <v>1</v>
      </c>
      <c r="F248" s="17">
        <v>0.38541666666666669</v>
      </c>
      <c r="G248" s="28"/>
      <c r="H248" s="15">
        <f>'Raw Data'!A248</f>
        <v>246</v>
      </c>
      <c r="I248" s="15" t="str">
        <f>'Raw Data'!J248</f>
        <v xml:space="preserve"> India         </v>
      </c>
      <c r="J248" s="15" t="s">
        <v>653</v>
      </c>
      <c r="K248" s="15" t="str">
        <f t="shared" si="7"/>
        <v>No Change</v>
      </c>
    </row>
    <row r="249" spans="1:11" x14ac:dyDescent="0.25">
      <c r="A249" s="15">
        <f>'Raw Data'!A249</f>
        <v>247</v>
      </c>
      <c r="B249" s="16">
        <f>'Raw Data'!D249</f>
        <v>44530.645833333336</v>
      </c>
      <c r="C249" s="15">
        <v>2021</v>
      </c>
      <c r="D249" s="15" t="str">
        <f t="shared" si="6"/>
        <v>November</v>
      </c>
      <c r="E249" s="15">
        <v>30</v>
      </c>
      <c r="F249" s="17">
        <v>0.64583333333333337</v>
      </c>
      <c r="G249" s="28"/>
      <c r="H249" s="15">
        <f>'Raw Data'!A249</f>
        <v>247</v>
      </c>
      <c r="I249" s="15" t="str">
        <f>'Raw Data'!J249</f>
        <v xml:space="preserve"> Canada </v>
      </c>
      <c r="J249" s="15" t="s">
        <v>121</v>
      </c>
      <c r="K249" s="15" t="str">
        <f t="shared" si="7"/>
        <v>No Change</v>
      </c>
    </row>
    <row r="250" spans="1:11" x14ac:dyDescent="0.25">
      <c r="A250" s="15">
        <f>'Raw Data'!A250</f>
        <v>248</v>
      </c>
      <c r="B250" s="16">
        <f>'Raw Data'!D250</f>
        <v>43293.739583333336</v>
      </c>
      <c r="C250" s="15">
        <v>2018</v>
      </c>
      <c r="D250" s="15" t="str">
        <f t="shared" si="6"/>
        <v>July</v>
      </c>
      <c r="E250" s="15">
        <v>12</v>
      </c>
      <c r="F250" s="17">
        <v>0.73958333333333337</v>
      </c>
      <c r="G250" s="28"/>
      <c r="H250" s="15">
        <f>'Raw Data'!A250</f>
        <v>248</v>
      </c>
      <c r="I250" s="15" t="str">
        <f>'Raw Data'!J250</f>
        <v xml:space="preserve"> USA </v>
      </c>
      <c r="J250" s="15" t="s">
        <v>2534</v>
      </c>
      <c r="K250" s="15" t="str">
        <f t="shared" si="7"/>
        <v>Updated</v>
      </c>
    </row>
    <row r="251" spans="1:11" x14ac:dyDescent="0.25">
      <c r="A251" s="15">
        <f>'Raw Data'!A251</f>
        <v>249</v>
      </c>
      <c r="B251" s="16">
        <f>'Raw Data'!D251</f>
        <v>44079.840277777781</v>
      </c>
      <c r="C251" s="15">
        <v>2020</v>
      </c>
      <c r="D251" s="15" t="str">
        <f t="shared" si="6"/>
        <v>September</v>
      </c>
      <c r="E251" s="15">
        <v>5</v>
      </c>
      <c r="F251" s="17">
        <v>0.84027777777777779</v>
      </c>
      <c r="G251" s="28"/>
      <c r="H251" s="15">
        <f>'Raw Data'!A251</f>
        <v>249</v>
      </c>
      <c r="I251" s="15" t="str">
        <f>'Raw Data'!J251</f>
        <v xml:space="preserve"> Australia </v>
      </c>
      <c r="J251" s="15" t="s">
        <v>36</v>
      </c>
      <c r="K251" s="15" t="str">
        <f t="shared" si="7"/>
        <v>No Change</v>
      </c>
    </row>
    <row r="252" spans="1:11" x14ac:dyDescent="0.25">
      <c r="A252" s="15">
        <f>'Raw Data'!A252</f>
        <v>250</v>
      </c>
      <c r="B252" s="16">
        <f>'Raw Data'!D252</f>
        <v>44669.333333333336</v>
      </c>
      <c r="C252" s="15">
        <v>2022</v>
      </c>
      <c r="D252" s="15" t="str">
        <f t="shared" si="6"/>
        <v>April</v>
      </c>
      <c r="E252" s="15">
        <v>18</v>
      </c>
      <c r="F252" s="17">
        <v>0.33333333333333331</v>
      </c>
      <c r="G252" s="28"/>
      <c r="H252" s="15">
        <f>'Raw Data'!A252</f>
        <v>250</v>
      </c>
      <c r="I252" s="15" t="str">
        <f>'Raw Data'!J252</f>
        <v xml:space="preserve"> India </v>
      </c>
      <c r="J252" s="15" t="s">
        <v>162</v>
      </c>
      <c r="K252" s="15" t="str">
        <f t="shared" si="7"/>
        <v>No Change</v>
      </c>
    </row>
    <row r="253" spans="1:11" x14ac:dyDescent="0.25">
      <c r="A253" s="15">
        <f>'Raw Data'!A253</f>
        <v>251</v>
      </c>
      <c r="B253" s="16">
        <f>'Raw Data'!D253</f>
        <v>43809.513888888891</v>
      </c>
      <c r="C253" s="15">
        <v>2019</v>
      </c>
      <c r="D253" s="15" t="str">
        <f t="shared" si="6"/>
        <v>December</v>
      </c>
      <c r="E253" s="15">
        <v>10</v>
      </c>
      <c r="F253" s="17">
        <v>0.51388888888888884</v>
      </c>
      <c r="G253" s="28"/>
      <c r="H253" s="15">
        <f>'Raw Data'!A253</f>
        <v>251</v>
      </c>
      <c r="I253" s="15" t="str">
        <f>'Raw Data'!J253</f>
        <v xml:space="preserve"> Canada </v>
      </c>
      <c r="J253" s="15" t="s">
        <v>121</v>
      </c>
      <c r="K253" s="15" t="str">
        <f t="shared" si="7"/>
        <v>No Change</v>
      </c>
    </row>
    <row r="254" spans="1:11" x14ac:dyDescent="0.25">
      <c r="A254" s="15">
        <f>'Raw Data'!A254</f>
        <v>252</v>
      </c>
      <c r="B254" s="16">
        <f>'Raw Data'!D254</f>
        <v>44985.40625</v>
      </c>
      <c r="C254" s="15">
        <v>2023</v>
      </c>
      <c r="D254" s="15" t="str">
        <f t="shared" si="6"/>
        <v>February</v>
      </c>
      <c r="E254" s="15">
        <v>28</v>
      </c>
      <c r="F254" s="17">
        <v>0.40625</v>
      </c>
      <c r="G254" s="28"/>
      <c r="H254" s="15">
        <f>'Raw Data'!A254</f>
        <v>252</v>
      </c>
      <c r="I254" s="15" t="str">
        <f>'Raw Data'!J254</f>
        <v xml:space="preserve"> USA </v>
      </c>
      <c r="J254" s="15" t="s">
        <v>2534</v>
      </c>
      <c r="K254" s="15" t="str">
        <f t="shared" si="7"/>
        <v>Updated</v>
      </c>
    </row>
    <row r="255" spans="1:11" x14ac:dyDescent="0.25">
      <c r="A255" s="15">
        <f>'Raw Data'!A255</f>
        <v>253</v>
      </c>
      <c r="B255" s="16">
        <f>'Raw Data'!D255</f>
        <v>43193.59375</v>
      </c>
      <c r="C255" s="15">
        <v>2018</v>
      </c>
      <c r="D255" s="15" t="str">
        <f t="shared" si="6"/>
        <v>April</v>
      </c>
      <c r="E255" s="15">
        <v>3</v>
      </c>
      <c r="F255" s="17">
        <v>0.59375</v>
      </c>
      <c r="G255" s="28"/>
      <c r="H255" s="15">
        <f>'Raw Data'!A255</f>
        <v>253</v>
      </c>
      <c r="I255" s="15" t="str">
        <f>'Raw Data'!J255</f>
        <v xml:space="preserve"> UK </v>
      </c>
      <c r="J255" s="15" t="s">
        <v>2545</v>
      </c>
      <c r="K255" s="15" t="str">
        <f t="shared" si="7"/>
        <v>Updated</v>
      </c>
    </row>
    <row r="256" spans="1:11" x14ac:dyDescent="0.25">
      <c r="A256" s="15">
        <f>'Raw Data'!A256</f>
        <v>254</v>
      </c>
      <c r="B256" s="16">
        <f>'Raw Data'!D256</f>
        <v>44732.4375</v>
      </c>
      <c r="C256" s="15">
        <v>2022</v>
      </c>
      <c r="D256" s="15" t="str">
        <f t="shared" si="6"/>
        <v>June</v>
      </c>
      <c r="E256" s="15">
        <v>20</v>
      </c>
      <c r="F256" s="17">
        <v>0.4375</v>
      </c>
      <c r="G256" s="28"/>
      <c r="H256" s="15">
        <f>'Raw Data'!A256</f>
        <v>254</v>
      </c>
      <c r="I256" s="15" t="str">
        <f>'Raw Data'!J256</f>
        <v xml:space="preserve"> Australia </v>
      </c>
      <c r="J256" s="15" t="s">
        <v>36</v>
      </c>
      <c r="K256" s="15" t="str">
        <f t="shared" si="7"/>
        <v>No Change</v>
      </c>
    </row>
    <row r="257" spans="1:11" x14ac:dyDescent="0.25">
      <c r="A257" s="15">
        <f>'Raw Data'!A257</f>
        <v>255</v>
      </c>
      <c r="B257" s="16">
        <f>'Raw Data'!D257</f>
        <v>44020.75</v>
      </c>
      <c r="C257" s="15">
        <v>2020</v>
      </c>
      <c r="D257" s="15" t="str">
        <f t="shared" si="6"/>
        <v>July</v>
      </c>
      <c r="E257" s="15">
        <v>8</v>
      </c>
      <c r="F257" s="17">
        <v>0.75</v>
      </c>
      <c r="G257" s="28"/>
      <c r="H257" s="15">
        <f>'Raw Data'!A257</f>
        <v>255</v>
      </c>
      <c r="I257" s="15" t="str">
        <f>'Raw Data'!J257</f>
        <v xml:space="preserve"> Canada </v>
      </c>
      <c r="J257" s="15" t="s">
        <v>121</v>
      </c>
      <c r="K257" s="15" t="str">
        <f t="shared" si="7"/>
        <v>No Change</v>
      </c>
    </row>
    <row r="258" spans="1:11" x14ac:dyDescent="0.25">
      <c r="A258" s="15">
        <f>'Raw Data'!A258</f>
        <v>256</v>
      </c>
      <c r="B258" s="16">
        <f>'Raw Data'!D258</f>
        <v>44423.465277777781</v>
      </c>
      <c r="C258" s="15">
        <v>2021</v>
      </c>
      <c r="D258" s="15" t="str">
        <f t="shared" si="6"/>
        <v>August</v>
      </c>
      <c r="E258" s="15">
        <v>15</v>
      </c>
      <c r="F258" s="17">
        <v>0.46527777777777779</v>
      </c>
      <c r="G258" s="28"/>
      <c r="H258" s="15">
        <f>'Raw Data'!A258</f>
        <v>256</v>
      </c>
      <c r="I258" s="15" t="str">
        <f>'Raw Data'!J258</f>
        <v xml:space="preserve"> India </v>
      </c>
      <c r="J258" s="15" t="s">
        <v>162</v>
      </c>
      <c r="K258" s="15" t="str">
        <f t="shared" si="7"/>
        <v>No Change</v>
      </c>
    </row>
    <row r="259" spans="1:11" x14ac:dyDescent="0.25">
      <c r="A259" s="15">
        <f>'Raw Data'!A259</f>
        <v>257</v>
      </c>
      <c r="B259" s="16">
        <f>'Raw Data'!D259</f>
        <v>43763.701388888891</v>
      </c>
      <c r="C259" s="15">
        <v>2019</v>
      </c>
      <c r="D259" s="15" t="str">
        <f t="shared" si="6"/>
        <v>October</v>
      </c>
      <c r="E259" s="15">
        <v>25</v>
      </c>
      <c r="F259" s="17">
        <v>0.70138888888888884</v>
      </c>
      <c r="G259" s="28"/>
      <c r="H259" s="15">
        <f>'Raw Data'!A259</f>
        <v>257</v>
      </c>
      <c r="I259" s="15" t="str">
        <f>'Raw Data'!J259</f>
        <v xml:space="preserve"> UK </v>
      </c>
      <c r="J259" s="15" t="s">
        <v>2545</v>
      </c>
      <c r="K259" s="15" t="str">
        <f t="shared" si="7"/>
        <v>Updated</v>
      </c>
    </row>
    <row r="260" spans="1:11" x14ac:dyDescent="0.25">
      <c r="A260" s="15">
        <f>'Raw Data'!A260</f>
        <v>258</v>
      </c>
      <c r="B260" s="16">
        <f>'Raw Data'!D260</f>
        <v>45204.3125</v>
      </c>
      <c r="C260" s="15">
        <v>2023</v>
      </c>
      <c r="D260" s="15" t="str">
        <f t="shared" ref="D260:D323" si="8">TEXT(B260,"MMMM")</f>
        <v>October</v>
      </c>
      <c r="E260" s="15">
        <v>5</v>
      </c>
      <c r="F260" s="17">
        <v>0.3125</v>
      </c>
      <c r="G260" s="28"/>
      <c r="H260" s="15">
        <f>'Raw Data'!A260</f>
        <v>258</v>
      </c>
      <c r="I260" s="15" t="str">
        <f>'Raw Data'!J260</f>
        <v xml:space="preserve"> USA </v>
      </c>
      <c r="J260" s="15" t="s">
        <v>2534</v>
      </c>
      <c r="K260" s="15" t="str">
        <f t="shared" ref="K260:K323" si="9">IF(I260=J260,"No Change","Updated")</f>
        <v>Updated</v>
      </c>
    </row>
    <row r="261" spans="1:11" x14ac:dyDescent="0.25">
      <c r="A261" s="15">
        <f>'Raw Data'!A261</f>
        <v>259</v>
      </c>
      <c r="B261" s="16">
        <f>'Raw Data'!D261</f>
        <v>44607.552083333336</v>
      </c>
      <c r="C261" s="15">
        <v>2022</v>
      </c>
      <c r="D261" s="15" t="str">
        <f t="shared" si="8"/>
        <v>February</v>
      </c>
      <c r="E261" s="15">
        <v>15</v>
      </c>
      <c r="F261" s="17">
        <v>0.55208333333333337</v>
      </c>
      <c r="G261" s="28"/>
      <c r="H261" s="15">
        <f>'Raw Data'!A261</f>
        <v>259</v>
      </c>
      <c r="I261" s="15" t="str">
        <f>'Raw Data'!J261</f>
        <v xml:space="preserve"> Australia </v>
      </c>
      <c r="J261" s="15" t="s">
        <v>36</v>
      </c>
      <c r="K261" s="15" t="str">
        <f t="shared" si="9"/>
        <v>No Change</v>
      </c>
    </row>
    <row r="262" spans="1:11" x14ac:dyDescent="0.25">
      <c r="A262" s="15">
        <f>'Raw Data'!A262</f>
        <v>260</v>
      </c>
      <c r="B262" s="16">
        <f>'Raw Data'!D262</f>
        <v>44324.916666666664</v>
      </c>
      <c r="C262" s="15">
        <v>2021</v>
      </c>
      <c r="D262" s="15" t="str">
        <f t="shared" si="8"/>
        <v>May</v>
      </c>
      <c r="E262" s="15">
        <v>8</v>
      </c>
      <c r="F262" s="17">
        <v>0.91666666666666663</v>
      </c>
      <c r="G262" s="28"/>
      <c r="H262" s="15">
        <f>'Raw Data'!A262</f>
        <v>260</v>
      </c>
      <c r="I262" s="15" t="str">
        <f>'Raw Data'!J262</f>
        <v xml:space="preserve"> Canada </v>
      </c>
      <c r="J262" s="15" t="s">
        <v>121</v>
      </c>
      <c r="K262" s="15" t="str">
        <f t="shared" si="9"/>
        <v>No Change</v>
      </c>
    </row>
    <row r="263" spans="1:11" x14ac:dyDescent="0.25">
      <c r="A263" s="15">
        <f>'Raw Data'!A263</f>
        <v>261</v>
      </c>
      <c r="B263" s="16">
        <f>'Raw Data'!D263</f>
        <v>44164.614583333336</v>
      </c>
      <c r="C263" s="15">
        <v>2020</v>
      </c>
      <c r="D263" s="15" t="str">
        <f t="shared" si="8"/>
        <v>November</v>
      </c>
      <c r="E263" s="15">
        <v>29</v>
      </c>
      <c r="F263" s="17">
        <v>0.61458333333333337</v>
      </c>
      <c r="G263" s="28"/>
      <c r="H263" s="15">
        <f>'Raw Data'!A263</f>
        <v>261</v>
      </c>
      <c r="I263" s="15" t="str">
        <f>'Raw Data'!J263</f>
        <v xml:space="preserve"> USA </v>
      </c>
      <c r="J263" s="15" t="s">
        <v>2534</v>
      </c>
      <c r="K263" s="15" t="str">
        <f t="shared" si="9"/>
        <v>Updated</v>
      </c>
    </row>
    <row r="264" spans="1:11" x14ac:dyDescent="0.25">
      <c r="A264" s="15">
        <f>'Raw Data'!A264</f>
        <v>262</v>
      </c>
      <c r="B264" s="16">
        <f>'Raw Data'!D264</f>
        <v>43722.430555555555</v>
      </c>
      <c r="C264" s="15">
        <v>2019</v>
      </c>
      <c r="D264" s="15" t="str">
        <f t="shared" si="8"/>
        <v>September</v>
      </c>
      <c r="E264" s="15">
        <v>14</v>
      </c>
      <c r="F264" s="17">
        <v>0.43055555555555558</v>
      </c>
      <c r="G264" s="28"/>
      <c r="H264" s="15">
        <f>'Raw Data'!A264</f>
        <v>262</v>
      </c>
      <c r="I264" s="15" t="str">
        <f>'Raw Data'!J264</f>
        <v xml:space="preserve"> UK </v>
      </c>
      <c r="J264" s="15" t="s">
        <v>2545</v>
      </c>
      <c r="K264" s="15" t="str">
        <f t="shared" si="9"/>
        <v>Updated</v>
      </c>
    </row>
    <row r="265" spans="1:11" x14ac:dyDescent="0.25">
      <c r="A265" s="15">
        <f>'Raw Data'!A265</f>
        <v>263</v>
      </c>
      <c r="B265" s="16">
        <f>'Raw Data'!D265</f>
        <v>44632.829861111109</v>
      </c>
      <c r="C265" s="15">
        <v>2022</v>
      </c>
      <c r="D265" s="15" t="str">
        <f t="shared" si="8"/>
        <v>March</v>
      </c>
      <c r="E265" s="15">
        <v>12</v>
      </c>
      <c r="F265" s="17">
        <v>0.82986111111111116</v>
      </c>
      <c r="G265" s="28"/>
      <c r="H265" s="15">
        <f>'Raw Data'!A265</f>
        <v>263</v>
      </c>
      <c r="I265" s="15" t="str">
        <f>'Raw Data'!J265</f>
        <v xml:space="preserve"> Australia </v>
      </c>
      <c r="J265" s="15" t="s">
        <v>36</v>
      </c>
      <c r="K265" s="15" t="str">
        <f t="shared" si="9"/>
        <v>No Change</v>
      </c>
    </row>
    <row r="266" spans="1:11" x14ac:dyDescent="0.25">
      <c r="A266" s="15">
        <f>'Raw Data'!A266</f>
        <v>264</v>
      </c>
      <c r="B266" s="16">
        <f>'Raw Data'!D266</f>
        <v>45015.6875</v>
      </c>
      <c r="C266" s="15">
        <v>2023</v>
      </c>
      <c r="D266" s="15" t="str">
        <f t="shared" si="8"/>
        <v>March</v>
      </c>
      <c r="E266" s="15">
        <v>30</v>
      </c>
      <c r="F266" s="17">
        <v>0.6875</v>
      </c>
      <c r="G266" s="28"/>
      <c r="H266" s="15">
        <f>'Raw Data'!A266</f>
        <v>264</v>
      </c>
      <c r="I266" s="15" t="str">
        <f>'Raw Data'!J266</f>
        <v xml:space="preserve"> India </v>
      </c>
      <c r="J266" s="15" t="s">
        <v>162</v>
      </c>
      <c r="K266" s="15" t="str">
        <f t="shared" si="9"/>
        <v>No Change</v>
      </c>
    </row>
    <row r="267" spans="1:11" x14ac:dyDescent="0.25">
      <c r="A267" s="15">
        <f>'Raw Data'!A267</f>
        <v>265</v>
      </c>
      <c r="B267" s="16">
        <f>'Raw Data'!D267</f>
        <v>44378.506944444445</v>
      </c>
      <c r="C267" s="15">
        <v>2021</v>
      </c>
      <c r="D267" s="15" t="str">
        <f t="shared" si="8"/>
        <v>July</v>
      </c>
      <c r="E267" s="15">
        <v>1</v>
      </c>
      <c r="F267" s="17">
        <v>0.50694444444444442</v>
      </c>
      <c r="G267" s="28"/>
      <c r="H267" s="15">
        <f>'Raw Data'!A267</f>
        <v>265</v>
      </c>
      <c r="I267" s="15" t="str">
        <f>'Raw Data'!J267</f>
        <v xml:space="preserve"> Canada </v>
      </c>
      <c r="J267" s="15" t="s">
        <v>121</v>
      </c>
      <c r="K267" s="15" t="str">
        <f t="shared" si="9"/>
        <v>No Change</v>
      </c>
    </row>
    <row r="268" spans="1:11" x14ac:dyDescent="0.25">
      <c r="A268" s="15">
        <f>'Raw Data'!A268</f>
        <v>266</v>
      </c>
      <c r="B268" s="16">
        <f>'Raw Data'!D268</f>
        <v>43835.364583333336</v>
      </c>
      <c r="C268" s="15">
        <v>2020</v>
      </c>
      <c r="D268" s="15" t="str">
        <f t="shared" si="8"/>
        <v>January</v>
      </c>
      <c r="E268" s="15">
        <v>5</v>
      </c>
      <c r="F268" s="17">
        <v>0.36458333333333331</v>
      </c>
      <c r="G268" s="28"/>
      <c r="H268" s="15">
        <f>'Raw Data'!A268</f>
        <v>266</v>
      </c>
      <c r="I268" s="15" t="str">
        <f>'Raw Data'!J268</f>
        <v xml:space="preserve"> USA </v>
      </c>
      <c r="J268" s="15" t="s">
        <v>2534</v>
      </c>
      <c r="K268" s="15" t="str">
        <f t="shared" si="9"/>
        <v>Updated</v>
      </c>
    </row>
    <row r="269" spans="1:11" x14ac:dyDescent="0.25">
      <c r="A269" s="15">
        <f>'Raw Data'!A269</f>
        <v>267</v>
      </c>
      <c r="B269" s="16">
        <f>'Raw Data'!D269</f>
        <v>44759.260416666664</v>
      </c>
      <c r="C269" s="15">
        <v>2022</v>
      </c>
      <c r="D269" s="15" t="str">
        <f t="shared" si="8"/>
        <v>July</v>
      </c>
      <c r="E269" s="15">
        <v>17</v>
      </c>
      <c r="F269" s="17">
        <v>0.26041666666666669</v>
      </c>
      <c r="G269" s="28"/>
      <c r="H269" s="15">
        <f>'Raw Data'!A269</f>
        <v>267</v>
      </c>
      <c r="I269" s="15" t="str">
        <f>'Raw Data'!J269</f>
        <v xml:space="preserve"> UK </v>
      </c>
      <c r="J269" s="15" t="s">
        <v>2545</v>
      </c>
      <c r="K269" s="15" t="str">
        <f t="shared" si="9"/>
        <v>Updated</v>
      </c>
    </row>
    <row r="270" spans="1:11" x14ac:dyDescent="0.25">
      <c r="A270" s="15">
        <f>'Raw Data'!A270</f>
        <v>268</v>
      </c>
      <c r="B270" s="16">
        <f>'Raw Data'!D270</f>
        <v>43334.722222222219</v>
      </c>
      <c r="C270" s="15">
        <v>2018</v>
      </c>
      <c r="D270" s="15" t="str">
        <f t="shared" si="8"/>
        <v>August</v>
      </c>
      <c r="E270" s="15">
        <v>22</v>
      </c>
      <c r="F270" s="17">
        <v>0.72222222222222221</v>
      </c>
      <c r="G270" s="28"/>
      <c r="H270" s="15">
        <f>'Raw Data'!A270</f>
        <v>268</v>
      </c>
      <c r="I270" s="15" t="str">
        <f>'Raw Data'!J270</f>
        <v xml:space="preserve"> Australia </v>
      </c>
      <c r="J270" s="15" t="s">
        <v>36</v>
      </c>
      <c r="K270" s="15" t="str">
        <f t="shared" si="9"/>
        <v>No Change</v>
      </c>
    </row>
    <row r="271" spans="1:11" x14ac:dyDescent="0.25">
      <c r="A271" s="15">
        <f>'Raw Data'!A271</f>
        <v>269</v>
      </c>
      <c r="B271" s="16">
        <f>'Raw Data'!D271</f>
        <v>44538.604166666664</v>
      </c>
      <c r="C271" s="15">
        <v>2021</v>
      </c>
      <c r="D271" s="15" t="str">
        <f t="shared" si="8"/>
        <v>December</v>
      </c>
      <c r="E271" s="15">
        <v>8</v>
      </c>
      <c r="F271" s="17">
        <v>0.60416666666666663</v>
      </c>
      <c r="G271" s="28"/>
      <c r="H271" s="15">
        <f>'Raw Data'!A271</f>
        <v>269</v>
      </c>
      <c r="I271" s="15" t="str">
        <f>'Raw Data'!J271</f>
        <v xml:space="preserve"> India </v>
      </c>
      <c r="J271" s="15" t="s">
        <v>162</v>
      </c>
      <c r="K271" s="15" t="str">
        <f t="shared" si="9"/>
        <v>No Change</v>
      </c>
    </row>
    <row r="272" spans="1:11" x14ac:dyDescent="0.25">
      <c r="A272" s="15">
        <f>'Raw Data'!A272</f>
        <v>270</v>
      </c>
      <c r="B272" s="16">
        <f>'Raw Data'!D272</f>
        <v>43582.409722222219</v>
      </c>
      <c r="C272" s="15">
        <v>2019</v>
      </c>
      <c r="D272" s="15" t="str">
        <f t="shared" si="8"/>
        <v>April</v>
      </c>
      <c r="E272" s="15">
        <v>27</v>
      </c>
      <c r="F272" s="17">
        <v>0.40972222222222221</v>
      </c>
      <c r="G272" s="28"/>
      <c r="H272" s="15">
        <f>'Raw Data'!A272</f>
        <v>270</v>
      </c>
      <c r="I272" s="15" t="str">
        <f>'Raw Data'!J272</f>
        <v xml:space="preserve"> Canada </v>
      </c>
      <c r="J272" s="15" t="s">
        <v>121</v>
      </c>
      <c r="K272" s="15" t="str">
        <f t="shared" si="9"/>
        <v>No Change</v>
      </c>
    </row>
    <row r="273" spans="1:11" x14ac:dyDescent="0.25">
      <c r="A273" s="15">
        <f>'Raw Data'!A273</f>
        <v>271</v>
      </c>
      <c r="B273" s="16">
        <f>'Raw Data'!D273</f>
        <v>45172.902777777781</v>
      </c>
      <c r="C273" s="15">
        <v>2023</v>
      </c>
      <c r="D273" s="15" t="str">
        <f t="shared" si="8"/>
        <v>September</v>
      </c>
      <c r="E273" s="15">
        <v>3</v>
      </c>
      <c r="F273" s="17">
        <v>0.90277777777777779</v>
      </c>
      <c r="G273" s="28"/>
      <c r="H273" s="15">
        <f>'Raw Data'!A273</f>
        <v>271</v>
      </c>
      <c r="I273" s="15" t="str">
        <f>'Raw Data'!J273</f>
        <v xml:space="preserve"> USA </v>
      </c>
      <c r="J273" s="15" t="s">
        <v>2534</v>
      </c>
      <c r="K273" s="15" t="str">
        <f t="shared" si="9"/>
        <v>Updated</v>
      </c>
    </row>
    <row r="274" spans="1:11" x14ac:dyDescent="0.25">
      <c r="A274" s="15">
        <f>'Raw Data'!A274</f>
        <v>272</v>
      </c>
      <c r="B274" s="16">
        <f>'Raw Data'!D274</f>
        <v>43992.420138888891</v>
      </c>
      <c r="C274" s="15">
        <v>2020</v>
      </c>
      <c r="D274" s="15" t="str">
        <f t="shared" si="8"/>
        <v>June</v>
      </c>
      <c r="E274" s="15">
        <v>10</v>
      </c>
      <c r="F274" s="17">
        <v>0.4201388888888889</v>
      </c>
      <c r="G274" s="28"/>
      <c r="H274" s="15">
        <f>'Raw Data'!A274</f>
        <v>272</v>
      </c>
      <c r="I274" s="15" t="str">
        <f>'Raw Data'!J274</f>
        <v xml:space="preserve"> UK </v>
      </c>
      <c r="J274" s="15" t="s">
        <v>2545</v>
      </c>
      <c r="K274" s="15" t="str">
        <f t="shared" si="9"/>
        <v>Updated</v>
      </c>
    </row>
    <row r="275" spans="1:11" x14ac:dyDescent="0.25">
      <c r="A275" s="15">
        <f>'Raw Data'!A275</f>
        <v>273</v>
      </c>
      <c r="B275" s="16">
        <f>'Raw Data'!D275</f>
        <v>44652.770833333336</v>
      </c>
      <c r="C275" s="15">
        <v>2022</v>
      </c>
      <c r="D275" s="15" t="str">
        <f t="shared" si="8"/>
        <v>April</v>
      </c>
      <c r="E275" s="15">
        <v>1</v>
      </c>
      <c r="F275" s="17">
        <v>0.77083333333333337</v>
      </c>
      <c r="G275" s="28"/>
      <c r="H275" s="15">
        <f>'Raw Data'!A275</f>
        <v>273</v>
      </c>
      <c r="I275" s="15" t="str">
        <f>'Raw Data'!J275</f>
        <v xml:space="preserve"> Australia </v>
      </c>
      <c r="J275" s="15" t="s">
        <v>36</v>
      </c>
      <c r="K275" s="15" t="str">
        <f t="shared" si="9"/>
        <v>No Change</v>
      </c>
    </row>
    <row r="276" spans="1:11" x14ac:dyDescent="0.25">
      <c r="A276" s="15">
        <f>'Raw Data'!A276</f>
        <v>274</v>
      </c>
      <c r="B276" s="16">
        <f>'Raw Data'!D276</f>
        <v>44211.541666666664</v>
      </c>
      <c r="C276" s="15">
        <v>2021</v>
      </c>
      <c r="D276" s="15" t="str">
        <f t="shared" si="8"/>
        <v>January</v>
      </c>
      <c r="E276" s="15">
        <v>15</v>
      </c>
      <c r="F276" s="17">
        <v>0.54166666666666663</v>
      </c>
      <c r="G276" s="28"/>
      <c r="H276" s="15">
        <f>'Raw Data'!A276</f>
        <v>274</v>
      </c>
      <c r="I276" s="15" t="str">
        <f>'Raw Data'!J276</f>
        <v xml:space="preserve"> Canada </v>
      </c>
      <c r="J276" s="15" t="s">
        <v>121</v>
      </c>
      <c r="K276" s="15" t="str">
        <f t="shared" si="9"/>
        <v>No Change</v>
      </c>
    </row>
    <row r="277" spans="1:11" x14ac:dyDescent="0.25">
      <c r="A277" s="15">
        <f>'Raw Data'!A277</f>
        <v>275</v>
      </c>
      <c r="B277" s="16">
        <f>'Raw Data'!D277</f>
        <v>45052.305555555555</v>
      </c>
      <c r="C277" s="15">
        <v>2023</v>
      </c>
      <c r="D277" s="15" t="str">
        <f t="shared" si="8"/>
        <v>May</v>
      </c>
      <c r="E277" s="15">
        <v>6</v>
      </c>
      <c r="F277" s="17">
        <v>0.30555555555555558</v>
      </c>
      <c r="G277" s="28"/>
      <c r="H277" s="15">
        <f>'Raw Data'!A277</f>
        <v>275</v>
      </c>
      <c r="I277" s="15" t="str">
        <f>'Raw Data'!J277</f>
        <v xml:space="preserve"> India </v>
      </c>
      <c r="J277" s="15" t="s">
        <v>162</v>
      </c>
      <c r="K277" s="15" t="str">
        <f t="shared" si="9"/>
        <v>No Change</v>
      </c>
    </row>
    <row r="278" spans="1:11" x14ac:dyDescent="0.25">
      <c r="A278" s="15">
        <f>'Raw Data'!A278</f>
        <v>276</v>
      </c>
      <c r="B278" s="16">
        <f>'Raw Data'!D278</f>
        <v>43787.635416666664</v>
      </c>
      <c r="C278" s="15">
        <v>2019</v>
      </c>
      <c r="D278" s="15" t="str">
        <f t="shared" si="8"/>
        <v>November</v>
      </c>
      <c r="E278" s="15">
        <v>18</v>
      </c>
      <c r="F278" s="17">
        <v>0.63541666666666663</v>
      </c>
      <c r="G278" s="28"/>
      <c r="H278" s="15">
        <f>'Raw Data'!A278</f>
        <v>276</v>
      </c>
      <c r="I278" s="15" t="str">
        <f>'Raw Data'!J278</f>
        <v xml:space="preserve"> USA </v>
      </c>
      <c r="J278" s="15" t="s">
        <v>2534</v>
      </c>
      <c r="K278" s="15" t="str">
        <f t="shared" si="9"/>
        <v>Updated</v>
      </c>
    </row>
    <row r="279" spans="1:11" x14ac:dyDescent="0.25">
      <c r="A279" s="15">
        <f>'Raw Data'!A279</f>
        <v>277</v>
      </c>
      <c r="B279" s="16">
        <f>'Raw Data'!D279</f>
        <v>44072.864583333336</v>
      </c>
      <c r="C279" s="15">
        <v>2020</v>
      </c>
      <c r="D279" s="15" t="str">
        <f t="shared" si="8"/>
        <v>August</v>
      </c>
      <c r="E279" s="15">
        <v>29</v>
      </c>
      <c r="F279" s="17">
        <v>0.86458333333333337</v>
      </c>
      <c r="G279" s="28"/>
      <c r="H279" s="15">
        <f>'Raw Data'!A279</f>
        <v>277</v>
      </c>
      <c r="I279" s="15" t="str">
        <f>'Raw Data'!J279</f>
        <v xml:space="preserve"> UK </v>
      </c>
      <c r="J279" s="15" t="s">
        <v>2545</v>
      </c>
      <c r="K279" s="15" t="str">
        <f t="shared" si="9"/>
        <v>Updated</v>
      </c>
    </row>
    <row r="280" spans="1:11" x14ac:dyDescent="0.25">
      <c r="A280" s="15">
        <f>'Raw Data'!A280</f>
        <v>278</v>
      </c>
      <c r="B280" s="16">
        <f>'Raw Data'!D280</f>
        <v>44864.486111111109</v>
      </c>
      <c r="C280" s="15">
        <v>2022</v>
      </c>
      <c r="D280" s="15" t="str">
        <f t="shared" si="8"/>
        <v>October</v>
      </c>
      <c r="E280" s="15">
        <v>30</v>
      </c>
      <c r="F280" s="17">
        <v>0.4861111111111111</v>
      </c>
      <c r="G280" s="28"/>
      <c r="H280" s="15">
        <f>'Raw Data'!A280</f>
        <v>278</v>
      </c>
      <c r="I280" s="15" t="str">
        <f>'Raw Data'!J280</f>
        <v xml:space="preserve"> Australia </v>
      </c>
      <c r="J280" s="15" t="s">
        <v>36</v>
      </c>
      <c r="K280" s="15" t="str">
        <f t="shared" si="9"/>
        <v>No Change</v>
      </c>
    </row>
    <row r="281" spans="1:11" x14ac:dyDescent="0.25">
      <c r="A281" s="15">
        <f>'Raw Data'!A281</f>
        <v>279</v>
      </c>
      <c r="B281" s="16">
        <f>'Raw Data'!D281</f>
        <v>44378.506944444445</v>
      </c>
      <c r="C281" s="15">
        <v>2021</v>
      </c>
      <c r="D281" s="15" t="str">
        <f t="shared" si="8"/>
        <v>July</v>
      </c>
      <c r="E281" s="15">
        <v>1</v>
      </c>
      <c r="F281" s="17">
        <v>0.50694444444444442</v>
      </c>
      <c r="G281" s="28"/>
      <c r="H281" s="15">
        <f>'Raw Data'!A281</f>
        <v>279</v>
      </c>
      <c r="I281" s="15" t="str">
        <f>'Raw Data'!J281</f>
        <v xml:space="preserve"> Canada </v>
      </c>
      <c r="J281" s="15" t="s">
        <v>121</v>
      </c>
      <c r="K281" s="15" t="str">
        <f t="shared" si="9"/>
        <v>No Change</v>
      </c>
    </row>
    <row r="282" spans="1:11" x14ac:dyDescent="0.25">
      <c r="A282" s="15">
        <f>'Raw Data'!A282</f>
        <v>280</v>
      </c>
      <c r="B282" s="16">
        <f>'Raw Data'!D282</f>
        <v>43835.364583333336</v>
      </c>
      <c r="C282" s="15">
        <v>2020</v>
      </c>
      <c r="D282" s="15" t="str">
        <f t="shared" si="8"/>
        <v>January</v>
      </c>
      <c r="E282" s="15">
        <v>5</v>
      </c>
      <c r="F282" s="17">
        <v>0.36458333333333331</v>
      </c>
      <c r="G282" s="28"/>
      <c r="H282" s="15">
        <f>'Raw Data'!A282</f>
        <v>280</v>
      </c>
      <c r="I282" s="15" t="str">
        <f>'Raw Data'!J282</f>
        <v xml:space="preserve"> USA </v>
      </c>
      <c r="J282" s="15" t="s">
        <v>2534</v>
      </c>
      <c r="K282" s="15" t="str">
        <f t="shared" si="9"/>
        <v>Updated</v>
      </c>
    </row>
    <row r="283" spans="1:11" x14ac:dyDescent="0.25">
      <c r="A283" s="15">
        <f>'Raw Data'!A283</f>
        <v>281</v>
      </c>
      <c r="B283" s="16">
        <f>'Raw Data'!D283</f>
        <v>44759.260416666664</v>
      </c>
      <c r="C283" s="15">
        <v>2022</v>
      </c>
      <c r="D283" s="15" t="str">
        <f t="shared" si="8"/>
        <v>July</v>
      </c>
      <c r="E283" s="15">
        <v>17</v>
      </c>
      <c r="F283" s="17">
        <v>0.26041666666666669</v>
      </c>
      <c r="G283" s="28"/>
      <c r="H283" s="15">
        <f>'Raw Data'!A283</f>
        <v>281</v>
      </c>
      <c r="I283" s="15" t="str">
        <f>'Raw Data'!J283</f>
        <v xml:space="preserve"> UK </v>
      </c>
      <c r="J283" s="15" t="s">
        <v>2545</v>
      </c>
      <c r="K283" s="15" t="str">
        <f t="shared" si="9"/>
        <v>Updated</v>
      </c>
    </row>
    <row r="284" spans="1:11" x14ac:dyDescent="0.25">
      <c r="A284" s="15">
        <f>'Raw Data'!A284</f>
        <v>282</v>
      </c>
      <c r="B284" s="16">
        <f>'Raw Data'!D284</f>
        <v>43334.722222222219</v>
      </c>
      <c r="C284" s="15">
        <v>2018</v>
      </c>
      <c r="D284" s="15" t="str">
        <f t="shared" si="8"/>
        <v>August</v>
      </c>
      <c r="E284" s="15">
        <v>22</v>
      </c>
      <c r="F284" s="17">
        <v>0.72222222222222221</v>
      </c>
      <c r="G284" s="28"/>
      <c r="H284" s="15">
        <f>'Raw Data'!A284</f>
        <v>282</v>
      </c>
      <c r="I284" s="15" t="str">
        <f>'Raw Data'!J284</f>
        <v xml:space="preserve"> Australia </v>
      </c>
      <c r="J284" s="15" t="s">
        <v>36</v>
      </c>
      <c r="K284" s="15" t="str">
        <f t="shared" si="9"/>
        <v>No Change</v>
      </c>
    </row>
    <row r="285" spans="1:11" x14ac:dyDescent="0.25">
      <c r="A285" s="15">
        <f>'Raw Data'!A285</f>
        <v>283</v>
      </c>
      <c r="B285" s="16">
        <f>'Raw Data'!D285</f>
        <v>44538.604166666664</v>
      </c>
      <c r="C285" s="15">
        <v>2021</v>
      </c>
      <c r="D285" s="15" t="str">
        <f t="shared" si="8"/>
        <v>December</v>
      </c>
      <c r="E285" s="15">
        <v>8</v>
      </c>
      <c r="F285" s="17">
        <v>0.60416666666666663</v>
      </c>
      <c r="G285" s="28"/>
      <c r="H285" s="15">
        <f>'Raw Data'!A285</f>
        <v>283</v>
      </c>
      <c r="I285" s="15" t="str">
        <f>'Raw Data'!J285</f>
        <v xml:space="preserve"> India </v>
      </c>
      <c r="J285" s="15" t="s">
        <v>162</v>
      </c>
      <c r="K285" s="15" t="str">
        <f t="shared" si="9"/>
        <v>No Change</v>
      </c>
    </row>
    <row r="286" spans="1:11" x14ac:dyDescent="0.25">
      <c r="A286" s="15">
        <f>'Raw Data'!A286</f>
        <v>284</v>
      </c>
      <c r="B286" s="16">
        <f>'Raw Data'!D286</f>
        <v>43582.409722222219</v>
      </c>
      <c r="C286" s="15">
        <v>2019</v>
      </c>
      <c r="D286" s="15" t="str">
        <f t="shared" si="8"/>
        <v>April</v>
      </c>
      <c r="E286" s="15">
        <v>27</v>
      </c>
      <c r="F286" s="17">
        <v>0.40972222222222221</v>
      </c>
      <c r="G286" s="28"/>
      <c r="H286" s="15">
        <f>'Raw Data'!A286</f>
        <v>284</v>
      </c>
      <c r="I286" s="15" t="str">
        <f>'Raw Data'!J286</f>
        <v xml:space="preserve"> Canada </v>
      </c>
      <c r="J286" s="15" t="s">
        <v>121</v>
      </c>
      <c r="K286" s="15" t="str">
        <f t="shared" si="9"/>
        <v>No Change</v>
      </c>
    </row>
    <row r="287" spans="1:11" x14ac:dyDescent="0.25">
      <c r="A287" s="15">
        <f>'Raw Data'!A287</f>
        <v>285</v>
      </c>
      <c r="B287" s="16">
        <f>'Raw Data'!D287</f>
        <v>45172.902777777781</v>
      </c>
      <c r="C287" s="15">
        <v>2023</v>
      </c>
      <c r="D287" s="15" t="str">
        <f t="shared" si="8"/>
        <v>September</v>
      </c>
      <c r="E287" s="15">
        <v>3</v>
      </c>
      <c r="F287" s="17">
        <v>0.90277777777777779</v>
      </c>
      <c r="G287" s="28"/>
      <c r="H287" s="15">
        <f>'Raw Data'!A287</f>
        <v>285</v>
      </c>
      <c r="I287" s="15" t="str">
        <f>'Raw Data'!J287</f>
        <v xml:space="preserve"> USA </v>
      </c>
      <c r="J287" s="15" t="s">
        <v>2534</v>
      </c>
      <c r="K287" s="15" t="str">
        <f t="shared" si="9"/>
        <v>Updated</v>
      </c>
    </row>
    <row r="288" spans="1:11" x14ac:dyDescent="0.25">
      <c r="A288" s="15">
        <f>'Raw Data'!A288</f>
        <v>286</v>
      </c>
      <c r="B288" s="16">
        <f>'Raw Data'!D288</f>
        <v>43992.420138888891</v>
      </c>
      <c r="C288" s="15">
        <v>2020</v>
      </c>
      <c r="D288" s="15" t="str">
        <f t="shared" si="8"/>
        <v>June</v>
      </c>
      <c r="E288" s="15">
        <v>10</v>
      </c>
      <c r="F288" s="17">
        <v>0.4201388888888889</v>
      </c>
      <c r="G288" s="28"/>
      <c r="H288" s="15">
        <f>'Raw Data'!A288</f>
        <v>286</v>
      </c>
      <c r="I288" s="15" t="str">
        <f>'Raw Data'!J288</f>
        <v xml:space="preserve"> UK </v>
      </c>
      <c r="J288" s="15" t="s">
        <v>2545</v>
      </c>
      <c r="K288" s="15" t="str">
        <f t="shared" si="9"/>
        <v>Updated</v>
      </c>
    </row>
    <row r="289" spans="1:11" x14ac:dyDescent="0.25">
      <c r="A289" s="15">
        <f>'Raw Data'!A289</f>
        <v>287</v>
      </c>
      <c r="B289" s="16">
        <f>'Raw Data'!D289</f>
        <v>44652.770833333336</v>
      </c>
      <c r="C289" s="15">
        <v>2022</v>
      </c>
      <c r="D289" s="15" t="str">
        <f t="shared" si="8"/>
        <v>April</v>
      </c>
      <c r="E289" s="15">
        <v>1</v>
      </c>
      <c r="F289" s="17">
        <v>0.77083333333333337</v>
      </c>
      <c r="G289" s="28"/>
      <c r="H289" s="15">
        <f>'Raw Data'!A289</f>
        <v>287</v>
      </c>
      <c r="I289" s="15" t="str">
        <f>'Raw Data'!J289</f>
        <v xml:space="preserve"> Australia </v>
      </c>
      <c r="J289" s="15" t="s">
        <v>36</v>
      </c>
      <c r="K289" s="15" t="str">
        <f t="shared" si="9"/>
        <v>No Change</v>
      </c>
    </row>
    <row r="290" spans="1:11" x14ac:dyDescent="0.25">
      <c r="A290" s="15">
        <f>'Raw Data'!A290</f>
        <v>288</v>
      </c>
      <c r="B290" s="16">
        <f>'Raw Data'!D290</f>
        <v>44211.541666666664</v>
      </c>
      <c r="C290" s="15">
        <v>2021</v>
      </c>
      <c r="D290" s="15" t="str">
        <f t="shared" si="8"/>
        <v>January</v>
      </c>
      <c r="E290" s="15">
        <v>15</v>
      </c>
      <c r="F290" s="17">
        <v>0.54166666666666663</v>
      </c>
      <c r="G290" s="28"/>
      <c r="H290" s="15">
        <f>'Raw Data'!A290</f>
        <v>288</v>
      </c>
      <c r="I290" s="15" t="str">
        <f>'Raw Data'!J290</f>
        <v xml:space="preserve"> Canada </v>
      </c>
      <c r="J290" s="15" t="s">
        <v>121</v>
      </c>
      <c r="K290" s="15" t="str">
        <f t="shared" si="9"/>
        <v>No Change</v>
      </c>
    </row>
    <row r="291" spans="1:11" x14ac:dyDescent="0.25">
      <c r="A291" s="15">
        <f>'Raw Data'!A291</f>
        <v>289</v>
      </c>
      <c r="B291" s="16">
        <f>'Raw Data'!D291</f>
        <v>45052.305555555555</v>
      </c>
      <c r="C291" s="15">
        <v>2023</v>
      </c>
      <c r="D291" s="15" t="str">
        <f t="shared" si="8"/>
        <v>May</v>
      </c>
      <c r="E291" s="15">
        <v>6</v>
      </c>
      <c r="F291" s="17">
        <v>0.30555555555555558</v>
      </c>
      <c r="G291" s="28"/>
      <c r="H291" s="15">
        <f>'Raw Data'!A291</f>
        <v>289</v>
      </c>
      <c r="I291" s="15" t="str">
        <f>'Raw Data'!J291</f>
        <v xml:space="preserve"> India </v>
      </c>
      <c r="J291" s="15" t="s">
        <v>162</v>
      </c>
      <c r="K291" s="15" t="str">
        <f t="shared" si="9"/>
        <v>No Change</v>
      </c>
    </row>
    <row r="292" spans="1:11" x14ac:dyDescent="0.25">
      <c r="A292" s="15">
        <f>'Raw Data'!A292</f>
        <v>290</v>
      </c>
      <c r="B292" s="16">
        <f>'Raw Data'!D292</f>
        <v>43787.635416666664</v>
      </c>
      <c r="C292" s="15">
        <v>2019</v>
      </c>
      <c r="D292" s="15" t="str">
        <f t="shared" si="8"/>
        <v>November</v>
      </c>
      <c r="E292" s="15">
        <v>18</v>
      </c>
      <c r="F292" s="17">
        <v>0.63541666666666663</v>
      </c>
      <c r="G292" s="28"/>
      <c r="H292" s="15">
        <f>'Raw Data'!A292</f>
        <v>290</v>
      </c>
      <c r="I292" s="15" t="str">
        <f>'Raw Data'!J292</f>
        <v xml:space="preserve"> USA </v>
      </c>
      <c r="J292" s="15" t="s">
        <v>2534</v>
      </c>
      <c r="K292" s="15" t="str">
        <f t="shared" si="9"/>
        <v>Updated</v>
      </c>
    </row>
    <row r="293" spans="1:11" x14ac:dyDescent="0.25">
      <c r="A293" s="15">
        <f>'Raw Data'!A293</f>
        <v>291</v>
      </c>
      <c r="B293" s="16">
        <f>'Raw Data'!D293</f>
        <v>44072.864583333336</v>
      </c>
      <c r="C293" s="15">
        <v>2020</v>
      </c>
      <c r="D293" s="15" t="str">
        <f t="shared" si="8"/>
        <v>August</v>
      </c>
      <c r="E293" s="15">
        <v>29</v>
      </c>
      <c r="F293" s="17">
        <v>0.86458333333333337</v>
      </c>
      <c r="G293" s="28"/>
      <c r="H293" s="15">
        <f>'Raw Data'!A293</f>
        <v>291</v>
      </c>
      <c r="I293" s="15" t="str">
        <f>'Raw Data'!J293</f>
        <v xml:space="preserve"> UK </v>
      </c>
      <c r="J293" s="15" t="s">
        <v>2545</v>
      </c>
      <c r="K293" s="15" t="str">
        <f t="shared" si="9"/>
        <v>Updated</v>
      </c>
    </row>
    <row r="294" spans="1:11" x14ac:dyDescent="0.25">
      <c r="A294" s="15">
        <f>'Raw Data'!A294</f>
        <v>292</v>
      </c>
      <c r="B294" s="16">
        <f>'Raw Data'!D294</f>
        <v>44864.486111111109</v>
      </c>
      <c r="C294" s="15">
        <v>2022</v>
      </c>
      <c r="D294" s="15" t="str">
        <f t="shared" si="8"/>
        <v>October</v>
      </c>
      <c r="E294" s="15">
        <v>30</v>
      </c>
      <c r="F294" s="17">
        <v>0.4861111111111111</v>
      </c>
      <c r="G294" s="28"/>
      <c r="H294" s="15">
        <f>'Raw Data'!A294</f>
        <v>292</v>
      </c>
      <c r="I294" s="15" t="str">
        <f>'Raw Data'!J294</f>
        <v xml:space="preserve"> Australia </v>
      </c>
      <c r="J294" s="15" t="s">
        <v>36</v>
      </c>
      <c r="K294" s="15" t="str">
        <f t="shared" si="9"/>
        <v>No Change</v>
      </c>
    </row>
    <row r="295" spans="1:11" x14ac:dyDescent="0.25">
      <c r="A295" s="15">
        <f>'Raw Data'!A295</f>
        <v>293</v>
      </c>
      <c r="B295" s="16">
        <f>'Raw Data'!D295</f>
        <v>44378.506944444445</v>
      </c>
      <c r="C295" s="15">
        <v>2021</v>
      </c>
      <c r="D295" s="15" t="str">
        <f t="shared" si="8"/>
        <v>July</v>
      </c>
      <c r="E295" s="15">
        <v>1</v>
      </c>
      <c r="F295" s="17">
        <v>0.50694444444444442</v>
      </c>
      <c r="G295" s="28"/>
      <c r="H295" s="15">
        <f>'Raw Data'!A295</f>
        <v>293</v>
      </c>
      <c r="I295" s="15" t="str">
        <f>'Raw Data'!J295</f>
        <v xml:space="preserve"> Canada </v>
      </c>
      <c r="J295" s="15" t="s">
        <v>121</v>
      </c>
      <c r="K295" s="15" t="str">
        <f t="shared" si="9"/>
        <v>No Change</v>
      </c>
    </row>
    <row r="296" spans="1:11" x14ac:dyDescent="0.25">
      <c r="A296" s="15">
        <f>'Raw Data'!A296</f>
        <v>294</v>
      </c>
      <c r="B296" s="16">
        <f>'Raw Data'!D296</f>
        <v>43835.364583333336</v>
      </c>
      <c r="C296" s="15">
        <v>2020</v>
      </c>
      <c r="D296" s="15" t="str">
        <f t="shared" si="8"/>
        <v>January</v>
      </c>
      <c r="E296" s="15">
        <v>5</v>
      </c>
      <c r="F296" s="17">
        <v>0.36458333333333331</v>
      </c>
      <c r="G296" s="28"/>
      <c r="H296" s="15">
        <f>'Raw Data'!A296</f>
        <v>294</v>
      </c>
      <c r="I296" s="15" t="str">
        <f>'Raw Data'!J296</f>
        <v xml:space="preserve"> USA </v>
      </c>
      <c r="J296" s="15" t="s">
        <v>2534</v>
      </c>
      <c r="K296" s="15" t="str">
        <f t="shared" si="9"/>
        <v>Updated</v>
      </c>
    </row>
    <row r="297" spans="1:11" x14ac:dyDescent="0.25">
      <c r="A297" s="15">
        <f>'Raw Data'!A297</f>
        <v>295</v>
      </c>
      <c r="B297" s="16">
        <f>'Raw Data'!D297</f>
        <v>44759.260416666664</v>
      </c>
      <c r="C297" s="15">
        <v>2022</v>
      </c>
      <c r="D297" s="15" t="str">
        <f t="shared" si="8"/>
        <v>July</v>
      </c>
      <c r="E297" s="15">
        <v>17</v>
      </c>
      <c r="F297" s="17">
        <v>0.26041666666666669</v>
      </c>
      <c r="G297" s="28"/>
      <c r="H297" s="15">
        <f>'Raw Data'!A297</f>
        <v>295</v>
      </c>
      <c r="I297" s="15" t="str">
        <f>'Raw Data'!J297</f>
        <v xml:space="preserve"> India </v>
      </c>
      <c r="J297" s="15" t="s">
        <v>162</v>
      </c>
      <c r="K297" s="15" t="str">
        <f t="shared" si="9"/>
        <v>No Change</v>
      </c>
    </row>
    <row r="298" spans="1:11" x14ac:dyDescent="0.25">
      <c r="A298" s="15">
        <f>'Raw Data'!A298</f>
        <v>296</v>
      </c>
      <c r="B298" s="16">
        <f>'Raw Data'!D298</f>
        <v>43334.722222222219</v>
      </c>
      <c r="C298" s="15">
        <v>2018</v>
      </c>
      <c r="D298" s="15" t="str">
        <f t="shared" si="8"/>
        <v>August</v>
      </c>
      <c r="E298" s="15">
        <v>22</v>
      </c>
      <c r="F298" s="17">
        <v>0.72222222222222221</v>
      </c>
      <c r="G298" s="28"/>
      <c r="H298" s="15">
        <f>'Raw Data'!A298</f>
        <v>296</v>
      </c>
      <c r="I298" s="15" t="str">
        <f>'Raw Data'!J298</f>
        <v xml:space="preserve"> Australia </v>
      </c>
      <c r="J298" s="15" t="s">
        <v>36</v>
      </c>
      <c r="K298" s="15" t="str">
        <f t="shared" si="9"/>
        <v>No Change</v>
      </c>
    </row>
    <row r="299" spans="1:11" x14ac:dyDescent="0.25">
      <c r="A299" s="15">
        <f>'Raw Data'!A299</f>
        <v>297</v>
      </c>
      <c r="B299" s="16">
        <f>'Raw Data'!D299</f>
        <v>44454.666666666664</v>
      </c>
      <c r="C299" s="15">
        <v>2021</v>
      </c>
      <c r="D299" s="15" t="str">
        <f t="shared" si="8"/>
        <v>September</v>
      </c>
      <c r="E299" s="15">
        <v>15</v>
      </c>
      <c r="F299" s="17">
        <v>0.66666666666666663</v>
      </c>
      <c r="G299" s="28"/>
      <c r="H299" s="15">
        <f>'Raw Data'!A299</f>
        <v>297</v>
      </c>
      <c r="I299" s="15" t="str">
        <f>'Raw Data'!J299</f>
        <v xml:space="preserve"> Canada </v>
      </c>
      <c r="J299" s="15" t="s">
        <v>121</v>
      </c>
      <c r="K299" s="15" t="str">
        <f t="shared" si="9"/>
        <v>No Change</v>
      </c>
    </row>
    <row r="300" spans="1:11" x14ac:dyDescent="0.25">
      <c r="A300" s="15">
        <f>'Raw Data'!A300</f>
        <v>298</v>
      </c>
      <c r="B300" s="16">
        <f>'Raw Data'!D300</f>
        <v>43532.597222222219</v>
      </c>
      <c r="C300" s="15">
        <v>2019</v>
      </c>
      <c r="D300" s="15" t="str">
        <f t="shared" si="8"/>
        <v>March</v>
      </c>
      <c r="E300" s="15">
        <v>8</v>
      </c>
      <c r="F300" s="17">
        <v>0.59722222222222221</v>
      </c>
      <c r="G300" s="28"/>
      <c r="H300" s="15">
        <f>'Raw Data'!A300</f>
        <v>298</v>
      </c>
      <c r="I300" s="15" t="str">
        <f>'Raw Data'!J300</f>
        <v xml:space="preserve"> UK </v>
      </c>
      <c r="J300" s="15" t="s">
        <v>2545</v>
      </c>
      <c r="K300" s="15" t="str">
        <f t="shared" si="9"/>
        <v>Updated</v>
      </c>
    </row>
    <row r="301" spans="1:11" x14ac:dyDescent="0.25">
      <c r="A301" s="15">
        <f>'Raw Data'!A301</f>
        <v>299</v>
      </c>
      <c r="B301" s="16">
        <f>'Raw Data'!D301</f>
        <v>42936.489583333336</v>
      </c>
      <c r="C301" s="15">
        <v>2017</v>
      </c>
      <c r="D301" s="15" t="str">
        <f t="shared" si="8"/>
        <v>July</v>
      </c>
      <c r="E301" s="15">
        <v>20</v>
      </c>
      <c r="F301" s="17">
        <v>0.48958333333333331</v>
      </c>
      <c r="G301" s="28"/>
      <c r="H301" s="15">
        <f>'Raw Data'!A301</f>
        <v>299</v>
      </c>
      <c r="I301" s="15" t="str">
        <f>'Raw Data'!J301</f>
        <v xml:space="preserve"> USA </v>
      </c>
      <c r="J301" s="15" t="s">
        <v>2534</v>
      </c>
      <c r="K301" s="15" t="str">
        <f t="shared" si="9"/>
        <v>Updated</v>
      </c>
    </row>
    <row r="302" spans="1:11" x14ac:dyDescent="0.25">
      <c r="A302" s="15">
        <f>'Raw Data'!A302</f>
        <v>300</v>
      </c>
      <c r="B302" s="16">
        <f>'Raw Data'!D302</f>
        <v>44137.8125</v>
      </c>
      <c r="C302" s="15">
        <v>2020</v>
      </c>
      <c r="D302" s="15" t="str">
        <f t="shared" si="8"/>
        <v>November</v>
      </c>
      <c r="E302" s="15">
        <v>2</v>
      </c>
      <c r="F302" s="17">
        <v>0.8125</v>
      </c>
      <c r="G302" s="28"/>
      <c r="H302" s="15">
        <f>'Raw Data'!A302</f>
        <v>300</v>
      </c>
      <c r="I302" s="15" t="str">
        <f>'Raw Data'!J302</f>
        <v xml:space="preserve"> Australia </v>
      </c>
      <c r="J302" s="15" t="s">
        <v>36</v>
      </c>
      <c r="K302" s="15" t="str">
        <f t="shared" si="9"/>
        <v>No Change</v>
      </c>
    </row>
    <row r="303" spans="1:11" x14ac:dyDescent="0.25">
      <c r="A303" s="15">
        <f>'Raw Data'!A303</f>
        <v>301</v>
      </c>
      <c r="B303" s="16">
        <f>'Raw Data'!D303</f>
        <v>44693.083333333336</v>
      </c>
      <c r="C303" s="15">
        <v>2022</v>
      </c>
      <c r="D303" s="15" t="str">
        <f t="shared" si="8"/>
        <v>May</v>
      </c>
      <c r="E303" s="15">
        <v>12</v>
      </c>
      <c r="F303" s="17">
        <v>8.3333333333333329E-2</v>
      </c>
      <c r="G303" s="28"/>
      <c r="H303" s="15">
        <f>'Raw Data'!A303</f>
        <v>301</v>
      </c>
      <c r="I303" s="15" t="str">
        <f>'Raw Data'!J303</f>
        <v xml:space="preserve"> India </v>
      </c>
      <c r="J303" s="15" t="s">
        <v>162</v>
      </c>
      <c r="K303" s="15" t="str">
        <f t="shared" si="9"/>
        <v>No Change</v>
      </c>
    </row>
    <row r="304" spans="1:11" x14ac:dyDescent="0.25">
      <c r="A304" s="15">
        <f>'Raw Data'!A304</f>
        <v>302</v>
      </c>
      <c r="B304" s="16">
        <f>'Raw Data'!D304</f>
        <v>45024.552083333336</v>
      </c>
      <c r="C304" s="15">
        <v>2023</v>
      </c>
      <c r="D304" s="15" t="str">
        <f t="shared" si="8"/>
        <v>April</v>
      </c>
      <c r="E304" s="15">
        <v>8</v>
      </c>
      <c r="F304" s="17">
        <v>0.55208333333333337</v>
      </c>
      <c r="G304" s="28"/>
      <c r="H304" s="15">
        <f>'Raw Data'!A304</f>
        <v>302</v>
      </c>
      <c r="I304" s="15" t="str">
        <f>'Raw Data'!J304</f>
        <v xml:space="preserve"> UK </v>
      </c>
      <c r="J304" s="15" t="s">
        <v>2545</v>
      </c>
      <c r="K304" s="15" t="str">
        <f t="shared" si="9"/>
        <v>Updated</v>
      </c>
    </row>
    <row r="305" spans="1:11" x14ac:dyDescent="0.25">
      <c r="A305" s="15">
        <f>'Raw Data'!A305</f>
        <v>303</v>
      </c>
      <c r="B305" s="16">
        <f>'Raw Data'!D305</f>
        <v>44372.743055555555</v>
      </c>
      <c r="C305" s="15">
        <v>2021</v>
      </c>
      <c r="D305" s="15" t="str">
        <f t="shared" si="8"/>
        <v>June</v>
      </c>
      <c r="E305" s="15">
        <v>25</v>
      </c>
      <c r="F305" s="17">
        <v>0.74305555555555558</v>
      </c>
      <c r="G305" s="28"/>
      <c r="H305" s="15">
        <f>'Raw Data'!A305</f>
        <v>303</v>
      </c>
      <c r="I305" s="15" t="str">
        <f>'Raw Data'!J305</f>
        <v xml:space="preserve"> Canada </v>
      </c>
      <c r="J305" s="15" t="s">
        <v>121</v>
      </c>
      <c r="K305" s="15" t="str">
        <f t="shared" si="9"/>
        <v>No Change</v>
      </c>
    </row>
    <row r="306" spans="1:11" x14ac:dyDescent="0.25">
      <c r="A306" s="15">
        <f>'Raw Data'!A306</f>
        <v>304</v>
      </c>
      <c r="B306" s="16">
        <f>'Raw Data'!D306</f>
        <v>43707.423611111109</v>
      </c>
      <c r="C306" s="15">
        <v>2019</v>
      </c>
      <c r="D306" s="15" t="str">
        <f t="shared" si="8"/>
        <v>August</v>
      </c>
      <c r="E306" s="15">
        <v>30</v>
      </c>
      <c r="F306" s="17">
        <v>0.4236111111111111</v>
      </c>
      <c r="G306" s="28"/>
      <c r="H306" s="15">
        <f>'Raw Data'!A306</f>
        <v>304</v>
      </c>
      <c r="I306" s="15" t="str">
        <f>'Raw Data'!J306</f>
        <v xml:space="preserve"> USA </v>
      </c>
      <c r="J306" s="15" t="s">
        <v>2534</v>
      </c>
      <c r="K306" s="15" t="str">
        <f t="shared" si="9"/>
        <v>Updated</v>
      </c>
    </row>
    <row r="307" spans="1:11" x14ac:dyDescent="0.25">
      <c r="A307" s="15">
        <f>'Raw Data'!A307</f>
        <v>305</v>
      </c>
      <c r="B307" s="16">
        <f>'Raw Data'!D307</f>
        <v>44776.645833333336</v>
      </c>
      <c r="C307" s="15">
        <v>2022</v>
      </c>
      <c r="D307" s="15" t="str">
        <f t="shared" si="8"/>
        <v>August</v>
      </c>
      <c r="E307" s="15">
        <v>3</v>
      </c>
      <c r="F307" s="17">
        <v>0.64583333333333337</v>
      </c>
      <c r="G307" s="28"/>
      <c r="H307" s="15">
        <f>'Raw Data'!A307</f>
        <v>305</v>
      </c>
      <c r="I307" s="15" t="str">
        <f>'Raw Data'!J307</f>
        <v xml:space="preserve"> Australia </v>
      </c>
      <c r="J307" s="15" t="s">
        <v>36</v>
      </c>
      <c r="K307" s="15" t="str">
        <f t="shared" si="9"/>
        <v>No Change</v>
      </c>
    </row>
    <row r="308" spans="1:11" x14ac:dyDescent="0.25">
      <c r="A308" s="15">
        <f>'Raw Data'!A308</f>
        <v>306</v>
      </c>
      <c r="B308" s="16">
        <f>'Raw Data'!D308</f>
        <v>44182.388888888891</v>
      </c>
      <c r="C308" s="15">
        <v>2020</v>
      </c>
      <c r="D308" s="15" t="str">
        <f t="shared" si="8"/>
        <v>December</v>
      </c>
      <c r="E308" s="15">
        <v>17</v>
      </c>
      <c r="F308" s="17">
        <v>0.3888888888888889</v>
      </c>
      <c r="G308" s="28"/>
      <c r="H308" s="15">
        <f>'Raw Data'!A308</f>
        <v>306</v>
      </c>
      <c r="I308" s="15" t="str">
        <f>'Raw Data'!J308</f>
        <v xml:space="preserve"> India </v>
      </c>
      <c r="J308" s="15" t="s">
        <v>162</v>
      </c>
      <c r="K308" s="15" t="str">
        <f t="shared" si="9"/>
        <v>No Change</v>
      </c>
    </row>
    <row r="309" spans="1:11" x14ac:dyDescent="0.25">
      <c r="A309" s="15">
        <f>'Raw Data'!A309</f>
        <v>307</v>
      </c>
      <c r="B309" s="16">
        <f>'Raw Data'!D309</f>
        <v>44255.947916666664</v>
      </c>
      <c r="C309" s="15">
        <v>2021</v>
      </c>
      <c r="D309" s="15" t="str">
        <f t="shared" si="8"/>
        <v>February</v>
      </c>
      <c r="E309" s="15">
        <v>28</v>
      </c>
      <c r="F309" s="17">
        <v>0.94791666666666663</v>
      </c>
      <c r="G309" s="28"/>
      <c r="H309" s="15">
        <f>'Raw Data'!A309</f>
        <v>307</v>
      </c>
      <c r="I309" s="15" t="str">
        <f>'Raw Data'!J309</f>
        <v xml:space="preserve"> USA </v>
      </c>
      <c r="J309" s="15" t="s">
        <v>2534</v>
      </c>
      <c r="K309" s="15" t="str">
        <f t="shared" si="9"/>
        <v>Updated</v>
      </c>
    </row>
    <row r="310" spans="1:11" x14ac:dyDescent="0.25">
      <c r="A310" s="15">
        <f>'Raw Data'!A310</f>
        <v>308</v>
      </c>
      <c r="B310" s="16">
        <f>'Raw Data'!D310</f>
        <v>43230.583333333336</v>
      </c>
      <c r="C310" s="15">
        <v>2018</v>
      </c>
      <c r="D310" s="15" t="str">
        <f t="shared" si="8"/>
        <v>May</v>
      </c>
      <c r="E310" s="15">
        <v>10</v>
      </c>
      <c r="F310" s="17">
        <v>0.58333333333333337</v>
      </c>
      <c r="G310" s="28"/>
      <c r="H310" s="15">
        <f>'Raw Data'!A310</f>
        <v>308</v>
      </c>
      <c r="I310" s="15" t="str">
        <f>'Raw Data'!J310</f>
        <v xml:space="preserve"> UK </v>
      </c>
      <c r="J310" s="15" t="s">
        <v>2545</v>
      </c>
      <c r="K310" s="15" t="str">
        <f t="shared" si="9"/>
        <v>Updated</v>
      </c>
    </row>
    <row r="311" spans="1:11" x14ac:dyDescent="0.25">
      <c r="A311" s="15">
        <f>'Raw Data'!A311</f>
        <v>309</v>
      </c>
      <c r="B311" s="16">
        <f>'Raw Data'!D311</f>
        <v>44568.465277777781</v>
      </c>
      <c r="C311" s="15">
        <v>2022</v>
      </c>
      <c r="D311" s="15" t="str">
        <f t="shared" si="8"/>
        <v>January</v>
      </c>
      <c r="E311" s="15">
        <v>7</v>
      </c>
      <c r="F311" s="17">
        <v>0.46527777777777779</v>
      </c>
      <c r="G311" s="28"/>
      <c r="H311" s="15">
        <f>'Raw Data'!A311</f>
        <v>309</v>
      </c>
      <c r="I311" s="15" t="str">
        <f>'Raw Data'!J311</f>
        <v xml:space="preserve"> Canada </v>
      </c>
      <c r="J311" s="15" t="s">
        <v>121</v>
      </c>
      <c r="K311" s="15" t="str">
        <f t="shared" si="9"/>
        <v>No Change</v>
      </c>
    </row>
    <row r="312" spans="1:11" x14ac:dyDescent="0.25">
      <c r="A312" s="15">
        <f>'Raw Data'!A312</f>
        <v>310</v>
      </c>
      <c r="B312" s="16">
        <f>'Raw Data'!D312</f>
        <v>43727.145833333336</v>
      </c>
      <c r="C312" s="15">
        <v>2019</v>
      </c>
      <c r="D312" s="15" t="str">
        <f t="shared" si="8"/>
        <v>September</v>
      </c>
      <c r="E312" s="15">
        <v>19</v>
      </c>
      <c r="F312" s="17">
        <v>0.14583333333333334</v>
      </c>
      <c r="G312" s="28"/>
      <c r="H312" s="15">
        <f>'Raw Data'!A312</f>
        <v>310</v>
      </c>
      <c r="I312" s="15" t="str">
        <f>'Raw Data'!J312</f>
        <v xml:space="preserve"> Australia </v>
      </c>
      <c r="J312" s="15" t="s">
        <v>36</v>
      </c>
      <c r="K312" s="15" t="str">
        <f t="shared" si="9"/>
        <v>No Change</v>
      </c>
    </row>
    <row r="313" spans="1:11" x14ac:dyDescent="0.25">
      <c r="A313" s="15">
        <f>'Raw Data'!A313</f>
        <v>311</v>
      </c>
      <c r="B313" s="16">
        <f>'Raw Data'!D313</f>
        <v>45121.958333333336</v>
      </c>
      <c r="C313" s="15">
        <v>2023</v>
      </c>
      <c r="D313" s="15" t="str">
        <f t="shared" si="8"/>
        <v>July</v>
      </c>
      <c r="E313" s="15">
        <v>14</v>
      </c>
      <c r="F313" s="17">
        <v>0.95833333333333337</v>
      </c>
      <c r="G313" s="28"/>
      <c r="H313" s="15">
        <f>'Raw Data'!A313</f>
        <v>311</v>
      </c>
      <c r="I313" s="15" t="str">
        <f>'Raw Data'!J313</f>
        <v xml:space="preserve"> UK </v>
      </c>
      <c r="J313" s="15" t="s">
        <v>2545</v>
      </c>
      <c r="K313" s="15" t="str">
        <f t="shared" si="9"/>
        <v>Updated</v>
      </c>
    </row>
    <row r="314" spans="1:11" x14ac:dyDescent="0.25">
      <c r="A314" s="15">
        <f>'Raw Data'!A314</f>
        <v>312</v>
      </c>
      <c r="B314" s="16">
        <f>'Raw Data'!D314</f>
        <v>43926.680555555555</v>
      </c>
      <c r="C314" s="15">
        <v>2020</v>
      </c>
      <c r="D314" s="15" t="str">
        <f t="shared" si="8"/>
        <v>April</v>
      </c>
      <c r="E314" s="15">
        <v>5</v>
      </c>
      <c r="F314" s="17">
        <v>0.68055555555555558</v>
      </c>
      <c r="G314" s="28"/>
      <c r="H314" s="15">
        <f>'Raw Data'!A314</f>
        <v>312</v>
      </c>
      <c r="I314" s="15" t="str">
        <f>'Raw Data'!J314</f>
        <v xml:space="preserve"> India </v>
      </c>
      <c r="J314" s="15" t="s">
        <v>162</v>
      </c>
      <c r="K314" s="15" t="str">
        <f t="shared" si="9"/>
        <v>No Change</v>
      </c>
    </row>
    <row r="315" spans="1:11" x14ac:dyDescent="0.25">
      <c r="A315" s="15">
        <f>'Raw Data'!A315</f>
        <v>313</v>
      </c>
      <c r="B315" s="16">
        <f>'Raw Data'!D315</f>
        <v>44529.364583333336</v>
      </c>
      <c r="C315" s="15">
        <v>2021</v>
      </c>
      <c r="D315" s="15" t="str">
        <f t="shared" si="8"/>
        <v>November</v>
      </c>
      <c r="E315" s="15">
        <v>29</v>
      </c>
      <c r="F315" s="17">
        <v>0.36458333333333331</v>
      </c>
      <c r="G315" s="28"/>
      <c r="H315" s="15">
        <f>'Raw Data'!A315</f>
        <v>313</v>
      </c>
      <c r="I315" s="15" t="str">
        <f>'Raw Data'!J315</f>
        <v xml:space="preserve"> USA </v>
      </c>
      <c r="J315" s="15" t="s">
        <v>2534</v>
      </c>
      <c r="K315" s="15" t="str">
        <f t="shared" si="9"/>
        <v>Updated</v>
      </c>
    </row>
    <row r="316" spans="1:11" x14ac:dyDescent="0.25">
      <c r="A316" s="15">
        <f>'Raw Data'!A316</f>
        <v>314</v>
      </c>
      <c r="B316" s="16">
        <f>'Raw Data'!D316</f>
        <v>43811.708333333336</v>
      </c>
      <c r="C316" s="15">
        <v>2019</v>
      </c>
      <c r="D316" s="15" t="str">
        <f t="shared" si="8"/>
        <v>December</v>
      </c>
      <c r="E316" s="15">
        <v>12</v>
      </c>
      <c r="F316" s="17">
        <v>0.70833333333333337</v>
      </c>
      <c r="G316" s="28"/>
      <c r="H316" s="15">
        <f>'Raw Data'!A316</f>
        <v>314</v>
      </c>
      <c r="I316" s="15" t="str">
        <f>'Raw Data'!J316</f>
        <v xml:space="preserve"> Australia </v>
      </c>
      <c r="J316" s="15" t="s">
        <v>36</v>
      </c>
      <c r="K316" s="15" t="str">
        <f t="shared" si="9"/>
        <v>No Change</v>
      </c>
    </row>
    <row r="317" spans="1:11" x14ac:dyDescent="0.25">
      <c r="A317" s="15">
        <f>'Raw Data'!A317</f>
        <v>315</v>
      </c>
      <c r="B317" s="16">
        <f>'Raw Data'!D317</f>
        <v>44701.618055555555</v>
      </c>
      <c r="C317" s="15">
        <v>2022</v>
      </c>
      <c r="D317" s="15" t="str">
        <f t="shared" si="8"/>
        <v>May</v>
      </c>
      <c r="E317" s="15">
        <v>20</v>
      </c>
      <c r="F317" s="17">
        <v>0.61805555555555558</v>
      </c>
      <c r="G317" s="28"/>
      <c r="H317" s="15">
        <f>'Raw Data'!A317</f>
        <v>315</v>
      </c>
      <c r="I317" s="15" t="str">
        <f>'Raw Data'!J317</f>
        <v xml:space="preserve"> Canada </v>
      </c>
      <c r="J317" s="15" t="s">
        <v>121</v>
      </c>
      <c r="K317" s="15" t="str">
        <f t="shared" si="9"/>
        <v>No Change</v>
      </c>
    </row>
    <row r="318" spans="1:11" x14ac:dyDescent="0.25">
      <c r="A318" s="15">
        <f>'Raw Data'!A318</f>
        <v>316</v>
      </c>
      <c r="B318" s="16">
        <f>'Raw Data'!D318</f>
        <v>44077.510416666664</v>
      </c>
      <c r="C318" s="15">
        <v>2020</v>
      </c>
      <c r="D318" s="15" t="str">
        <f t="shared" si="8"/>
        <v>September</v>
      </c>
      <c r="E318" s="15">
        <v>3</v>
      </c>
      <c r="F318" s="17">
        <v>0.51041666666666663</v>
      </c>
      <c r="G318" s="28"/>
      <c r="H318" s="15">
        <f>'Raw Data'!A318</f>
        <v>316</v>
      </c>
      <c r="I318" s="15" t="str">
        <f>'Raw Data'!J318</f>
        <v xml:space="preserve"> UK </v>
      </c>
      <c r="J318" s="15" t="s">
        <v>2545</v>
      </c>
      <c r="K318" s="15" t="str">
        <f t="shared" si="9"/>
        <v>Updated</v>
      </c>
    </row>
    <row r="319" spans="1:11" x14ac:dyDescent="0.25">
      <c r="A319" s="15">
        <f>'Raw Data'!A319</f>
        <v>317</v>
      </c>
      <c r="B319" s="16">
        <f>'Raw Data'!D319</f>
        <v>44237.8125</v>
      </c>
      <c r="C319" s="15">
        <v>2021</v>
      </c>
      <c r="D319" s="15" t="str">
        <f t="shared" si="8"/>
        <v>February</v>
      </c>
      <c r="E319" s="15">
        <v>10</v>
      </c>
      <c r="F319" s="17">
        <v>0.8125</v>
      </c>
      <c r="G319" s="28"/>
      <c r="H319" s="15">
        <f>'Raw Data'!A319</f>
        <v>317</v>
      </c>
      <c r="I319" s="15" t="str">
        <f>'Raw Data'!J319</f>
        <v xml:space="preserve"> USA </v>
      </c>
      <c r="J319" s="15" t="s">
        <v>2534</v>
      </c>
      <c r="K319" s="15" t="str">
        <f t="shared" si="9"/>
        <v>Updated</v>
      </c>
    </row>
    <row r="320" spans="1:11" x14ac:dyDescent="0.25">
      <c r="A320" s="15">
        <f>'Raw Data'!A320</f>
        <v>318</v>
      </c>
      <c r="B320" s="16">
        <f>'Raw Data'!D320</f>
        <v>43330.611111111109</v>
      </c>
      <c r="C320" s="15">
        <v>2018</v>
      </c>
      <c r="D320" s="15" t="str">
        <f t="shared" si="8"/>
        <v>August</v>
      </c>
      <c r="E320" s="15">
        <v>18</v>
      </c>
      <c r="F320" s="17">
        <v>0.61111111111111116</v>
      </c>
      <c r="G320" s="28"/>
      <c r="H320" s="15">
        <f>'Raw Data'!A320</f>
        <v>318</v>
      </c>
      <c r="I320" s="15" t="str">
        <f>'Raw Data'!J320</f>
        <v xml:space="preserve"> Australia </v>
      </c>
      <c r="J320" s="15" t="s">
        <v>36</v>
      </c>
      <c r="K320" s="15" t="str">
        <f t="shared" si="9"/>
        <v>No Change</v>
      </c>
    </row>
    <row r="321" spans="1:11" x14ac:dyDescent="0.25">
      <c r="A321" s="15">
        <f>'Raw Data'!A321</f>
        <v>319</v>
      </c>
      <c r="B321" s="16">
        <f>'Raw Data'!D321</f>
        <v>44620.875</v>
      </c>
      <c r="C321" s="15">
        <v>2022</v>
      </c>
      <c r="D321" s="15" t="str">
        <f t="shared" si="8"/>
        <v>February</v>
      </c>
      <c r="E321" s="15">
        <v>28</v>
      </c>
      <c r="F321" s="17">
        <v>0.875</v>
      </c>
      <c r="G321" s="28"/>
      <c r="H321" s="15">
        <f>'Raw Data'!A321</f>
        <v>319</v>
      </c>
      <c r="I321" s="15" t="str">
        <f>'Raw Data'!J321</f>
        <v xml:space="preserve"> Canada </v>
      </c>
      <c r="J321" s="15" t="s">
        <v>121</v>
      </c>
      <c r="K321" s="15" t="str">
        <f t="shared" si="9"/>
        <v>No Change</v>
      </c>
    </row>
    <row r="322" spans="1:11" x14ac:dyDescent="0.25">
      <c r="A322" s="15">
        <f>'Raw Data'!A322</f>
        <v>320</v>
      </c>
      <c r="B322" s="16">
        <f>'Raw Data'!D322</f>
        <v>43753.4375</v>
      </c>
      <c r="C322" s="15">
        <v>2019</v>
      </c>
      <c r="D322" s="15" t="str">
        <f t="shared" si="8"/>
        <v>October</v>
      </c>
      <c r="E322" s="15">
        <v>15</v>
      </c>
      <c r="F322" s="17">
        <v>0.4375</v>
      </c>
      <c r="G322" s="28"/>
      <c r="H322" s="15">
        <f>'Raw Data'!A322</f>
        <v>320</v>
      </c>
      <c r="I322" s="15" t="str">
        <f>'Raw Data'!J322</f>
        <v xml:space="preserve"> UK </v>
      </c>
      <c r="J322" s="15" t="s">
        <v>2545</v>
      </c>
      <c r="K322" s="15" t="str">
        <f t="shared" si="9"/>
        <v>Updated</v>
      </c>
    </row>
    <row r="323" spans="1:11" x14ac:dyDescent="0.25">
      <c r="A323" s="15">
        <f>'Raw Data'!A323</f>
        <v>321</v>
      </c>
      <c r="B323" s="16">
        <f>'Raw Data'!D323</f>
        <v>43070.784722222219</v>
      </c>
      <c r="C323" s="15">
        <v>2017</v>
      </c>
      <c r="D323" s="15" t="str">
        <f t="shared" si="8"/>
        <v>December</v>
      </c>
      <c r="E323" s="15">
        <v>1</v>
      </c>
      <c r="F323" s="17">
        <v>0.78472222222222221</v>
      </c>
      <c r="G323" s="28"/>
      <c r="H323" s="15">
        <f>'Raw Data'!A323</f>
        <v>321</v>
      </c>
      <c r="I323" s="15" t="str">
        <f>'Raw Data'!J323</f>
        <v xml:space="preserve"> USA </v>
      </c>
      <c r="J323" s="15" t="s">
        <v>2534</v>
      </c>
      <c r="K323" s="15" t="str">
        <f t="shared" si="9"/>
        <v>Updated</v>
      </c>
    </row>
    <row r="324" spans="1:11" x14ac:dyDescent="0.25">
      <c r="A324" s="15">
        <f>'Raw Data'!A324</f>
        <v>322</v>
      </c>
      <c r="B324" s="16">
        <f>'Raw Data'!D324</f>
        <v>43939.677083333336</v>
      </c>
      <c r="C324" s="15">
        <v>2020</v>
      </c>
      <c r="D324" s="15" t="str">
        <f t="shared" ref="D324:D387" si="10">TEXT(B324,"MMMM")</f>
        <v>April</v>
      </c>
      <c r="E324" s="15">
        <v>18</v>
      </c>
      <c r="F324" s="17">
        <v>0.67708333333333337</v>
      </c>
      <c r="G324" s="28"/>
      <c r="H324" s="15">
        <f>'Raw Data'!A324</f>
        <v>322</v>
      </c>
      <c r="I324" s="15" t="str">
        <f>'Raw Data'!J324</f>
        <v xml:space="preserve"> Australia </v>
      </c>
      <c r="J324" s="15" t="s">
        <v>36</v>
      </c>
      <c r="K324" s="15" t="str">
        <f t="shared" ref="K324:K387" si="11">IF(I324=J324,"No Change","Updated")</f>
        <v>No Change</v>
      </c>
    </row>
    <row r="325" spans="1:11" x14ac:dyDescent="0.25">
      <c r="A325" s="15">
        <f>'Raw Data'!A325</f>
        <v>323</v>
      </c>
      <c r="B325" s="16">
        <f>'Raw Data'!D325</f>
        <v>44933.145833333336</v>
      </c>
      <c r="C325" s="15">
        <v>2023</v>
      </c>
      <c r="D325" s="15" t="str">
        <f t="shared" si="10"/>
        <v>January</v>
      </c>
      <c r="E325" s="15">
        <v>7</v>
      </c>
      <c r="F325" s="17">
        <v>0.14583333333333334</v>
      </c>
      <c r="G325" s="28"/>
      <c r="H325" s="15">
        <f>'Raw Data'!A325</f>
        <v>323</v>
      </c>
      <c r="I325" s="15" t="str">
        <f>'Raw Data'!J325</f>
        <v xml:space="preserve"> India </v>
      </c>
      <c r="J325" s="15" t="s">
        <v>162</v>
      </c>
      <c r="K325" s="15" t="str">
        <f t="shared" si="11"/>
        <v>No Change</v>
      </c>
    </row>
    <row r="326" spans="1:11" x14ac:dyDescent="0.25">
      <c r="A326" s="15">
        <f>'Raw Data'!A326</f>
        <v>324</v>
      </c>
      <c r="B326" s="16">
        <f>'Raw Data'!D326</f>
        <v>44357.416666666664</v>
      </c>
      <c r="C326" s="15">
        <v>2021</v>
      </c>
      <c r="D326" s="15" t="str">
        <f t="shared" si="10"/>
        <v>June</v>
      </c>
      <c r="E326" s="15">
        <v>10</v>
      </c>
      <c r="F326" s="17">
        <v>0.41666666666666669</v>
      </c>
      <c r="G326" s="28"/>
      <c r="H326" s="15">
        <f>'Raw Data'!A326</f>
        <v>324</v>
      </c>
      <c r="I326" s="15" t="str">
        <f>'Raw Data'!J326</f>
        <v xml:space="preserve"> Canada </v>
      </c>
      <c r="J326" s="15" t="s">
        <v>121</v>
      </c>
      <c r="K326" s="15" t="str">
        <f t="shared" si="11"/>
        <v>No Change</v>
      </c>
    </row>
    <row r="327" spans="1:11" x14ac:dyDescent="0.25">
      <c r="A327" s="15">
        <f>'Raw Data'!A327</f>
        <v>325</v>
      </c>
      <c r="B327" s="16">
        <f>'Raw Data'!D327</f>
        <v>43883.638888888891</v>
      </c>
      <c r="C327" s="15">
        <v>2020</v>
      </c>
      <c r="D327" s="15" t="str">
        <f t="shared" si="10"/>
        <v>February</v>
      </c>
      <c r="E327" s="15">
        <v>22</v>
      </c>
      <c r="F327" s="17">
        <v>0.63888888888888884</v>
      </c>
      <c r="G327" s="28"/>
      <c r="H327" s="15">
        <f>'Raw Data'!A327</f>
        <v>325</v>
      </c>
      <c r="I327" s="15" t="str">
        <f>'Raw Data'!J327</f>
        <v xml:space="preserve"> USA </v>
      </c>
      <c r="J327" s="15" t="s">
        <v>2534</v>
      </c>
      <c r="K327" s="15" t="str">
        <f t="shared" si="11"/>
        <v>Updated</v>
      </c>
    </row>
    <row r="328" spans="1:11" x14ac:dyDescent="0.25">
      <c r="A328" s="15">
        <f>'Raw Data'!A328</f>
        <v>326</v>
      </c>
      <c r="B328" s="16">
        <f>'Raw Data'!D328</f>
        <v>43176.614583333336</v>
      </c>
      <c r="C328" s="15">
        <v>2018</v>
      </c>
      <c r="D328" s="15" t="str">
        <f t="shared" si="10"/>
        <v>March</v>
      </c>
      <c r="E328" s="15">
        <v>17</v>
      </c>
      <c r="F328" s="17">
        <v>0.61458333333333337</v>
      </c>
      <c r="G328" s="28"/>
      <c r="H328" s="15">
        <f>'Raw Data'!A328</f>
        <v>326</v>
      </c>
      <c r="I328" s="15" t="str">
        <f>'Raw Data'!J328</f>
        <v xml:space="preserve"> UK </v>
      </c>
      <c r="J328" s="15" t="s">
        <v>2545</v>
      </c>
      <c r="K328" s="15" t="str">
        <f t="shared" si="11"/>
        <v>Updated</v>
      </c>
    </row>
    <row r="329" spans="1:11" x14ac:dyDescent="0.25">
      <c r="A329" s="15">
        <f>'Raw Data'!A329</f>
        <v>327</v>
      </c>
      <c r="B329" s="16">
        <f>'Raw Data'!D329</f>
        <v>44862.46875</v>
      </c>
      <c r="C329" s="15">
        <v>2022</v>
      </c>
      <c r="D329" s="15" t="str">
        <f t="shared" si="10"/>
        <v>October</v>
      </c>
      <c r="E329" s="15">
        <v>28</v>
      </c>
      <c r="F329" s="17">
        <v>0.46875</v>
      </c>
      <c r="G329" s="28"/>
      <c r="H329" s="15">
        <f>'Raw Data'!A329</f>
        <v>327</v>
      </c>
      <c r="I329" s="15" t="str">
        <f>'Raw Data'!J329</f>
        <v xml:space="preserve"> Australia </v>
      </c>
      <c r="J329" s="15" t="s">
        <v>36</v>
      </c>
      <c r="K329" s="15" t="str">
        <f t="shared" si="11"/>
        <v>No Change</v>
      </c>
    </row>
    <row r="330" spans="1:11" x14ac:dyDescent="0.25">
      <c r="A330" s="15">
        <f>'Raw Data'!A330</f>
        <v>328</v>
      </c>
      <c r="B330" s="16">
        <f>'Raw Data'!D330</f>
        <v>44136.520833333336</v>
      </c>
      <c r="C330" s="15">
        <v>2020</v>
      </c>
      <c r="D330" s="15" t="str">
        <f t="shared" si="10"/>
        <v>November</v>
      </c>
      <c r="E330" s="15">
        <v>1</v>
      </c>
      <c r="F330" s="17">
        <v>0.52083333333333337</v>
      </c>
      <c r="G330" s="28"/>
      <c r="H330" s="15">
        <f>'Raw Data'!A330</f>
        <v>328</v>
      </c>
      <c r="I330" s="15" t="str">
        <f>'Raw Data'!J330</f>
        <v xml:space="preserve"> India </v>
      </c>
      <c r="J330" s="15" t="s">
        <v>162</v>
      </c>
      <c r="K330" s="15" t="str">
        <f t="shared" si="11"/>
        <v>No Change</v>
      </c>
    </row>
    <row r="331" spans="1:11" x14ac:dyDescent="0.25">
      <c r="A331" s="15">
        <f>'Raw Data'!A331</f>
        <v>329</v>
      </c>
      <c r="B331" s="16">
        <f>'Raw Data'!D331</f>
        <v>44211.923611111109</v>
      </c>
      <c r="C331" s="15">
        <v>2021</v>
      </c>
      <c r="D331" s="15" t="str">
        <f t="shared" si="10"/>
        <v>January</v>
      </c>
      <c r="E331" s="15">
        <v>15</v>
      </c>
      <c r="F331" s="17">
        <v>0.92361111111111116</v>
      </c>
      <c r="G331" s="28"/>
      <c r="H331" s="15">
        <f>'Raw Data'!A331</f>
        <v>329</v>
      </c>
      <c r="I331" s="15" t="str">
        <f>'Raw Data'!J331</f>
        <v xml:space="preserve"> USA </v>
      </c>
      <c r="J331" s="15" t="s">
        <v>2534</v>
      </c>
      <c r="K331" s="15" t="str">
        <f t="shared" si="11"/>
        <v>Updated</v>
      </c>
    </row>
    <row r="332" spans="1:11" x14ac:dyDescent="0.25">
      <c r="A332" s="15">
        <f>'Raw Data'!A332</f>
        <v>330</v>
      </c>
      <c r="B332" s="16">
        <f>'Raw Data'!D332</f>
        <v>43330.583333333336</v>
      </c>
      <c r="C332" s="15">
        <v>2018</v>
      </c>
      <c r="D332" s="15" t="str">
        <f t="shared" si="10"/>
        <v>August</v>
      </c>
      <c r="E332" s="15">
        <v>18</v>
      </c>
      <c r="F332" s="17">
        <v>0.58333333333333337</v>
      </c>
      <c r="G332" s="28"/>
      <c r="H332" s="15">
        <f>'Raw Data'!A332</f>
        <v>330</v>
      </c>
      <c r="I332" s="15" t="str">
        <f>'Raw Data'!J332</f>
        <v xml:space="preserve"> Australia </v>
      </c>
      <c r="J332" s="15" t="s">
        <v>36</v>
      </c>
      <c r="K332" s="15" t="str">
        <f t="shared" si="11"/>
        <v>No Change</v>
      </c>
    </row>
    <row r="333" spans="1:11" x14ac:dyDescent="0.25">
      <c r="A333" s="15">
        <f>'Raw Data'!A333</f>
        <v>331</v>
      </c>
      <c r="B333" s="16">
        <f>'Raw Data'!D333</f>
        <v>44568.465277777781</v>
      </c>
      <c r="C333" s="15">
        <v>2022</v>
      </c>
      <c r="D333" s="15" t="str">
        <f t="shared" si="10"/>
        <v>January</v>
      </c>
      <c r="E333" s="15">
        <v>7</v>
      </c>
      <c r="F333" s="17">
        <v>0.46527777777777779</v>
      </c>
      <c r="G333" s="28"/>
      <c r="H333" s="15">
        <f>'Raw Data'!A333</f>
        <v>331</v>
      </c>
      <c r="I333" s="15" t="str">
        <f>'Raw Data'!J333</f>
        <v xml:space="preserve"> Canada </v>
      </c>
      <c r="J333" s="15" t="s">
        <v>121</v>
      </c>
      <c r="K333" s="15" t="str">
        <f t="shared" si="11"/>
        <v>No Change</v>
      </c>
    </row>
    <row r="334" spans="1:11" x14ac:dyDescent="0.25">
      <c r="A334" s="15">
        <f>'Raw Data'!A334</f>
        <v>332</v>
      </c>
      <c r="B334" s="16">
        <f>'Raw Data'!D334</f>
        <v>43727.145833333336</v>
      </c>
      <c r="C334" s="15">
        <v>2019</v>
      </c>
      <c r="D334" s="15" t="str">
        <f t="shared" si="10"/>
        <v>September</v>
      </c>
      <c r="E334" s="15">
        <v>19</v>
      </c>
      <c r="F334" s="17">
        <v>0.14583333333333334</v>
      </c>
      <c r="G334" s="28"/>
      <c r="H334" s="15">
        <f>'Raw Data'!A334</f>
        <v>332</v>
      </c>
      <c r="I334" s="15" t="str">
        <f>'Raw Data'!J334</f>
        <v xml:space="preserve"> Australia </v>
      </c>
      <c r="J334" s="15" t="s">
        <v>36</v>
      </c>
      <c r="K334" s="15" t="str">
        <f t="shared" si="11"/>
        <v>No Change</v>
      </c>
    </row>
    <row r="335" spans="1:11" x14ac:dyDescent="0.25">
      <c r="A335" s="15">
        <f>'Raw Data'!A335</f>
        <v>333</v>
      </c>
      <c r="B335" s="16">
        <f>'Raw Data'!D335</f>
        <v>44654.260416666664</v>
      </c>
      <c r="C335" s="15">
        <v>2022</v>
      </c>
      <c r="D335" s="15" t="str">
        <f t="shared" si="10"/>
        <v>April</v>
      </c>
      <c r="E335" s="15">
        <v>3</v>
      </c>
      <c r="F335" s="17">
        <v>0.26041666666666669</v>
      </c>
      <c r="G335" s="28"/>
      <c r="H335" s="15">
        <f>'Raw Data'!A335</f>
        <v>333</v>
      </c>
      <c r="I335" s="15" t="str">
        <f>'Raw Data'!J335</f>
        <v xml:space="preserve"> USA               </v>
      </c>
      <c r="J335" s="15" t="s">
        <v>2540</v>
      </c>
      <c r="K335" s="15" t="str">
        <f t="shared" si="11"/>
        <v>Updated</v>
      </c>
    </row>
    <row r="336" spans="1:11" x14ac:dyDescent="0.25">
      <c r="A336" s="15">
        <f>'Raw Data'!A336</f>
        <v>334</v>
      </c>
      <c r="B336" s="16">
        <f>'Raw Data'!D336</f>
        <v>45211.4375</v>
      </c>
      <c r="C336" s="15">
        <v>2023</v>
      </c>
      <c r="D336" s="15" t="str">
        <f t="shared" si="10"/>
        <v>October</v>
      </c>
      <c r="E336" s="15">
        <v>12</v>
      </c>
      <c r="F336" s="17">
        <v>0.4375</v>
      </c>
      <c r="G336" s="28"/>
      <c r="H336" s="15">
        <f>'Raw Data'!A336</f>
        <v>334</v>
      </c>
      <c r="I336" s="15" t="str">
        <f>'Raw Data'!J336</f>
        <v xml:space="preserve"> Canada            </v>
      </c>
      <c r="J336" s="15" t="s">
        <v>1094</v>
      </c>
      <c r="K336" s="15" t="str">
        <f t="shared" si="11"/>
        <v>No Change</v>
      </c>
    </row>
    <row r="337" spans="1:11" x14ac:dyDescent="0.25">
      <c r="A337" s="15">
        <f>'Raw Data'!A337</f>
        <v>335</v>
      </c>
      <c r="B337" s="16">
        <f>'Raw Data'!D337</f>
        <v>43644.791666666664</v>
      </c>
      <c r="C337" s="15">
        <v>2019</v>
      </c>
      <c r="D337" s="15" t="str">
        <f t="shared" si="10"/>
        <v>June</v>
      </c>
      <c r="E337" s="15">
        <v>28</v>
      </c>
      <c r="F337" s="17">
        <v>0.79166666666666663</v>
      </c>
      <c r="G337" s="28"/>
      <c r="H337" s="15">
        <f>'Raw Data'!A337</f>
        <v>335</v>
      </c>
      <c r="I337" s="15" t="str">
        <f>'Raw Data'!J337</f>
        <v xml:space="preserve"> UK                </v>
      </c>
      <c r="J337" s="15" t="s">
        <v>2553</v>
      </c>
      <c r="K337" s="15" t="str">
        <f t="shared" si="11"/>
        <v>Updated</v>
      </c>
    </row>
    <row r="338" spans="1:11" x14ac:dyDescent="0.25">
      <c r="A338" s="15">
        <f>'Raw Data'!A338</f>
        <v>336</v>
      </c>
      <c r="B338" s="16">
        <f>'Raw Data'!D338</f>
        <v>44089.614583333336</v>
      </c>
      <c r="C338" s="15">
        <v>2020</v>
      </c>
      <c r="D338" s="15" t="str">
        <f t="shared" si="10"/>
        <v>September</v>
      </c>
      <c r="E338" s="15">
        <v>15</v>
      </c>
      <c r="F338" s="17">
        <v>0.61458333333333337</v>
      </c>
      <c r="G338" s="28"/>
      <c r="H338" s="15">
        <f>'Raw Data'!A338</f>
        <v>336</v>
      </c>
      <c r="I338" s="15" t="str">
        <f>'Raw Data'!J338</f>
        <v xml:space="preserve"> India              </v>
      </c>
      <c r="J338" s="15" t="s">
        <v>1104</v>
      </c>
      <c r="K338" s="15" t="str">
        <f t="shared" si="11"/>
        <v>No Change</v>
      </c>
    </row>
    <row r="339" spans="1:11" x14ac:dyDescent="0.25">
      <c r="A339" s="15">
        <f>'Raw Data'!A339</f>
        <v>337</v>
      </c>
      <c r="B339" s="16">
        <f>'Raw Data'!D339</f>
        <v>43047.888888888891</v>
      </c>
      <c r="C339" s="15">
        <v>2017</v>
      </c>
      <c r="D339" s="15" t="str">
        <f t="shared" si="10"/>
        <v>November</v>
      </c>
      <c r="E339" s="15">
        <v>8</v>
      </c>
      <c r="F339" s="17">
        <v>0.88888888888888884</v>
      </c>
      <c r="G339" s="28"/>
      <c r="H339" s="15">
        <f>'Raw Data'!A339</f>
        <v>337</v>
      </c>
      <c r="I339" s="15" t="str">
        <f>'Raw Data'!J339</f>
        <v xml:space="preserve"> Australia          </v>
      </c>
      <c r="J339" s="15" t="s">
        <v>1109</v>
      </c>
      <c r="K339" s="15" t="str">
        <f t="shared" si="11"/>
        <v>No Change</v>
      </c>
    </row>
    <row r="340" spans="1:11" x14ac:dyDescent="0.25">
      <c r="A340" s="15">
        <f>'Raw Data'!A340</f>
        <v>338</v>
      </c>
      <c r="B340" s="16">
        <f>'Raw Data'!D340</f>
        <v>44336.729166666664</v>
      </c>
      <c r="C340" s="15">
        <v>2021</v>
      </c>
      <c r="D340" s="15" t="str">
        <f t="shared" si="10"/>
        <v>May</v>
      </c>
      <c r="E340" s="15">
        <v>20</v>
      </c>
      <c r="F340" s="17">
        <v>0.72916666666666663</v>
      </c>
      <c r="G340" s="28"/>
      <c r="H340" s="15">
        <f>'Raw Data'!A340</f>
        <v>338</v>
      </c>
      <c r="I340" s="15" t="str">
        <f>'Raw Data'!J340</f>
        <v xml:space="preserve"> USA               </v>
      </c>
      <c r="J340" s="15" t="s">
        <v>2540</v>
      </c>
      <c r="K340" s="15" t="str">
        <f t="shared" si="11"/>
        <v>Updated</v>
      </c>
    </row>
    <row r="341" spans="1:11" x14ac:dyDescent="0.25">
      <c r="A341" s="15">
        <f>'Raw Data'!A341</f>
        <v>339</v>
      </c>
      <c r="B341" s="16">
        <f>'Raw Data'!D341</f>
        <v>44936.5</v>
      </c>
      <c r="C341" s="15">
        <v>2023</v>
      </c>
      <c r="D341" s="15" t="str">
        <f t="shared" si="10"/>
        <v>January</v>
      </c>
      <c r="E341" s="15">
        <v>10</v>
      </c>
      <c r="F341" s="17">
        <v>0.5</v>
      </c>
      <c r="G341" s="28"/>
      <c r="H341" s="15">
        <f>'Raw Data'!A341</f>
        <v>339</v>
      </c>
      <c r="I341" s="15" t="str">
        <f>'Raw Data'!J341</f>
        <v xml:space="preserve"> France            </v>
      </c>
      <c r="J341" s="15" t="s">
        <v>1116</v>
      </c>
      <c r="K341" s="15" t="str">
        <f t="shared" si="11"/>
        <v>No Change</v>
      </c>
    </row>
    <row r="342" spans="1:11" x14ac:dyDescent="0.25">
      <c r="A342" s="15">
        <f>'Raw Data'!A342</f>
        <v>340</v>
      </c>
      <c r="B342" s="16">
        <f>'Raw Data'!D342</f>
        <v>43439.364583333336</v>
      </c>
      <c r="C342" s="15">
        <v>2018</v>
      </c>
      <c r="D342" s="15" t="str">
        <f t="shared" si="10"/>
        <v>December</v>
      </c>
      <c r="E342" s="15">
        <v>5</v>
      </c>
      <c r="F342" s="17">
        <v>0.36458333333333331</v>
      </c>
      <c r="G342" s="28"/>
      <c r="H342" s="15">
        <f>'Raw Data'!A342</f>
        <v>340</v>
      </c>
      <c r="I342" s="15" t="str">
        <f>'Raw Data'!J342</f>
        <v xml:space="preserve"> Brazil            </v>
      </c>
      <c r="J342" s="15" t="s">
        <v>1121</v>
      </c>
      <c r="K342" s="15" t="str">
        <f t="shared" si="11"/>
        <v>No Change</v>
      </c>
    </row>
    <row r="343" spans="1:11" x14ac:dyDescent="0.25">
      <c r="A343" s="15">
        <f>'Raw Data'!A343</f>
        <v>341</v>
      </c>
      <c r="B343" s="16">
        <f>'Raw Data'!D343</f>
        <v>43905.770833333336</v>
      </c>
      <c r="C343" s="15">
        <v>2020</v>
      </c>
      <c r="D343" s="15" t="str">
        <f t="shared" si="10"/>
        <v>March</v>
      </c>
      <c r="E343" s="15">
        <v>15</v>
      </c>
      <c r="F343" s="17">
        <v>0.77083333333333337</v>
      </c>
      <c r="G343" s="28"/>
      <c r="H343" s="15">
        <f>'Raw Data'!A343</f>
        <v>341</v>
      </c>
      <c r="I343" s="15" t="str">
        <f>'Raw Data'!J343</f>
        <v xml:space="preserve"> Japan             </v>
      </c>
      <c r="J343" s="15" t="s">
        <v>1126</v>
      </c>
      <c r="K343" s="15" t="str">
        <f t="shared" si="11"/>
        <v>No Change</v>
      </c>
    </row>
    <row r="344" spans="1:11" x14ac:dyDescent="0.25">
      <c r="A344" s="15">
        <f>'Raw Data'!A344</f>
        <v>342</v>
      </c>
      <c r="B344" s="16">
        <f>'Raw Data'!D344</f>
        <v>42604.631944444445</v>
      </c>
      <c r="C344" s="15">
        <v>2016</v>
      </c>
      <c r="D344" s="15" t="str">
        <f t="shared" si="10"/>
        <v>August</v>
      </c>
      <c r="E344" s="15">
        <v>22</v>
      </c>
      <c r="F344" s="17">
        <v>0.63194444444444442</v>
      </c>
      <c r="G344" s="28"/>
      <c r="H344" s="15">
        <f>'Raw Data'!A344</f>
        <v>342</v>
      </c>
      <c r="I344" s="15" t="str">
        <f>'Raw Data'!J344</f>
        <v xml:space="preserve"> Greece            </v>
      </c>
      <c r="J344" s="15" t="s">
        <v>1131</v>
      </c>
      <c r="K344" s="15" t="str">
        <f t="shared" si="11"/>
        <v>No Change</v>
      </c>
    </row>
    <row r="345" spans="1:11" x14ac:dyDescent="0.25">
      <c r="A345" s="15">
        <f>'Raw Data'!A345</f>
        <v>343</v>
      </c>
      <c r="B345" s="16">
        <f>'Raw Data'!D345</f>
        <v>43697.666666666664</v>
      </c>
      <c r="C345" s="15">
        <v>2019</v>
      </c>
      <c r="D345" s="15" t="str">
        <f t="shared" si="10"/>
        <v>August</v>
      </c>
      <c r="E345" s="15">
        <v>20</v>
      </c>
      <c r="F345" s="17">
        <v>0.66666666666666663</v>
      </c>
      <c r="G345" s="28"/>
      <c r="H345" s="15">
        <f>'Raw Data'!A345</f>
        <v>343</v>
      </c>
      <c r="I345" s="15" t="str">
        <f>'Raw Data'!J345</f>
        <v xml:space="preserve"> USA               </v>
      </c>
      <c r="J345" s="15" t="s">
        <v>2540</v>
      </c>
      <c r="K345" s="15" t="str">
        <f t="shared" si="11"/>
        <v>Updated</v>
      </c>
    </row>
    <row r="346" spans="1:11" x14ac:dyDescent="0.25">
      <c r="A346" s="15">
        <f>'Raw Data'!A346</f>
        <v>344</v>
      </c>
      <c r="B346" s="16">
        <f>'Raw Data'!D346</f>
        <v>44538.8125</v>
      </c>
      <c r="C346" s="15">
        <v>2021</v>
      </c>
      <c r="D346" s="15" t="str">
        <f t="shared" si="10"/>
        <v>December</v>
      </c>
      <c r="E346" s="15">
        <v>8</v>
      </c>
      <c r="F346" s="17">
        <v>0.8125</v>
      </c>
      <c r="G346" s="28"/>
      <c r="H346" s="15">
        <f>'Raw Data'!A346</f>
        <v>344</v>
      </c>
      <c r="I346" s="15" t="str">
        <f>'Raw Data'!J346</f>
        <v xml:space="preserve"> Canada            </v>
      </c>
      <c r="J346" s="15" t="s">
        <v>1094</v>
      </c>
      <c r="K346" s="15" t="str">
        <f t="shared" si="11"/>
        <v>No Change</v>
      </c>
    </row>
    <row r="347" spans="1:11" x14ac:dyDescent="0.25">
      <c r="A347" s="15">
        <f>'Raw Data'!A347</f>
        <v>345</v>
      </c>
      <c r="B347" s="16">
        <f>'Raw Data'!D347</f>
        <v>43992.864583333336</v>
      </c>
      <c r="C347" s="15">
        <v>2020</v>
      </c>
      <c r="D347" s="15" t="str">
        <f t="shared" si="10"/>
        <v>June</v>
      </c>
      <c r="E347" s="15">
        <v>10</v>
      </c>
      <c r="F347" s="17">
        <v>0.86458333333333337</v>
      </c>
      <c r="G347" s="28"/>
      <c r="H347" s="15">
        <f>'Raw Data'!A347</f>
        <v>345</v>
      </c>
      <c r="I347" s="15" t="str">
        <f>'Raw Data'!J347</f>
        <v xml:space="preserve"> UK                </v>
      </c>
      <c r="J347" s="15" t="s">
        <v>2553</v>
      </c>
      <c r="K347" s="15" t="str">
        <f t="shared" si="11"/>
        <v>Updated</v>
      </c>
    </row>
    <row r="348" spans="1:11" x14ac:dyDescent="0.25">
      <c r="A348" s="15">
        <f>'Raw Data'!A348</f>
        <v>346</v>
      </c>
      <c r="B348" s="16">
        <f>'Raw Data'!D348</f>
        <v>44620.302083333336</v>
      </c>
      <c r="C348" s="15">
        <v>2022</v>
      </c>
      <c r="D348" s="15" t="str">
        <f t="shared" si="10"/>
        <v>February</v>
      </c>
      <c r="E348" s="15">
        <v>28</v>
      </c>
      <c r="F348" s="17">
        <v>0.30208333333333331</v>
      </c>
      <c r="G348" s="28"/>
      <c r="H348" s="15">
        <f>'Raw Data'!A348</f>
        <v>346</v>
      </c>
      <c r="I348" s="15" t="str">
        <f>'Raw Data'!J348</f>
        <v xml:space="preserve"> Australia          </v>
      </c>
      <c r="J348" s="15" t="s">
        <v>1109</v>
      </c>
      <c r="K348" s="15" t="str">
        <f t="shared" si="11"/>
        <v>No Change</v>
      </c>
    </row>
    <row r="349" spans="1:11" x14ac:dyDescent="0.25">
      <c r="A349" s="15">
        <f>'Raw Data'!A349</f>
        <v>347</v>
      </c>
      <c r="B349" s="16">
        <f>'Raw Data'!D349</f>
        <v>42840.333333333336</v>
      </c>
      <c r="C349" s="15">
        <v>2017</v>
      </c>
      <c r="D349" s="15" t="str">
        <f t="shared" si="10"/>
        <v>April</v>
      </c>
      <c r="E349" s="15">
        <v>15</v>
      </c>
      <c r="F349" s="17">
        <v>0.33333333333333331</v>
      </c>
      <c r="G349" s="28"/>
      <c r="H349" s="15">
        <f>'Raw Data'!A349</f>
        <v>347</v>
      </c>
      <c r="I349" s="15" t="str">
        <f>'Raw Data'!J349</f>
        <v xml:space="preserve"> India             </v>
      </c>
      <c r="J349" s="15" t="s">
        <v>1151</v>
      </c>
      <c r="K349" s="15" t="str">
        <f t="shared" si="11"/>
        <v>No Change</v>
      </c>
    </row>
    <row r="350" spans="1:11" x14ac:dyDescent="0.25">
      <c r="A350" s="15">
        <f>'Raw Data'!A350</f>
        <v>348</v>
      </c>
      <c r="B350" s="16">
        <f>'Raw Data'!D350</f>
        <v>43348.597222222219</v>
      </c>
      <c r="C350" s="15">
        <v>2018</v>
      </c>
      <c r="D350" s="15" t="str">
        <f t="shared" si="10"/>
        <v>September</v>
      </c>
      <c r="E350" s="15">
        <v>5</v>
      </c>
      <c r="F350" s="17">
        <v>0.59722222222222221</v>
      </c>
      <c r="G350" s="28"/>
      <c r="H350" s="15">
        <f>'Raw Data'!A350</f>
        <v>348</v>
      </c>
      <c r="I350" s="15" t="str">
        <f>'Raw Data'!J350</f>
        <v xml:space="preserve"> USA               </v>
      </c>
      <c r="J350" s="15" t="s">
        <v>2540</v>
      </c>
      <c r="K350" s="15" t="str">
        <f t="shared" si="11"/>
        <v>Updated</v>
      </c>
    </row>
    <row r="351" spans="1:11" x14ac:dyDescent="0.25">
      <c r="A351" s="15">
        <f>'Raw Data'!A351</f>
        <v>349</v>
      </c>
      <c r="B351" s="16">
        <f>'Raw Data'!D351</f>
        <v>44856.53125</v>
      </c>
      <c r="C351" s="15">
        <v>2022</v>
      </c>
      <c r="D351" s="15" t="str">
        <f t="shared" si="10"/>
        <v>October</v>
      </c>
      <c r="E351" s="15">
        <v>22</v>
      </c>
      <c r="F351" s="17">
        <v>0.53125</v>
      </c>
      <c r="G351" s="28"/>
      <c r="H351" s="15">
        <f>'Raw Data'!A351</f>
        <v>349</v>
      </c>
      <c r="I351" s="15" t="str">
        <f>'Raw Data'!J351</f>
        <v xml:space="preserve"> Canada            </v>
      </c>
      <c r="J351" s="15" t="s">
        <v>1094</v>
      </c>
      <c r="K351" s="15" t="str">
        <f t="shared" si="11"/>
        <v>No Change</v>
      </c>
    </row>
    <row r="352" spans="1:11" x14ac:dyDescent="0.25">
      <c r="A352" s="15">
        <f>'Raw Data'!A352</f>
        <v>350</v>
      </c>
      <c r="B352" s="16">
        <f>'Raw Data'!D352</f>
        <v>42553.979166666664</v>
      </c>
      <c r="C352" s="15">
        <v>2016</v>
      </c>
      <c r="D352" s="15" t="str">
        <f t="shared" si="10"/>
        <v>July</v>
      </c>
      <c r="E352" s="15">
        <v>2</v>
      </c>
      <c r="F352" s="17">
        <v>0.97916666666666663</v>
      </c>
      <c r="G352" s="28"/>
      <c r="H352" s="15">
        <f>'Raw Data'!A352</f>
        <v>350</v>
      </c>
      <c r="I352" s="15" t="str">
        <f>'Raw Data'!J352</f>
        <v xml:space="preserve"> UK                </v>
      </c>
      <c r="J352" s="15" t="s">
        <v>2553</v>
      </c>
      <c r="K352" s="15" t="str">
        <f t="shared" si="11"/>
        <v>Updated</v>
      </c>
    </row>
    <row r="353" spans="1:11" x14ac:dyDescent="0.25">
      <c r="A353" s="15">
        <f>'Raw Data'!A353</f>
        <v>351</v>
      </c>
      <c r="B353" s="16">
        <f>'Raw Data'!D353</f>
        <v>44153.715277777781</v>
      </c>
      <c r="C353" s="15">
        <v>2020</v>
      </c>
      <c r="D353" s="15" t="str">
        <f t="shared" si="10"/>
        <v>November</v>
      </c>
      <c r="E353" s="15">
        <v>18</v>
      </c>
      <c r="F353" s="17">
        <v>0.71527777777777779</v>
      </c>
      <c r="G353" s="28"/>
      <c r="H353" s="15">
        <f>'Raw Data'!A353</f>
        <v>351</v>
      </c>
      <c r="I353" s="15" t="str">
        <f>'Raw Data'!J353</f>
        <v xml:space="preserve"> India             </v>
      </c>
      <c r="J353" s="15" t="s">
        <v>1151</v>
      </c>
      <c r="K353" s="15" t="str">
        <f t="shared" si="11"/>
        <v>No Change</v>
      </c>
    </row>
    <row r="354" spans="1:11" x14ac:dyDescent="0.25">
      <c r="A354" s="15">
        <f>'Raw Data'!A354</f>
        <v>352</v>
      </c>
      <c r="B354" s="16">
        <f>'Raw Data'!D354</f>
        <v>44990.625</v>
      </c>
      <c r="C354" s="15">
        <v>2023</v>
      </c>
      <c r="D354" s="15" t="str">
        <f t="shared" si="10"/>
        <v>March</v>
      </c>
      <c r="E354" s="15">
        <v>5</v>
      </c>
      <c r="F354" s="17">
        <v>0.625</v>
      </c>
      <c r="G354" s="28"/>
      <c r="H354" s="15">
        <f>'Raw Data'!A354</f>
        <v>352</v>
      </c>
      <c r="I354" s="15" t="str">
        <f>'Raw Data'!J354</f>
        <v xml:space="preserve"> Australia          </v>
      </c>
      <c r="J354" s="15" t="s">
        <v>1109</v>
      </c>
      <c r="K354" s="15" t="str">
        <f t="shared" si="11"/>
        <v>No Change</v>
      </c>
    </row>
    <row r="355" spans="1:11" x14ac:dyDescent="0.25">
      <c r="A355" s="15">
        <f>'Raw Data'!A355</f>
        <v>353</v>
      </c>
      <c r="B355" s="16">
        <f>'Raw Data'!D355</f>
        <v>42339.479166666664</v>
      </c>
      <c r="C355" s="15">
        <v>2015</v>
      </c>
      <c r="D355" s="15" t="str">
        <f t="shared" si="10"/>
        <v>December</v>
      </c>
      <c r="E355" s="15">
        <v>1</v>
      </c>
      <c r="F355" s="17">
        <v>0.47916666666666669</v>
      </c>
      <c r="G355" s="28"/>
      <c r="H355" s="15">
        <f>'Raw Data'!A355</f>
        <v>353</v>
      </c>
      <c r="I355" s="15" t="str">
        <f>'Raw Data'!J355</f>
        <v xml:space="preserve"> USA               </v>
      </c>
      <c r="J355" s="15" t="s">
        <v>2540</v>
      </c>
      <c r="K355" s="15" t="str">
        <f t="shared" si="11"/>
        <v>Updated</v>
      </c>
    </row>
    <row r="356" spans="1:11" x14ac:dyDescent="0.25">
      <c r="A356" s="15">
        <f>'Raw Data'!A356</f>
        <v>354</v>
      </c>
      <c r="B356" s="16">
        <f>'Raw Data'!D356</f>
        <v>44449.40625</v>
      </c>
      <c r="C356" s="15">
        <v>2021</v>
      </c>
      <c r="D356" s="15" t="str">
        <f t="shared" si="10"/>
        <v>September</v>
      </c>
      <c r="E356" s="15">
        <v>10</v>
      </c>
      <c r="F356" s="17">
        <v>0.40625</v>
      </c>
      <c r="G356" s="28"/>
      <c r="H356" s="15">
        <f>'Raw Data'!A356</f>
        <v>354</v>
      </c>
      <c r="I356" s="15" t="str">
        <f>'Raw Data'!J356</f>
        <v xml:space="preserve"> UK                </v>
      </c>
      <c r="J356" s="15" t="s">
        <v>2553</v>
      </c>
      <c r="K356" s="15" t="str">
        <f t="shared" si="11"/>
        <v>Updated</v>
      </c>
    </row>
    <row r="357" spans="1:11" x14ac:dyDescent="0.25">
      <c r="A357" s="15">
        <f>'Raw Data'!A357</f>
        <v>355</v>
      </c>
      <c r="B357" s="16">
        <f>'Raw Data'!D357</f>
        <v>43232.597222222219</v>
      </c>
      <c r="C357" s="15">
        <v>2018</v>
      </c>
      <c r="D357" s="15" t="str">
        <f t="shared" si="10"/>
        <v>May</v>
      </c>
      <c r="E357" s="15">
        <v>12</v>
      </c>
      <c r="F357" s="17">
        <v>0.59722222222222221</v>
      </c>
      <c r="G357" s="28"/>
      <c r="H357" s="15">
        <f>'Raw Data'!A357</f>
        <v>355</v>
      </c>
      <c r="I357" s="15" t="str">
        <f>'Raw Data'!J357</f>
        <v xml:space="preserve"> Canada            </v>
      </c>
      <c r="J357" s="15" t="s">
        <v>1094</v>
      </c>
      <c r="K357" s="15" t="str">
        <f t="shared" si="11"/>
        <v>No Change</v>
      </c>
    </row>
    <row r="358" spans="1:11" x14ac:dyDescent="0.25">
      <c r="A358" s="15">
        <f>'Raw Data'!A358</f>
        <v>356</v>
      </c>
      <c r="B358" s="16">
        <f>'Raw Data'!D358</f>
        <v>44767.416666666664</v>
      </c>
      <c r="C358" s="15">
        <v>2022</v>
      </c>
      <c r="D358" s="15" t="str">
        <f t="shared" si="10"/>
        <v>July</v>
      </c>
      <c r="E358" s="15">
        <v>25</v>
      </c>
      <c r="F358" s="17">
        <v>0.41666666666666669</v>
      </c>
      <c r="G358" s="28"/>
      <c r="H358" s="15">
        <f>'Raw Data'!A358</f>
        <v>356</v>
      </c>
      <c r="I358" s="15" t="str">
        <f>'Raw Data'!J358</f>
        <v xml:space="preserve"> India             </v>
      </c>
      <c r="J358" s="15" t="s">
        <v>1151</v>
      </c>
      <c r="K358" s="15" t="str">
        <f t="shared" si="11"/>
        <v>No Change</v>
      </c>
    </row>
    <row r="359" spans="1:11" x14ac:dyDescent="0.25">
      <c r="A359" s="15">
        <f>'Raw Data'!A359</f>
        <v>357</v>
      </c>
      <c r="B359" s="16">
        <f>'Raw Data'!D359</f>
        <v>43532.770833333336</v>
      </c>
      <c r="C359" s="15">
        <v>2019</v>
      </c>
      <c r="D359" s="15" t="str">
        <f t="shared" si="10"/>
        <v>March</v>
      </c>
      <c r="E359" s="15">
        <v>8</v>
      </c>
      <c r="F359" s="17">
        <v>0.77083333333333337</v>
      </c>
      <c r="G359" s="28"/>
      <c r="H359" s="15">
        <f>'Raw Data'!A359</f>
        <v>357</v>
      </c>
      <c r="I359" s="15" t="str">
        <f>'Raw Data'!J359</f>
        <v xml:space="preserve"> USA               </v>
      </c>
      <c r="J359" s="15" t="s">
        <v>2540</v>
      </c>
      <c r="K359" s="15" t="str">
        <f t="shared" si="11"/>
        <v>Updated</v>
      </c>
    </row>
    <row r="360" spans="1:11" x14ac:dyDescent="0.25">
      <c r="A360" s="15">
        <f>'Raw Data'!A360</f>
        <v>358</v>
      </c>
      <c r="B360" s="16">
        <f>'Raw Data'!D360</f>
        <v>42763.885416666664</v>
      </c>
      <c r="C360" s="15">
        <v>2017</v>
      </c>
      <c r="D360" s="15" t="str">
        <f t="shared" si="10"/>
        <v>January</v>
      </c>
      <c r="E360" s="15">
        <v>28</v>
      </c>
      <c r="F360" s="17">
        <v>0.88541666666666663</v>
      </c>
      <c r="G360" s="28"/>
      <c r="H360" s="15">
        <f>'Raw Data'!A360</f>
        <v>358</v>
      </c>
      <c r="I360" s="15" t="str">
        <f>'Raw Data'!J360</f>
        <v xml:space="preserve"> Australia          </v>
      </c>
      <c r="J360" s="15" t="s">
        <v>1109</v>
      </c>
      <c r="K360" s="15" t="str">
        <f t="shared" si="11"/>
        <v>No Change</v>
      </c>
    </row>
    <row r="361" spans="1:11" x14ac:dyDescent="0.25">
      <c r="A361" s="15">
        <f>'Raw Data'!A361</f>
        <v>359</v>
      </c>
      <c r="B361" s="16">
        <f>'Raw Data'!D361</f>
        <v>42688.572916666664</v>
      </c>
      <c r="C361" s="15">
        <v>2016</v>
      </c>
      <c r="D361" s="15" t="str">
        <f t="shared" si="10"/>
        <v>November</v>
      </c>
      <c r="E361" s="15">
        <v>14</v>
      </c>
      <c r="F361" s="17">
        <v>0.57291666666666663</v>
      </c>
      <c r="G361" s="28"/>
      <c r="H361" s="15">
        <f>'Raw Data'!A361</f>
        <v>359</v>
      </c>
      <c r="I361" s="15" t="str">
        <f>'Raw Data'!J361</f>
        <v xml:space="preserve"> UK                </v>
      </c>
      <c r="J361" s="15" t="s">
        <v>2553</v>
      </c>
      <c r="K361" s="15" t="str">
        <f t="shared" si="11"/>
        <v>Updated</v>
      </c>
    </row>
    <row r="362" spans="1:11" x14ac:dyDescent="0.25">
      <c r="A362" s="15">
        <f>'Raw Data'!A362</f>
        <v>360</v>
      </c>
      <c r="B362" s="16">
        <f>'Raw Data'!D362</f>
        <v>43923.729166666664</v>
      </c>
      <c r="C362" s="15">
        <v>2020</v>
      </c>
      <c r="D362" s="15" t="str">
        <f t="shared" si="10"/>
        <v>April</v>
      </c>
      <c r="E362" s="15">
        <v>2</v>
      </c>
      <c r="F362" s="17">
        <v>0.72916666666666663</v>
      </c>
      <c r="G362" s="28"/>
      <c r="H362" s="15">
        <f>'Raw Data'!A362</f>
        <v>360</v>
      </c>
      <c r="I362" s="15" t="str">
        <f>'Raw Data'!J362</f>
        <v xml:space="preserve"> USA               </v>
      </c>
      <c r="J362" s="15" t="s">
        <v>2540</v>
      </c>
      <c r="K362" s="15" t="str">
        <f t="shared" si="11"/>
        <v>Updated</v>
      </c>
    </row>
    <row r="363" spans="1:11" x14ac:dyDescent="0.25">
      <c r="A363" s="15">
        <f>'Raw Data'!A363</f>
        <v>361</v>
      </c>
      <c r="B363" s="16">
        <f>'Raw Data'!D363</f>
        <v>44941.791666666664</v>
      </c>
      <c r="C363" s="15">
        <v>2023</v>
      </c>
      <c r="D363" s="15" t="str">
        <f t="shared" si="10"/>
        <v>January</v>
      </c>
      <c r="E363" s="15">
        <v>15</v>
      </c>
      <c r="F363" s="17">
        <v>0.79166666666666663</v>
      </c>
      <c r="G363" s="28"/>
      <c r="H363" s="15">
        <f>'Raw Data'!A363</f>
        <v>361</v>
      </c>
      <c r="I363" s="15" t="str">
        <f>'Raw Data'!J363</f>
        <v xml:space="preserve"> Canada            </v>
      </c>
      <c r="J363" s="15" t="s">
        <v>1094</v>
      </c>
      <c r="K363" s="15" t="str">
        <f t="shared" si="11"/>
        <v>No Change</v>
      </c>
    </row>
    <row r="364" spans="1:11" x14ac:dyDescent="0.25">
      <c r="A364" s="15">
        <f>'Raw Data'!A364</f>
        <v>362</v>
      </c>
      <c r="B364" s="16">
        <f>'Raw Data'!D364</f>
        <v>43319.510416666664</v>
      </c>
      <c r="C364" s="15">
        <v>2018</v>
      </c>
      <c r="D364" s="15" t="str">
        <f t="shared" si="10"/>
        <v>August</v>
      </c>
      <c r="E364" s="15">
        <v>7</v>
      </c>
      <c r="F364" s="17">
        <v>0.51041666666666663</v>
      </c>
      <c r="G364" s="28"/>
      <c r="H364" s="15">
        <f>'Raw Data'!A364</f>
        <v>362</v>
      </c>
      <c r="I364" s="15" t="str">
        <f>'Raw Data'!J364</f>
        <v xml:space="preserve"> India             </v>
      </c>
      <c r="J364" s="15" t="s">
        <v>1151</v>
      </c>
      <c r="K364" s="15" t="str">
        <f t="shared" si="11"/>
        <v>No Change</v>
      </c>
    </row>
    <row r="365" spans="1:11" x14ac:dyDescent="0.25">
      <c r="A365" s="15">
        <f>'Raw Data'!A365</f>
        <v>363</v>
      </c>
      <c r="B365" s="16">
        <f>'Raw Data'!D365</f>
        <v>43756.697916666664</v>
      </c>
      <c r="C365" s="15">
        <v>2019</v>
      </c>
      <c r="D365" s="15" t="str">
        <f t="shared" si="10"/>
        <v>October</v>
      </c>
      <c r="E365" s="15">
        <v>18</v>
      </c>
      <c r="F365" s="17">
        <v>0.69791666666666663</v>
      </c>
      <c r="G365" s="28"/>
      <c r="H365" s="15">
        <f>'Raw Data'!A365</f>
        <v>363</v>
      </c>
      <c r="I365" s="15" t="str">
        <f>'Raw Data'!J365</f>
        <v xml:space="preserve"> UK                </v>
      </c>
      <c r="J365" s="15" t="s">
        <v>2553</v>
      </c>
      <c r="K365" s="15" t="str">
        <f t="shared" si="11"/>
        <v>Updated</v>
      </c>
    </row>
    <row r="366" spans="1:11" x14ac:dyDescent="0.25">
      <c r="A366" s="15">
        <f>'Raw Data'!A366</f>
        <v>364</v>
      </c>
      <c r="B366" s="16">
        <f>'Raw Data'!D366</f>
        <v>44742.291666666664</v>
      </c>
      <c r="C366" s="15">
        <v>2022</v>
      </c>
      <c r="D366" s="15" t="str">
        <f t="shared" si="10"/>
        <v>June</v>
      </c>
      <c r="E366" s="15">
        <v>30</v>
      </c>
      <c r="F366" s="17">
        <v>0.29166666666666669</v>
      </c>
      <c r="G366" s="28"/>
      <c r="H366" s="15">
        <f>'Raw Data'!A366</f>
        <v>364</v>
      </c>
      <c r="I366" s="15" t="str">
        <f>'Raw Data'!J366</f>
        <v xml:space="preserve"> Australia          </v>
      </c>
      <c r="J366" s="15" t="s">
        <v>1109</v>
      </c>
      <c r="K366" s="15" t="str">
        <f t="shared" si="11"/>
        <v>No Change</v>
      </c>
    </row>
    <row r="367" spans="1:11" x14ac:dyDescent="0.25">
      <c r="A367" s="15">
        <f>'Raw Data'!A367</f>
        <v>365</v>
      </c>
      <c r="B367" s="16">
        <f>'Raw Data'!D367</f>
        <v>42898.763888888891</v>
      </c>
      <c r="C367" s="15">
        <v>2017</v>
      </c>
      <c r="D367" s="15" t="str">
        <f t="shared" si="10"/>
        <v>June</v>
      </c>
      <c r="E367" s="15">
        <v>12</v>
      </c>
      <c r="F367" s="17">
        <v>0.76388888888888884</v>
      </c>
      <c r="G367" s="28"/>
      <c r="H367" s="15">
        <f>'Raw Data'!A367</f>
        <v>365</v>
      </c>
      <c r="I367" s="15" t="str">
        <f>'Raw Data'!J367</f>
        <v xml:space="preserve"> USA               </v>
      </c>
      <c r="J367" s="15" t="s">
        <v>2540</v>
      </c>
      <c r="K367" s="15" t="str">
        <f t="shared" si="11"/>
        <v>Updated</v>
      </c>
    </row>
    <row r="368" spans="1:11" x14ac:dyDescent="0.25">
      <c r="A368" s="15">
        <f>'Raw Data'!A368</f>
        <v>366</v>
      </c>
      <c r="B368" s="16">
        <f>'Raw Data'!D368</f>
        <v>44382.395833333336</v>
      </c>
      <c r="C368" s="15">
        <v>2021</v>
      </c>
      <c r="D368" s="15" t="str">
        <f t="shared" si="10"/>
        <v>July</v>
      </c>
      <c r="E368" s="15">
        <v>5</v>
      </c>
      <c r="F368" s="17">
        <v>0.39583333333333331</v>
      </c>
      <c r="G368" s="28"/>
      <c r="H368" s="15">
        <f>'Raw Data'!A368</f>
        <v>366</v>
      </c>
      <c r="I368" s="15" t="str">
        <f>'Raw Data'!J368</f>
        <v xml:space="preserve"> Canada            </v>
      </c>
      <c r="J368" s="15" t="s">
        <v>1094</v>
      </c>
      <c r="K368" s="15" t="str">
        <f t="shared" si="11"/>
        <v>No Change</v>
      </c>
    </row>
    <row r="369" spans="1:11" x14ac:dyDescent="0.25">
      <c r="A369" s="15">
        <f>'Raw Data'!A369</f>
        <v>367</v>
      </c>
      <c r="B369" s="16">
        <f>'Raw Data'!D369</f>
        <v>42475.618055555555</v>
      </c>
      <c r="C369" s="15">
        <v>2016</v>
      </c>
      <c r="D369" s="15" t="str">
        <f t="shared" si="10"/>
        <v>April</v>
      </c>
      <c r="E369" s="15">
        <v>15</v>
      </c>
      <c r="F369" s="17">
        <v>0.61805555555555558</v>
      </c>
      <c r="G369" s="28"/>
      <c r="H369" s="15">
        <f>'Raw Data'!A369</f>
        <v>367</v>
      </c>
      <c r="I369" s="15" t="str">
        <f>'Raw Data'!J369</f>
        <v xml:space="preserve"> UK                </v>
      </c>
      <c r="J369" s="15" t="s">
        <v>2553</v>
      </c>
      <c r="K369" s="15" t="str">
        <f t="shared" si="11"/>
        <v>Updated</v>
      </c>
    </row>
    <row r="370" spans="1:11" x14ac:dyDescent="0.25">
      <c r="A370" s="15">
        <f>'Raw Data'!A370</f>
        <v>368</v>
      </c>
      <c r="B370" s="16">
        <f>'Raw Data'!D370</f>
        <v>43871.46875</v>
      </c>
      <c r="C370" s="15">
        <v>2020</v>
      </c>
      <c r="D370" s="15" t="str">
        <f t="shared" si="10"/>
        <v>February</v>
      </c>
      <c r="E370" s="15">
        <v>10</v>
      </c>
      <c r="F370" s="17">
        <v>0.46875</v>
      </c>
      <c r="G370" s="28"/>
      <c r="H370" s="15">
        <f>'Raw Data'!A370</f>
        <v>368</v>
      </c>
      <c r="I370" s="15" t="str">
        <f>'Raw Data'!J370</f>
        <v xml:space="preserve"> India             </v>
      </c>
      <c r="J370" s="15" t="s">
        <v>1151</v>
      </c>
      <c r="K370" s="15" t="str">
        <f t="shared" si="11"/>
        <v>No Change</v>
      </c>
    </row>
    <row r="371" spans="1:11" x14ac:dyDescent="0.25">
      <c r="A371" s="15">
        <f>'Raw Data'!A371</f>
        <v>369</v>
      </c>
      <c r="B371" s="16">
        <f>'Raw Data'!D371</f>
        <v>43365.6875</v>
      </c>
      <c r="C371" s="15">
        <v>2018</v>
      </c>
      <c r="D371" s="15" t="str">
        <f t="shared" si="10"/>
        <v>September</v>
      </c>
      <c r="E371" s="15">
        <v>22</v>
      </c>
      <c r="F371" s="17">
        <v>0.6875</v>
      </c>
      <c r="G371" s="28"/>
      <c r="H371" s="15">
        <f>'Raw Data'!A371</f>
        <v>369</v>
      </c>
      <c r="I371" s="15" t="str">
        <f>'Raw Data'!J371</f>
        <v xml:space="preserve"> USA               </v>
      </c>
      <c r="J371" s="15" t="s">
        <v>2540</v>
      </c>
      <c r="K371" s="15" t="str">
        <f t="shared" si="11"/>
        <v>Updated</v>
      </c>
    </row>
    <row r="372" spans="1:11" x14ac:dyDescent="0.25">
      <c r="A372" s="15">
        <f>'Raw Data'!A372</f>
        <v>370</v>
      </c>
      <c r="B372" s="16">
        <f>'Raw Data'!D372</f>
        <v>42316.416666666664</v>
      </c>
      <c r="C372" s="15">
        <v>2015</v>
      </c>
      <c r="D372" s="15" t="str">
        <f t="shared" si="10"/>
        <v>November</v>
      </c>
      <c r="E372" s="15">
        <v>8</v>
      </c>
      <c r="F372" s="17">
        <v>0.41666666666666669</v>
      </c>
      <c r="G372" s="28"/>
      <c r="H372" s="15">
        <f>'Raw Data'!A372</f>
        <v>370</v>
      </c>
      <c r="I372" s="15" t="str">
        <f>'Raw Data'!J372</f>
        <v xml:space="preserve"> Australia          </v>
      </c>
      <c r="J372" s="15" t="s">
        <v>1109</v>
      </c>
      <c r="K372" s="15" t="str">
        <f t="shared" si="11"/>
        <v>No Change</v>
      </c>
    </row>
    <row r="373" spans="1:11" x14ac:dyDescent="0.25">
      <c r="A373" s="15">
        <f>'Raw Data'!A373</f>
        <v>371</v>
      </c>
      <c r="B373" s="16">
        <f>'Raw Data'!D373</f>
        <v>44783.916666666664</v>
      </c>
      <c r="C373" s="15">
        <v>2022</v>
      </c>
      <c r="D373" s="15" t="str">
        <f t="shared" si="10"/>
        <v>August</v>
      </c>
      <c r="E373" s="15">
        <v>10</v>
      </c>
      <c r="F373" s="17">
        <v>0.91666666666666663</v>
      </c>
      <c r="G373" s="28"/>
      <c r="H373" s="15">
        <f>'Raw Data'!A373</f>
        <v>371</v>
      </c>
      <c r="I373" s="15" t="str">
        <f>'Raw Data'!J373</f>
        <v xml:space="preserve"> Brazil           </v>
      </c>
      <c r="J373" s="15" t="s">
        <v>1239</v>
      </c>
      <c r="K373" s="15" t="str">
        <f t="shared" si="11"/>
        <v>No Change</v>
      </c>
    </row>
    <row r="374" spans="1:11" x14ac:dyDescent="0.25">
      <c r="A374" s="15">
        <f>'Raw Data'!A374</f>
        <v>372</v>
      </c>
      <c r="B374" s="16">
        <f>'Raw Data'!D374</f>
        <v>43560.729166666664</v>
      </c>
      <c r="C374" s="15">
        <v>2019</v>
      </c>
      <c r="D374" s="15" t="str">
        <f t="shared" si="10"/>
        <v>April</v>
      </c>
      <c r="E374" s="15">
        <v>5</v>
      </c>
      <c r="F374" s="17">
        <v>0.72916666666666663</v>
      </c>
      <c r="G374" s="28"/>
      <c r="H374" s="15">
        <f>'Raw Data'!A374</f>
        <v>372</v>
      </c>
      <c r="I374" s="15" t="str">
        <f>'Raw Data'!J374</f>
        <v xml:space="preserve"> France           </v>
      </c>
      <c r="J374" s="15" t="s">
        <v>1244</v>
      </c>
      <c r="K374" s="15" t="str">
        <f t="shared" si="11"/>
        <v>No Change</v>
      </c>
    </row>
    <row r="375" spans="1:11" x14ac:dyDescent="0.25">
      <c r="A375" s="15">
        <f>'Raw Data'!A375</f>
        <v>373</v>
      </c>
      <c r="B375" s="16">
        <f>'Raw Data'!D375</f>
        <v>44180.65625</v>
      </c>
      <c r="C375" s="15">
        <v>2020</v>
      </c>
      <c r="D375" s="15" t="str">
        <f t="shared" si="10"/>
        <v>December</v>
      </c>
      <c r="E375" s="15">
        <v>15</v>
      </c>
      <c r="F375" s="17">
        <v>0.65625</v>
      </c>
      <c r="G375" s="28"/>
      <c r="H375" s="15">
        <f>'Raw Data'!A375</f>
        <v>373</v>
      </c>
      <c r="I375" s="15" t="str">
        <f>'Raw Data'!J375</f>
        <v xml:space="preserve"> Japan            </v>
      </c>
      <c r="J375" s="15" t="s">
        <v>1249</v>
      </c>
      <c r="K375" s="15" t="str">
        <f t="shared" si="11"/>
        <v>No Change</v>
      </c>
    </row>
    <row r="376" spans="1:11" x14ac:dyDescent="0.25">
      <c r="A376" s="15">
        <f>'Raw Data'!A376</f>
        <v>374</v>
      </c>
      <c r="B376" s="16">
        <f>'Raw Data'!D376</f>
        <v>43028.34375</v>
      </c>
      <c r="C376" s="15">
        <v>2017</v>
      </c>
      <c r="D376" s="15" t="str">
        <f t="shared" si="10"/>
        <v>October</v>
      </c>
      <c r="E376" s="15">
        <v>20</v>
      </c>
      <c r="F376" s="17">
        <v>0.34375</v>
      </c>
      <c r="G376" s="28"/>
      <c r="H376" s="15">
        <f>'Raw Data'!A376</f>
        <v>374</v>
      </c>
      <c r="I376" s="15" t="str">
        <f>'Raw Data'!J376</f>
        <v xml:space="preserve"> Canada           </v>
      </c>
      <c r="J376" s="15" t="s">
        <v>1254</v>
      </c>
      <c r="K376" s="15" t="str">
        <f t="shared" si="11"/>
        <v>No Change</v>
      </c>
    </row>
    <row r="377" spans="1:11" x14ac:dyDescent="0.25">
      <c r="A377" s="15">
        <f>'Raw Data'!A377</f>
        <v>375</v>
      </c>
      <c r="B377" s="16">
        <f>'Raw Data'!D377</f>
        <v>44255.541666666664</v>
      </c>
      <c r="C377" s="15">
        <v>2021</v>
      </c>
      <c r="D377" s="15" t="str">
        <f t="shared" si="10"/>
        <v>February</v>
      </c>
      <c r="E377" s="15">
        <v>28</v>
      </c>
      <c r="F377" s="17">
        <v>0.54166666666666663</v>
      </c>
      <c r="G377" s="28"/>
      <c r="H377" s="15">
        <f>'Raw Data'!A377</f>
        <v>375</v>
      </c>
      <c r="I377" s="15" t="str">
        <f>'Raw Data'!J377</f>
        <v xml:space="preserve"> Australia         </v>
      </c>
      <c r="J377" s="15" t="s">
        <v>1259</v>
      </c>
      <c r="K377" s="15" t="str">
        <f t="shared" si="11"/>
        <v>No Change</v>
      </c>
    </row>
    <row r="378" spans="1:11" x14ac:dyDescent="0.25">
      <c r="A378" s="15">
        <f>'Raw Data'!A378</f>
        <v>376</v>
      </c>
      <c r="B378" s="16">
        <f>'Raw Data'!D378</f>
        <v>43263.854166666664</v>
      </c>
      <c r="C378" s="15">
        <v>2018</v>
      </c>
      <c r="D378" s="15" t="str">
        <f t="shared" si="10"/>
        <v>June</v>
      </c>
      <c r="E378" s="15">
        <v>12</v>
      </c>
      <c r="F378" s="17">
        <v>0.85416666666666663</v>
      </c>
      <c r="G378" s="28"/>
      <c r="H378" s="15">
        <f>'Raw Data'!A378</f>
        <v>376</v>
      </c>
      <c r="I378" s="15" t="str">
        <f>'Raw Data'!J378</f>
        <v xml:space="preserve"> UK               </v>
      </c>
      <c r="J378" s="15" t="s">
        <v>2554</v>
      </c>
      <c r="K378" s="15" t="str">
        <f t="shared" si="11"/>
        <v>Updated</v>
      </c>
    </row>
    <row r="379" spans="1:11" x14ac:dyDescent="0.25">
      <c r="A379" s="15">
        <f>'Raw Data'!A379</f>
        <v>377</v>
      </c>
      <c r="B379" s="16">
        <f>'Raw Data'!D379</f>
        <v>42437.597222222219</v>
      </c>
      <c r="C379" s="15">
        <v>2016</v>
      </c>
      <c r="D379" s="15" t="str">
        <f t="shared" si="10"/>
        <v>March</v>
      </c>
      <c r="E379" s="15">
        <v>8</v>
      </c>
      <c r="F379" s="17">
        <v>0.59722222222222221</v>
      </c>
      <c r="G379" s="28"/>
      <c r="H379" s="15">
        <f>'Raw Data'!A379</f>
        <v>377</v>
      </c>
      <c r="I379" s="15" t="str">
        <f>'Raw Data'!J379</f>
        <v xml:space="preserve"> USA             </v>
      </c>
      <c r="J379" s="15" t="s">
        <v>2541</v>
      </c>
      <c r="K379" s="15" t="str">
        <f t="shared" si="11"/>
        <v>Updated</v>
      </c>
    </row>
    <row r="380" spans="1:11" x14ac:dyDescent="0.25">
      <c r="A380" s="15">
        <f>'Raw Data'!A380</f>
        <v>378</v>
      </c>
      <c r="B380" s="16">
        <f>'Raw Data'!D380</f>
        <v>45034.715277777781</v>
      </c>
      <c r="C380" s="15">
        <v>2023</v>
      </c>
      <c r="D380" s="15" t="str">
        <f t="shared" si="10"/>
        <v>April</v>
      </c>
      <c r="E380" s="15">
        <v>18</v>
      </c>
      <c r="F380" s="17">
        <v>0.71527777777777779</v>
      </c>
      <c r="G380" s="28"/>
      <c r="H380" s="15">
        <f>'Raw Data'!A380</f>
        <v>378</v>
      </c>
      <c r="I380" s="15" t="str">
        <f>'Raw Data'!J380</f>
        <v xml:space="preserve"> Greece           </v>
      </c>
      <c r="J380" s="15" t="s">
        <v>1274</v>
      </c>
      <c r="K380" s="15" t="str">
        <f t="shared" si="11"/>
        <v>No Change</v>
      </c>
    </row>
    <row r="381" spans="1:11" x14ac:dyDescent="0.25">
      <c r="A381" s="15">
        <f>'Raw Data'!A381</f>
        <v>379</v>
      </c>
      <c r="B381" s="16">
        <f>'Raw Data'!D381</f>
        <v>44037.53125</v>
      </c>
      <c r="C381" s="15">
        <v>2020</v>
      </c>
      <c r="D381" s="15" t="str">
        <f t="shared" si="10"/>
        <v>July</v>
      </c>
      <c r="E381" s="15">
        <v>25</v>
      </c>
      <c r="F381" s="17">
        <v>0.53125</v>
      </c>
      <c r="G381" s="28"/>
      <c r="H381" s="15">
        <f>'Raw Data'!A381</f>
        <v>379</v>
      </c>
      <c r="I381" s="15" t="str">
        <f>'Raw Data'!J381</f>
        <v xml:space="preserve"> Germany         </v>
      </c>
      <c r="J381" s="15" t="s">
        <v>1279</v>
      </c>
      <c r="K381" s="15" t="str">
        <f t="shared" si="11"/>
        <v>No Change</v>
      </c>
    </row>
    <row r="382" spans="1:11" x14ac:dyDescent="0.25">
      <c r="A382" s="15">
        <f>'Raw Data'!A382</f>
        <v>380</v>
      </c>
      <c r="B382" s="16">
        <f>'Raw Data'!D382</f>
        <v>43799.8125</v>
      </c>
      <c r="C382" s="15">
        <v>2019</v>
      </c>
      <c r="D382" s="15" t="str">
        <f t="shared" si="10"/>
        <v>November</v>
      </c>
      <c r="E382" s="15">
        <v>30</v>
      </c>
      <c r="F382" s="17">
        <v>0.8125</v>
      </c>
      <c r="G382" s="28"/>
      <c r="H382" s="15">
        <f>'Raw Data'!A382</f>
        <v>380</v>
      </c>
      <c r="I382" s="15" t="str">
        <f>'Raw Data'!J382</f>
        <v xml:space="preserve"> Sweden          </v>
      </c>
      <c r="J382" s="15" t="s">
        <v>1284</v>
      </c>
      <c r="K382" s="15" t="str">
        <f t="shared" si="11"/>
        <v>No Change</v>
      </c>
    </row>
    <row r="383" spans="1:11" x14ac:dyDescent="0.25">
      <c r="A383" s="15">
        <f>'Raw Data'!A383</f>
        <v>381</v>
      </c>
      <c r="B383" s="16">
        <f>'Raw Data'!D383</f>
        <v>42248.666666666664</v>
      </c>
      <c r="C383" s="15">
        <v>2015</v>
      </c>
      <c r="D383" s="15" t="str">
        <f t="shared" si="10"/>
        <v>September</v>
      </c>
      <c r="E383" s="15">
        <v>1</v>
      </c>
      <c r="F383" s="17">
        <v>0.66666666666666663</v>
      </c>
      <c r="G383" s="28"/>
      <c r="H383" s="15">
        <f>'Raw Data'!A383</f>
        <v>381</v>
      </c>
      <c r="I383" s="15" t="str">
        <f>'Raw Data'!J383</f>
        <v xml:space="preserve"> Italy           </v>
      </c>
      <c r="J383" s="15" t="s">
        <v>1289</v>
      </c>
      <c r="K383" s="15" t="str">
        <f t="shared" si="11"/>
        <v>No Change</v>
      </c>
    </row>
    <row r="384" spans="1:11" x14ac:dyDescent="0.25">
      <c r="A384" s="15">
        <f>'Raw Data'!A384</f>
        <v>382</v>
      </c>
      <c r="B384" s="16">
        <f>'Raw Data'!D384</f>
        <v>44686.427083333336</v>
      </c>
      <c r="C384" s="15">
        <v>2022</v>
      </c>
      <c r="D384" s="15" t="str">
        <f t="shared" si="10"/>
        <v>May</v>
      </c>
      <c r="E384" s="15">
        <v>5</v>
      </c>
      <c r="F384" s="17">
        <v>0.42708333333333331</v>
      </c>
      <c r="G384" s="28"/>
      <c r="H384" s="15">
        <f>'Raw Data'!A384</f>
        <v>382</v>
      </c>
      <c r="I384" s="15" t="str">
        <f>'Raw Data'!J384</f>
        <v xml:space="preserve"> Netherlands     </v>
      </c>
      <c r="J384" s="15" t="s">
        <v>1294</v>
      </c>
      <c r="K384" s="15" t="str">
        <f t="shared" si="11"/>
        <v>No Change</v>
      </c>
    </row>
    <row r="385" spans="1:11" x14ac:dyDescent="0.25">
      <c r="A385" s="15">
        <f>'Raw Data'!A385</f>
        <v>383</v>
      </c>
      <c r="B385" s="16">
        <f>'Raw Data'!D385</f>
        <v>43289.958333333336</v>
      </c>
      <c r="C385" s="15">
        <v>2018</v>
      </c>
      <c r="D385" s="15" t="str">
        <f t="shared" si="10"/>
        <v>July</v>
      </c>
      <c r="E385" s="15">
        <v>8</v>
      </c>
      <c r="F385" s="17">
        <v>0.95833333333333337</v>
      </c>
      <c r="G385" s="28"/>
      <c r="H385" s="15">
        <f>'Raw Data'!A385</f>
        <v>383</v>
      </c>
      <c r="I385" s="15" t="str">
        <f>'Raw Data'!J385</f>
        <v xml:space="preserve"> South Africa    </v>
      </c>
      <c r="J385" s="15" t="s">
        <v>1299</v>
      </c>
      <c r="K385" s="15" t="str">
        <f t="shared" si="11"/>
        <v>No Change</v>
      </c>
    </row>
    <row r="386" spans="1:11" x14ac:dyDescent="0.25">
      <c r="A386" s="15">
        <f>'Raw Data'!A386</f>
        <v>384</v>
      </c>
      <c r="B386" s="16">
        <f>'Raw Data'!D386</f>
        <v>44459.604166666664</v>
      </c>
      <c r="C386" s="15">
        <v>2021</v>
      </c>
      <c r="D386" s="15" t="str">
        <f t="shared" si="10"/>
        <v>September</v>
      </c>
      <c r="E386" s="15">
        <v>20</v>
      </c>
      <c r="F386" s="17">
        <v>0.60416666666666663</v>
      </c>
      <c r="G386" s="28"/>
      <c r="H386" s="15">
        <f>'Raw Data'!A386</f>
        <v>384</v>
      </c>
      <c r="I386" s="15" t="str">
        <f>'Raw Data'!J386</f>
        <v xml:space="preserve"> Spain           </v>
      </c>
      <c r="J386" s="15" t="s">
        <v>1304</v>
      </c>
      <c r="K386" s="15" t="str">
        <f t="shared" si="11"/>
        <v>No Change</v>
      </c>
    </row>
    <row r="387" spans="1:11" x14ac:dyDescent="0.25">
      <c r="A387" s="15">
        <f>'Raw Data'!A387</f>
        <v>385</v>
      </c>
      <c r="B387" s="16">
        <f>'Raw Data'!D387</f>
        <v>42689.489583333336</v>
      </c>
      <c r="C387" s="15">
        <v>2016</v>
      </c>
      <c r="D387" s="15" t="str">
        <f t="shared" si="10"/>
        <v>November</v>
      </c>
      <c r="E387" s="15">
        <v>15</v>
      </c>
      <c r="F387" s="17">
        <v>0.48958333333333331</v>
      </c>
      <c r="G387" s="28"/>
      <c r="H387" s="15">
        <f>'Raw Data'!A387</f>
        <v>385</v>
      </c>
      <c r="I387" s="15" t="str">
        <f>'Raw Data'!J387</f>
        <v xml:space="preserve"> Portugal        </v>
      </c>
      <c r="J387" s="15" t="s">
        <v>1309</v>
      </c>
      <c r="K387" s="15" t="str">
        <f t="shared" si="11"/>
        <v>No Change</v>
      </c>
    </row>
    <row r="388" spans="1:11" x14ac:dyDescent="0.25">
      <c r="A388" s="15">
        <f>'Raw Data'!A388</f>
        <v>386</v>
      </c>
      <c r="B388" s="16">
        <f>'Raw Data'!D388</f>
        <v>43842.75</v>
      </c>
      <c r="C388" s="15">
        <v>2020</v>
      </c>
      <c r="D388" s="15" t="str">
        <f t="shared" ref="D388:D451" si="12">TEXT(B388,"MMMM")</f>
        <v>January</v>
      </c>
      <c r="E388" s="15">
        <v>12</v>
      </c>
      <c r="F388" s="17">
        <v>0.75</v>
      </c>
      <c r="G388" s="28"/>
      <c r="H388" s="15">
        <f>'Raw Data'!A388</f>
        <v>386</v>
      </c>
      <c r="I388" s="15" t="str">
        <f>'Raw Data'!J388</f>
        <v xml:space="preserve"> Switzerland     </v>
      </c>
      <c r="J388" s="15" t="s">
        <v>1313</v>
      </c>
      <c r="K388" s="15" t="str">
        <f t="shared" ref="K388:K451" si="13">IF(I388=J388,"No Change","Updated")</f>
        <v>No Change</v>
      </c>
    </row>
    <row r="389" spans="1:11" x14ac:dyDescent="0.25">
      <c r="A389" s="15">
        <f>'Raw Data'!A389</f>
        <v>387</v>
      </c>
      <c r="B389" s="16">
        <f>'Raw Data'!D389</f>
        <v>43097.802083333336</v>
      </c>
      <c r="C389" s="15">
        <v>2017</v>
      </c>
      <c r="D389" s="15" t="str">
        <f t="shared" si="12"/>
        <v>December</v>
      </c>
      <c r="E389" s="15">
        <v>28</v>
      </c>
      <c r="F389" s="17">
        <v>0.80208333333333337</v>
      </c>
      <c r="G389" s="28"/>
      <c r="H389" s="15">
        <f>'Raw Data'!A389</f>
        <v>387</v>
      </c>
      <c r="I389" s="15" t="str">
        <f>'Raw Data'!J389</f>
        <v xml:space="preserve"> Austria         </v>
      </c>
      <c r="J389" s="15" t="s">
        <v>1318</v>
      </c>
      <c r="K389" s="15" t="str">
        <f t="shared" si="13"/>
        <v>No Change</v>
      </c>
    </row>
    <row r="390" spans="1:11" x14ac:dyDescent="0.25">
      <c r="A390" s="15">
        <f>'Raw Data'!A390</f>
        <v>388</v>
      </c>
      <c r="B390" s="16">
        <f>'Raw Data'!D390</f>
        <v>43526.847222222219</v>
      </c>
      <c r="C390" s="15">
        <v>2019</v>
      </c>
      <c r="D390" s="15" t="str">
        <f t="shared" si="12"/>
        <v>March</v>
      </c>
      <c r="E390" s="15">
        <v>2</v>
      </c>
      <c r="F390" s="17">
        <v>0.84722222222222221</v>
      </c>
      <c r="G390" s="28"/>
      <c r="H390" s="15">
        <f>'Raw Data'!A390</f>
        <v>388</v>
      </c>
      <c r="I390" s="15" t="str">
        <f>'Raw Data'!J390</f>
        <v xml:space="preserve"> Belgium         </v>
      </c>
      <c r="J390" s="15" t="s">
        <v>1323</v>
      </c>
      <c r="K390" s="15" t="str">
        <f t="shared" si="13"/>
        <v>No Change</v>
      </c>
    </row>
    <row r="391" spans="1:11" x14ac:dyDescent="0.25">
      <c r="A391" s="15">
        <f>'Raw Data'!A391</f>
        <v>389</v>
      </c>
      <c r="B391" s="16">
        <f>'Raw Data'!D391</f>
        <v>44720.645833333336</v>
      </c>
      <c r="C391" s="15">
        <v>2022</v>
      </c>
      <c r="D391" s="15" t="str">
        <f t="shared" si="12"/>
        <v>June</v>
      </c>
      <c r="E391" s="15">
        <v>8</v>
      </c>
      <c r="F391" s="17">
        <v>0.64583333333333337</v>
      </c>
      <c r="G391" s="28"/>
      <c r="H391" s="15">
        <f>'Raw Data'!A391</f>
        <v>389</v>
      </c>
      <c r="I391" s="15" t="str">
        <f>'Raw Data'!J391</f>
        <v xml:space="preserve"> Denmark         </v>
      </c>
      <c r="J391" s="15" t="s">
        <v>1328</v>
      </c>
      <c r="K391" s="15" t="str">
        <f t="shared" si="13"/>
        <v>No Change</v>
      </c>
    </row>
    <row r="392" spans="1:11" x14ac:dyDescent="0.25">
      <c r="A392" s="15">
        <f>'Raw Data'!A392</f>
        <v>390</v>
      </c>
      <c r="B392" s="16">
        <f>'Raw Data'!D392</f>
        <v>43330.614583333336</v>
      </c>
      <c r="C392" s="15">
        <v>2018</v>
      </c>
      <c r="D392" s="15" t="str">
        <f t="shared" si="12"/>
        <v>August</v>
      </c>
      <c r="E392" s="15">
        <v>18</v>
      </c>
      <c r="F392" s="17">
        <v>0.61458333333333337</v>
      </c>
      <c r="G392" s="28"/>
      <c r="H392" s="15">
        <f>'Raw Data'!A392</f>
        <v>390</v>
      </c>
      <c r="I392" s="15" t="str">
        <f>'Raw Data'!J392</f>
        <v xml:space="preserve"> Czech Republic  </v>
      </c>
      <c r="J392" s="15" t="s">
        <v>1333</v>
      </c>
      <c r="K392" s="15" t="str">
        <f t="shared" si="13"/>
        <v>No Change</v>
      </c>
    </row>
    <row r="393" spans="1:11" x14ac:dyDescent="0.25">
      <c r="A393" s="15">
        <f>'Raw Data'!A393</f>
        <v>391</v>
      </c>
      <c r="B393" s="16">
        <f>'Raw Data'!D393</f>
        <v>44783.916666666664</v>
      </c>
      <c r="C393" s="15">
        <v>2022</v>
      </c>
      <c r="D393" s="15" t="str">
        <f t="shared" si="12"/>
        <v>August</v>
      </c>
      <c r="E393" s="15">
        <v>10</v>
      </c>
      <c r="F393" s="17">
        <v>0.91666666666666663</v>
      </c>
      <c r="G393" s="28"/>
      <c r="H393" s="15">
        <f>'Raw Data'!A393</f>
        <v>391</v>
      </c>
      <c r="I393" s="15" t="str">
        <f>'Raw Data'!J393</f>
        <v xml:space="preserve"> Brazil           </v>
      </c>
      <c r="J393" s="15" t="s">
        <v>1239</v>
      </c>
      <c r="K393" s="15" t="str">
        <f t="shared" si="13"/>
        <v>No Change</v>
      </c>
    </row>
    <row r="394" spans="1:11" x14ac:dyDescent="0.25">
      <c r="A394" s="15">
        <f>'Raw Data'!A394</f>
        <v>392</v>
      </c>
      <c r="B394" s="16">
        <f>'Raw Data'!D394</f>
        <v>43560.729166666664</v>
      </c>
      <c r="C394" s="15">
        <v>2019</v>
      </c>
      <c r="D394" s="15" t="str">
        <f t="shared" si="12"/>
        <v>April</v>
      </c>
      <c r="E394" s="15">
        <v>5</v>
      </c>
      <c r="F394" s="17">
        <v>0.72916666666666663</v>
      </c>
      <c r="G394" s="28"/>
      <c r="H394" s="15">
        <f>'Raw Data'!A394</f>
        <v>392</v>
      </c>
      <c r="I394" s="15" t="str">
        <f>'Raw Data'!J394</f>
        <v xml:space="preserve"> France           </v>
      </c>
      <c r="J394" s="15" t="s">
        <v>1244</v>
      </c>
      <c r="K394" s="15" t="str">
        <f t="shared" si="13"/>
        <v>No Change</v>
      </c>
    </row>
    <row r="395" spans="1:11" x14ac:dyDescent="0.25">
      <c r="A395" s="15">
        <f>'Raw Data'!A395</f>
        <v>393</v>
      </c>
      <c r="B395" s="16">
        <f>'Raw Data'!D395</f>
        <v>44180.65625</v>
      </c>
      <c r="C395" s="15">
        <v>2020</v>
      </c>
      <c r="D395" s="15" t="str">
        <f t="shared" si="12"/>
        <v>December</v>
      </c>
      <c r="E395" s="15">
        <v>15</v>
      </c>
      <c r="F395" s="17">
        <v>0.65625</v>
      </c>
      <c r="G395" s="28"/>
      <c r="H395" s="15">
        <f>'Raw Data'!A395</f>
        <v>393</v>
      </c>
      <c r="I395" s="15" t="str">
        <f>'Raw Data'!J395</f>
        <v xml:space="preserve"> Japan            </v>
      </c>
      <c r="J395" s="15" t="s">
        <v>1249</v>
      </c>
      <c r="K395" s="15" t="str">
        <f t="shared" si="13"/>
        <v>No Change</v>
      </c>
    </row>
    <row r="396" spans="1:11" x14ac:dyDescent="0.25">
      <c r="A396" s="15">
        <f>'Raw Data'!A396</f>
        <v>394</v>
      </c>
      <c r="B396" s="16">
        <f>'Raw Data'!D396</f>
        <v>43028.34375</v>
      </c>
      <c r="C396" s="15">
        <v>2017</v>
      </c>
      <c r="D396" s="15" t="str">
        <f t="shared" si="12"/>
        <v>October</v>
      </c>
      <c r="E396" s="15">
        <v>20</v>
      </c>
      <c r="F396" s="17">
        <v>0.34375</v>
      </c>
      <c r="G396" s="28"/>
      <c r="H396" s="15">
        <f>'Raw Data'!A396</f>
        <v>394</v>
      </c>
      <c r="I396" s="15" t="str">
        <f>'Raw Data'!J396</f>
        <v xml:space="preserve"> Canada           </v>
      </c>
      <c r="J396" s="15" t="s">
        <v>1254</v>
      </c>
      <c r="K396" s="15" t="str">
        <f t="shared" si="13"/>
        <v>No Change</v>
      </c>
    </row>
    <row r="397" spans="1:11" x14ac:dyDescent="0.25">
      <c r="A397" s="15">
        <f>'Raw Data'!A397</f>
        <v>395</v>
      </c>
      <c r="B397" s="16">
        <f>'Raw Data'!D397</f>
        <v>44255.541666666664</v>
      </c>
      <c r="C397" s="15">
        <v>2021</v>
      </c>
      <c r="D397" s="15" t="str">
        <f t="shared" si="12"/>
        <v>February</v>
      </c>
      <c r="E397" s="15">
        <v>28</v>
      </c>
      <c r="F397" s="17">
        <v>0.54166666666666663</v>
      </c>
      <c r="G397" s="28"/>
      <c r="H397" s="15">
        <f>'Raw Data'!A397</f>
        <v>395</v>
      </c>
      <c r="I397" s="15" t="str">
        <f>'Raw Data'!J397</f>
        <v xml:space="preserve"> Australia         </v>
      </c>
      <c r="J397" s="15" t="s">
        <v>1259</v>
      </c>
      <c r="K397" s="15" t="str">
        <f t="shared" si="13"/>
        <v>No Change</v>
      </c>
    </row>
    <row r="398" spans="1:11" x14ac:dyDescent="0.25">
      <c r="A398" s="15">
        <f>'Raw Data'!A398</f>
        <v>396</v>
      </c>
      <c r="B398" s="16">
        <f>'Raw Data'!D398</f>
        <v>43263.854166666664</v>
      </c>
      <c r="C398" s="15">
        <v>2018</v>
      </c>
      <c r="D398" s="15" t="str">
        <f t="shared" si="12"/>
        <v>June</v>
      </c>
      <c r="E398" s="15">
        <v>12</v>
      </c>
      <c r="F398" s="17">
        <v>0.85416666666666663</v>
      </c>
      <c r="G398" s="28"/>
      <c r="H398" s="15">
        <f>'Raw Data'!A398</f>
        <v>396</v>
      </c>
      <c r="I398" s="15" t="str">
        <f>'Raw Data'!J398</f>
        <v xml:space="preserve"> UK               </v>
      </c>
      <c r="J398" s="15" t="s">
        <v>2554</v>
      </c>
      <c r="K398" s="15" t="str">
        <f t="shared" si="13"/>
        <v>Updated</v>
      </c>
    </row>
    <row r="399" spans="1:11" x14ac:dyDescent="0.25">
      <c r="A399" s="15">
        <f>'Raw Data'!A399</f>
        <v>397</v>
      </c>
      <c r="B399" s="16">
        <f>'Raw Data'!D399</f>
        <v>42437.597222222219</v>
      </c>
      <c r="C399" s="15">
        <v>2016</v>
      </c>
      <c r="D399" s="15" t="str">
        <f t="shared" si="12"/>
        <v>March</v>
      </c>
      <c r="E399" s="15">
        <v>8</v>
      </c>
      <c r="F399" s="17">
        <v>0.59722222222222221</v>
      </c>
      <c r="G399" s="28"/>
      <c r="H399" s="15">
        <f>'Raw Data'!A399</f>
        <v>397</v>
      </c>
      <c r="I399" s="15" t="str">
        <f>'Raw Data'!J399</f>
        <v xml:space="preserve"> USA             </v>
      </c>
      <c r="J399" s="15" t="s">
        <v>2541</v>
      </c>
      <c r="K399" s="15" t="str">
        <f t="shared" si="13"/>
        <v>Updated</v>
      </c>
    </row>
    <row r="400" spans="1:11" x14ac:dyDescent="0.25">
      <c r="A400" s="15">
        <f>'Raw Data'!A400</f>
        <v>398</v>
      </c>
      <c r="B400" s="16">
        <f>'Raw Data'!D400</f>
        <v>45034.715277777781</v>
      </c>
      <c r="C400" s="15">
        <v>2023</v>
      </c>
      <c r="D400" s="15" t="str">
        <f t="shared" si="12"/>
        <v>April</v>
      </c>
      <c r="E400" s="15">
        <v>18</v>
      </c>
      <c r="F400" s="17">
        <v>0.71527777777777779</v>
      </c>
      <c r="G400" s="28"/>
      <c r="H400" s="15">
        <f>'Raw Data'!A400</f>
        <v>398</v>
      </c>
      <c r="I400" s="15" t="str">
        <f>'Raw Data'!J400</f>
        <v xml:space="preserve"> Greece           </v>
      </c>
      <c r="J400" s="15" t="s">
        <v>1274</v>
      </c>
      <c r="K400" s="15" t="str">
        <f t="shared" si="13"/>
        <v>No Change</v>
      </c>
    </row>
    <row r="401" spans="1:11" x14ac:dyDescent="0.25">
      <c r="A401" s="15">
        <f>'Raw Data'!A401</f>
        <v>399</v>
      </c>
      <c r="B401" s="16">
        <f>'Raw Data'!D401</f>
        <v>44037.53125</v>
      </c>
      <c r="C401" s="15">
        <v>2020</v>
      </c>
      <c r="D401" s="15" t="str">
        <f t="shared" si="12"/>
        <v>July</v>
      </c>
      <c r="E401" s="15">
        <v>25</v>
      </c>
      <c r="F401" s="17">
        <v>0.53125</v>
      </c>
      <c r="G401" s="28"/>
      <c r="H401" s="15">
        <f>'Raw Data'!A401</f>
        <v>399</v>
      </c>
      <c r="I401" s="15" t="str">
        <f>'Raw Data'!J401</f>
        <v xml:space="preserve"> Germany         </v>
      </c>
      <c r="J401" s="15" t="s">
        <v>1279</v>
      </c>
      <c r="K401" s="15" t="str">
        <f t="shared" si="13"/>
        <v>No Change</v>
      </c>
    </row>
    <row r="402" spans="1:11" x14ac:dyDescent="0.25">
      <c r="A402" s="15">
        <f>'Raw Data'!A402</f>
        <v>400</v>
      </c>
      <c r="B402" s="16">
        <f>'Raw Data'!D402</f>
        <v>43799.8125</v>
      </c>
      <c r="C402" s="15">
        <v>2019</v>
      </c>
      <c r="D402" s="15" t="str">
        <f t="shared" si="12"/>
        <v>November</v>
      </c>
      <c r="E402" s="15">
        <v>30</v>
      </c>
      <c r="F402" s="17">
        <v>0.8125</v>
      </c>
      <c r="G402" s="28"/>
      <c r="H402" s="15">
        <f>'Raw Data'!A402</f>
        <v>400</v>
      </c>
      <c r="I402" s="15" t="str">
        <f>'Raw Data'!J402</f>
        <v xml:space="preserve"> Sweden          </v>
      </c>
      <c r="J402" s="15" t="s">
        <v>1284</v>
      </c>
      <c r="K402" s="15" t="str">
        <f t="shared" si="13"/>
        <v>No Change</v>
      </c>
    </row>
    <row r="403" spans="1:11" x14ac:dyDescent="0.25">
      <c r="A403" s="15">
        <f>'Raw Data'!A403</f>
        <v>401</v>
      </c>
      <c r="B403" s="16">
        <f>'Raw Data'!D403</f>
        <v>42248.666666666664</v>
      </c>
      <c r="C403" s="15">
        <v>2015</v>
      </c>
      <c r="D403" s="15" t="str">
        <f t="shared" si="12"/>
        <v>September</v>
      </c>
      <c r="E403" s="15">
        <v>1</v>
      </c>
      <c r="F403" s="17">
        <v>0.66666666666666663</v>
      </c>
      <c r="G403" s="28"/>
      <c r="H403" s="15">
        <f>'Raw Data'!A403</f>
        <v>401</v>
      </c>
      <c r="I403" s="15" t="str">
        <f>'Raw Data'!J403</f>
        <v xml:space="preserve"> Italy           </v>
      </c>
      <c r="J403" s="15" t="s">
        <v>1289</v>
      </c>
      <c r="K403" s="15" t="str">
        <f t="shared" si="13"/>
        <v>No Change</v>
      </c>
    </row>
    <row r="404" spans="1:11" x14ac:dyDescent="0.25">
      <c r="A404" s="15">
        <f>'Raw Data'!A404</f>
        <v>402</v>
      </c>
      <c r="B404" s="16">
        <f>'Raw Data'!D404</f>
        <v>44686.427083333336</v>
      </c>
      <c r="C404" s="15">
        <v>2022</v>
      </c>
      <c r="D404" s="15" t="str">
        <f t="shared" si="12"/>
        <v>May</v>
      </c>
      <c r="E404" s="15">
        <v>5</v>
      </c>
      <c r="F404" s="17">
        <v>0.42708333333333331</v>
      </c>
      <c r="G404" s="28"/>
      <c r="H404" s="15">
        <f>'Raw Data'!A404</f>
        <v>402</v>
      </c>
      <c r="I404" s="15" t="str">
        <f>'Raw Data'!J404</f>
        <v xml:space="preserve"> Netherlands     </v>
      </c>
      <c r="J404" s="15" t="s">
        <v>1294</v>
      </c>
      <c r="K404" s="15" t="str">
        <f t="shared" si="13"/>
        <v>No Change</v>
      </c>
    </row>
    <row r="405" spans="1:11" x14ac:dyDescent="0.25">
      <c r="A405" s="15">
        <f>'Raw Data'!A405</f>
        <v>403</v>
      </c>
      <c r="B405" s="16">
        <f>'Raw Data'!D405</f>
        <v>43289.958333333336</v>
      </c>
      <c r="C405" s="15">
        <v>2018</v>
      </c>
      <c r="D405" s="15" t="str">
        <f t="shared" si="12"/>
        <v>July</v>
      </c>
      <c r="E405" s="15">
        <v>8</v>
      </c>
      <c r="F405" s="17">
        <v>0.95833333333333337</v>
      </c>
      <c r="G405" s="28"/>
      <c r="H405" s="15">
        <f>'Raw Data'!A405</f>
        <v>403</v>
      </c>
      <c r="I405" s="15" t="str">
        <f>'Raw Data'!J405</f>
        <v xml:space="preserve"> South Africa    </v>
      </c>
      <c r="J405" s="15" t="s">
        <v>1299</v>
      </c>
      <c r="K405" s="15" t="str">
        <f t="shared" si="13"/>
        <v>No Change</v>
      </c>
    </row>
    <row r="406" spans="1:11" x14ac:dyDescent="0.25">
      <c r="A406" s="15">
        <f>'Raw Data'!A406</f>
        <v>404</v>
      </c>
      <c r="B406" s="16">
        <f>'Raw Data'!D406</f>
        <v>44459.604166666664</v>
      </c>
      <c r="C406" s="15">
        <v>2021</v>
      </c>
      <c r="D406" s="15" t="str">
        <f t="shared" si="12"/>
        <v>September</v>
      </c>
      <c r="E406" s="15">
        <v>20</v>
      </c>
      <c r="F406" s="17">
        <v>0.60416666666666663</v>
      </c>
      <c r="G406" s="28"/>
      <c r="H406" s="15">
        <f>'Raw Data'!A406</f>
        <v>404</v>
      </c>
      <c r="I406" s="15" t="str">
        <f>'Raw Data'!J406</f>
        <v xml:space="preserve"> Spain           </v>
      </c>
      <c r="J406" s="15" t="s">
        <v>1304</v>
      </c>
      <c r="K406" s="15" t="str">
        <f t="shared" si="13"/>
        <v>No Change</v>
      </c>
    </row>
    <row r="407" spans="1:11" x14ac:dyDescent="0.25">
      <c r="A407" s="15">
        <f>'Raw Data'!A407</f>
        <v>405</v>
      </c>
      <c r="B407" s="16">
        <f>'Raw Data'!D407</f>
        <v>42689.489583333336</v>
      </c>
      <c r="C407" s="15">
        <v>2016</v>
      </c>
      <c r="D407" s="15" t="str">
        <f t="shared" si="12"/>
        <v>November</v>
      </c>
      <c r="E407" s="15">
        <v>15</v>
      </c>
      <c r="F407" s="17">
        <v>0.48958333333333331</v>
      </c>
      <c r="G407" s="28"/>
      <c r="H407" s="15">
        <f>'Raw Data'!A407</f>
        <v>405</v>
      </c>
      <c r="I407" s="15" t="str">
        <f>'Raw Data'!J407</f>
        <v xml:space="preserve"> Portugal        </v>
      </c>
      <c r="J407" s="15" t="s">
        <v>1309</v>
      </c>
      <c r="K407" s="15" t="str">
        <f t="shared" si="13"/>
        <v>No Change</v>
      </c>
    </row>
    <row r="408" spans="1:11" x14ac:dyDescent="0.25">
      <c r="A408" s="15">
        <f>'Raw Data'!A408</f>
        <v>406</v>
      </c>
      <c r="B408" s="16">
        <f>'Raw Data'!D408</f>
        <v>43842.75</v>
      </c>
      <c r="C408" s="15">
        <v>2020</v>
      </c>
      <c r="D408" s="15" t="str">
        <f t="shared" si="12"/>
        <v>January</v>
      </c>
      <c r="E408" s="15">
        <v>12</v>
      </c>
      <c r="F408" s="17">
        <v>0.75</v>
      </c>
      <c r="G408" s="28"/>
      <c r="H408" s="15">
        <f>'Raw Data'!A408</f>
        <v>406</v>
      </c>
      <c r="I408" s="15" t="str">
        <f>'Raw Data'!J408</f>
        <v xml:space="preserve"> Switzerland     </v>
      </c>
      <c r="J408" s="15" t="s">
        <v>1313</v>
      </c>
      <c r="K408" s="15" t="str">
        <f t="shared" si="13"/>
        <v>No Change</v>
      </c>
    </row>
    <row r="409" spans="1:11" x14ac:dyDescent="0.25">
      <c r="A409" s="15">
        <f>'Raw Data'!A409</f>
        <v>407</v>
      </c>
      <c r="B409" s="16">
        <f>'Raw Data'!D409</f>
        <v>43097.802083333336</v>
      </c>
      <c r="C409" s="15">
        <v>2017</v>
      </c>
      <c r="D409" s="15" t="str">
        <f t="shared" si="12"/>
        <v>December</v>
      </c>
      <c r="E409" s="15">
        <v>28</v>
      </c>
      <c r="F409" s="17">
        <v>0.80208333333333337</v>
      </c>
      <c r="G409" s="28"/>
      <c r="H409" s="15">
        <f>'Raw Data'!A409</f>
        <v>407</v>
      </c>
      <c r="I409" s="15" t="str">
        <f>'Raw Data'!J409</f>
        <v xml:space="preserve"> Austria         </v>
      </c>
      <c r="J409" s="15" t="s">
        <v>1318</v>
      </c>
      <c r="K409" s="15" t="str">
        <f t="shared" si="13"/>
        <v>No Change</v>
      </c>
    </row>
    <row r="410" spans="1:11" x14ac:dyDescent="0.25">
      <c r="A410" s="15">
        <f>'Raw Data'!A410</f>
        <v>408</v>
      </c>
      <c r="B410" s="16">
        <f>'Raw Data'!D410</f>
        <v>43526.847222222219</v>
      </c>
      <c r="C410" s="15">
        <v>2019</v>
      </c>
      <c r="D410" s="15" t="str">
        <f t="shared" si="12"/>
        <v>March</v>
      </c>
      <c r="E410" s="15">
        <v>2</v>
      </c>
      <c r="F410" s="17">
        <v>0.84722222222222221</v>
      </c>
      <c r="G410" s="28"/>
      <c r="H410" s="15">
        <f>'Raw Data'!A410</f>
        <v>408</v>
      </c>
      <c r="I410" s="15" t="str">
        <f>'Raw Data'!J410</f>
        <v xml:space="preserve"> Belgium         </v>
      </c>
      <c r="J410" s="15" t="s">
        <v>1323</v>
      </c>
      <c r="K410" s="15" t="str">
        <f t="shared" si="13"/>
        <v>No Change</v>
      </c>
    </row>
    <row r="411" spans="1:11" x14ac:dyDescent="0.25">
      <c r="A411" s="15">
        <f>'Raw Data'!A411</f>
        <v>409</v>
      </c>
      <c r="B411" s="16">
        <f>'Raw Data'!D411</f>
        <v>44720.645833333336</v>
      </c>
      <c r="C411" s="15">
        <v>2022</v>
      </c>
      <c r="D411" s="15" t="str">
        <f t="shared" si="12"/>
        <v>June</v>
      </c>
      <c r="E411" s="15">
        <v>8</v>
      </c>
      <c r="F411" s="17">
        <v>0.64583333333333337</v>
      </c>
      <c r="G411" s="28"/>
      <c r="H411" s="15">
        <f>'Raw Data'!A411</f>
        <v>409</v>
      </c>
      <c r="I411" s="15" t="str">
        <f>'Raw Data'!J411</f>
        <v xml:space="preserve"> Denmark         </v>
      </c>
      <c r="J411" s="15" t="s">
        <v>1328</v>
      </c>
      <c r="K411" s="15" t="str">
        <f t="shared" si="13"/>
        <v>No Change</v>
      </c>
    </row>
    <row r="412" spans="1:11" x14ac:dyDescent="0.25">
      <c r="A412" s="15">
        <f>'Raw Data'!A412</f>
        <v>410</v>
      </c>
      <c r="B412" s="16">
        <f>'Raw Data'!D412</f>
        <v>43330.614583333336</v>
      </c>
      <c r="C412" s="15">
        <v>2018</v>
      </c>
      <c r="D412" s="15" t="str">
        <f t="shared" si="12"/>
        <v>August</v>
      </c>
      <c r="E412" s="15">
        <v>18</v>
      </c>
      <c r="F412" s="17">
        <v>0.61458333333333337</v>
      </c>
      <c r="G412" s="28"/>
      <c r="H412" s="15">
        <f>'Raw Data'!A412</f>
        <v>410</v>
      </c>
      <c r="I412" s="15" t="str">
        <f>'Raw Data'!J412</f>
        <v xml:space="preserve"> Czech Republic  </v>
      </c>
      <c r="J412" s="15" t="s">
        <v>1333</v>
      </c>
      <c r="K412" s="15" t="str">
        <f t="shared" si="13"/>
        <v>No Change</v>
      </c>
    </row>
    <row r="413" spans="1:11" x14ac:dyDescent="0.25">
      <c r="A413" s="15">
        <f>'Raw Data'!A413</f>
        <v>411</v>
      </c>
      <c r="B413" s="16">
        <f>'Raw Data'!D413</f>
        <v>42316.416666666664</v>
      </c>
      <c r="C413" s="15">
        <v>2015</v>
      </c>
      <c r="D413" s="15" t="str">
        <f t="shared" si="12"/>
        <v>November</v>
      </c>
      <c r="E413" s="15">
        <v>8</v>
      </c>
      <c r="F413" s="17">
        <v>0.41666666666666669</v>
      </c>
      <c r="G413" s="28"/>
      <c r="H413" s="15">
        <f>'Raw Data'!A413</f>
        <v>411</v>
      </c>
      <c r="I413" s="15" t="str">
        <f>'Raw Data'!J413</f>
        <v xml:space="preserve"> Australia </v>
      </c>
      <c r="J413" s="15" t="s">
        <v>36</v>
      </c>
      <c r="K413" s="15" t="str">
        <f t="shared" si="13"/>
        <v>No Change</v>
      </c>
    </row>
    <row r="414" spans="1:11" x14ac:dyDescent="0.25">
      <c r="A414" s="15">
        <f>'Raw Data'!A414</f>
        <v>412</v>
      </c>
      <c r="B414" s="16">
        <f>'Raw Data'!D414</f>
        <v>44167.729166666664</v>
      </c>
      <c r="C414" s="15">
        <v>2020</v>
      </c>
      <c r="D414" s="15" t="str">
        <f t="shared" si="12"/>
        <v>December</v>
      </c>
      <c r="E414" s="15">
        <v>2</v>
      </c>
      <c r="F414" s="17">
        <v>0.72916666666666663</v>
      </c>
      <c r="G414" s="28"/>
      <c r="H414" s="15">
        <f>'Raw Data'!A414</f>
        <v>412</v>
      </c>
      <c r="I414" s="15" t="str">
        <f>'Raw Data'!J414</f>
        <v xml:space="preserve"> Canada         </v>
      </c>
      <c r="J414" s="15" t="s">
        <v>1388</v>
      </c>
      <c r="K414" s="15" t="str">
        <f t="shared" si="13"/>
        <v>No Change</v>
      </c>
    </row>
    <row r="415" spans="1:11" x14ac:dyDescent="0.25">
      <c r="A415" s="15">
        <f>'Raw Data'!A415</f>
        <v>413</v>
      </c>
      <c r="B415" s="16">
        <f>'Raw Data'!D415</f>
        <v>42896.510416666664</v>
      </c>
      <c r="C415" s="15">
        <v>2017</v>
      </c>
      <c r="D415" s="15" t="str">
        <f t="shared" si="12"/>
        <v>June</v>
      </c>
      <c r="E415" s="15">
        <v>10</v>
      </c>
      <c r="F415" s="17">
        <v>0.51041666666666663</v>
      </c>
      <c r="G415" s="28"/>
      <c r="H415" s="15">
        <f>'Raw Data'!A415</f>
        <v>413</v>
      </c>
      <c r="I415" s="15" t="str">
        <f>'Raw Data'!J415</f>
        <v xml:space="preserve"> France          </v>
      </c>
      <c r="J415" s="15" t="s">
        <v>1392</v>
      </c>
      <c r="K415" s="15" t="str">
        <f t="shared" si="13"/>
        <v>No Change</v>
      </c>
    </row>
    <row r="416" spans="1:11" x14ac:dyDescent="0.25">
      <c r="A416" s="15">
        <f>'Raw Data'!A416</f>
        <v>414</v>
      </c>
      <c r="B416" s="16">
        <f>'Raw Data'!D416</f>
        <v>44301.597222222219</v>
      </c>
      <c r="C416" s="15">
        <v>2021</v>
      </c>
      <c r="D416" s="15" t="str">
        <f t="shared" si="12"/>
        <v>April</v>
      </c>
      <c r="E416" s="15">
        <v>15</v>
      </c>
      <c r="F416" s="17">
        <v>0.59722222222222221</v>
      </c>
      <c r="G416" s="28"/>
      <c r="H416" s="15">
        <f>'Raw Data'!A416</f>
        <v>414</v>
      </c>
      <c r="I416" s="15" t="str">
        <f>'Raw Data'!J416</f>
        <v xml:space="preserve"> USA             </v>
      </c>
      <c r="J416" s="15" t="s">
        <v>2541</v>
      </c>
      <c r="K416" s="15" t="str">
        <f t="shared" si="13"/>
        <v>Updated</v>
      </c>
    </row>
    <row r="417" spans="1:11" x14ac:dyDescent="0.25">
      <c r="A417" s="15">
        <f>'Raw Data'!A417</f>
        <v>415</v>
      </c>
      <c r="B417" s="16">
        <f>'Raw Data'!D417</f>
        <v>43736.822916666664</v>
      </c>
      <c r="C417" s="15">
        <v>2019</v>
      </c>
      <c r="D417" s="15" t="str">
        <f t="shared" si="12"/>
        <v>September</v>
      </c>
      <c r="E417" s="15">
        <v>28</v>
      </c>
      <c r="F417" s="17">
        <v>0.82291666666666663</v>
      </c>
      <c r="G417" s="28"/>
      <c r="H417" s="15">
        <f>'Raw Data'!A417</f>
        <v>415</v>
      </c>
      <c r="I417" s="15" t="str">
        <f>'Raw Data'!J417</f>
        <v xml:space="preserve"> UK              </v>
      </c>
      <c r="J417" s="15" t="s">
        <v>2555</v>
      </c>
      <c r="K417" s="15" t="str">
        <f t="shared" si="13"/>
        <v>Updated</v>
      </c>
    </row>
    <row r="418" spans="1:11" x14ac:dyDescent="0.25">
      <c r="A418" s="15">
        <f>'Raw Data'!A418</f>
        <v>416</v>
      </c>
      <c r="B418" s="16">
        <f>'Raw Data'!D418</f>
        <v>42709.875</v>
      </c>
      <c r="C418" s="15">
        <v>2016</v>
      </c>
      <c r="D418" s="15" t="str">
        <f t="shared" si="12"/>
        <v>December</v>
      </c>
      <c r="E418" s="15">
        <v>5</v>
      </c>
      <c r="F418" s="17">
        <v>0.875</v>
      </c>
      <c r="G418" s="28"/>
      <c r="H418" s="15">
        <f>'Raw Data'!A418</f>
        <v>416</v>
      </c>
      <c r="I418" s="15" t="str">
        <f>'Raw Data'!J418</f>
        <v xml:space="preserve"> India          </v>
      </c>
      <c r="J418" s="15" t="s">
        <v>1406</v>
      </c>
      <c r="K418" s="15" t="str">
        <f t="shared" si="13"/>
        <v>No Change</v>
      </c>
    </row>
    <row r="419" spans="1:11" x14ac:dyDescent="0.25">
      <c r="A419" s="15">
        <f>'Raw Data'!A419</f>
        <v>417</v>
      </c>
      <c r="B419" s="16">
        <f>'Raw Data'!D419</f>
        <v>43141.979166666664</v>
      </c>
      <c r="C419" s="15">
        <v>2018</v>
      </c>
      <c r="D419" s="15" t="str">
        <f t="shared" si="12"/>
        <v>February</v>
      </c>
      <c r="E419" s="15">
        <v>10</v>
      </c>
      <c r="F419" s="17">
        <v>0.97916666666666663</v>
      </c>
      <c r="G419" s="28"/>
      <c r="H419" s="15">
        <f>'Raw Data'!A419</f>
        <v>417</v>
      </c>
      <c r="I419" s="15" t="str">
        <f>'Raw Data'!J419</f>
        <v xml:space="preserve"> Australia      </v>
      </c>
      <c r="J419" s="15" t="s">
        <v>1411</v>
      </c>
      <c r="K419" s="15" t="str">
        <f t="shared" si="13"/>
        <v>No Change</v>
      </c>
    </row>
    <row r="420" spans="1:11" x14ac:dyDescent="0.25">
      <c r="A420" s="15">
        <f>'Raw Data'!A420</f>
        <v>418</v>
      </c>
      <c r="B420" s="16">
        <f>'Raw Data'!D420</f>
        <v>44972.354166666664</v>
      </c>
      <c r="C420" s="15">
        <v>2023</v>
      </c>
      <c r="D420" s="15" t="str">
        <f t="shared" si="12"/>
        <v>February</v>
      </c>
      <c r="E420" s="15">
        <v>15</v>
      </c>
      <c r="F420" s="17">
        <v>0.35416666666666669</v>
      </c>
      <c r="G420" s="28"/>
      <c r="H420" s="15">
        <f>'Raw Data'!A420</f>
        <v>418</v>
      </c>
      <c r="I420" s="15" t="str">
        <f>'Raw Data'!J420</f>
        <v xml:space="preserve"> Japan           </v>
      </c>
      <c r="J420" s="15" t="s">
        <v>1416</v>
      </c>
      <c r="K420" s="15" t="str">
        <f t="shared" si="13"/>
        <v>No Change</v>
      </c>
    </row>
    <row r="421" spans="1:11" x14ac:dyDescent="0.25">
      <c r="A421" s="15">
        <f>'Raw Data'!A421</f>
        <v>419</v>
      </c>
      <c r="B421" s="16">
        <f>'Raw Data'!D421</f>
        <v>42238.625</v>
      </c>
      <c r="C421" s="15">
        <v>2015</v>
      </c>
      <c r="D421" s="15" t="str">
        <f t="shared" si="12"/>
        <v>August</v>
      </c>
      <c r="E421" s="15">
        <v>22</v>
      </c>
      <c r="F421" s="17">
        <v>0.625</v>
      </c>
      <c r="G421" s="28"/>
      <c r="H421" s="15">
        <f>'Raw Data'!A421</f>
        <v>419</v>
      </c>
      <c r="I421" s="15" t="str">
        <f>'Raw Data'!J421</f>
        <v xml:space="preserve"> Brazil          </v>
      </c>
      <c r="J421" s="15" t="s">
        <v>1421</v>
      </c>
      <c r="K421" s="15" t="str">
        <f t="shared" si="13"/>
        <v>No Change</v>
      </c>
    </row>
    <row r="422" spans="1:11" x14ac:dyDescent="0.25">
      <c r="A422" s="15">
        <f>'Raw Data'!A422</f>
        <v>420</v>
      </c>
      <c r="B422" s="16">
        <f>'Raw Data'!D422</f>
        <v>44155.78125</v>
      </c>
      <c r="C422" s="15">
        <v>2020</v>
      </c>
      <c r="D422" s="15" t="str">
        <f t="shared" si="12"/>
        <v>November</v>
      </c>
      <c r="E422" s="15">
        <v>20</v>
      </c>
      <c r="F422" s="17">
        <v>0.78125</v>
      </c>
      <c r="G422" s="28"/>
      <c r="H422" s="15">
        <f>'Raw Data'!A422</f>
        <v>420</v>
      </c>
      <c r="I422" s="15" t="str">
        <f>'Raw Data'!J422</f>
        <v xml:space="preserve"> Germany       </v>
      </c>
      <c r="J422" s="15" t="s">
        <v>1426</v>
      </c>
      <c r="K422" s="15" t="str">
        <f t="shared" si="13"/>
        <v>No Change</v>
      </c>
    </row>
    <row r="423" spans="1:11" x14ac:dyDescent="0.25">
      <c r="A423" s="15">
        <f>'Raw Data'!A423</f>
        <v>421</v>
      </c>
      <c r="B423" s="16">
        <f>'Raw Data'!D423</f>
        <v>43682.875</v>
      </c>
      <c r="C423" s="15">
        <v>2019</v>
      </c>
      <c r="D423" s="15" t="str">
        <f t="shared" si="12"/>
        <v>August</v>
      </c>
      <c r="E423" s="15">
        <v>5</v>
      </c>
      <c r="F423" s="17">
        <v>0.875</v>
      </c>
      <c r="G423" s="28"/>
      <c r="H423" s="15">
        <f>'Raw Data'!A423</f>
        <v>421</v>
      </c>
      <c r="I423" s="15" t="str">
        <f>'Raw Data'!J423</f>
        <v xml:space="preserve"> USA             </v>
      </c>
      <c r="J423" s="15" t="s">
        <v>2541</v>
      </c>
      <c r="K423" s="15" t="str">
        <f t="shared" si="13"/>
        <v>Updated</v>
      </c>
    </row>
    <row r="424" spans="1:11" x14ac:dyDescent="0.25">
      <c r="A424" s="15">
        <f>'Raw Data'!A424</f>
        <v>422</v>
      </c>
      <c r="B424" s="16">
        <f>'Raw Data'!D424</f>
        <v>44239.697916666664</v>
      </c>
      <c r="C424" s="15">
        <v>2021</v>
      </c>
      <c r="D424" s="15" t="str">
        <f t="shared" si="12"/>
        <v>February</v>
      </c>
      <c r="E424" s="15">
        <v>12</v>
      </c>
      <c r="F424" s="17">
        <v>0.69791666666666663</v>
      </c>
      <c r="G424" s="28"/>
      <c r="H424" s="15">
        <f>'Raw Data'!A424</f>
        <v>422</v>
      </c>
      <c r="I424" s="15" t="str">
        <f>'Raw Data'!J424</f>
        <v xml:space="preserve"> Canada          </v>
      </c>
      <c r="J424" s="15" t="s">
        <v>591</v>
      </c>
      <c r="K424" s="15" t="str">
        <f t="shared" si="13"/>
        <v>No Change</v>
      </c>
    </row>
    <row r="425" spans="1:11" x14ac:dyDescent="0.25">
      <c r="A425" s="15">
        <f>'Raw Data'!A425</f>
        <v>423</v>
      </c>
      <c r="B425" s="16">
        <f>'Raw Data'!D425</f>
        <v>44163.597222222219</v>
      </c>
      <c r="C425" s="15">
        <v>2020</v>
      </c>
      <c r="D425" s="15" t="str">
        <f t="shared" si="12"/>
        <v>November</v>
      </c>
      <c r="E425" s="15">
        <v>28</v>
      </c>
      <c r="F425" s="17">
        <v>0.59722222222222221</v>
      </c>
      <c r="G425" s="28"/>
      <c r="H425" s="15">
        <f>'Raw Data'!A425</f>
        <v>423</v>
      </c>
      <c r="I425" s="15" t="str">
        <f>'Raw Data'!J425</f>
        <v xml:space="preserve"> UK              </v>
      </c>
      <c r="J425" s="15" t="s">
        <v>2555</v>
      </c>
      <c r="K425" s="15" t="str">
        <f t="shared" si="13"/>
        <v>Updated</v>
      </c>
    </row>
    <row r="426" spans="1:11" x14ac:dyDescent="0.25">
      <c r="A426" s="15">
        <f>'Raw Data'!A426</f>
        <v>424</v>
      </c>
      <c r="B426" s="16">
        <f>'Raw Data'!D426</f>
        <v>42505.9375</v>
      </c>
      <c r="C426" s="15">
        <v>2016</v>
      </c>
      <c r="D426" s="15" t="str">
        <f t="shared" si="12"/>
        <v>May</v>
      </c>
      <c r="E426" s="15">
        <v>15</v>
      </c>
      <c r="F426" s="17">
        <v>0.9375</v>
      </c>
      <c r="G426" s="28"/>
      <c r="H426" s="15">
        <f>'Raw Data'!A426</f>
        <v>424</v>
      </c>
      <c r="I426" s="15" t="str">
        <f>'Raw Data'!J426</f>
        <v xml:space="preserve"> Australia        </v>
      </c>
      <c r="J426" s="15" t="s">
        <v>1443</v>
      </c>
      <c r="K426" s="15" t="str">
        <f t="shared" si="13"/>
        <v>No Change</v>
      </c>
    </row>
    <row r="427" spans="1:11" x14ac:dyDescent="0.25">
      <c r="A427" s="15">
        <f>'Raw Data'!A427</f>
        <v>425</v>
      </c>
      <c r="B427" s="16">
        <f>'Raw Data'!D427</f>
        <v>43353.552083333336</v>
      </c>
      <c r="C427" s="15">
        <v>2018</v>
      </c>
      <c r="D427" s="15" t="str">
        <f t="shared" si="12"/>
        <v>September</v>
      </c>
      <c r="E427" s="15">
        <v>10</v>
      </c>
      <c r="F427" s="17">
        <v>0.55208333333333337</v>
      </c>
      <c r="G427" s="28"/>
      <c r="H427" s="15">
        <f>'Raw Data'!A427</f>
        <v>425</v>
      </c>
      <c r="I427" s="15" t="str">
        <f>'Raw Data'!J427</f>
        <v xml:space="preserve"> Germany         </v>
      </c>
      <c r="J427" s="15" t="s">
        <v>1279</v>
      </c>
      <c r="K427" s="15" t="str">
        <f t="shared" si="13"/>
        <v>No Change</v>
      </c>
    </row>
    <row r="428" spans="1:11" x14ac:dyDescent="0.25">
      <c r="A428" s="15">
        <f>'Raw Data'!A428</f>
        <v>426</v>
      </c>
      <c r="B428" s="16">
        <f>'Raw Data'!D428</f>
        <v>44640.8125</v>
      </c>
      <c r="C428" s="15">
        <v>2022</v>
      </c>
      <c r="D428" s="15" t="str">
        <f t="shared" si="12"/>
        <v>March</v>
      </c>
      <c r="E428" s="15">
        <v>20</v>
      </c>
      <c r="F428" s="17">
        <v>0.8125</v>
      </c>
      <c r="G428" s="28"/>
      <c r="H428" s="15">
        <f>'Raw Data'!A428</f>
        <v>426</v>
      </c>
      <c r="I428" s="15" t="str">
        <f>'Raw Data'!J428</f>
        <v xml:space="preserve"> Brazil          </v>
      </c>
      <c r="J428" s="15" t="s">
        <v>1421</v>
      </c>
      <c r="K428" s="15" t="str">
        <f t="shared" si="13"/>
        <v>No Change</v>
      </c>
    </row>
    <row r="429" spans="1:11" x14ac:dyDescent="0.25">
      <c r="A429" s="15">
        <f>'Raw Data'!A429</f>
        <v>427</v>
      </c>
      <c r="B429" s="16">
        <f>'Raw Data'!D429</f>
        <v>42934.739583333336</v>
      </c>
      <c r="C429" s="15">
        <v>2017</v>
      </c>
      <c r="D429" s="15" t="str">
        <f t="shared" si="12"/>
        <v>July</v>
      </c>
      <c r="E429" s="15">
        <v>18</v>
      </c>
      <c r="F429" s="17">
        <v>0.73958333333333337</v>
      </c>
      <c r="G429" s="28"/>
      <c r="H429" s="15">
        <f>'Raw Data'!A429</f>
        <v>427</v>
      </c>
      <c r="I429" s="15" t="str">
        <f>'Raw Data'!J429</f>
        <v xml:space="preserve"> India          </v>
      </c>
      <c r="J429" s="15" t="s">
        <v>1406</v>
      </c>
      <c r="K429" s="15" t="str">
        <f t="shared" si="13"/>
        <v>No Change</v>
      </c>
    </row>
    <row r="430" spans="1:11" x14ac:dyDescent="0.25">
      <c r="A430" s="15">
        <f>'Raw Data'!A430</f>
        <v>428</v>
      </c>
      <c r="B430" s="16">
        <f>'Raw Data'!D430</f>
        <v>43449.416666666664</v>
      </c>
      <c r="C430" s="15">
        <v>2018</v>
      </c>
      <c r="D430" s="15" t="str">
        <f t="shared" si="12"/>
        <v>December</v>
      </c>
      <c r="E430" s="15">
        <v>15</v>
      </c>
      <c r="F430" s="17">
        <v>0.41666666666666669</v>
      </c>
      <c r="G430" s="28"/>
      <c r="H430" s="15">
        <f>'Raw Data'!A430</f>
        <v>428</v>
      </c>
      <c r="I430" s="15" t="str">
        <f>'Raw Data'!J430</f>
        <v xml:space="preserve"> France         </v>
      </c>
      <c r="J430" s="15" t="s">
        <v>1460</v>
      </c>
      <c r="K430" s="15" t="str">
        <f t="shared" si="13"/>
        <v>No Change</v>
      </c>
    </row>
    <row r="431" spans="1:11" x14ac:dyDescent="0.25">
      <c r="A431" s="15">
        <f>'Raw Data'!A431</f>
        <v>429</v>
      </c>
      <c r="B431" s="16">
        <f>'Raw Data'!D431</f>
        <v>42183.885416666664</v>
      </c>
      <c r="C431" s="15">
        <v>2015</v>
      </c>
      <c r="D431" s="15" t="str">
        <f t="shared" si="12"/>
        <v>June</v>
      </c>
      <c r="E431" s="15">
        <v>28</v>
      </c>
      <c r="F431" s="17">
        <v>0.88541666666666663</v>
      </c>
      <c r="G431" s="28"/>
      <c r="H431" s="15">
        <f>'Raw Data'!A431</f>
        <v>429</v>
      </c>
      <c r="I431" s="15" t="str">
        <f>'Raw Data'!J431</f>
        <v xml:space="preserve"> Italy         </v>
      </c>
      <c r="J431" s="15" t="s">
        <v>1464</v>
      </c>
      <c r="K431" s="15" t="str">
        <f t="shared" si="13"/>
        <v>No Change</v>
      </c>
    </row>
    <row r="432" spans="1:11" x14ac:dyDescent="0.25">
      <c r="A432" s="15">
        <f>'Raw Data'!A432</f>
        <v>430</v>
      </c>
      <c r="B432" s="16">
        <f>'Raw Data'!D432</f>
        <v>43923.597222222219</v>
      </c>
      <c r="C432" s="15">
        <v>2020</v>
      </c>
      <c r="D432" s="15" t="str">
        <f t="shared" si="12"/>
        <v>April</v>
      </c>
      <c r="E432" s="15">
        <v>2</v>
      </c>
      <c r="F432" s="17">
        <v>0.59722222222222221</v>
      </c>
      <c r="G432" s="28"/>
      <c r="H432" s="15">
        <f>'Raw Data'!A432</f>
        <v>430</v>
      </c>
      <c r="I432" s="15" t="str">
        <f>'Raw Data'!J432</f>
        <v xml:space="preserve"> Japan       </v>
      </c>
      <c r="J432" s="15" t="s">
        <v>1469</v>
      </c>
      <c r="K432" s="15" t="str">
        <f t="shared" si="13"/>
        <v>No Change</v>
      </c>
    </row>
    <row r="433" spans="1:11" x14ac:dyDescent="0.25">
      <c r="A433" s="15">
        <f>'Raw Data'!A433</f>
        <v>431</v>
      </c>
      <c r="B433" s="16">
        <f>'Raw Data'!D433</f>
        <v>43746.770833333336</v>
      </c>
      <c r="C433" s="15">
        <v>2019</v>
      </c>
      <c r="D433" s="15" t="str">
        <f t="shared" si="12"/>
        <v>October</v>
      </c>
      <c r="E433" s="15">
        <v>8</v>
      </c>
      <c r="F433" s="17">
        <v>0.77083333333333337</v>
      </c>
      <c r="G433" s="28"/>
      <c r="H433" s="15">
        <f>'Raw Data'!A433</f>
        <v>431</v>
      </c>
      <c r="I433" s="15" t="str">
        <f>'Raw Data'!J433</f>
        <v xml:space="preserve"> Spain        </v>
      </c>
      <c r="J433" s="15" t="s">
        <v>1474</v>
      </c>
      <c r="K433" s="15" t="str">
        <f t="shared" si="13"/>
        <v>No Change</v>
      </c>
    </row>
    <row r="434" spans="1:11" x14ac:dyDescent="0.25">
      <c r="A434" s="15">
        <f>'Raw Data'!A434</f>
        <v>432</v>
      </c>
      <c r="B434" s="16">
        <f>'Raw Data'!D434</f>
        <v>42696.40625</v>
      </c>
      <c r="C434" s="15">
        <v>2016</v>
      </c>
      <c r="D434" s="15" t="str">
        <f t="shared" si="12"/>
        <v>November</v>
      </c>
      <c r="E434" s="15">
        <v>22</v>
      </c>
      <c r="F434" s="17">
        <v>0.40625</v>
      </c>
      <c r="G434" s="28"/>
      <c r="H434" s="15">
        <f>'Raw Data'!A434</f>
        <v>432</v>
      </c>
      <c r="I434" s="15" t="str">
        <f>'Raw Data'!J434</f>
        <v xml:space="preserve"> Netherlands  </v>
      </c>
      <c r="J434" s="15" t="s">
        <v>1479</v>
      </c>
      <c r="K434" s="15" t="str">
        <f t="shared" si="13"/>
        <v>No Change</v>
      </c>
    </row>
    <row r="435" spans="1:11" x14ac:dyDescent="0.25">
      <c r="A435" s="15">
        <f>'Raw Data'!A435</f>
        <v>433</v>
      </c>
      <c r="B435" s="16">
        <f>'Raw Data'!D435</f>
        <v>44791.916666666664</v>
      </c>
      <c r="C435" s="15">
        <v>2022</v>
      </c>
      <c r="D435" s="15" t="str">
        <f t="shared" si="12"/>
        <v>August</v>
      </c>
      <c r="E435" s="15">
        <v>18</v>
      </c>
      <c r="F435" s="17">
        <v>0.91666666666666663</v>
      </c>
      <c r="G435" s="28"/>
      <c r="H435" s="15">
        <f>'Raw Data'!A435</f>
        <v>433</v>
      </c>
      <c r="I435" s="15" t="str">
        <f>'Raw Data'!J435</f>
        <v xml:space="preserve"> South Africa </v>
      </c>
      <c r="J435" s="15" t="s">
        <v>1483</v>
      </c>
      <c r="K435" s="15" t="str">
        <f t="shared" si="13"/>
        <v>No Change</v>
      </c>
    </row>
    <row r="436" spans="1:11" x14ac:dyDescent="0.25">
      <c r="A436" s="15">
        <f>'Raw Data'!A436</f>
        <v>434</v>
      </c>
      <c r="B436" s="16">
        <f>'Raw Data'!D436</f>
        <v>42806.979166666664</v>
      </c>
      <c r="C436" s="15">
        <v>2017</v>
      </c>
      <c r="D436" s="15" t="str">
        <f t="shared" si="12"/>
        <v>March</v>
      </c>
      <c r="E436" s="15">
        <v>12</v>
      </c>
      <c r="F436" s="17">
        <v>0.97916666666666663</v>
      </c>
      <c r="G436" s="28"/>
      <c r="H436" s="15">
        <f>'Raw Data'!A436</f>
        <v>434</v>
      </c>
      <c r="I436" s="15" t="str">
        <f>'Raw Data'!J436</f>
        <v xml:space="preserve"> UK         </v>
      </c>
      <c r="J436" s="15" t="s">
        <v>2548</v>
      </c>
      <c r="K436" s="15" t="str">
        <f t="shared" si="13"/>
        <v>Updated</v>
      </c>
    </row>
    <row r="437" spans="1:11" x14ac:dyDescent="0.25">
      <c r="A437" s="15">
        <f>'Raw Data'!A437</f>
        <v>435</v>
      </c>
      <c r="B437" s="16">
        <f>'Raw Data'!D437</f>
        <v>42353.677083333336</v>
      </c>
      <c r="C437" s="15">
        <v>2015</v>
      </c>
      <c r="D437" s="15" t="str">
        <f t="shared" si="12"/>
        <v>December</v>
      </c>
      <c r="E437" s="15">
        <v>15</v>
      </c>
      <c r="F437" s="17">
        <v>0.67708333333333337</v>
      </c>
      <c r="G437" s="28"/>
      <c r="H437" s="15">
        <f>'Raw Data'!A437</f>
        <v>435</v>
      </c>
      <c r="I437" s="15" t="str">
        <f>'Raw Data'!J437</f>
        <v xml:space="preserve"> Australia   </v>
      </c>
      <c r="J437" s="15" t="s">
        <v>247</v>
      </c>
      <c r="K437" s="15" t="str">
        <f t="shared" si="13"/>
        <v>No Change</v>
      </c>
    </row>
    <row r="438" spans="1:11" x14ac:dyDescent="0.25">
      <c r="A438" s="15">
        <f>'Raw Data'!A438</f>
        <v>436</v>
      </c>
      <c r="B438" s="16">
        <f>'Raw Data'!D438</f>
        <v>44444.5625</v>
      </c>
      <c r="C438" s="15">
        <v>2021</v>
      </c>
      <c r="D438" s="15" t="str">
        <f t="shared" si="12"/>
        <v>September</v>
      </c>
      <c r="E438" s="15">
        <v>5</v>
      </c>
      <c r="F438" s="17">
        <v>0.5625</v>
      </c>
      <c r="G438" s="28"/>
      <c r="H438" s="15">
        <f>'Raw Data'!A438</f>
        <v>436</v>
      </c>
      <c r="I438" s="15" t="str">
        <f>'Raw Data'!J438</f>
        <v xml:space="preserve"> Canada     </v>
      </c>
      <c r="J438" s="15" t="s">
        <v>197</v>
      </c>
      <c r="K438" s="15" t="str">
        <f t="shared" si="13"/>
        <v>No Change</v>
      </c>
    </row>
    <row r="439" spans="1:11" x14ac:dyDescent="0.25">
      <c r="A439" s="15">
        <f>'Raw Data'!A439</f>
        <v>437</v>
      </c>
      <c r="B439" s="16">
        <f>'Raw Data'!D439</f>
        <v>43242.864583333336</v>
      </c>
      <c r="C439" s="15">
        <v>2018</v>
      </c>
      <c r="D439" s="15" t="str">
        <f t="shared" si="12"/>
        <v>May</v>
      </c>
      <c r="E439" s="15">
        <v>22</v>
      </c>
      <c r="F439" s="17">
        <v>0.86458333333333337</v>
      </c>
      <c r="G439" s="28"/>
      <c r="H439" s="15">
        <f>'Raw Data'!A439</f>
        <v>437</v>
      </c>
      <c r="I439" s="15" t="str">
        <f>'Raw Data'!J439</f>
        <v xml:space="preserve"> Germany     </v>
      </c>
      <c r="J439" s="15" t="s">
        <v>1499</v>
      </c>
      <c r="K439" s="15" t="str">
        <f t="shared" si="13"/>
        <v>No Change</v>
      </c>
    </row>
    <row r="440" spans="1:11" x14ac:dyDescent="0.25">
      <c r="A440" s="15">
        <f>'Raw Data'!A440</f>
        <v>438</v>
      </c>
      <c r="B440" s="16">
        <f>'Raw Data'!D440</f>
        <v>42561.763888888891</v>
      </c>
      <c r="C440" s="15">
        <v>2016</v>
      </c>
      <c r="D440" s="15" t="str">
        <f t="shared" si="12"/>
        <v>July</v>
      </c>
      <c r="E440" s="15">
        <v>10</v>
      </c>
      <c r="F440" s="17">
        <v>0.76388888888888884</v>
      </c>
      <c r="G440" s="28"/>
      <c r="H440" s="15">
        <f>'Raw Data'!A440</f>
        <v>438</v>
      </c>
      <c r="I440" s="15" t="str">
        <f>'Raw Data'!J440</f>
        <v xml:space="preserve"> USA         </v>
      </c>
      <c r="J440" s="15" t="s">
        <v>2542</v>
      </c>
      <c r="K440" s="15" t="str">
        <f t="shared" si="13"/>
        <v>Updated</v>
      </c>
    </row>
    <row r="441" spans="1:11" x14ac:dyDescent="0.25">
      <c r="A441" s="15">
        <f>'Raw Data'!A441</f>
        <v>439</v>
      </c>
      <c r="B441" s="16">
        <f>'Raw Data'!D441</f>
        <v>43585.583333333336</v>
      </c>
      <c r="C441" s="15">
        <v>2019</v>
      </c>
      <c r="D441" s="15" t="str">
        <f t="shared" si="12"/>
        <v>April</v>
      </c>
      <c r="E441" s="15">
        <v>30</v>
      </c>
      <c r="F441" s="17">
        <v>0.58333333333333337</v>
      </c>
      <c r="G441" s="28"/>
      <c r="H441" s="15">
        <f>'Raw Data'!A441</f>
        <v>439</v>
      </c>
      <c r="I441" s="15" t="str">
        <f>'Raw Data'!J441</f>
        <v xml:space="preserve"> France    </v>
      </c>
      <c r="J441" s="15" t="s">
        <v>1509</v>
      </c>
      <c r="K441" s="15" t="str">
        <f t="shared" si="13"/>
        <v>No Change</v>
      </c>
    </row>
    <row r="442" spans="1:11" x14ac:dyDescent="0.25">
      <c r="A442" s="15">
        <f>'Raw Data'!A442</f>
        <v>440</v>
      </c>
      <c r="B442" s="16">
        <f>'Raw Data'!D442</f>
        <v>44569.479166666664</v>
      </c>
      <c r="C442" s="15">
        <v>2022</v>
      </c>
      <c r="D442" s="15" t="str">
        <f t="shared" si="12"/>
        <v>January</v>
      </c>
      <c r="E442" s="15">
        <v>8</v>
      </c>
      <c r="F442" s="17">
        <v>0.47916666666666669</v>
      </c>
      <c r="G442" s="28"/>
      <c r="H442" s="15">
        <f>'Raw Data'!A442</f>
        <v>440</v>
      </c>
      <c r="I442" s="15" t="str">
        <f>'Raw Data'!J442</f>
        <v xml:space="preserve"> Brazil     </v>
      </c>
      <c r="J442" s="15" t="s">
        <v>1514</v>
      </c>
      <c r="K442" s="15" t="str">
        <f t="shared" si="13"/>
        <v>No Change</v>
      </c>
    </row>
    <row r="443" spans="1:11" x14ac:dyDescent="0.25">
      <c r="A443" s="15">
        <f>'Raw Data'!A443</f>
        <v>441</v>
      </c>
      <c r="B443" s="16">
        <f>'Raw Data'!D443</f>
        <v>42988.802083333336</v>
      </c>
      <c r="C443" s="15">
        <v>2017</v>
      </c>
      <c r="D443" s="15" t="str">
        <f t="shared" si="12"/>
        <v>September</v>
      </c>
      <c r="E443" s="15">
        <v>10</v>
      </c>
      <c r="F443" s="17">
        <v>0.80208333333333337</v>
      </c>
      <c r="G443" s="28"/>
      <c r="H443" s="15">
        <f>'Raw Data'!A443</f>
        <v>441</v>
      </c>
      <c r="I443" s="15" t="str">
        <f>'Raw Data'!J443</f>
        <v xml:space="preserve"> Australia </v>
      </c>
      <c r="J443" s="15" t="s">
        <v>36</v>
      </c>
      <c r="K443" s="15" t="str">
        <f t="shared" si="13"/>
        <v>No Change</v>
      </c>
    </row>
    <row r="444" spans="1:11" x14ac:dyDescent="0.25">
      <c r="A444" s="15">
        <f>'Raw Data'!A444</f>
        <v>442</v>
      </c>
      <c r="B444" s="16">
        <f>'Raw Data'!D444</f>
        <v>44669.479166666664</v>
      </c>
      <c r="C444" s="15">
        <v>2022</v>
      </c>
      <c r="D444" s="15" t="str">
        <f t="shared" si="12"/>
        <v>April</v>
      </c>
      <c r="E444" s="15">
        <v>18</v>
      </c>
      <c r="F444" s="17">
        <v>0.47916666666666669</v>
      </c>
      <c r="G444" s="28"/>
      <c r="H444" s="15">
        <f>'Raw Data'!A444</f>
        <v>442</v>
      </c>
      <c r="I444" s="15" t="str">
        <f>'Raw Data'!J444</f>
        <v xml:space="preserve"> Canada </v>
      </c>
      <c r="J444" s="15" t="s">
        <v>121</v>
      </c>
      <c r="K444" s="15" t="str">
        <f t="shared" si="13"/>
        <v>No Change</v>
      </c>
    </row>
    <row r="445" spans="1:11" x14ac:dyDescent="0.25">
      <c r="A445" s="15">
        <f>'Raw Data'!A445</f>
        <v>443</v>
      </c>
      <c r="B445" s="16">
        <f>'Raw Data'!D445</f>
        <v>43439.90625</v>
      </c>
      <c r="C445" s="15">
        <v>2018</v>
      </c>
      <c r="D445" s="15" t="str">
        <f t="shared" si="12"/>
        <v>December</v>
      </c>
      <c r="E445" s="15">
        <v>5</v>
      </c>
      <c r="F445" s="17">
        <v>0.90625</v>
      </c>
      <c r="G445" s="28"/>
      <c r="H445" s="15">
        <f>'Raw Data'!A445</f>
        <v>443</v>
      </c>
      <c r="I445" s="15" t="str">
        <f>'Raw Data'!J445</f>
        <v xml:space="preserve"> USA </v>
      </c>
      <c r="J445" s="15" t="s">
        <v>2534</v>
      </c>
      <c r="K445" s="15" t="str">
        <f t="shared" si="13"/>
        <v>Updated</v>
      </c>
    </row>
    <row r="446" spans="1:11" x14ac:dyDescent="0.25">
      <c r="A446" s="15">
        <f>'Raw Data'!A446</f>
        <v>444</v>
      </c>
      <c r="B446" s="16">
        <f>'Raw Data'!D446</f>
        <v>42549.597222222219</v>
      </c>
      <c r="C446" s="15">
        <v>2016</v>
      </c>
      <c r="D446" s="15" t="str">
        <f t="shared" si="12"/>
        <v>June</v>
      </c>
      <c r="E446" s="15">
        <v>28</v>
      </c>
      <c r="F446" s="17">
        <v>0.59722222222222221</v>
      </c>
      <c r="G446" s="28"/>
      <c r="H446" s="15">
        <f>'Raw Data'!A446</f>
        <v>444</v>
      </c>
      <c r="I446" s="15" t="str">
        <f>'Raw Data'!J446</f>
        <v xml:space="preserve"> UK </v>
      </c>
      <c r="J446" s="15" t="s">
        <v>2545</v>
      </c>
      <c r="K446" s="15" t="str">
        <f t="shared" si="13"/>
        <v>Updated</v>
      </c>
    </row>
    <row r="447" spans="1:11" x14ac:dyDescent="0.25">
      <c r="A447" s="15">
        <f>'Raw Data'!A447</f>
        <v>445</v>
      </c>
      <c r="B447" s="16">
        <f>'Raw Data'!D447</f>
        <v>43760.708333333336</v>
      </c>
      <c r="C447" s="15">
        <v>2019</v>
      </c>
      <c r="D447" s="15" t="str">
        <f t="shared" si="12"/>
        <v>October</v>
      </c>
      <c r="E447" s="15">
        <v>22</v>
      </c>
      <c r="F447" s="17">
        <v>0.70833333333333337</v>
      </c>
      <c r="G447" s="28"/>
      <c r="H447" s="15">
        <f>'Raw Data'!A447</f>
        <v>445</v>
      </c>
      <c r="I447" s="15" t="str">
        <f>'Raw Data'!J447</f>
        <v xml:space="preserve"> Germany </v>
      </c>
      <c r="J447" s="15" t="s">
        <v>1533</v>
      </c>
      <c r="K447" s="15" t="str">
        <f t="shared" si="13"/>
        <v>No Change</v>
      </c>
    </row>
    <row r="448" spans="1:11" x14ac:dyDescent="0.25">
      <c r="A448" s="15">
        <f>'Raw Data'!A448</f>
        <v>446</v>
      </c>
      <c r="B448" s="16">
        <f>'Raw Data'!D448</f>
        <v>44270.947916666664</v>
      </c>
      <c r="C448" s="15">
        <v>2021</v>
      </c>
      <c r="D448" s="15" t="str">
        <f t="shared" si="12"/>
        <v>March</v>
      </c>
      <c r="E448" s="15">
        <v>15</v>
      </c>
      <c r="F448" s="17">
        <v>0.94791666666666663</v>
      </c>
      <c r="G448" s="28"/>
      <c r="H448" s="15">
        <f>'Raw Data'!A448</f>
        <v>446</v>
      </c>
      <c r="I448" s="15" t="str">
        <f>'Raw Data'!J448</f>
        <v xml:space="preserve"> Brazil </v>
      </c>
      <c r="J448" s="15" t="s">
        <v>1537</v>
      </c>
      <c r="K448" s="15" t="str">
        <f t="shared" si="13"/>
        <v>No Change</v>
      </c>
    </row>
    <row r="449" spans="1:11" x14ac:dyDescent="0.25">
      <c r="A449" s="15">
        <f>'Raw Data'!A449</f>
        <v>447</v>
      </c>
      <c r="B449" s="16">
        <f>'Raw Data'!D449</f>
        <v>42957.8125</v>
      </c>
      <c r="C449" s="15">
        <v>2017</v>
      </c>
      <c r="D449" s="15" t="str">
        <f t="shared" si="12"/>
        <v>August</v>
      </c>
      <c r="E449" s="15">
        <v>10</v>
      </c>
      <c r="F449" s="17">
        <v>0.8125</v>
      </c>
      <c r="G449" s="28"/>
      <c r="H449" s="15">
        <f>'Raw Data'!A449</f>
        <v>447</v>
      </c>
      <c r="I449" s="15" t="str">
        <f>'Raw Data'!J449</f>
        <v xml:space="preserve"> France </v>
      </c>
      <c r="J449" s="15" t="s">
        <v>1542</v>
      </c>
      <c r="K449" s="15" t="str">
        <f t="shared" si="13"/>
        <v>No Change</v>
      </c>
    </row>
    <row r="450" spans="1:11" x14ac:dyDescent="0.25">
      <c r="A450" s="15">
        <f>'Raw Data'!A450</f>
        <v>448</v>
      </c>
      <c r="B450" s="16">
        <f>'Raw Data'!D450</f>
        <v>44954.604166666664</v>
      </c>
      <c r="C450" s="15">
        <v>2023</v>
      </c>
      <c r="D450" s="15" t="str">
        <f t="shared" si="12"/>
        <v>January</v>
      </c>
      <c r="E450" s="15">
        <v>28</v>
      </c>
      <c r="F450" s="17">
        <v>0.60416666666666663</v>
      </c>
      <c r="G450" s="28"/>
      <c r="H450" s="15">
        <f>'Raw Data'!A450</f>
        <v>448</v>
      </c>
      <c r="I450" s="15" t="str">
        <f>'Raw Data'!J450</f>
        <v xml:space="preserve"> India </v>
      </c>
      <c r="J450" s="15" t="s">
        <v>162</v>
      </c>
      <c r="K450" s="15" t="str">
        <f t="shared" si="13"/>
        <v>No Change</v>
      </c>
    </row>
    <row r="451" spans="1:11" x14ac:dyDescent="0.25">
      <c r="A451" s="15">
        <f>'Raw Data'!A451</f>
        <v>449</v>
      </c>
      <c r="B451" s="16">
        <f>'Raw Data'!D451</f>
        <v>42716.416666666664</v>
      </c>
      <c r="C451" s="15">
        <v>2016</v>
      </c>
      <c r="D451" s="15" t="str">
        <f t="shared" si="12"/>
        <v>December</v>
      </c>
      <c r="E451" s="15">
        <v>12</v>
      </c>
      <c r="F451" s="17">
        <v>0.41666666666666669</v>
      </c>
      <c r="G451" s="28"/>
      <c r="H451" s="15">
        <f>'Raw Data'!A451</f>
        <v>449</v>
      </c>
      <c r="I451" s="15" t="str">
        <f>'Raw Data'!J451</f>
        <v xml:space="preserve"> Italy </v>
      </c>
      <c r="J451" s="15" t="s">
        <v>1550</v>
      </c>
      <c r="K451" s="15" t="str">
        <f t="shared" si="13"/>
        <v>No Change</v>
      </c>
    </row>
    <row r="452" spans="1:11" x14ac:dyDescent="0.25">
      <c r="A452" s="15">
        <f>'Raw Data'!A452</f>
        <v>450</v>
      </c>
      <c r="B452" s="16">
        <f>'Raw Data'!D452</f>
        <v>44030.635416666664</v>
      </c>
      <c r="C452" s="15">
        <v>2020</v>
      </c>
      <c r="D452" s="15" t="str">
        <f t="shared" ref="D452:D515" si="14">TEXT(B452,"MMMM")</f>
        <v>July</v>
      </c>
      <c r="E452" s="15">
        <v>18</v>
      </c>
      <c r="F452" s="17">
        <v>0.63541666666666663</v>
      </c>
      <c r="G452" s="28"/>
      <c r="H452" s="15">
        <f>'Raw Data'!A452</f>
        <v>450</v>
      </c>
      <c r="I452" s="15" t="str">
        <f>'Raw Data'!J452</f>
        <v xml:space="preserve"> Japan </v>
      </c>
      <c r="J452" s="15" t="s">
        <v>1555</v>
      </c>
      <c r="K452" s="15" t="str">
        <f t="shared" ref="K452:K515" si="15">IF(I452=J452,"No Change","Updated")</f>
        <v>No Change</v>
      </c>
    </row>
    <row r="453" spans="1:11" x14ac:dyDescent="0.25">
      <c r="A453" s="15">
        <f>'Raw Data'!A453</f>
        <v>451</v>
      </c>
      <c r="B453" s="16">
        <f>'Raw Data'!D453</f>
        <v>44701.854166666664</v>
      </c>
      <c r="C453" s="15">
        <v>2022</v>
      </c>
      <c r="D453" s="15" t="str">
        <f t="shared" si="14"/>
        <v>May</v>
      </c>
      <c r="E453" s="15">
        <v>20</v>
      </c>
      <c r="F453" s="17">
        <v>0.85416666666666663</v>
      </c>
      <c r="G453" s="28"/>
      <c r="H453" s="15">
        <f>'Raw Data'!A453</f>
        <v>451</v>
      </c>
      <c r="I453" s="15" t="str">
        <f>'Raw Data'!J453</f>
        <v xml:space="preserve"> South Africa </v>
      </c>
      <c r="J453" s="15" t="s">
        <v>1483</v>
      </c>
      <c r="K453" s="15" t="str">
        <f t="shared" si="15"/>
        <v>No Change</v>
      </c>
    </row>
    <row r="454" spans="1:11" x14ac:dyDescent="0.25">
      <c r="A454" s="15">
        <f>'Raw Data'!A454</f>
        <v>452</v>
      </c>
      <c r="B454" s="16">
        <f>'Raw Data'!D454</f>
        <v>43777.614583333336</v>
      </c>
      <c r="C454" s="15">
        <v>2019</v>
      </c>
      <c r="D454" s="15" t="str">
        <f t="shared" si="14"/>
        <v>November</v>
      </c>
      <c r="E454" s="15">
        <v>8</v>
      </c>
      <c r="F454" s="17">
        <v>0.61458333333333337</v>
      </c>
      <c r="G454" s="28"/>
      <c r="H454" s="15">
        <f>'Raw Data'!A454</f>
        <v>452</v>
      </c>
      <c r="I454" s="15" t="str">
        <f>'Raw Data'!J454</f>
        <v xml:space="preserve"> Spain </v>
      </c>
      <c r="J454" s="15" t="s">
        <v>1562</v>
      </c>
      <c r="K454" s="15" t="str">
        <f t="shared" si="15"/>
        <v>No Change</v>
      </c>
    </row>
    <row r="455" spans="1:11" x14ac:dyDescent="0.25">
      <c r="A455" s="15">
        <f>'Raw Data'!A455</f>
        <v>453</v>
      </c>
      <c r="B455" s="16">
        <f>'Raw Data'!D455</f>
        <v>42822.916666666664</v>
      </c>
      <c r="C455" s="15">
        <v>2017</v>
      </c>
      <c r="D455" s="15" t="str">
        <f t="shared" si="14"/>
        <v>March</v>
      </c>
      <c r="E455" s="15">
        <v>28</v>
      </c>
      <c r="F455" s="17">
        <v>0.91666666666666663</v>
      </c>
      <c r="G455" s="28"/>
      <c r="H455" s="15">
        <f>'Raw Data'!A455</f>
        <v>453</v>
      </c>
      <c r="I455" s="15" t="str">
        <f>'Raw Data'!J455</f>
        <v xml:space="preserve"> Australia </v>
      </c>
      <c r="J455" s="15" t="s">
        <v>36</v>
      </c>
      <c r="K455" s="15" t="str">
        <f t="shared" si="15"/>
        <v>No Change</v>
      </c>
    </row>
    <row r="456" spans="1:11" x14ac:dyDescent="0.25">
      <c r="A456" s="15">
        <f>'Raw Data'!A456</f>
        <v>454</v>
      </c>
      <c r="B456" s="16">
        <f>'Raw Data'!D456</f>
        <v>44089.760416666664</v>
      </c>
      <c r="C456" s="15">
        <v>2020</v>
      </c>
      <c r="D456" s="15" t="str">
        <f t="shared" si="14"/>
        <v>September</v>
      </c>
      <c r="E456" s="15">
        <v>15</v>
      </c>
      <c r="F456" s="17">
        <v>0.76041666666666663</v>
      </c>
      <c r="G456" s="28"/>
      <c r="H456" s="15">
        <f>'Raw Data'!A456</f>
        <v>454</v>
      </c>
      <c r="I456" s="15" t="str">
        <f>'Raw Data'!J456</f>
        <v xml:space="preserve"> Canada </v>
      </c>
      <c r="J456" s="15" t="s">
        <v>121</v>
      </c>
      <c r="K456" s="15" t="str">
        <f t="shared" si="15"/>
        <v>No Change</v>
      </c>
    </row>
    <row r="457" spans="1:11" x14ac:dyDescent="0.25">
      <c r="A457" s="15">
        <f>'Raw Data'!A457</f>
        <v>455</v>
      </c>
      <c r="B457" s="16">
        <f>'Raw Data'!D457</f>
        <v>43261.5625</v>
      </c>
      <c r="C457" s="15">
        <v>2018</v>
      </c>
      <c r="D457" s="15" t="str">
        <f t="shared" si="14"/>
        <v>June</v>
      </c>
      <c r="E457" s="15">
        <v>10</v>
      </c>
      <c r="F457" s="17">
        <v>0.5625</v>
      </c>
      <c r="G457" s="28"/>
      <c r="H457" s="15">
        <f>'Raw Data'!A457</f>
        <v>455</v>
      </c>
      <c r="I457" s="15" t="str">
        <f>'Raw Data'!J457</f>
        <v xml:space="preserve"> UK </v>
      </c>
      <c r="J457" s="15" t="s">
        <v>2545</v>
      </c>
      <c r="K457" s="15" t="str">
        <f t="shared" si="15"/>
        <v>Updated</v>
      </c>
    </row>
    <row r="458" spans="1:11" x14ac:dyDescent="0.25">
      <c r="A458" s="15">
        <f>'Raw Data'!A458</f>
        <v>456</v>
      </c>
      <c r="B458" s="16">
        <f>'Raw Data'!D458</f>
        <v>42726.90625</v>
      </c>
      <c r="C458" s="15">
        <v>2016</v>
      </c>
      <c r="D458" s="15" t="str">
        <f t="shared" si="14"/>
        <v>December</v>
      </c>
      <c r="E458" s="15">
        <v>22</v>
      </c>
      <c r="F458" s="17">
        <v>0.90625</v>
      </c>
      <c r="G458" s="28"/>
      <c r="H458" s="15">
        <f>'Raw Data'!A458</f>
        <v>456</v>
      </c>
      <c r="I458" s="15" t="str">
        <f>'Raw Data'!J458</f>
        <v xml:space="preserve"> USA </v>
      </c>
      <c r="J458" s="15" t="s">
        <v>2534</v>
      </c>
      <c r="K458" s="15" t="str">
        <f t="shared" si="15"/>
        <v>Updated</v>
      </c>
    </row>
    <row r="459" spans="1:11" x14ac:dyDescent="0.25">
      <c r="A459" s="15">
        <f>'Raw Data'!A459</f>
        <v>457</v>
      </c>
      <c r="B459" s="16">
        <f>'Raw Data'!D459</f>
        <v>44201.680555555555</v>
      </c>
      <c r="C459" s="15">
        <v>2021</v>
      </c>
      <c r="D459" s="15" t="str">
        <f t="shared" si="14"/>
        <v>January</v>
      </c>
      <c r="E459" s="15">
        <v>5</v>
      </c>
      <c r="F459" s="17">
        <v>0.68055555555555558</v>
      </c>
      <c r="G459" s="28"/>
      <c r="H459" s="15">
        <f>'Raw Data'!A459</f>
        <v>457</v>
      </c>
      <c r="I459" s="15" t="str">
        <f>'Raw Data'!J459</f>
        <v xml:space="preserve"> Germany </v>
      </c>
      <c r="J459" s="15" t="s">
        <v>1533</v>
      </c>
      <c r="K459" s="15" t="str">
        <f t="shared" si="15"/>
        <v>No Change</v>
      </c>
    </row>
    <row r="460" spans="1:11" x14ac:dyDescent="0.25">
      <c r="A460" s="15">
        <f>'Raw Data'!A460</f>
        <v>458</v>
      </c>
      <c r="B460" s="16">
        <f>'Raw Data'!D460</f>
        <v>43573.458333333336</v>
      </c>
      <c r="C460" s="15">
        <v>2019</v>
      </c>
      <c r="D460" s="15" t="str">
        <f t="shared" si="14"/>
        <v>April</v>
      </c>
      <c r="E460" s="15">
        <v>18</v>
      </c>
      <c r="F460" s="17">
        <v>0.45833333333333331</v>
      </c>
      <c r="G460" s="28"/>
      <c r="H460" s="15">
        <f>'Raw Data'!A460</f>
        <v>458</v>
      </c>
      <c r="I460" s="15" t="str">
        <f>'Raw Data'!J460</f>
        <v xml:space="preserve"> Brazil </v>
      </c>
      <c r="J460" s="15" t="s">
        <v>1537</v>
      </c>
      <c r="K460" s="15" t="str">
        <f t="shared" si="15"/>
        <v>No Change</v>
      </c>
    </row>
    <row r="461" spans="1:11" x14ac:dyDescent="0.25">
      <c r="A461" s="15">
        <f>'Raw Data'!A461</f>
        <v>459</v>
      </c>
      <c r="B461" s="16">
        <f>'Raw Data'!D461</f>
        <v>42975.8125</v>
      </c>
      <c r="C461" s="15">
        <v>2017</v>
      </c>
      <c r="D461" s="15" t="str">
        <f t="shared" si="14"/>
        <v>August</v>
      </c>
      <c r="E461" s="15">
        <v>28</v>
      </c>
      <c r="F461" s="17">
        <v>0.8125</v>
      </c>
      <c r="G461" s="28"/>
      <c r="H461" s="15">
        <f>'Raw Data'!A461</f>
        <v>459</v>
      </c>
      <c r="I461" s="15" t="str">
        <f>'Raw Data'!J461</f>
        <v xml:space="preserve"> India </v>
      </c>
      <c r="J461" s="15" t="s">
        <v>162</v>
      </c>
      <c r="K461" s="15" t="str">
        <f t="shared" si="15"/>
        <v>No Change</v>
      </c>
    </row>
    <row r="462" spans="1:11" x14ac:dyDescent="0.25">
      <c r="A462" s="15">
        <f>'Raw Data'!A462</f>
        <v>460</v>
      </c>
      <c r="B462" s="16">
        <f>'Raw Data'!D462</f>
        <v>44967.604166666664</v>
      </c>
      <c r="C462" s="15">
        <v>2023</v>
      </c>
      <c r="D462" s="15" t="str">
        <f t="shared" si="14"/>
        <v>February</v>
      </c>
      <c r="E462" s="15">
        <v>10</v>
      </c>
      <c r="F462" s="17">
        <v>0.60416666666666663</v>
      </c>
      <c r="G462" s="28"/>
      <c r="H462" s="15">
        <f>'Raw Data'!A462</f>
        <v>460</v>
      </c>
      <c r="I462" s="15" t="str">
        <f>'Raw Data'!J462</f>
        <v xml:space="preserve"> France </v>
      </c>
      <c r="J462" s="15" t="s">
        <v>1542</v>
      </c>
      <c r="K462" s="15" t="str">
        <f t="shared" si="15"/>
        <v>No Change</v>
      </c>
    </row>
    <row r="463" spans="1:11" x14ac:dyDescent="0.25">
      <c r="A463" s="15">
        <f>'Raw Data'!A463</f>
        <v>461</v>
      </c>
      <c r="B463" s="16">
        <f>'Raw Data'!D463</f>
        <v>44752.927083333336</v>
      </c>
      <c r="C463" s="15">
        <v>2022</v>
      </c>
      <c r="D463" s="15" t="str">
        <f t="shared" si="14"/>
        <v>July</v>
      </c>
      <c r="E463" s="15">
        <v>10</v>
      </c>
      <c r="F463" s="17">
        <v>0.92708333333333337</v>
      </c>
      <c r="G463" s="28"/>
      <c r="H463" s="15">
        <f>'Raw Data'!A463</f>
        <v>461</v>
      </c>
      <c r="I463" s="15" t="str">
        <f>'Raw Data'!J463</f>
        <v xml:space="preserve"> Japan </v>
      </c>
      <c r="J463" s="15" t="s">
        <v>1555</v>
      </c>
      <c r="K463" s="15" t="str">
        <f t="shared" si="15"/>
        <v>No Change</v>
      </c>
    </row>
    <row r="464" spans="1:11" x14ac:dyDescent="0.25">
      <c r="A464" s="15">
        <f>'Raw Data'!A464</f>
        <v>462</v>
      </c>
      <c r="B464" s="16">
        <f>'Raw Data'!D464</f>
        <v>43600.895833333336</v>
      </c>
      <c r="C464" s="15">
        <v>2019</v>
      </c>
      <c r="D464" s="15" t="str">
        <f t="shared" si="14"/>
        <v>May</v>
      </c>
      <c r="E464" s="15">
        <v>15</v>
      </c>
      <c r="F464" s="17">
        <v>0.89583333333333337</v>
      </c>
      <c r="G464" s="28"/>
      <c r="H464" s="15">
        <f>'Raw Data'!A464</f>
        <v>462</v>
      </c>
      <c r="I464" s="15" t="str">
        <f>'Raw Data'!J464</f>
        <v xml:space="preserve"> Italy </v>
      </c>
      <c r="J464" s="15" t="s">
        <v>1550</v>
      </c>
      <c r="K464" s="15" t="str">
        <f t="shared" si="15"/>
        <v>No Change</v>
      </c>
    </row>
    <row r="465" spans="1:11" x14ac:dyDescent="0.25">
      <c r="A465" s="15">
        <f>'Raw Data'!A465</f>
        <v>463</v>
      </c>
      <c r="B465" s="16">
        <f>'Raw Data'!D465</f>
        <v>43432.583333333336</v>
      </c>
      <c r="C465" s="15">
        <v>2018</v>
      </c>
      <c r="D465" s="15" t="str">
        <f t="shared" si="14"/>
        <v>November</v>
      </c>
      <c r="E465" s="15">
        <v>28</v>
      </c>
      <c r="F465" s="17">
        <v>0.58333333333333337</v>
      </c>
      <c r="G465" s="28"/>
      <c r="H465" s="15">
        <f>'Raw Data'!A465</f>
        <v>463</v>
      </c>
      <c r="I465" s="15" t="str">
        <f>'Raw Data'!J465</f>
        <v xml:space="preserve"> Germany </v>
      </c>
      <c r="J465" s="15" t="s">
        <v>1533</v>
      </c>
      <c r="K465" s="15" t="str">
        <f t="shared" si="15"/>
        <v>No Change</v>
      </c>
    </row>
    <row r="466" spans="1:11" x14ac:dyDescent="0.25">
      <c r="A466" s="15">
        <f>'Raw Data'!A466</f>
        <v>464</v>
      </c>
      <c r="B466" s="16">
        <f>'Raw Data'!D466</f>
        <v>44257.739583333336</v>
      </c>
      <c r="C466" s="15">
        <v>2021</v>
      </c>
      <c r="D466" s="15" t="str">
        <f t="shared" si="14"/>
        <v>March</v>
      </c>
      <c r="E466" s="15">
        <v>2</v>
      </c>
      <c r="F466" s="17">
        <v>0.73958333333333337</v>
      </c>
      <c r="G466" s="28"/>
      <c r="H466" s="15">
        <f>'Raw Data'!A466</f>
        <v>464</v>
      </c>
      <c r="I466" s="15" t="str">
        <f>'Raw Data'!J466</f>
        <v xml:space="preserve"> Canada </v>
      </c>
      <c r="J466" s="15" t="s">
        <v>121</v>
      </c>
      <c r="K466" s="15" t="str">
        <f t="shared" si="15"/>
        <v>No Change</v>
      </c>
    </row>
    <row r="467" spans="1:11" x14ac:dyDescent="0.25">
      <c r="A467" s="15">
        <f>'Raw Data'!A467</f>
        <v>465</v>
      </c>
      <c r="B467" s="16">
        <f>'Raw Data'!D467</f>
        <v>42661.8125</v>
      </c>
      <c r="C467" s="15">
        <v>2016</v>
      </c>
      <c r="D467" s="15" t="str">
        <f t="shared" si="14"/>
        <v>October</v>
      </c>
      <c r="E467" s="15">
        <v>18</v>
      </c>
      <c r="F467" s="17">
        <v>0.8125</v>
      </c>
      <c r="G467" s="28"/>
      <c r="H467" s="15">
        <f>'Raw Data'!A467</f>
        <v>465</v>
      </c>
      <c r="I467" s="15" t="str">
        <f>'Raw Data'!J467</f>
        <v xml:space="preserve"> USA </v>
      </c>
      <c r="J467" s="15" t="s">
        <v>2534</v>
      </c>
      <c r="K467" s="15" t="str">
        <f t="shared" si="15"/>
        <v>Updated</v>
      </c>
    </row>
    <row r="468" spans="1:11" x14ac:dyDescent="0.25">
      <c r="A468" s="15">
        <f>'Raw Data'!A468</f>
        <v>466</v>
      </c>
      <c r="B468" s="16">
        <f>'Raw Data'!D468</f>
        <v>44058.520833333336</v>
      </c>
      <c r="C468" s="15">
        <v>2020</v>
      </c>
      <c r="D468" s="15" t="str">
        <f t="shared" si="14"/>
        <v>August</v>
      </c>
      <c r="E468" s="15">
        <v>15</v>
      </c>
      <c r="F468" s="17">
        <v>0.52083333333333337</v>
      </c>
      <c r="G468" s="28"/>
      <c r="H468" s="15">
        <f>'Raw Data'!A468</f>
        <v>466</v>
      </c>
      <c r="I468" s="15" t="str">
        <f>'Raw Data'!J468</f>
        <v xml:space="preserve"> France </v>
      </c>
      <c r="J468" s="15" t="s">
        <v>1542</v>
      </c>
      <c r="K468" s="15" t="str">
        <f t="shared" si="15"/>
        <v>No Change</v>
      </c>
    </row>
    <row r="469" spans="1:11" x14ac:dyDescent="0.25">
      <c r="A469" s="15">
        <f>'Raw Data'!A469</f>
        <v>467</v>
      </c>
      <c r="B469" s="16">
        <f>'Raw Data'!D469</f>
        <v>42853.680555555555</v>
      </c>
      <c r="C469" s="15">
        <v>2017</v>
      </c>
      <c r="D469" s="15" t="str">
        <f t="shared" si="14"/>
        <v>April</v>
      </c>
      <c r="E469" s="15">
        <v>28</v>
      </c>
      <c r="F469" s="17">
        <v>0.68055555555555558</v>
      </c>
      <c r="G469" s="28"/>
      <c r="H469" s="15">
        <f>'Raw Data'!A469</f>
        <v>467</v>
      </c>
      <c r="I469" s="15" t="str">
        <f>'Raw Data'!J469</f>
        <v xml:space="preserve"> UK </v>
      </c>
      <c r="J469" s="15" t="s">
        <v>2545</v>
      </c>
      <c r="K469" s="15" t="str">
        <f t="shared" si="15"/>
        <v>Updated</v>
      </c>
    </row>
    <row r="470" spans="1:11" x14ac:dyDescent="0.25">
      <c r="A470" s="15">
        <f>'Raw Data'!A470</f>
        <v>468</v>
      </c>
      <c r="B470" s="16">
        <f>'Raw Data'!D470</f>
        <v>43718.875</v>
      </c>
      <c r="C470" s="15">
        <v>2019</v>
      </c>
      <c r="D470" s="15" t="str">
        <f t="shared" si="14"/>
        <v>September</v>
      </c>
      <c r="E470" s="15">
        <v>10</v>
      </c>
      <c r="F470" s="17">
        <v>0.875</v>
      </c>
      <c r="G470" s="28"/>
      <c r="H470" s="15">
        <f>'Raw Data'!A470</f>
        <v>468</v>
      </c>
      <c r="I470" s="15" t="str">
        <f>'Raw Data'!J470</f>
        <v xml:space="preserve"> Australia </v>
      </c>
      <c r="J470" s="15" t="s">
        <v>36</v>
      </c>
      <c r="K470" s="15" t="str">
        <f t="shared" si="15"/>
        <v>No Change</v>
      </c>
    </row>
    <row r="471" spans="1:11" x14ac:dyDescent="0.25">
      <c r="A471" s="15">
        <f>'Raw Data'!A471</f>
        <v>469</v>
      </c>
      <c r="B471" s="16">
        <f>'Raw Data'!D471</f>
        <v>44589.572916666664</v>
      </c>
      <c r="C471" s="15">
        <v>2022</v>
      </c>
      <c r="D471" s="15" t="str">
        <f t="shared" si="14"/>
        <v>January</v>
      </c>
      <c r="E471" s="15">
        <v>28</v>
      </c>
      <c r="F471" s="17">
        <v>0.57291666666666663</v>
      </c>
      <c r="G471" s="28"/>
      <c r="H471" s="15">
        <f>'Raw Data'!A471</f>
        <v>469</v>
      </c>
      <c r="I471" s="15" t="str">
        <f>'Raw Data'!J471</f>
        <v xml:space="preserve"> Brazil </v>
      </c>
      <c r="J471" s="15" t="s">
        <v>1537</v>
      </c>
      <c r="K471" s="15" t="str">
        <f t="shared" si="15"/>
        <v>No Change</v>
      </c>
    </row>
    <row r="472" spans="1:11" x14ac:dyDescent="0.25">
      <c r="A472" s="15">
        <f>'Raw Data'!A472</f>
        <v>470</v>
      </c>
      <c r="B472" s="16">
        <f>'Raw Data'!D472</f>
        <v>42536.9375</v>
      </c>
      <c r="C472" s="15">
        <v>2016</v>
      </c>
      <c r="D472" s="15" t="str">
        <f t="shared" si="14"/>
        <v>June</v>
      </c>
      <c r="E472" s="15">
        <v>15</v>
      </c>
      <c r="F472" s="17">
        <v>0.9375</v>
      </c>
      <c r="G472" s="28"/>
      <c r="H472" s="15">
        <f>'Raw Data'!A472</f>
        <v>470</v>
      </c>
      <c r="I472" s="15" t="str">
        <f>'Raw Data'!J472</f>
        <v xml:space="preserve"> Spain </v>
      </c>
      <c r="J472" s="15" t="s">
        <v>1562</v>
      </c>
      <c r="K472" s="15" t="str">
        <f t="shared" si="15"/>
        <v>No Change</v>
      </c>
    </row>
    <row r="473" spans="1:11" x14ac:dyDescent="0.25">
      <c r="A473" s="15">
        <f>'Raw Data'!A473</f>
        <v>471</v>
      </c>
      <c r="B473" s="16">
        <f>'Raw Data'!D473</f>
        <v>44428.65625</v>
      </c>
      <c r="C473" s="15">
        <v>2021</v>
      </c>
      <c r="D473" s="15" t="str">
        <f t="shared" si="14"/>
        <v>August</v>
      </c>
      <c r="E473" s="15">
        <v>20</v>
      </c>
      <c r="F473" s="17">
        <v>0.65625</v>
      </c>
      <c r="G473" s="28"/>
      <c r="H473" s="15">
        <f>'Raw Data'!A473</f>
        <v>471</v>
      </c>
      <c r="I473" s="15" t="str">
        <f>'Raw Data'!J473</f>
        <v xml:space="preserve"> USA </v>
      </c>
      <c r="J473" s="15" t="s">
        <v>2534</v>
      </c>
      <c r="K473" s="15" t="str">
        <f t="shared" si="15"/>
        <v>Updated</v>
      </c>
    </row>
    <row r="474" spans="1:11" x14ac:dyDescent="0.25">
      <c r="A474" s="15">
        <f>'Raw Data'!A474</f>
        <v>472</v>
      </c>
      <c r="B474" s="16">
        <f>'Raw Data'!D474</f>
        <v>43202.770833333336</v>
      </c>
      <c r="C474" s="15">
        <v>2018</v>
      </c>
      <c r="D474" s="15" t="str">
        <f t="shared" si="14"/>
        <v>April</v>
      </c>
      <c r="E474" s="15">
        <v>12</v>
      </c>
      <c r="F474" s="17">
        <v>0.77083333333333337</v>
      </c>
      <c r="G474" s="28"/>
      <c r="H474" s="15">
        <f>'Raw Data'!A474</f>
        <v>472</v>
      </c>
      <c r="I474" s="15" t="str">
        <f>'Raw Data'!J474</f>
        <v xml:space="preserve"> Canada </v>
      </c>
      <c r="J474" s="15" t="s">
        <v>121</v>
      </c>
      <c r="K474" s="15" t="str">
        <f t="shared" si="15"/>
        <v>No Change</v>
      </c>
    </row>
    <row r="475" spans="1:11" x14ac:dyDescent="0.25">
      <c r="A475" s="15">
        <f>'Raw Data'!A475</f>
        <v>473</v>
      </c>
      <c r="B475" s="16">
        <f>'Raw Data'!D475</f>
        <v>44607.513888888891</v>
      </c>
      <c r="C475" s="15">
        <v>2022</v>
      </c>
      <c r="D475" s="15" t="str">
        <f t="shared" si="14"/>
        <v>February</v>
      </c>
      <c r="E475" s="15">
        <v>15</v>
      </c>
      <c r="F475" s="17">
        <v>0.51388888888888884</v>
      </c>
      <c r="G475" s="28"/>
      <c r="H475" s="15">
        <f>'Raw Data'!A475</f>
        <v>473</v>
      </c>
      <c r="I475" s="15" t="str">
        <f>'Raw Data'!J475</f>
        <v xml:space="preserve"> UK </v>
      </c>
      <c r="J475" s="15" t="s">
        <v>2545</v>
      </c>
      <c r="K475" s="15" t="str">
        <f t="shared" si="15"/>
        <v>Updated</v>
      </c>
    </row>
    <row r="476" spans="1:11" x14ac:dyDescent="0.25">
      <c r="A476" s="15">
        <f>'Raw Data'!A476</f>
        <v>474</v>
      </c>
      <c r="B476" s="16">
        <f>'Raw Data'!D476</f>
        <v>43766.59375</v>
      </c>
      <c r="C476" s="15">
        <v>2019</v>
      </c>
      <c r="D476" s="15" t="str">
        <f t="shared" si="14"/>
        <v>October</v>
      </c>
      <c r="E476" s="15">
        <v>28</v>
      </c>
      <c r="F476" s="17">
        <v>0.59375</v>
      </c>
      <c r="G476" s="28"/>
      <c r="H476" s="15">
        <f>'Raw Data'!A476</f>
        <v>474</v>
      </c>
      <c r="I476" s="15" t="str">
        <f>'Raw Data'!J476</f>
        <v xml:space="preserve"> Australia </v>
      </c>
      <c r="J476" s="15" t="s">
        <v>36</v>
      </c>
      <c r="K476" s="15" t="str">
        <f t="shared" si="15"/>
        <v>No Change</v>
      </c>
    </row>
    <row r="477" spans="1:11" x14ac:dyDescent="0.25">
      <c r="A477" s="15">
        <f>'Raw Data'!A477</f>
        <v>475</v>
      </c>
      <c r="B477" s="16">
        <f>'Raw Data'!D477</f>
        <v>43091.875</v>
      </c>
      <c r="C477" s="15">
        <v>2017</v>
      </c>
      <c r="D477" s="15" t="str">
        <f t="shared" si="14"/>
        <v>December</v>
      </c>
      <c r="E477" s="15">
        <v>22</v>
      </c>
      <c r="F477" s="17">
        <v>0.875</v>
      </c>
      <c r="G477" s="28"/>
      <c r="H477" s="15">
        <f>'Raw Data'!A477</f>
        <v>475</v>
      </c>
      <c r="I477" s="15" t="str">
        <f>'Raw Data'!J477</f>
        <v xml:space="preserve"> India </v>
      </c>
      <c r="J477" s="15" t="s">
        <v>162</v>
      </c>
      <c r="K477" s="15" t="str">
        <f t="shared" si="15"/>
        <v>No Change</v>
      </c>
    </row>
    <row r="478" spans="1:11" x14ac:dyDescent="0.25">
      <c r="A478" s="15">
        <f>'Raw Data'!A478</f>
        <v>476</v>
      </c>
      <c r="B478" s="16">
        <f>'Raw Data'!D478</f>
        <v>43992.729166666664</v>
      </c>
      <c r="C478" s="15">
        <v>2020</v>
      </c>
      <c r="D478" s="15" t="str">
        <f t="shared" si="14"/>
        <v>June</v>
      </c>
      <c r="E478" s="15">
        <v>10</v>
      </c>
      <c r="F478" s="17">
        <v>0.72916666666666663</v>
      </c>
      <c r="G478" s="28"/>
      <c r="H478" s="15">
        <f>'Raw Data'!A478</f>
        <v>476</v>
      </c>
      <c r="I478" s="15" t="str">
        <f>'Raw Data'!J478</f>
        <v xml:space="preserve"> Germany </v>
      </c>
      <c r="J478" s="15" t="s">
        <v>1533</v>
      </c>
      <c r="K478" s="15" t="str">
        <f t="shared" si="15"/>
        <v>No Change</v>
      </c>
    </row>
    <row r="479" spans="1:11" x14ac:dyDescent="0.25">
      <c r="A479" s="15">
        <f>'Raw Data'!A479</f>
        <v>477</v>
      </c>
      <c r="B479" s="16">
        <f>'Raw Data'!D479</f>
        <v>42631.822916666664</v>
      </c>
      <c r="C479" s="15">
        <v>2016</v>
      </c>
      <c r="D479" s="15" t="str">
        <f t="shared" si="14"/>
        <v>September</v>
      </c>
      <c r="E479" s="15">
        <v>18</v>
      </c>
      <c r="F479" s="17">
        <v>0.82291666666666663</v>
      </c>
      <c r="G479" s="28"/>
      <c r="H479" s="15">
        <f>'Raw Data'!A479</f>
        <v>477</v>
      </c>
      <c r="I479" s="15" t="str">
        <f>'Raw Data'!J479</f>
        <v xml:space="preserve"> France </v>
      </c>
      <c r="J479" s="15" t="s">
        <v>1542</v>
      </c>
      <c r="K479" s="15" t="str">
        <f t="shared" si="15"/>
        <v>No Change</v>
      </c>
    </row>
    <row r="480" spans="1:11" x14ac:dyDescent="0.25">
      <c r="A480" s="15">
        <f>'Raw Data'!A480</f>
        <v>478</v>
      </c>
      <c r="B480" s="16">
        <f>'Raw Data'!D480</f>
        <v>44995.604166666664</v>
      </c>
      <c r="C480" s="15">
        <v>2023</v>
      </c>
      <c r="D480" s="15" t="str">
        <f t="shared" si="14"/>
        <v>March</v>
      </c>
      <c r="E480" s="15">
        <v>10</v>
      </c>
      <c r="F480" s="17">
        <v>0.60416666666666663</v>
      </c>
      <c r="G480" s="28"/>
      <c r="H480" s="15">
        <f>'Raw Data'!A480</f>
        <v>478</v>
      </c>
      <c r="I480" s="15" t="str">
        <f>'Raw Data'!J480</f>
        <v xml:space="preserve"> Japan </v>
      </c>
      <c r="J480" s="15" t="s">
        <v>1555</v>
      </c>
      <c r="K480" s="15" t="str">
        <f t="shared" si="15"/>
        <v>No Change</v>
      </c>
    </row>
    <row r="481" spans="1:11" x14ac:dyDescent="0.25">
      <c r="A481" s="15">
        <f>'Raw Data'!A481</f>
        <v>479</v>
      </c>
      <c r="B481" s="16">
        <f>'Raw Data'!D481</f>
        <v>43590.510416666664</v>
      </c>
      <c r="C481" s="15">
        <v>2019</v>
      </c>
      <c r="D481" s="15" t="str">
        <f t="shared" si="14"/>
        <v>May</v>
      </c>
      <c r="E481" s="15">
        <v>5</v>
      </c>
      <c r="F481" s="17">
        <v>0.51041666666666663</v>
      </c>
      <c r="G481" s="28"/>
      <c r="H481" s="15">
        <f>'Raw Data'!A481</f>
        <v>479</v>
      </c>
      <c r="I481" s="15" t="str">
        <f>'Raw Data'!J481</f>
        <v xml:space="preserve"> Brazil </v>
      </c>
      <c r="J481" s="15" t="s">
        <v>1537</v>
      </c>
      <c r="K481" s="15" t="str">
        <f t="shared" si="15"/>
        <v>No Change</v>
      </c>
    </row>
    <row r="482" spans="1:11" x14ac:dyDescent="0.25">
      <c r="A482" s="15">
        <f>'Raw Data'!A482</f>
        <v>480</v>
      </c>
      <c r="B482" s="16">
        <f>'Raw Data'!D482</f>
        <v>43340.666666666664</v>
      </c>
      <c r="C482" s="15">
        <v>2018</v>
      </c>
      <c r="D482" s="15" t="str">
        <f t="shared" si="14"/>
        <v>August</v>
      </c>
      <c r="E482" s="15">
        <v>28</v>
      </c>
      <c r="F482" s="17">
        <v>0.66666666666666663</v>
      </c>
      <c r="G482" s="28"/>
      <c r="H482" s="15">
        <f>'Raw Data'!A482</f>
        <v>480</v>
      </c>
      <c r="I482" s="15" t="str">
        <f>'Raw Data'!J482</f>
        <v xml:space="preserve"> South Africa </v>
      </c>
      <c r="J482" s="15" t="s">
        <v>1483</v>
      </c>
      <c r="K482" s="15" t="str">
        <f t="shared" si="15"/>
        <v>No Change</v>
      </c>
    </row>
    <row r="483" spans="1:11" x14ac:dyDescent="0.25">
      <c r="A483" s="15">
        <f>'Raw Data'!A483</f>
        <v>481</v>
      </c>
      <c r="B483" s="16">
        <f>'Raw Data'!D483</f>
        <v>44880.864583333336</v>
      </c>
      <c r="C483" s="15">
        <v>2022</v>
      </c>
      <c r="D483" s="15" t="str">
        <f t="shared" si="14"/>
        <v>November</v>
      </c>
      <c r="E483" s="15">
        <v>15</v>
      </c>
      <c r="F483" s="17">
        <v>0.86458333333333337</v>
      </c>
      <c r="G483" s="28"/>
      <c r="H483" s="15">
        <f>'Raw Data'!A483</f>
        <v>481</v>
      </c>
      <c r="I483" s="15" t="str">
        <f>'Raw Data'!J483</f>
        <v xml:space="preserve"> USA </v>
      </c>
      <c r="J483" s="15" t="s">
        <v>2534</v>
      </c>
      <c r="K483" s="15" t="str">
        <f t="shared" si="15"/>
        <v>Updated</v>
      </c>
    </row>
    <row r="484" spans="1:11" x14ac:dyDescent="0.25">
      <c r="A484" s="15">
        <f>'Raw Data'!A484</f>
        <v>482</v>
      </c>
      <c r="B484" s="16">
        <f>'Raw Data'!D484</f>
        <v>43648.708333333336</v>
      </c>
      <c r="C484" s="15">
        <v>2019</v>
      </c>
      <c r="D484" s="15" t="str">
        <f t="shared" si="14"/>
        <v>July</v>
      </c>
      <c r="E484" s="15">
        <v>2</v>
      </c>
      <c r="F484" s="17">
        <v>0.70833333333333337</v>
      </c>
      <c r="G484" s="28"/>
      <c r="H484" s="15">
        <f>'Raw Data'!A484</f>
        <v>482</v>
      </c>
      <c r="I484" s="15" t="str">
        <f>'Raw Data'!J484</f>
        <v xml:space="preserve"> Canada </v>
      </c>
      <c r="J484" s="15" t="s">
        <v>121</v>
      </c>
      <c r="K484" s="15" t="str">
        <f t="shared" si="15"/>
        <v>No Change</v>
      </c>
    </row>
    <row r="485" spans="1:11" x14ac:dyDescent="0.25">
      <c r="A485" s="15">
        <f>'Raw Data'!A485</f>
        <v>483</v>
      </c>
      <c r="B485" s="16">
        <f>'Raw Data'!D485</f>
        <v>44304.597222222219</v>
      </c>
      <c r="C485" s="15">
        <v>2021</v>
      </c>
      <c r="D485" s="15" t="str">
        <f t="shared" si="14"/>
        <v>April</v>
      </c>
      <c r="E485" s="15">
        <v>18</v>
      </c>
      <c r="F485" s="17">
        <v>0.59722222222222221</v>
      </c>
      <c r="G485" s="28"/>
      <c r="H485" s="15">
        <f>'Raw Data'!A485</f>
        <v>483</v>
      </c>
      <c r="I485" s="15" t="str">
        <f>'Raw Data'!J485</f>
        <v xml:space="preserve"> UK </v>
      </c>
      <c r="J485" s="15" t="s">
        <v>2545</v>
      </c>
      <c r="K485" s="15" t="str">
        <f t="shared" si="15"/>
        <v>Updated</v>
      </c>
    </row>
    <row r="486" spans="1:11" x14ac:dyDescent="0.25">
      <c r="A486" s="15">
        <f>'Raw Data'!A486</f>
        <v>484</v>
      </c>
      <c r="B486" s="16">
        <f>'Raw Data'!D486</f>
        <v>44962.8125</v>
      </c>
      <c r="C486" s="15">
        <v>2023</v>
      </c>
      <c r="D486" s="15" t="str">
        <f t="shared" si="14"/>
        <v>February</v>
      </c>
      <c r="E486" s="15">
        <v>5</v>
      </c>
      <c r="F486" s="17">
        <v>0.8125</v>
      </c>
      <c r="G486" s="28"/>
      <c r="H486" s="15">
        <f>'Raw Data'!A486</f>
        <v>484</v>
      </c>
      <c r="I486" s="15" t="str">
        <f>'Raw Data'!J486</f>
        <v xml:space="preserve"> Australia </v>
      </c>
      <c r="J486" s="15" t="s">
        <v>36</v>
      </c>
      <c r="K486" s="15" t="str">
        <f t="shared" si="15"/>
        <v>No Change</v>
      </c>
    </row>
    <row r="487" spans="1:11" x14ac:dyDescent="0.25">
      <c r="A487" s="15">
        <f>'Raw Data'!A487</f>
        <v>485</v>
      </c>
      <c r="B487" s="16">
        <f>'Raw Data'!D487</f>
        <v>43365.53125</v>
      </c>
      <c r="C487" s="15">
        <v>2018</v>
      </c>
      <c r="D487" s="15" t="str">
        <f t="shared" si="14"/>
        <v>September</v>
      </c>
      <c r="E487" s="15">
        <v>22</v>
      </c>
      <c r="F487" s="17">
        <v>0.53125</v>
      </c>
      <c r="G487" s="28"/>
      <c r="H487" s="15">
        <f>'Raw Data'!A487</f>
        <v>485</v>
      </c>
      <c r="I487" s="15" t="str">
        <f>'Raw Data'!J487</f>
        <v xml:space="preserve"> India </v>
      </c>
      <c r="J487" s="15" t="s">
        <v>162</v>
      </c>
      <c r="K487" s="15" t="str">
        <f t="shared" si="15"/>
        <v>No Change</v>
      </c>
    </row>
    <row r="488" spans="1:11" x14ac:dyDescent="0.25">
      <c r="A488" s="15">
        <f>'Raw Data'!A488</f>
        <v>486</v>
      </c>
      <c r="B488" s="16">
        <f>'Raw Data'!D488</f>
        <v>42714.885416666664</v>
      </c>
      <c r="C488" s="15">
        <v>2016</v>
      </c>
      <c r="D488" s="15" t="str">
        <f t="shared" si="14"/>
        <v>December</v>
      </c>
      <c r="E488" s="15">
        <v>10</v>
      </c>
      <c r="F488" s="17">
        <v>0.88541666666666663</v>
      </c>
      <c r="G488" s="28"/>
      <c r="H488" s="15">
        <f>'Raw Data'!A488</f>
        <v>486</v>
      </c>
      <c r="I488" s="15" t="str">
        <f>'Raw Data'!J488</f>
        <v xml:space="preserve"> Germany </v>
      </c>
      <c r="J488" s="15" t="s">
        <v>1533</v>
      </c>
      <c r="K488" s="15" t="str">
        <f t="shared" si="15"/>
        <v>No Change</v>
      </c>
    </row>
    <row r="489" spans="1:11" x14ac:dyDescent="0.25">
      <c r="A489" s="15">
        <f>'Raw Data'!A489</f>
        <v>487</v>
      </c>
      <c r="B489" s="16">
        <f>'Raw Data'!D489</f>
        <v>43979.666666666664</v>
      </c>
      <c r="C489" s="15">
        <v>2020</v>
      </c>
      <c r="D489" s="15" t="str">
        <f t="shared" si="14"/>
        <v>May</v>
      </c>
      <c r="E489" s="15">
        <v>28</v>
      </c>
      <c r="F489" s="17">
        <v>0.66666666666666663</v>
      </c>
      <c r="G489" s="28"/>
      <c r="H489" s="15">
        <f>'Raw Data'!A489</f>
        <v>487</v>
      </c>
      <c r="I489" s="15" t="str">
        <f>'Raw Data'!J489</f>
        <v xml:space="preserve"> France </v>
      </c>
      <c r="J489" s="15" t="s">
        <v>1542</v>
      </c>
      <c r="K489" s="15" t="str">
        <f t="shared" si="15"/>
        <v>No Change</v>
      </c>
    </row>
    <row r="490" spans="1:11" x14ac:dyDescent="0.25">
      <c r="A490" s="15">
        <f>'Raw Data'!A490</f>
        <v>488</v>
      </c>
      <c r="B490" s="16">
        <f>'Raw Data'!D490</f>
        <v>43054.9375</v>
      </c>
      <c r="C490" s="15">
        <v>2017</v>
      </c>
      <c r="D490" s="15" t="str">
        <f t="shared" si="14"/>
        <v>November</v>
      </c>
      <c r="E490" s="15">
        <v>15</v>
      </c>
      <c r="F490" s="17">
        <v>0.9375</v>
      </c>
      <c r="G490" s="28"/>
      <c r="H490" s="15">
        <f>'Raw Data'!A490</f>
        <v>488</v>
      </c>
      <c r="I490" s="15" t="str">
        <f>'Raw Data'!J490</f>
        <v xml:space="preserve"> Japan </v>
      </c>
      <c r="J490" s="15" t="s">
        <v>1555</v>
      </c>
      <c r="K490" s="15" t="str">
        <f t="shared" si="15"/>
        <v>No Change</v>
      </c>
    </row>
    <row r="491" spans="1:11" x14ac:dyDescent="0.25">
      <c r="A491" s="15">
        <f>'Raw Data'!A491</f>
        <v>489</v>
      </c>
      <c r="B491" s="16">
        <f>'Raw Data'!D491</f>
        <v>44410.791666666664</v>
      </c>
      <c r="C491" s="15">
        <v>2021</v>
      </c>
      <c r="D491" s="15" t="str">
        <f t="shared" si="14"/>
        <v>August</v>
      </c>
      <c r="E491" s="15">
        <v>2</v>
      </c>
      <c r="F491" s="17">
        <v>0.79166666666666663</v>
      </c>
      <c r="G491" s="28"/>
      <c r="H491" s="15">
        <f>'Raw Data'!A491</f>
        <v>489</v>
      </c>
      <c r="I491" s="15" t="str">
        <f>'Raw Data'!J491</f>
        <v xml:space="preserve"> Brazil </v>
      </c>
      <c r="J491" s="15" t="s">
        <v>1537</v>
      </c>
      <c r="K491" s="15" t="str">
        <f t="shared" si="15"/>
        <v>No Change</v>
      </c>
    </row>
    <row r="492" spans="1:11" x14ac:dyDescent="0.25">
      <c r="A492" s="15">
        <f>'Raw Data'!A492</f>
        <v>490</v>
      </c>
      <c r="B492" s="16">
        <f>'Raw Data'!D492</f>
        <v>43552.645833333336</v>
      </c>
      <c r="C492" s="15">
        <v>2019</v>
      </c>
      <c r="D492" s="15" t="str">
        <f t="shared" si="14"/>
        <v>March</v>
      </c>
      <c r="E492" s="15">
        <v>28</v>
      </c>
      <c r="F492" s="17">
        <v>0.64583333333333337</v>
      </c>
      <c r="G492" s="28"/>
      <c r="H492" s="15">
        <f>'Raw Data'!A492</f>
        <v>490</v>
      </c>
      <c r="I492" s="15" t="str">
        <f>'Raw Data'!J492</f>
        <v xml:space="preserve"> South Africa </v>
      </c>
      <c r="J492" s="15" t="s">
        <v>1483</v>
      </c>
      <c r="K492" s="15" t="str">
        <f t="shared" si="15"/>
        <v>No Change</v>
      </c>
    </row>
    <row r="493" spans="1:11" x14ac:dyDescent="0.25">
      <c r="A493" s="15">
        <f>'Raw Data'!A493</f>
        <v>491</v>
      </c>
      <c r="B493" s="16">
        <f>'Raw Data'!D493</f>
        <v>43232.729166666664</v>
      </c>
      <c r="C493" s="15">
        <v>2018</v>
      </c>
      <c r="D493" s="15" t="str">
        <f t="shared" si="14"/>
        <v>May</v>
      </c>
      <c r="E493" s="15">
        <v>12</v>
      </c>
      <c r="F493" s="17">
        <v>0.72916666666666663</v>
      </c>
      <c r="G493" s="28"/>
      <c r="H493" s="15">
        <f>'Raw Data'!A493</f>
        <v>491</v>
      </c>
      <c r="I493" s="15" t="str">
        <f>'Raw Data'!J493</f>
        <v xml:space="preserve"> France </v>
      </c>
      <c r="J493" s="15" t="s">
        <v>1542</v>
      </c>
      <c r="K493" s="15" t="str">
        <f t="shared" si="15"/>
        <v>No Change</v>
      </c>
    </row>
    <row r="494" spans="1:11" x14ac:dyDescent="0.25">
      <c r="A494" s="15">
        <f>'Raw Data'!A494</f>
        <v>492</v>
      </c>
      <c r="B494" s="16">
        <f>'Raw Data'!D494</f>
        <v>44832.65625</v>
      </c>
      <c r="C494" s="15">
        <v>2022</v>
      </c>
      <c r="D494" s="15" t="str">
        <f t="shared" si="14"/>
        <v>September</v>
      </c>
      <c r="E494" s="15">
        <v>28</v>
      </c>
      <c r="F494" s="17">
        <v>0.65625</v>
      </c>
      <c r="G494" s="28"/>
      <c r="H494" s="15">
        <f>'Raw Data'!A494</f>
        <v>492</v>
      </c>
      <c r="I494" s="15" t="str">
        <f>'Raw Data'!J494</f>
        <v xml:space="preserve"> USA </v>
      </c>
      <c r="J494" s="15" t="s">
        <v>2534</v>
      </c>
      <c r="K494" s="15" t="str">
        <f t="shared" si="15"/>
        <v>Updated</v>
      </c>
    </row>
    <row r="495" spans="1:11" x14ac:dyDescent="0.25">
      <c r="A495" s="15">
        <f>'Raw Data'!A495</f>
        <v>493</v>
      </c>
      <c r="B495" s="16">
        <f>'Raw Data'!D495</f>
        <v>43779.583333333336</v>
      </c>
      <c r="C495" s="15">
        <v>2019</v>
      </c>
      <c r="D495" s="15" t="str">
        <f t="shared" si="14"/>
        <v>November</v>
      </c>
      <c r="E495" s="15">
        <v>10</v>
      </c>
      <c r="F495" s="17">
        <v>0.58333333333333337</v>
      </c>
      <c r="G495" s="28"/>
      <c r="H495" s="15">
        <f>'Raw Data'!A495</f>
        <v>493</v>
      </c>
      <c r="I495" s="15" t="str">
        <f>'Raw Data'!J495</f>
        <v xml:space="preserve"> Italy </v>
      </c>
      <c r="J495" s="15" t="s">
        <v>1550</v>
      </c>
      <c r="K495" s="15" t="str">
        <f t="shared" si="15"/>
        <v>No Change</v>
      </c>
    </row>
    <row r="496" spans="1:11" x14ac:dyDescent="0.25">
      <c r="A496" s="15">
        <f>'Raw Data'!A496</f>
        <v>494</v>
      </c>
      <c r="B496" s="16">
        <f>'Raw Data'!D496</f>
        <v>44288.763888888891</v>
      </c>
      <c r="C496" s="15">
        <v>2021</v>
      </c>
      <c r="D496" s="15" t="str">
        <f t="shared" si="14"/>
        <v>April</v>
      </c>
      <c r="E496" s="15">
        <v>2</v>
      </c>
      <c r="F496" s="17">
        <v>0.76388888888888884</v>
      </c>
      <c r="G496" s="28"/>
      <c r="H496" s="15">
        <f>'Raw Data'!A496</f>
        <v>494</v>
      </c>
      <c r="I496" s="15" t="str">
        <f>'Raw Data'!J496</f>
        <v xml:space="preserve"> Netherlands </v>
      </c>
      <c r="J496" s="15" t="s">
        <v>1705</v>
      </c>
      <c r="K496" s="15" t="str">
        <f t="shared" si="15"/>
        <v>No Change</v>
      </c>
    </row>
    <row r="497" spans="1:11" x14ac:dyDescent="0.25">
      <c r="A497" s="15">
        <f>'Raw Data'!A497</f>
        <v>495</v>
      </c>
      <c r="B497" s="16">
        <f>'Raw Data'!D497</f>
        <v>42969.895833333336</v>
      </c>
      <c r="C497" s="15">
        <v>2017</v>
      </c>
      <c r="D497" s="15" t="str">
        <f t="shared" si="14"/>
        <v>August</v>
      </c>
      <c r="E497" s="15">
        <v>22</v>
      </c>
      <c r="F497" s="17">
        <v>0.89583333333333337</v>
      </c>
      <c r="G497" s="28"/>
      <c r="H497" s="15">
        <f>'Raw Data'!A497</f>
        <v>495</v>
      </c>
      <c r="I497" s="15" t="str">
        <f>'Raw Data'!J497</f>
        <v xml:space="preserve"> Japan </v>
      </c>
      <c r="J497" s="15" t="s">
        <v>1555</v>
      </c>
      <c r="K497" s="15" t="str">
        <f t="shared" si="15"/>
        <v>No Change</v>
      </c>
    </row>
    <row r="498" spans="1:11" x14ac:dyDescent="0.25">
      <c r="A498" s="15">
        <f>'Raw Data'!A498</f>
        <v>496</v>
      </c>
      <c r="B498" s="16">
        <f>'Raw Data'!D498</f>
        <v>43997.697916666664</v>
      </c>
      <c r="C498" s="15">
        <v>2020</v>
      </c>
      <c r="D498" s="15" t="str">
        <f t="shared" si="14"/>
        <v>June</v>
      </c>
      <c r="E498" s="15">
        <v>15</v>
      </c>
      <c r="F498" s="17">
        <v>0.69791666666666663</v>
      </c>
      <c r="G498" s="28"/>
      <c r="H498" s="15">
        <f>'Raw Data'!A498</f>
        <v>496</v>
      </c>
      <c r="I498" s="15" t="str">
        <f>'Raw Data'!J498</f>
        <v xml:space="preserve"> USA </v>
      </c>
      <c r="J498" s="15" t="s">
        <v>2534</v>
      </c>
      <c r="K498" s="15" t="str">
        <f t="shared" si="15"/>
        <v>Updated</v>
      </c>
    </row>
    <row r="499" spans="1:11" x14ac:dyDescent="0.25">
      <c r="A499" s="15">
        <f>'Raw Data'!A499</f>
        <v>497</v>
      </c>
      <c r="B499" s="16">
        <f>'Raw Data'!D499</f>
        <v>42623.802083333336</v>
      </c>
      <c r="C499" s="15">
        <v>2016</v>
      </c>
      <c r="D499" s="15" t="str">
        <f t="shared" si="14"/>
        <v>September</v>
      </c>
      <c r="E499" s="15">
        <v>10</v>
      </c>
      <c r="F499" s="17">
        <v>0.80208333333333337</v>
      </c>
      <c r="G499" s="28"/>
      <c r="H499" s="15">
        <f>'Raw Data'!A499</f>
        <v>497</v>
      </c>
      <c r="I499" s="15" t="str">
        <f>'Raw Data'!J499</f>
        <v xml:space="preserve"> Greece </v>
      </c>
      <c r="J499" s="15" t="s">
        <v>1717</v>
      </c>
      <c r="K499" s="15" t="str">
        <f t="shared" si="15"/>
        <v>No Change</v>
      </c>
    </row>
    <row r="500" spans="1:11" x14ac:dyDescent="0.25">
      <c r="A500" s="15">
        <f>'Raw Data'!A500</f>
        <v>498</v>
      </c>
      <c r="B500" s="16">
        <f>'Raw Data'!D500</f>
        <v>44954.541666666664</v>
      </c>
      <c r="C500" s="15">
        <v>2023</v>
      </c>
      <c r="D500" s="15" t="str">
        <f t="shared" si="14"/>
        <v>January</v>
      </c>
      <c r="E500" s="15">
        <v>28</v>
      </c>
      <c r="F500" s="17">
        <v>0.54166666666666663</v>
      </c>
      <c r="G500" s="28"/>
      <c r="H500" s="15">
        <f>'Raw Data'!A500</f>
        <v>498</v>
      </c>
      <c r="I500" s="15" t="str">
        <f>'Raw Data'!J500</f>
        <v xml:space="preserve"> Jordan </v>
      </c>
      <c r="J500" s="15" t="s">
        <v>1722</v>
      </c>
      <c r="K500" s="15" t="str">
        <f t="shared" si="15"/>
        <v>No Change</v>
      </c>
    </row>
    <row r="501" spans="1:11" x14ac:dyDescent="0.25">
      <c r="A501" s="15">
        <f>'Raw Data'!A501</f>
        <v>499</v>
      </c>
      <c r="B501" s="16">
        <f>'Raw Data'!D501</f>
        <v>43573.6875</v>
      </c>
      <c r="C501" s="15">
        <v>2019</v>
      </c>
      <c r="D501" s="15" t="str">
        <f t="shared" si="14"/>
        <v>April</v>
      </c>
      <c r="E501" s="15">
        <v>18</v>
      </c>
      <c r="F501" s="17">
        <v>0.6875</v>
      </c>
      <c r="G501" s="28"/>
      <c r="H501" s="15">
        <f>'Raw Data'!A501</f>
        <v>499</v>
      </c>
      <c r="I501" s="15" t="str">
        <f>'Raw Data'!J501</f>
        <v xml:space="preserve"> Italy </v>
      </c>
      <c r="J501" s="15" t="s">
        <v>1550</v>
      </c>
      <c r="K501" s="15" t="str">
        <f t="shared" si="15"/>
        <v>No Change</v>
      </c>
    </row>
    <row r="502" spans="1:11" x14ac:dyDescent="0.25">
      <c r="A502" s="15">
        <f>'Raw Data'!A502</f>
        <v>500</v>
      </c>
      <c r="B502" s="16">
        <f>'Raw Data'!D502</f>
        <v>43044.916666666664</v>
      </c>
      <c r="C502" s="15">
        <v>2017</v>
      </c>
      <c r="D502" s="15" t="str">
        <f t="shared" si="14"/>
        <v>November</v>
      </c>
      <c r="E502" s="15">
        <v>5</v>
      </c>
      <c r="F502" s="17">
        <v>0.91666666666666663</v>
      </c>
      <c r="G502" s="28"/>
      <c r="H502" s="15">
        <f>'Raw Data'!A502</f>
        <v>500</v>
      </c>
      <c r="I502" s="15" t="str">
        <f>'Raw Data'!J502</f>
        <v xml:space="preserve"> Peru </v>
      </c>
      <c r="J502" s="15" t="s">
        <v>1730</v>
      </c>
      <c r="K502" s="15" t="str">
        <f t="shared" si="15"/>
        <v>No Change</v>
      </c>
    </row>
    <row r="503" spans="1:11" x14ac:dyDescent="0.25">
      <c r="A503" s="15">
        <f>'Raw Data'!A503</f>
        <v>501</v>
      </c>
      <c r="B503" s="16">
        <f>'Raw Data'!D503</f>
        <v>44762.90625</v>
      </c>
      <c r="C503" s="15">
        <v>2022</v>
      </c>
      <c r="D503" s="15" t="str">
        <f t="shared" si="14"/>
        <v>July</v>
      </c>
      <c r="E503" s="15">
        <v>20</v>
      </c>
      <c r="F503" s="17">
        <v>0.90625</v>
      </c>
      <c r="G503" s="28"/>
      <c r="H503" s="15">
        <f>'Raw Data'!A503</f>
        <v>501</v>
      </c>
      <c r="I503" s="15" t="str">
        <f>'Raw Data'!J503</f>
        <v xml:space="preserve"> USA </v>
      </c>
      <c r="J503" s="15" t="s">
        <v>2534</v>
      </c>
      <c r="K503" s="15" t="str">
        <f t="shared" si="15"/>
        <v>Updated</v>
      </c>
    </row>
    <row r="504" spans="1:11" x14ac:dyDescent="0.25">
      <c r="A504" s="15">
        <f>'Raw Data'!A504</f>
        <v>502</v>
      </c>
      <c r="B504" s="16">
        <f>'Raw Data'!D504</f>
        <v>43174.729166666664</v>
      </c>
      <c r="C504" s="15">
        <v>2018</v>
      </c>
      <c r="D504" s="15" t="str">
        <f t="shared" si="14"/>
        <v>March</v>
      </c>
      <c r="E504" s="15">
        <v>15</v>
      </c>
      <c r="F504" s="17">
        <v>0.72916666666666663</v>
      </c>
      <c r="G504" s="28"/>
      <c r="H504" s="15">
        <f>'Raw Data'!A504</f>
        <v>502</v>
      </c>
      <c r="I504" s="15" t="str">
        <f>'Raw Data'!J504</f>
        <v xml:space="preserve"> Italy </v>
      </c>
      <c r="J504" s="15" t="s">
        <v>1550</v>
      </c>
      <c r="K504" s="15" t="str">
        <f t="shared" si="15"/>
        <v>No Change</v>
      </c>
    </row>
    <row r="505" spans="1:11" x14ac:dyDescent="0.25">
      <c r="A505" s="15">
        <f>'Raw Data'!A505</f>
        <v>503</v>
      </c>
      <c r="B505" s="16">
        <f>'Raw Data'!D505</f>
        <v>43766.59375</v>
      </c>
      <c r="C505" s="15">
        <v>2019</v>
      </c>
      <c r="D505" s="15" t="str">
        <f t="shared" si="14"/>
        <v>October</v>
      </c>
      <c r="E505" s="15">
        <v>28</v>
      </c>
      <c r="F505" s="17">
        <v>0.59375</v>
      </c>
      <c r="G505" s="28"/>
      <c r="H505" s="15">
        <f>'Raw Data'!A505</f>
        <v>503</v>
      </c>
      <c r="I505" s="15" t="str">
        <f>'Raw Data'!J505</f>
        <v xml:space="preserve"> Maldives </v>
      </c>
      <c r="J505" s="15" t="s">
        <v>1741</v>
      </c>
      <c r="K505" s="15" t="str">
        <f t="shared" si="15"/>
        <v>No Change</v>
      </c>
    </row>
    <row r="506" spans="1:11" x14ac:dyDescent="0.25">
      <c r="A506" s="15">
        <f>'Raw Data'!A506</f>
        <v>504</v>
      </c>
      <c r="B506" s="16">
        <f>'Raw Data'!D506</f>
        <v>44357.666666666664</v>
      </c>
      <c r="C506" s="15">
        <v>2021</v>
      </c>
      <c r="D506" s="15" t="str">
        <f t="shared" si="14"/>
        <v>June</v>
      </c>
      <c r="E506" s="15">
        <v>10</v>
      </c>
      <c r="F506" s="17">
        <v>0.66666666666666663</v>
      </c>
      <c r="G506" s="28"/>
      <c r="H506" s="15">
        <f>'Raw Data'!A506</f>
        <v>504</v>
      </c>
      <c r="I506" s="15" t="str">
        <f>'Raw Data'!J506</f>
        <v xml:space="preserve"> Brazil </v>
      </c>
      <c r="J506" s="15" t="s">
        <v>1537</v>
      </c>
      <c r="K506" s="15" t="str">
        <f t="shared" si="15"/>
        <v>No Change</v>
      </c>
    </row>
    <row r="507" spans="1:11" x14ac:dyDescent="0.25">
      <c r="A507" s="15">
        <f>'Raw Data'!A507</f>
        <v>505</v>
      </c>
      <c r="B507" s="16">
        <f>'Raw Data'!D507</f>
        <v>42965.8125</v>
      </c>
      <c r="C507" s="15">
        <v>2017</v>
      </c>
      <c r="D507" s="15" t="str">
        <f t="shared" si="14"/>
        <v>August</v>
      </c>
      <c r="E507" s="15">
        <v>18</v>
      </c>
      <c r="F507" s="17">
        <v>0.8125</v>
      </c>
      <c r="G507" s="28"/>
      <c r="H507" s="15">
        <f>'Raw Data'!A507</f>
        <v>505</v>
      </c>
      <c r="I507" s="15" t="str">
        <f>'Raw Data'!J507</f>
        <v xml:space="preserve"> China </v>
      </c>
      <c r="J507" s="15" t="s">
        <v>1749</v>
      </c>
      <c r="K507" s="15" t="str">
        <f t="shared" si="15"/>
        <v>No Change</v>
      </c>
    </row>
    <row r="508" spans="1:11" x14ac:dyDescent="0.25">
      <c r="A508" s="15">
        <f>'Raw Data'!A508</f>
        <v>506</v>
      </c>
      <c r="B508" s="16">
        <f>'Raw Data'!D508</f>
        <v>43936.229166666664</v>
      </c>
      <c r="C508" s="15">
        <v>2020</v>
      </c>
      <c r="D508" s="15" t="str">
        <f t="shared" si="14"/>
        <v>April</v>
      </c>
      <c r="E508" s="15">
        <v>15</v>
      </c>
      <c r="F508" s="17">
        <v>0.22916666666666666</v>
      </c>
      <c r="G508" s="28"/>
      <c r="H508" s="15">
        <f>'Raw Data'!A508</f>
        <v>506</v>
      </c>
      <c r="I508" s="15" t="str">
        <f>'Raw Data'!J508</f>
        <v xml:space="preserve"> Japan </v>
      </c>
      <c r="J508" s="15" t="s">
        <v>1555</v>
      </c>
      <c r="K508" s="15" t="str">
        <f t="shared" si="15"/>
        <v>No Change</v>
      </c>
    </row>
    <row r="509" spans="1:11" x14ac:dyDescent="0.25">
      <c r="A509" s="15">
        <f>'Raw Data'!A509</f>
        <v>507</v>
      </c>
      <c r="B509" s="16">
        <f>'Raw Data'!D509</f>
        <v>42696.541666666664</v>
      </c>
      <c r="C509" s="15">
        <v>2016</v>
      </c>
      <c r="D509" s="15" t="str">
        <f t="shared" si="14"/>
        <v>November</v>
      </c>
      <c r="E509" s="15">
        <v>22</v>
      </c>
      <c r="F509" s="17">
        <v>0.54166666666666663</v>
      </c>
      <c r="G509" s="28"/>
      <c r="H509" s="15">
        <f>'Raw Data'!A509</f>
        <v>507</v>
      </c>
      <c r="I509" s="15" t="str">
        <f>'Raw Data'!J509</f>
        <v xml:space="preserve"> Cambodia </v>
      </c>
      <c r="J509" s="15" t="s">
        <v>1756</v>
      </c>
      <c r="K509" s="15" t="str">
        <f t="shared" si="15"/>
        <v>No Change</v>
      </c>
    </row>
    <row r="510" spans="1:11" x14ac:dyDescent="0.25">
      <c r="A510" s="15">
        <f>'Raw Data'!A510</f>
        <v>508</v>
      </c>
      <c r="B510" s="16">
        <f>'Raw Data'!D510</f>
        <v>43475.614583333336</v>
      </c>
      <c r="C510" s="15">
        <v>2019</v>
      </c>
      <c r="D510" s="15" t="str">
        <f t="shared" si="14"/>
        <v>January</v>
      </c>
      <c r="E510" s="15">
        <v>10</v>
      </c>
      <c r="F510" s="17">
        <v>0.61458333333333337</v>
      </c>
      <c r="G510" s="28"/>
      <c r="H510" s="15">
        <f>'Raw Data'!A510</f>
        <v>508</v>
      </c>
      <c r="I510" s="15" t="str">
        <f>'Raw Data'!J510</f>
        <v xml:space="preserve"> Switzerland </v>
      </c>
      <c r="J510" s="15" t="s">
        <v>1760</v>
      </c>
      <c r="K510" s="15" t="str">
        <f t="shared" si="15"/>
        <v>No Change</v>
      </c>
    </row>
    <row r="511" spans="1:11" x14ac:dyDescent="0.25">
      <c r="A511" s="15">
        <f>'Raw Data'!A511</f>
        <v>509</v>
      </c>
      <c r="B511" s="16">
        <f>'Raw Data'!D511</f>
        <v>44985.680555555555</v>
      </c>
      <c r="C511" s="15">
        <v>2023</v>
      </c>
      <c r="D511" s="15" t="str">
        <f t="shared" si="14"/>
        <v>February</v>
      </c>
      <c r="E511" s="15">
        <v>28</v>
      </c>
      <c r="F511" s="17">
        <v>0.68055555555555558</v>
      </c>
      <c r="G511" s="28"/>
      <c r="H511" s="15">
        <f>'Raw Data'!A511</f>
        <v>509</v>
      </c>
      <c r="I511" s="15" t="str">
        <f>'Raw Data'!J511</f>
        <v xml:space="preserve"> Japan </v>
      </c>
      <c r="J511" s="15" t="s">
        <v>1555</v>
      </c>
      <c r="K511" s="15" t="str">
        <f t="shared" si="15"/>
        <v>No Change</v>
      </c>
    </row>
    <row r="512" spans="1:11" x14ac:dyDescent="0.25">
      <c r="A512" s="15">
        <f>'Raw Data'!A512</f>
        <v>510</v>
      </c>
      <c r="B512" s="16">
        <f>'Raw Data'!D512</f>
        <v>43248.770833333336</v>
      </c>
      <c r="C512" s="15">
        <v>2018</v>
      </c>
      <c r="D512" s="15" t="str">
        <f t="shared" si="14"/>
        <v>May</v>
      </c>
      <c r="E512" s="15">
        <v>28</v>
      </c>
      <c r="F512" s="17">
        <v>0.77083333333333337</v>
      </c>
      <c r="G512" s="28"/>
      <c r="H512" s="15">
        <f>'Raw Data'!A512</f>
        <v>510</v>
      </c>
      <c r="I512" s="15" t="str">
        <f>'Raw Data'!J512</f>
        <v xml:space="preserve"> Norway </v>
      </c>
      <c r="J512" s="15" t="s">
        <v>1769</v>
      </c>
      <c r="K512" s="15" t="str">
        <f t="shared" si="15"/>
        <v>No Change</v>
      </c>
    </row>
    <row r="513" spans="1:11" x14ac:dyDescent="0.25">
      <c r="A513" s="15">
        <f>'Raw Data'!A513</f>
        <v>511</v>
      </c>
      <c r="B513" s="16">
        <f>'Raw Data'!D513</f>
        <v>44819.833333333336</v>
      </c>
      <c r="C513" s="15">
        <v>2022</v>
      </c>
      <c r="D513" s="15" t="str">
        <f t="shared" si="14"/>
        <v>September</v>
      </c>
      <c r="E513" s="15">
        <v>15</v>
      </c>
      <c r="F513" s="17">
        <v>0.83333333333333337</v>
      </c>
      <c r="G513" s="28"/>
      <c r="H513" s="15">
        <f>'Raw Data'!A513</f>
        <v>511</v>
      </c>
      <c r="I513" s="15" t="str">
        <f>'Raw Data'!J513</f>
        <v xml:space="preserve"> USA </v>
      </c>
      <c r="J513" s="15" t="s">
        <v>2534</v>
      </c>
      <c r="K513" s="15" t="str">
        <f t="shared" si="15"/>
        <v>Updated</v>
      </c>
    </row>
    <row r="514" spans="1:11" x14ac:dyDescent="0.25">
      <c r="A514" s="15">
        <f>'Raw Data'!A514</f>
        <v>512</v>
      </c>
      <c r="B514" s="16">
        <f>'Raw Data'!D514</f>
        <v>43674.895833333336</v>
      </c>
      <c r="C514" s="15">
        <v>2019</v>
      </c>
      <c r="D514" s="15" t="str">
        <f t="shared" si="14"/>
        <v>July</v>
      </c>
      <c r="E514" s="15">
        <v>28</v>
      </c>
      <c r="F514" s="17">
        <v>0.89583333333333337</v>
      </c>
      <c r="G514" s="28"/>
      <c r="H514" s="15">
        <f>'Raw Data'!A514</f>
        <v>512</v>
      </c>
      <c r="I514" s="15" t="str">
        <f>'Raw Data'!J514</f>
        <v xml:space="preserve"> USA </v>
      </c>
      <c r="J514" s="15" t="s">
        <v>2534</v>
      </c>
      <c r="K514" s="15" t="str">
        <f t="shared" si="15"/>
        <v>Updated</v>
      </c>
    </row>
    <row r="515" spans="1:11" x14ac:dyDescent="0.25">
      <c r="A515" s="15">
        <f>'Raw Data'!A515</f>
        <v>513</v>
      </c>
      <c r="B515" s="16">
        <f>'Raw Data'!D515</f>
        <v>44326.822916666664</v>
      </c>
      <c r="C515" s="15">
        <v>2021</v>
      </c>
      <c r="D515" s="15" t="str">
        <f t="shared" si="14"/>
        <v>May</v>
      </c>
      <c r="E515" s="15">
        <v>10</v>
      </c>
      <c r="F515" s="17">
        <v>0.82291666666666663</v>
      </c>
      <c r="G515" s="28"/>
      <c r="H515" s="15">
        <f>'Raw Data'!A515</f>
        <v>513</v>
      </c>
      <c r="I515" s="15" t="str">
        <f>'Raw Data'!J515</f>
        <v xml:space="preserve"> USA </v>
      </c>
      <c r="J515" s="15" t="s">
        <v>2534</v>
      </c>
      <c r="K515" s="15" t="str">
        <f t="shared" si="15"/>
        <v>Updated</v>
      </c>
    </row>
    <row r="516" spans="1:11" x14ac:dyDescent="0.25">
      <c r="A516" s="15">
        <f>'Raw Data'!A516</f>
        <v>514</v>
      </c>
      <c r="B516" s="16">
        <f>'Raw Data'!D516</f>
        <v>43436.927083333336</v>
      </c>
      <c r="C516" s="15">
        <v>2018</v>
      </c>
      <c r="D516" s="15" t="str">
        <f t="shared" ref="D516:D579" si="16">TEXT(B516,"MMMM")</f>
        <v>December</v>
      </c>
      <c r="E516" s="15">
        <v>2</v>
      </c>
      <c r="F516" s="17">
        <v>0.92708333333333337</v>
      </c>
      <c r="G516" s="28"/>
      <c r="H516" s="15">
        <f>'Raw Data'!A516</f>
        <v>514</v>
      </c>
      <c r="I516" s="15" t="str">
        <f>'Raw Data'!J516</f>
        <v xml:space="preserve"> UK </v>
      </c>
      <c r="J516" s="15" t="s">
        <v>2545</v>
      </c>
      <c r="K516" s="15" t="str">
        <f t="shared" ref="K516:K579" si="17">IF(I516=J516,"No Change","Updated")</f>
        <v>Updated</v>
      </c>
    </row>
    <row r="517" spans="1:11" x14ac:dyDescent="0.25">
      <c r="A517" s="15">
        <f>'Raw Data'!A517</f>
        <v>515</v>
      </c>
      <c r="B517" s="16">
        <f>'Raw Data'!D517</f>
        <v>44061.791666666664</v>
      </c>
      <c r="C517" s="15">
        <v>2020</v>
      </c>
      <c r="D517" s="15" t="str">
        <f t="shared" si="16"/>
        <v>August</v>
      </c>
      <c r="E517" s="15">
        <v>18</v>
      </c>
      <c r="F517" s="17">
        <v>0.79166666666666663</v>
      </c>
      <c r="G517" s="28"/>
      <c r="H517" s="15">
        <f>'Raw Data'!A517</f>
        <v>515</v>
      </c>
      <c r="I517" s="15" t="str">
        <f>'Raw Data'!J517</f>
        <v xml:space="preserve"> UK </v>
      </c>
      <c r="J517" s="15" t="s">
        <v>2545</v>
      </c>
      <c r="K517" s="15" t="str">
        <f t="shared" si="17"/>
        <v>Updated</v>
      </c>
    </row>
    <row r="518" spans="1:11" x14ac:dyDescent="0.25">
      <c r="A518" s="15">
        <f>'Raw Data'!A518</f>
        <v>516</v>
      </c>
      <c r="B518" s="16">
        <f>'Raw Data'!D518</f>
        <v>42822.854166666664</v>
      </c>
      <c r="C518" s="15">
        <v>2017</v>
      </c>
      <c r="D518" s="15" t="str">
        <f t="shared" si="16"/>
        <v>March</v>
      </c>
      <c r="E518" s="15">
        <v>28</v>
      </c>
      <c r="F518" s="17">
        <v>0.85416666666666663</v>
      </c>
      <c r="G518" s="28"/>
      <c r="H518" s="15">
        <f>'Raw Data'!A518</f>
        <v>516</v>
      </c>
      <c r="I518" s="15" t="str">
        <f>'Raw Data'!J518</f>
        <v xml:space="preserve"> USA </v>
      </c>
      <c r="J518" s="15" t="s">
        <v>2534</v>
      </c>
      <c r="K518" s="15" t="str">
        <f t="shared" si="17"/>
        <v>Updated</v>
      </c>
    </row>
    <row r="519" spans="1:11" x14ac:dyDescent="0.25">
      <c r="A519" s="15">
        <f>'Raw Data'!A519</f>
        <v>517</v>
      </c>
      <c r="B519" s="16">
        <f>'Raw Data'!D519</f>
        <v>44576.885416666664</v>
      </c>
      <c r="C519" s="15">
        <v>2022</v>
      </c>
      <c r="D519" s="15" t="str">
        <f t="shared" si="16"/>
        <v>January</v>
      </c>
      <c r="E519" s="15">
        <v>15</v>
      </c>
      <c r="F519" s="17">
        <v>0.88541666666666663</v>
      </c>
      <c r="G519" s="28"/>
      <c r="H519" s="15">
        <f>'Raw Data'!A519</f>
        <v>517</v>
      </c>
      <c r="I519" s="15" t="str">
        <f>'Raw Data'!J519</f>
        <v xml:space="preserve"> USA </v>
      </c>
      <c r="J519" s="15" t="s">
        <v>2534</v>
      </c>
      <c r="K519" s="15" t="str">
        <f t="shared" si="17"/>
        <v>Updated</v>
      </c>
    </row>
    <row r="520" spans="1:11" x14ac:dyDescent="0.25">
      <c r="A520" s="15">
        <f>'Raw Data'!A520</f>
        <v>518</v>
      </c>
      <c r="B520" s="16">
        <f>'Raw Data'!D520</f>
        <v>43626.78125</v>
      </c>
      <c r="C520" s="15">
        <v>2019</v>
      </c>
      <c r="D520" s="15" t="str">
        <f t="shared" si="16"/>
        <v>June</v>
      </c>
      <c r="E520" s="15">
        <v>10</v>
      </c>
      <c r="F520" s="17">
        <v>0.78125</v>
      </c>
      <c r="G520" s="28"/>
      <c r="H520" s="15">
        <f>'Raw Data'!A520</f>
        <v>518</v>
      </c>
      <c r="I520" s="15" t="str">
        <f>'Raw Data'!J520</f>
        <v xml:space="preserve"> USA </v>
      </c>
      <c r="J520" s="15" t="s">
        <v>2534</v>
      </c>
      <c r="K520" s="15" t="str">
        <f t="shared" si="17"/>
        <v>Updated</v>
      </c>
    </row>
    <row r="521" spans="1:11" x14ac:dyDescent="0.25">
      <c r="A521" s="15">
        <f>'Raw Data'!A521</f>
        <v>519</v>
      </c>
      <c r="B521" s="16">
        <f>'Raw Data'!D521</f>
        <v>45005.9375</v>
      </c>
      <c r="C521" s="15">
        <v>2023</v>
      </c>
      <c r="D521" s="15" t="str">
        <f t="shared" si="16"/>
        <v>March</v>
      </c>
      <c r="E521" s="15">
        <v>20</v>
      </c>
      <c r="F521" s="17">
        <v>0.9375</v>
      </c>
      <c r="G521" s="28"/>
      <c r="H521" s="15">
        <f>'Raw Data'!A521</f>
        <v>519</v>
      </c>
      <c r="I521" s="15" t="str">
        <f>'Raw Data'!J521</f>
        <v xml:space="preserve"> USA </v>
      </c>
      <c r="J521" s="15" t="s">
        <v>2534</v>
      </c>
      <c r="K521" s="15" t="str">
        <f t="shared" si="17"/>
        <v>Updated</v>
      </c>
    </row>
    <row r="522" spans="1:11" x14ac:dyDescent="0.25">
      <c r="A522" s="15">
        <f>'Raw Data'!A522</f>
        <v>520</v>
      </c>
      <c r="B522" s="16">
        <f>'Raw Data'!D522</f>
        <v>42702.791666666664</v>
      </c>
      <c r="C522" s="15">
        <v>2016</v>
      </c>
      <c r="D522" s="15" t="str">
        <f t="shared" si="16"/>
        <v>November</v>
      </c>
      <c r="E522" s="15">
        <v>28</v>
      </c>
      <c r="F522" s="17">
        <v>0.79166666666666663</v>
      </c>
      <c r="G522" s="28"/>
      <c r="H522" s="15">
        <f>'Raw Data'!A522</f>
        <v>520</v>
      </c>
      <c r="I522" s="15" t="str">
        <f>'Raw Data'!J522</f>
        <v xml:space="preserve"> UK </v>
      </c>
      <c r="J522" s="15" t="s">
        <v>2545</v>
      </c>
      <c r="K522" s="15" t="str">
        <f t="shared" si="17"/>
        <v>Updated</v>
      </c>
    </row>
    <row r="523" spans="1:11" x14ac:dyDescent="0.25">
      <c r="A523" s="15">
        <f>'Raw Data'!A523</f>
        <v>521</v>
      </c>
      <c r="B523" s="16">
        <f>'Raw Data'!D523</f>
        <v>43317.833333333336</v>
      </c>
      <c r="C523" s="15">
        <v>2018</v>
      </c>
      <c r="D523" s="15" t="str">
        <f t="shared" si="16"/>
        <v>August</v>
      </c>
      <c r="E523" s="15">
        <v>5</v>
      </c>
      <c r="F523" s="17">
        <v>0.83333333333333337</v>
      </c>
      <c r="G523" s="28"/>
      <c r="H523" s="15">
        <f>'Raw Data'!A523</f>
        <v>521</v>
      </c>
      <c r="I523" s="15" t="str">
        <f>'Raw Data'!J523</f>
        <v xml:space="preserve"> Canada </v>
      </c>
      <c r="J523" s="15" t="s">
        <v>121</v>
      </c>
      <c r="K523" s="15" t="str">
        <f t="shared" si="17"/>
        <v>No Change</v>
      </c>
    </row>
    <row r="524" spans="1:11" x14ac:dyDescent="0.25">
      <c r="A524" s="15">
        <f>'Raw Data'!A524</f>
        <v>522</v>
      </c>
      <c r="B524" s="16">
        <f>'Raw Data'!D524</f>
        <v>44301.895833333336</v>
      </c>
      <c r="C524" s="15">
        <v>2021</v>
      </c>
      <c r="D524" s="15" t="str">
        <f t="shared" si="16"/>
        <v>April</v>
      </c>
      <c r="E524" s="15">
        <v>15</v>
      </c>
      <c r="F524" s="17">
        <v>0.89583333333333337</v>
      </c>
      <c r="G524" s="28"/>
      <c r="H524" s="15">
        <f>'Raw Data'!A524</f>
        <v>522</v>
      </c>
      <c r="I524" s="15" t="str">
        <f>'Raw Data'!J524</f>
        <v xml:space="preserve"> USA </v>
      </c>
      <c r="J524" s="15" t="s">
        <v>2534</v>
      </c>
      <c r="K524" s="15" t="str">
        <f t="shared" si="17"/>
        <v>Updated</v>
      </c>
    </row>
    <row r="525" spans="1:11" x14ac:dyDescent="0.25">
      <c r="A525" s="15">
        <f>'Raw Data'!A525</f>
        <v>523</v>
      </c>
      <c r="B525" s="16">
        <f>'Raw Data'!D525</f>
        <v>43797.822916666664</v>
      </c>
      <c r="C525" s="15">
        <v>2019</v>
      </c>
      <c r="D525" s="15" t="str">
        <f t="shared" si="16"/>
        <v>November</v>
      </c>
      <c r="E525" s="15">
        <v>28</v>
      </c>
      <c r="F525" s="17">
        <v>0.82291666666666663</v>
      </c>
      <c r="G525" s="28"/>
      <c r="H525" s="15">
        <f>'Raw Data'!A525</f>
        <v>523</v>
      </c>
      <c r="I525" s="15" t="str">
        <f>'Raw Data'!J525</f>
        <v xml:space="preserve"> UK </v>
      </c>
      <c r="J525" s="15" t="s">
        <v>2545</v>
      </c>
      <c r="K525" s="15" t="str">
        <f t="shared" si="17"/>
        <v>Updated</v>
      </c>
    </row>
    <row r="526" spans="1:11" x14ac:dyDescent="0.25">
      <c r="A526" s="15">
        <f>'Raw Data'!A526</f>
        <v>524</v>
      </c>
      <c r="B526" s="16">
        <f>'Raw Data'!D526</f>
        <v>44004.916666666664</v>
      </c>
      <c r="C526" s="15">
        <v>2020</v>
      </c>
      <c r="D526" s="15" t="str">
        <f t="shared" si="16"/>
        <v>June</v>
      </c>
      <c r="E526" s="15">
        <v>22</v>
      </c>
      <c r="F526" s="17">
        <v>0.91666666666666663</v>
      </c>
      <c r="G526" s="28"/>
      <c r="H526" s="15">
        <f>'Raw Data'!A526</f>
        <v>524</v>
      </c>
      <c r="I526" s="15" t="str">
        <f>'Raw Data'!J526</f>
        <v xml:space="preserve"> USA </v>
      </c>
      <c r="J526" s="15" t="s">
        <v>2534</v>
      </c>
      <c r="K526" s="15" t="str">
        <f t="shared" si="17"/>
        <v>Updated</v>
      </c>
    </row>
    <row r="527" spans="1:11" x14ac:dyDescent="0.25">
      <c r="A527" s="15">
        <f>'Raw Data'!A527</f>
        <v>525</v>
      </c>
      <c r="B527" s="16">
        <f>'Raw Data'!D527</f>
        <v>42988.84375</v>
      </c>
      <c r="C527" s="15">
        <v>2017</v>
      </c>
      <c r="D527" s="15" t="str">
        <f t="shared" si="16"/>
        <v>September</v>
      </c>
      <c r="E527" s="15">
        <v>10</v>
      </c>
      <c r="F527" s="17">
        <v>0.84375</v>
      </c>
      <c r="G527" s="28"/>
      <c r="H527" s="15">
        <f>'Raw Data'!A527</f>
        <v>525</v>
      </c>
      <c r="I527" s="15" t="str">
        <f>'Raw Data'!J527</f>
        <v xml:space="preserve"> USA </v>
      </c>
      <c r="J527" s="15" t="s">
        <v>2534</v>
      </c>
      <c r="K527" s="15" t="str">
        <f t="shared" si="17"/>
        <v>Updated</v>
      </c>
    </row>
    <row r="528" spans="1:11" x14ac:dyDescent="0.25">
      <c r="A528" s="15">
        <f>'Raw Data'!A528</f>
        <v>526</v>
      </c>
      <c r="B528" s="16">
        <f>'Raw Data'!D528</f>
        <v>44620.885416666664</v>
      </c>
      <c r="C528" s="15">
        <v>2022</v>
      </c>
      <c r="D528" s="15" t="str">
        <f t="shared" si="16"/>
        <v>February</v>
      </c>
      <c r="E528" s="15">
        <v>28</v>
      </c>
      <c r="F528" s="17">
        <v>0.88541666666666663</v>
      </c>
      <c r="G528" s="28"/>
      <c r="H528" s="15">
        <f>'Raw Data'!A528</f>
        <v>526</v>
      </c>
      <c r="I528" s="15" t="str">
        <f>'Raw Data'!J528</f>
        <v xml:space="preserve"> Colombia </v>
      </c>
      <c r="J528" s="15" t="s">
        <v>1828</v>
      </c>
      <c r="K528" s="15" t="str">
        <f t="shared" si="17"/>
        <v>No Change</v>
      </c>
    </row>
    <row r="529" spans="1:11" x14ac:dyDescent="0.25">
      <c r="A529" s="15">
        <f>'Raw Data'!A529</f>
        <v>527</v>
      </c>
      <c r="B529" s="16">
        <f>'Raw Data'!D529</f>
        <v>42505.8125</v>
      </c>
      <c r="C529" s="15">
        <v>2016</v>
      </c>
      <c r="D529" s="15" t="str">
        <f t="shared" si="16"/>
        <v>May</v>
      </c>
      <c r="E529" s="15">
        <v>15</v>
      </c>
      <c r="F529" s="17">
        <v>0.8125</v>
      </c>
      <c r="G529" s="28"/>
      <c r="H529" s="15">
        <f>'Raw Data'!A529</f>
        <v>527</v>
      </c>
      <c r="I529" s="15" t="str">
        <f>'Raw Data'!J529</f>
        <v xml:space="preserve"> Ireland </v>
      </c>
      <c r="J529" s="15" t="s">
        <v>1833</v>
      </c>
      <c r="K529" s="15" t="str">
        <f t="shared" si="17"/>
        <v>No Change</v>
      </c>
    </row>
    <row r="530" spans="1:11" x14ac:dyDescent="0.25">
      <c r="A530" s="15">
        <f>'Raw Data'!A530</f>
        <v>528</v>
      </c>
      <c r="B530" s="16">
        <f>'Raw Data'!D530</f>
        <v>43444.9375</v>
      </c>
      <c r="C530" s="15">
        <v>2018</v>
      </c>
      <c r="D530" s="15" t="str">
        <f t="shared" si="16"/>
        <v>December</v>
      </c>
      <c r="E530" s="15">
        <v>10</v>
      </c>
      <c r="F530" s="17">
        <v>0.9375</v>
      </c>
      <c r="G530" s="28"/>
      <c r="H530" s="15">
        <f>'Raw Data'!A530</f>
        <v>528</v>
      </c>
      <c r="I530" s="15" t="str">
        <f>'Raw Data'!J530</f>
        <v xml:space="preserve"> USA </v>
      </c>
      <c r="J530" s="15" t="s">
        <v>2534</v>
      </c>
      <c r="K530" s="15" t="str">
        <f t="shared" si="17"/>
        <v>Updated</v>
      </c>
    </row>
    <row r="531" spans="1:11" x14ac:dyDescent="0.25">
      <c r="A531" s="15">
        <f>'Raw Data'!A531</f>
        <v>529</v>
      </c>
      <c r="B531" s="16">
        <f>'Raw Data'!D531</f>
        <v>44948.833333333336</v>
      </c>
      <c r="C531" s="15">
        <v>2023</v>
      </c>
      <c r="D531" s="15" t="str">
        <f t="shared" si="16"/>
        <v>January</v>
      </c>
      <c r="E531" s="15">
        <v>22</v>
      </c>
      <c r="F531" s="17">
        <v>0.83333333333333337</v>
      </c>
      <c r="G531" s="28"/>
      <c r="H531" s="15">
        <f>'Raw Data'!A531</f>
        <v>529</v>
      </c>
      <c r="I531" s="15" t="str">
        <f>'Raw Data'!J531</f>
        <v xml:space="preserve"> USA </v>
      </c>
      <c r="J531" s="15" t="s">
        <v>2534</v>
      </c>
      <c r="K531" s="15" t="str">
        <f t="shared" si="17"/>
        <v>Updated</v>
      </c>
    </row>
    <row r="532" spans="1:11" x14ac:dyDescent="0.25">
      <c r="A532" s="15">
        <f>'Raw Data'!A532</f>
        <v>530</v>
      </c>
      <c r="B532" s="16">
        <f>'Raw Data'!D532</f>
        <v>43895.78125</v>
      </c>
      <c r="C532" s="15">
        <v>2020</v>
      </c>
      <c r="D532" s="15" t="str">
        <f t="shared" si="16"/>
        <v>March</v>
      </c>
      <c r="E532" s="15">
        <v>5</v>
      </c>
      <c r="F532" s="17">
        <v>0.78125</v>
      </c>
      <c r="G532" s="28"/>
      <c r="H532" s="15">
        <f>'Raw Data'!A532</f>
        <v>530</v>
      </c>
      <c r="I532" s="15" t="str">
        <f>'Raw Data'!J532</f>
        <v xml:space="preserve"> Jamaica </v>
      </c>
      <c r="J532" s="15" t="s">
        <v>1846</v>
      </c>
      <c r="K532" s="15" t="str">
        <f t="shared" si="17"/>
        <v>No Change</v>
      </c>
    </row>
    <row r="533" spans="1:11" x14ac:dyDescent="0.25">
      <c r="A533" s="15">
        <f>'Raw Data'!A533</f>
        <v>531</v>
      </c>
      <c r="B533" s="16">
        <f>'Raw Data'!D533</f>
        <v>43385.833333333336</v>
      </c>
      <c r="C533" s="15">
        <v>2018</v>
      </c>
      <c r="D533" s="15" t="str">
        <f t="shared" si="16"/>
        <v>October</v>
      </c>
      <c r="E533" s="15">
        <v>12</v>
      </c>
      <c r="F533" s="17">
        <v>0.83333333333333337</v>
      </c>
      <c r="G533" s="28"/>
      <c r="H533" s="15">
        <f>'Raw Data'!A533</f>
        <v>531</v>
      </c>
      <c r="I533" s="15" t="str">
        <f>'Raw Data'!J533</f>
        <v xml:space="preserve"> USA </v>
      </c>
      <c r="J533" s="15" t="s">
        <v>2534</v>
      </c>
      <c r="K533" s="15" t="str">
        <f t="shared" si="17"/>
        <v>Updated</v>
      </c>
    </row>
    <row r="534" spans="1:11" x14ac:dyDescent="0.25">
      <c r="A534" s="15">
        <f>'Raw Data'!A534</f>
        <v>532</v>
      </c>
      <c r="B534" s="16">
        <f>'Raw Data'!D534</f>
        <v>43641.927083333336</v>
      </c>
      <c r="C534" s="15">
        <v>2019</v>
      </c>
      <c r="D534" s="15" t="str">
        <f t="shared" si="16"/>
        <v>June</v>
      </c>
      <c r="E534" s="15">
        <v>25</v>
      </c>
      <c r="F534" s="17">
        <v>0.92708333333333337</v>
      </c>
      <c r="G534" s="28"/>
      <c r="H534" s="15">
        <f>'Raw Data'!A534</f>
        <v>532</v>
      </c>
      <c r="I534" s="15" t="str">
        <f>'Raw Data'!J534</f>
        <v xml:space="preserve"> UK </v>
      </c>
      <c r="J534" s="15" t="s">
        <v>2545</v>
      </c>
      <c r="K534" s="15" t="str">
        <f t="shared" si="17"/>
        <v>Updated</v>
      </c>
    </row>
    <row r="535" spans="1:11" x14ac:dyDescent="0.25">
      <c r="A535" s="15">
        <f>'Raw Data'!A535</f>
        <v>533</v>
      </c>
      <c r="B535" s="16">
        <f>'Raw Data'!D535</f>
        <v>44020.8125</v>
      </c>
      <c r="C535" s="15">
        <v>2020</v>
      </c>
      <c r="D535" s="15" t="str">
        <f t="shared" si="16"/>
        <v>July</v>
      </c>
      <c r="E535" s="15">
        <v>8</v>
      </c>
      <c r="F535" s="17">
        <v>0.8125</v>
      </c>
      <c r="G535" s="28"/>
      <c r="H535" s="15">
        <f>'Raw Data'!A535</f>
        <v>533</v>
      </c>
      <c r="I535" s="15" t="str">
        <f>'Raw Data'!J535</f>
        <v xml:space="preserve"> Canada </v>
      </c>
      <c r="J535" s="15" t="s">
        <v>121</v>
      </c>
      <c r="K535" s="15" t="str">
        <f t="shared" si="17"/>
        <v>No Change</v>
      </c>
    </row>
    <row r="536" spans="1:11" x14ac:dyDescent="0.25">
      <c r="A536" s="15">
        <f>'Raw Data'!A536</f>
        <v>534</v>
      </c>
      <c r="B536" s="16">
        <f>'Raw Data'!D536</f>
        <v>42996.90625</v>
      </c>
      <c r="C536" s="15">
        <v>2017</v>
      </c>
      <c r="D536" s="15" t="str">
        <f t="shared" si="16"/>
        <v>September</v>
      </c>
      <c r="E536" s="15">
        <v>18</v>
      </c>
      <c r="F536" s="17">
        <v>0.90625</v>
      </c>
      <c r="G536" s="28"/>
      <c r="H536" s="15">
        <f>'Raw Data'!A536</f>
        <v>534</v>
      </c>
      <c r="I536" s="15" t="str">
        <f>'Raw Data'!J536</f>
        <v xml:space="preserve"> Australia </v>
      </c>
      <c r="J536" s="15" t="s">
        <v>36</v>
      </c>
      <c r="K536" s="15" t="str">
        <f t="shared" si="17"/>
        <v>No Change</v>
      </c>
    </row>
    <row r="537" spans="1:11" x14ac:dyDescent="0.25">
      <c r="A537" s="15">
        <f>'Raw Data'!A537</f>
        <v>535</v>
      </c>
      <c r="B537" s="16">
        <f>'Raw Data'!D537</f>
        <v>44211.75</v>
      </c>
      <c r="C537" s="15">
        <v>2021</v>
      </c>
      <c r="D537" s="15" t="str">
        <f t="shared" si="16"/>
        <v>January</v>
      </c>
      <c r="E537" s="15">
        <v>15</v>
      </c>
      <c r="F537" s="17">
        <v>0.75</v>
      </c>
      <c r="G537" s="28"/>
      <c r="H537" s="15">
        <f>'Raw Data'!A537</f>
        <v>535</v>
      </c>
      <c r="I537" s="15" t="str">
        <f>'Raw Data'!J537</f>
        <v xml:space="preserve"> India </v>
      </c>
      <c r="J537" s="15" t="s">
        <v>162</v>
      </c>
      <c r="K537" s="15" t="str">
        <f t="shared" si="17"/>
        <v>No Change</v>
      </c>
    </row>
    <row r="538" spans="1:11" x14ac:dyDescent="0.25">
      <c r="A538" s="15">
        <f>'Raw Data'!A538</f>
        <v>536</v>
      </c>
      <c r="B538" s="16">
        <f>'Raw Data'!D538</f>
        <v>42428.854166666664</v>
      </c>
      <c r="C538" s="15">
        <v>2016</v>
      </c>
      <c r="D538" s="15" t="str">
        <f t="shared" si="16"/>
        <v>February</v>
      </c>
      <c r="E538" s="15">
        <v>28</v>
      </c>
      <c r="F538" s="17">
        <v>0.85416666666666663</v>
      </c>
      <c r="G538" s="28"/>
      <c r="H538" s="15">
        <f>'Raw Data'!A538</f>
        <v>536</v>
      </c>
      <c r="I538" s="15" t="str">
        <f>'Raw Data'!J538</f>
        <v xml:space="preserve"> USA </v>
      </c>
      <c r="J538" s="15" t="s">
        <v>2534</v>
      </c>
      <c r="K538" s="15" t="str">
        <f t="shared" si="17"/>
        <v>Updated</v>
      </c>
    </row>
    <row r="539" spans="1:11" x14ac:dyDescent="0.25">
      <c r="A539" s="15">
        <f>'Raw Data'!A539</f>
        <v>537</v>
      </c>
      <c r="B539" s="16">
        <f>'Raw Data'!D539</f>
        <v>44671.729166666664</v>
      </c>
      <c r="C539" s="15">
        <v>2022</v>
      </c>
      <c r="D539" s="15" t="str">
        <f t="shared" si="16"/>
        <v>April</v>
      </c>
      <c r="E539" s="15">
        <v>20</v>
      </c>
      <c r="F539" s="17">
        <v>0.72916666666666663</v>
      </c>
      <c r="G539" s="28"/>
      <c r="H539" s="15">
        <f>'Raw Data'!A539</f>
        <v>537</v>
      </c>
      <c r="I539" s="15" t="str">
        <f>'Raw Data'!J539</f>
        <v xml:space="preserve"> France </v>
      </c>
      <c r="J539" s="15" t="s">
        <v>1542</v>
      </c>
      <c r="K539" s="15" t="str">
        <f t="shared" si="17"/>
        <v>No Change</v>
      </c>
    </row>
    <row r="540" spans="1:11" x14ac:dyDescent="0.25">
      <c r="A540" s="15">
        <f>'Raw Data'!A540</f>
        <v>538</v>
      </c>
      <c r="B540" s="16">
        <f>'Raw Data'!D540</f>
        <v>43774.885416666664</v>
      </c>
      <c r="C540" s="15">
        <v>2019</v>
      </c>
      <c r="D540" s="15" t="str">
        <f t="shared" si="16"/>
        <v>November</v>
      </c>
      <c r="E540" s="15">
        <v>5</v>
      </c>
      <c r="F540" s="17">
        <v>0.88541666666666663</v>
      </c>
      <c r="G540" s="28"/>
      <c r="H540" s="15">
        <f>'Raw Data'!A540</f>
        <v>538</v>
      </c>
      <c r="I540" s="15" t="str">
        <f>'Raw Data'!J540</f>
        <v xml:space="preserve"> Germany </v>
      </c>
      <c r="J540" s="15" t="s">
        <v>1533</v>
      </c>
      <c r="K540" s="15" t="str">
        <f t="shared" si="17"/>
        <v>No Change</v>
      </c>
    </row>
    <row r="541" spans="1:11" x14ac:dyDescent="0.25">
      <c r="A541" s="15">
        <f>'Raw Data'!A541</f>
        <v>539</v>
      </c>
      <c r="B541" s="16">
        <f>'Raw Data'!D541</f>
        <v>42197.916666666664</v>
      </c>
      <c r="C541" s="15">
        <v>2015</v>
      </c>
      <c r="D541" s="15" t="str">
        <f t="shared" si="16"/>
        <v>July</v>
      </c>
      <c r="E541" s="15">
        <v>12</v>
      </c>
      <c r="F541" s="17">
        <v>0.91666666666666663</v>
      </c>
      <c r="G541" s="28"/>
      <c r="H541" s="15">
        <f>'Raw Data'!A541</f>
        <v>539</v>
      </c>
      <c r="I541" s="15" t="str">
        <f>'Raw Data'!J541</f>
        <v xml:space="preserve"> Japan </v>
      </c>
      <c r="J541" s="15" t="s">
        <v>1555</v>
      </c>
      <c r="K541" s="15" t="str">
        <f t="shared" si="17"/>
        <v>No Change</v>
      </c>
    </row>
    <row r="542" spans="1:11" x14ac:dyDescent="0.25">
      <c r="A542" s="15">
        <f>'Raw Data'!A542</f>
        <v>540</v>
      </c>
      <c r="B542" s="16">
        <f>'Raw Data'!D542</f>
        <v>44084.822916666664</v>
      </c>
      <c r="C542" s="15">
        <v>2020</v>
      </c>
      <c r="D542" s="15" t="str">
        <f t="shared" si="16"/>
        <v>September</v>
      </c>
      <c r="E542" s="15">
        <v>10</v>
      </c>
      <c r="F542" s="17">
        <v>0.82291666666666663</v>
      </c>
      <c r="G542" s="28"/>
      <c r="H542" s="15">
        <f>'Raw Data'!A542</f>
        <v>540</v>
      </c>
      <c r="I542" s="15" t="str">
        <f>'Raw Data'!J542</f>
        <v xml:space="preserve"> Brazil </v>
      </c>
      <c r="J542" s="15" t="s">
        <v>1537</v>
      </c>
      <c r="K542" s="15" t="str">
        <f t="shared" si="17"/>
        <v>No Change</v>
      </c>
    </row>
    <row r="543" spans="1:11" x14ac:dyDescent="0.25">
      <c r="A543" s="15">
        <f>'Raw Data'!A543</f>
        <v>541</v>
      </c>
      <c r="B543" s="16">
        <f>'Raw Data'!D543</f>
        <v>43296.895833333336</v>
      </c>
      <c r="C543" s="15">
        <v>2018</v>
      </c>
      <c r="D543" s="15" t="str">
        <f t="shared" si="16"/>
        <v>July</v>
      </c>
      <c r="E543" s="15">
        <v>15</v>
      </c>
      <c r="F543" s="17">
        <v>0.89583333333333337</v>
      </c>
      <c r="G543" s="28"/>
      <c r="H543" s="15">
        <f>'Raw Data'!A543</f>
        <v>541</v>
      </c>
      <c r="I543" s="15" t="str">
        <f>'Raw Data'!J543</f>
        <v xml:space="preserve"> Brazil </v>
      </c>
      <c r="J543" s="15" t="s">
        <v>1537</v>
      </c>
      <c r="K543" s="15" t="str">
        <f t="shared" si="17"/>
        <v>No Change</v>
      </c>
    </row>
    <row r="544" spans="1:11" x14ac:dyDescent="0.25">
      <c r="A544" s="15">
        <f>'Raw Data'!A544</f>
        <v>542</v>
      </c>
      <c r="B544" s="16">
        <f>'Raw Data'!D544</f>
        <v>44051.822916666664</v>
      </c>
      <c r="C544" s="15">
        <v>2020</v>
      </c>
      <c r="D544" s="15" t="str">
        <f t="shared" si="16"/>
        <v>August</v>
      </c>
      <c r="E544" s="15">
        <v>8</v>
      </c>
      <c r="F544" s="17">
        <v>0.82291666666666663</v>
      </c>
      <c r="G544" s="28"/>
      <c r="H544" s="15">
        <f>'Raw Data'!A544</f>
        <v>542</v>
      </c>
      <c r="I544" s="15" t="str">
        <f>'Raw Data'!J544</f>
        <v xml:space="preserve"> USA </v>
      </c>
      <c r="J544" s="15" t="s">
        <v>2534</v>
      </c>
      <c r="K544" s="15" t="str">
        <f t="shared" si="17"/>
        <v>Updated</v>
      </c>
    </row>
    <row r="545" spans="1:11" x14ac:dyDescent="0.25">
      <c r="A545" s="15">
        <f>'Raw Data'!A545</f>
        <v>543</v>
      </c>
      <c r="B545" s="16">
        <f>'Raw Data'!D545</f>
        <v>43641.927083333336</v>
      </c>
      <c r="C545" s="15">
        <v>2019</v>
      </c>
      <c r="D545" s="15" t="str">
        <f t="shared" si="16"/>
        <v>June</v>
      </c>
      <c r="E545" s="15">
        <v>25</v>
      </c>
      <c r="F545" s="17">
        <v>0.92708333333333337</v>
      </c>
      <c r="G545" s="28"/>
      <c r="H545" s="15">
        <f>'Raw Data'!A545</f>
        <v>543</v>
      </c>
      <c r="I545" s="15" t="str">
        <f>'Raw Data'!J545</f>
        <v xml:space="preserve"> India </v>
      </c>
      <c r="J545" s="15" t="s">
        <v>162</v>
      </c>
      <c r="K545" s="15" t="str">
        <f t="shared" si="17"/>
        <v>No Change</v>
      </c>
    </row>
    <row r="546" spans="1:11" x14ac:dyDescent="0.25">
      <c r="A546" s="15">
        <f>'Raw Data'!A546</f>
        <v>544</v>
      </c>
      <c r="B546" s="16">
        <f>'Raw Data'!D546</f>
        <v>44507.729166666664</v>
      </c>
      <c r="C546" s="15">
        <v>2021</v>
      </c>
      <c r="D546" s="15" t="str">
        <f t="shared" si="16"/>
        <v>November</v>
      </c>
      <c r="E546" s="15">
        <v>7</v>
      </c>
      <c r="F546" s="17">
        <v>0.72916666666666663</v>
      </c>
      <c r="G546" s="28"/>
      <c r="H546" s="15">
        <f>'Raw Data'!A546</f>
        <v>544</v>
      </c>
      <c r="I546" s="15" t="str">
        <f>'Raw Data'!J546</f>
        <v xml:space="preserve"> Kenya </v>
      </c>
      <c r="J546" s="15" t="s">
        <v>1894</v>
      </c>
      <c r="K546" s="15" t="str">
        <f t="shared" si="17"/>
        <v>No Change</v>
      </c>
    </row>
    <row r="547" spans="1:11" x14ac:dyDescent="0.25">
      <c r="A547" s="15">
        <f>'Raw Data'!A547</f>
        <v>545</v>
      </c>
      <c r="B547" s="16">
        <f>'Raw Data'!D547</f>
        <v>42988.84375</v>
      </c>
      <c r="C547" s="15">
        <v>2017</v>
      </c>
      <c r="D547" s="15" t="str">
        <f t="shared" si="16"/>
        <v>September</v>
      </c>
      <c r="E547" s="15">
        <v>10</v>
      </c>
      <c r="F547" s="17">
        <v>0.84375</v>
      </c>
      <c r="G547" s="28"/>
      <c r="H547" s="15">
        <f>'Raw Data'!A547</f>
        <v>545</v>
      </c>
      <c r="I547" s="15" t="str">
        <f>'Raw Data'!J547</f>
        <v xml:space="preserve"> UK </v>
      </c>
      <c r="J547" s="15" t="s">
        <v>2545</v>
      </c>
      <c r="K547" s="15" t="str">
        <f t="shared" si="17"/>
        <v>Updated</v>
      </c>
    </row>
    <row r="548" spans="1:11" x14ac:dyDescent="0.25">
      <c r="A548" s="15">
        <f>'Raw Data'!A548</f>
        <v>546</v>
      </c>
      <c r="B548" s="16">
        <f>'Raw Data'!D548</f>
        <v>44732.875</v>
      </c>
      <c r="C548" s="15">
        <v>2022</v>
      </c>
      <c r="D548" s="15" t="str">
        <f t="shared" si="16"/>
        <v>June</v>
      </c>
      <c r="E548" s="15">
        <v>20</v>
      </c>
      <c r="F548" s="17">
        <v>0.875</v>
      </c>
      <c r="G548" s="28"/>
      <c r="H548" s="15">
        <f>'Raw Data'!A548</f>
        <v>546</v>
      </c>
      <c r="I548" s="15" t="str">
        <f>'Raw Data'!J548</f>
        <v xml:space="preserve"> USA </v>
      </c>
      <c r="J548" s="15" t="s">
        <v>2534</v>
      </c>
      <c r="K548" s="15" t="str">
        <f t="shared" si="17"/>
        <v>Updated</v>
      </c>
    </row>
    <row r="549" spans="1:11" x14ac:dyDescent="0.25">
      <c r="A549" s="15">
        <f>'Raw Data'!A549</f>
        <v>547</v>
      </c>
      <c r="B549" s="16">
        <f>'Raw Data'!D549</f>
        <v>42470.770833333336</v>
      </c>
      <c r="C549" s="15">
        <v>2016</v>
      </c>
      <c r="D549" s="15" t="str">
        <f t="shared" si="16"/>
        <v>April</v>
      </c>
      <c r="E549" s="15">
        <v>10</v>
      </c>
      <c r="F549" s="17">
        <v>0.77083333333333337</v>
      </c>
      <c r="G549" s="28"/>
      <c r="H549" s="15">
        <f>'Raw Data'!A549</f>
        <v>547</v>
      </c>
      <c r="I549" s="15" t="str">
        <f>'Raw Data'!J549</f>
        <v xml:space="preserve"> Scotland </v>
      </c>
      <c r="J549" s="15" t="s">
        <v>1905</v>
      </c>
      <c r="K549" s="15" t="str">
        <f t="shared" si="17"/>
        <v>No Change</v>
      </c>
    </row>
    <row r="550" spans="1:11" x14ac:dyDescent="0.25">
      <c r="A550" s="15">
        <f>'Raw Data'!A550</f>
        <v>548</v>
      </c>
      <c r="B550" s="16">
        <f>'Raw Data'!D550</f>
        <v>43793.822916666664</v>
      </c>
      <c r="C550" s="15">
        <v>2019</v>
      </c>
      <c r="D550" s="15" t="str">
        <f t="shared" si="16"/>
        <v>November</v>
      </c>
      <c r="E550" s="15">
        <v>24</v>
      </c>
      <c r="F550" s="17">
        <v>0.82291666666666663</v>
      </c>
      <c r="G550" s="28"/>
      <c r="H550" s="15">
        <f>'Raw Data'!A550</f>
        <v>548</v>
      </c>
      <c r="I550" s="15" t="str">
        <f>'Raw Data'!J550</f>
        <v xml:space="preserve"> Germany </v>
      </c>
      <c r="J550" s="15" t="s">
        <v>1533</v>
      </c>
      <c r="K550" s="15" t="str">
        <f t="shared" si="17"/>
        <v>No Change</v>
      </c>
    </row>
    <row r="551" spans="1:11" x14ac:dyDescent="0.25">
      <c r="A551" s="15">
        <f>'Raw Data'!A551</f>
        <v>549</v>
      </c>
      <c r="B551" s="16">
        <f>'Raw Data'!D551</f>
        <v>42275.9375</v>
      </c>
      <c r="C551" s="15">
        <v>2015</v>
      </c>
      <c r="D551" s="15" t="str">
        <f t="shared" si="16"/>
        <v>September</v>
      </c>
      <c r="E551" s="15">
        <v>28</v>
      </c>
      <c r="F551" s="17">
        <v>0.9375</v>
      </c>
      <c r="G551" s="28"/>
      <c r="H551" s="15">
        <f>'Raw Data'!A551</f>
        <v>549</v>
      </c>
      <c r="I551" s="15" t="str">
        <f>'Raw Data'!J551</f>
        <v xml:space="preserve"> Italy </v>
      </c>
      <c r="J551" s="15" t="s">
        <v>1550</v>
      </c>
      <c r="K551" s="15" t="str">
        <f t="shared" si="17"/>
        <v>No Change</v>
      </c>
    </row>
    <row r="552" spans="1:11" x14ac:dyDescent="0.25">
      <c r="A552" s="15">
        <f>'Raw Data'!A552</f>
        <v>550</v>
      </c>
      <c r="B552" s="16">
        <f>'Raw Data'!D552</f>
        <v>44177.833333333336</v>
      </c>
      <c r="C552" s="15">
        <v>2020</v>
      </c>
      <c r="D552" s="15" t="str">
        <f t="shared" si="16"/>
        <v>December</v>
      </c>
      <c r="E552" s="15">
        <v>12</v>
      </c>
      <c r="F552" s="17">
        <v>0.83333333333333337</v>
      </c>
      <c r="G552" s="28"/>
      <c r="H552" s="15">
        <f>'Raw Data'!A552</f>
        <v>550</v>
      </c>
      <c r="I552" s="15" t="str">
        <f>'Raw Data'!J552</f>
        <v xml:space="preserve"> Canada </v>
      </c>
      <c r="J552" s="15" t="s">
        <v>121</v>
      </c>
      <c r="K552" s="15" t="str">
        <f t="shared" si="17"/>
        <v>No Change</v>
      </c>
    </row>
    <row r="553" spans="1:11" x14ac:dyDescent="0.25">
      <c r="A553" s="15">
        <f>'Raw Data'!A553</f>
        <v>551</v>
      </c>
      <c r="B553" s="16">
        <f>'Raw Data'!D553</f>
        <v>43771.78125</v>
      </c>
      <c r="C553" s="15">
        <v>2019</v>
      </c>
      <c r="D553" s="15" t="str">
        <f t="shared" si="16"/>
        <v>November</v>
      </c>
      <c r="E553" s="15">
        <v>2</v>
      </c>
      <c r="F553" s="17">
        <v>0.78125</v>
      </c>
      <c r="G553" s="28"/>
      <c r="H553" s="15">
        <f>'Raw Data'!A553</f>
        <v>551</v>
      </c>
      <c r="I553" s="15" t="str">
        <f>'Raw Data'!J553</f>
        <v xml:space="preserve"> Brazil </v>
      </c>
      <c r="J553" s="15" t="s">
        <v>1537</v>
      </c>
      <c r="K553" s="15" t="str">
        <f t="shared" si="17"/>
        <v>No Change</v>
      </c>
    </row>
    <row r="554" spans="1:11" x14ac:dyDescent="0.25">
      <c r="A554" s="15">
        <f>'Raw Data'!A554</f>
        <v>552</v>
      </c>
      <c r="B554" s="16">
        <f>'Raw Data'!D554</f>
        <v>43291.885416666664</v>
      </c>
      <c r="C554" s="15">
        <v>2018</v>
      </c>
      <c r="D554" s="15" t="str">
        <f t="shared" si="16"/>
        <v>July</v>
      </c>
      <c r="E554" s="15">
        <v>10</v>
      </c>
      <c r="F554" s="17">
        <v>0.88541666666666663</v>
      </c>
      <c r="G554" s="28"/>
      <c r="H554" s="15">
        <f>'Raw Data'!A554</f>
        <v>552</v>
      </c>
      <c r="I554" s="15" t="str">
        <f>'Raw Data'!J554</f>
        <v xml:space="preserve"> USA </v>
      </c>
      <c r="J554" s="15" t="s">
        <v>2534</v>
      </c>
      <c r="K554" s="15" t="str">
        <f t="shared" si="17"/>
        <v>Updated</v>
      </c>
    </row>
    <row r="555" spans="1:11" x14ac:dyDescent="0.25">
      <c r="A555" s="15">
        <f>'Raw Data'!A555</f>
        <v>553</v>
      </c>
      <c r="B555" s="16">
        <f>'Raw Data'!D555</f>
        <v>44092.8125</v>
      </c>
      <c r="C555" s="15">
        <v>2020</v>
      </c>
      <c r="D555" s="15" t="str">
        <f t="shared" si="16"/>
        <v>September</v>
      </c>
      <c r="E555" s="15">
        <v>18</v>
      </c>
      <c r="F555" s="17">
        <v>0.8125</v>
      </c>
      <c r="G555" s="28"/>
      <c r="H555" s="15">
        <f>'Raw Data'!A555</f>
        <v>553</v>
      </c>
      <c r="I555" s="15" t="str">
        <f>'Raw Data'!J555</f>
        <v xml:space="preserve"> UK </v>
      </c>
      <c r="J555" s="15" t="s">
        <v>2545</v>
      </c>
      <c r="K555" s="15" t="str">
        <f t="shared" si="17"/>
        <v>Updated</v>
      </c>
    </row>
    <row r="556" spans="1:11" x14ac:dyDescent="0.25">
      <c r="A556" s="15">
        <f>'Raw Data'!A556</f>
        <v>554</v>
      </c>
      <c r="B556" s="16">
        <f>'Raw Data'!D556</f>
        <v>42870.916666666664</v>
      </c>
      <c r="C556" s="15">
        <v>2017</v>
      </c>
      <c r="D556" s="15" t="str">
        <f t="shared" si="16"/>
        <v>May</v>
      </c>
      <c r="E556" s="15">
        <v>15</v>
      </c>
      <c r="F556" s="17">
        <v>0.91666666666666663</v>
      </c>
      <c r="G556" s="28"/>
      <c r="H556" s="15">
        <f>'Raw Data'!A556</f>
        <v>554</v>
      </c>
      <c r="I556" s="15" t="str">
        <f>'Raw Data'!J556</f>
        <v xml:space="preserve"> France </v>
      </c>
      <c r="J556" s="15" t="s">
        <v>1542</v>
      </c>
      <c r="K556" s="15" t="str">
        <f t="shared" si="17"/>
        <v>No Change</v>
      </c>
    </row>
    <row r="557" spans="1:11" x14ac:dyDescent="0.25">
      <c r="A557" s="15">
        <f>'Raw Data'!A557</f>
        <v>555</v>
      </c>
      <c r="B557" s="16">
        <f>'Raw Data'!D557</f>
        <v>44291.84375</v>
      </c>
      <c r="C557" s="15">
        <v>2021</v>
      </c>
      <c r="D557" s="15" t="str">
        <f t="shared" si="16"/>
        <v>April</v>
      </c>
      <c r="E557" s="15">
        <v>5</v>
      </c>
      <c r="F557" s="17">
        <v>0.84375</v>
      </c>
      <c r="G557" s="28"/>
      <c r="H557" s="15">
        <f>'Raw Data'!A557</f>
        <v>555</v>
      </c>
      <c r="I557" s="15" t="str">
        <f>'Raw Data'!J557</f>
        <v xml:space="preserve"> Japan </v>
      </c>
      <c r="J557" s="15" t="s">
        <v>1555</v>
      </c>
      <c r="K557" s="15" t="str">
        <f t="shared" si="17"/>
        <v>No Change</v>
      </c>
    </row>
    <row r="558" spans="1:11" x14ac:dyDescent="0.25">
      <c r="A558" s="15">
        <f>'Raw Data'!A558</f>
        <v>556</v>
      </c>
      <c r="B558" s="16">
        <f>'Raw Data'!D558</f>
        <v>42602.770833333336</v>
      </c>
      <c r="C558" s="15">
        <v>2016</v>
      </c>
      <c r="D558" s="15" t="str">
        <f t="shared" si="16"/>
        <v>August</v>
      </c>
      <c r="E558" s="15">
        <v>20</v>
      </c>
      <c r="F558" s="17">
        <v>0.77083333333333337</v>
      </c>
      <c r="G558" s="28"/>
      <c r="H558" s="15">
        <f>'Raw Data'!A558</f>
        <v>556</v>
      </c>
      <c r="I558" s="15" t="str">
        <f>'Raw Data'!J558</f>
        <v xml:space="preserve"> USA </v>
      </c>
      <c r="J558" s="15" t="s">
        <v>2534</v>
      </c>
      <c r="K558" s="15" t="str">
        <f t="shared" si="17"/>
        <v>Updated</v>
      </c>
    </row>
    <row r="559" spans="1:11" x14ac:dyDescent="0.25">
      <c r="A559" s="15">
        <f>'Raw Data'!A559</f>
        <v>557</v>
      </c>
      <c r="B559" s="16">
        <f>'Raw Data'!D559</f>
        <v>43508.822916666664</v>
      </c>
      <c r="C559" s="15">
        <v>2019</v>
      </c>
      <c r="D559" s="15" t="str">
        <f t="shared" si="16"/>
        <v>February</v>
      </c>
      <c r="E559" s="15">
        <v>12</v>
      </c>
      <c r="F559" s="17">
        <v>0.82291666666666663</v>
      </c>
      <c r="G559" s="28"/>
      <c r="H559" s="15">
        <f>'Raw Data'!A559</f>
        <v>557</v>
      </c>
      <c r="I559" s="15" t="str">
        <f>'Raw Data'!J559</f>
        <v xml:space="preserve"> Canada </v>
      </c>
      <c r="J559" s="15" t="s">
        <v>121</v>
      </c>
      <c r="K559" s="15" t="str">
        <f t="shared" si="17"/>
        <v>No Change</v>
      </c>
    </row>
    <row r="560" spans="1:11" x14ac:dyDescent="0.25">
      <c r="A560" s="15">
        <f>'Raw Data'!A560</f>
        <v>558</v>
      </c>
      <c r="B560" s="16">
        <f>'Raw Data'!D560</f>
        <v>42183.833333333336</v>
      </c>
      <c r="C560" s="15">
        <v>2015</v>
      </c>
      <c r="D560" s="15" t="str">
        <f t="shared" si="16"/>
        <v>June</v>
      </c>
      <c r="E560" s="15">
        <v>28</v>
      </c>
      <c r="F560" s="17">
        <v>0.83333333333333337</v>
      </c>
      <c r="G560" s="28"/>
      <c r="H560" s="15">
        <f>'Raw Data'!A560</f>
        <v>558</v>
      </c>
      <c r="I560" s="15" t="str">
        <f>'Raw Data'!J560</f>
        <v xml:space="preserve"> Australia </v>
      </c>
      <c r="J560" s="15" t="s">
        <v>36</v>
      </c>
      <c r="K560" s="15" t="str">
        <f t="shared" si="17"/>
        <v>No Change</v>
      </c>
    </row>
    <row r="561" spans="1:11" x14ac:dyDescent="0.25">
      <c r="A561" s="15">
        <f>'Raw Data'!A561</f>
        <v>559</v>
      </c>
      <c r="B561" s="16">
        <f>'Raw Data'!D561</f>
        <v>44569.895833333336</v>
      </c>
      <c r="C561" s="15">
        <v>2022</v>
      </c>
      <c r="D561" s="15" t="str">
        <f t="shared" si="16"/>
        <v>January</v>
      </c>
      <c r="E561" s="15">
        <v>8</v>
      </c>
      <c r="F561" s="17">
        <v>0.89583333333333337</v>
      </c>
      <c r="G561" s="28"/>
      <c r="H561" s="15">
        <f>'Raw Data'!A561</f>
        <v>559</v>
      </c>
      <c r="I561" s="15" t="str">
        <f>'Raw Data'!J561</f>
        <v xml:space="preserve"> Germany </v>
      </c>
      <c r="J561" s="15" t="s">
        <v>1533</v>
      </c>
      <c r="K561" s="15" t="str">
        <f t="shared" si="17"/>
        <v>No Change</v>
      </c>
    </row>
    <row r="562" spans="1:11" x14ac:dyDescent="0.25">
      <c r="A562" s="15">
        <f>'Raw Data'!A562</f>
        <v>560</v>
      </c>
      <c r="B562" s="16">
        <f>'Raw Data'!D562</f>
        <v>43449.84375</v>
      </c>
      <c r="C562" s="15">
        <v>2018</v>
      </c>
      <c r="D562" s="15" t="str">
        <f t="shared" si="16"/>
        <v>December</v>
      </c>
      <c r="E562" s="15">
        <v>15</v>
      </c>
      <c r="F562" s="17">
        <v>0.84375</v>
      </c>
      <c r="G562" s="28"/>
      <c r="H562" s="15">
        <f>'Raw Data'!A562</f>
        <v>560</v>
      </c>
      <c r="I562" s="15" t="str">
        <f>'Raw Data'!J562</f>
        <v xml:space="preserve"> Spain </v>
      </c>
      <c r="J562" s="15" t="s">
        <v>1562</v>
      </c>
      <c r="K562" s="15" t="str">
        <f t="shared" si="17"/>
        <v>No Change</v>
      </c>
    </row>
    <row r="563" spans="1:11" x14ac:dyDescent="0.25">
      <c r="A563" s="15">
        <f>'Raw Data'!A563</f>
        <v>561</v>
      </c>
      <c r="B563" s="16">
        <f>'Raw Data'!D563</f>
        <v>44387.791666666664</v>
      </c>
      <c r="C563" s="15">
        <v>2021</v>
      </c>
      <c r="D563" s="15" t="str">
        <f t="shared" si="16"/>
        <v>July</v>
      </c>
      <c r="E563" s="15">
        <v>10</v>
      </c>
      <c r="F563" s="17">
        <v>0.79166666666666663</v>
      </c>
      <c r="G563" s="28"/>
      <c r="H563" s="15">
        <f>'Raw Data'!A563</f>
        <v>561</v>
      </c>
      <c r="I563" s="15" t="str">
        <f>'Raw Data'!J563</f>
        <v xml:space="preserve"> Canada </v>
      </c>
      <c r="J563" s="15" t="s">
        <v>121</v>
      </c>
      <c r="K563" s="15" t="str">
        <f t="shared" si="17"/>
        <v>No Change</v>
      </c>
    </row>
    <row r="564" spans="1:11" x14ac:dyDescent="0.25">
      <c r="A564" s="15">
        <f>'Raw Data'!A564</f>
        <v>562</v>
      </c>
      <c r="B564" s="16">
        <f>'Raw Data'!D564</f>
        <v>43736.854166666664</v>
      </c>
      <c r="C564" s="15">
        <v>2019</v>
      </c>
      <c r="D564" s="15" t="str">
        <f t="shared" si="16"/>
        <v>September</v>
      </c>
      <c r="E564" s="15">
        <v>28</v>
      </c>
      <c r="F564" s="17">
        <v>0.85416666666666663</v>
      </c>
      <c r="G564" s="28"/>
      <c r="H564" s="15">
        <f>'Raw Data'!A564</f>
        <v>562</v>
      </c>
      <c r="I564" s="15" t="str">
        <f>'Raw Data'!J564</f>
        <v xml:space="preserve"> USA </v>
      </c>
      <c r="J564" s="15" t="s">
        <v>2534</v>
      </c>
      <c r="K564" s="15" t="str">
        <f t="shared" si="17"/>
        <v>Updated</v>
      </c>
    </row>
    <row r="565" spans="1:11" x14ac:dyDescent="0.25">
      <c r="A565" s="15">
        <f>'Raw Data'!A565</f>
        <v>563</v>
      </c>
      <c r="B565" s="16">
        <f>'Raw Data'!D565</f>
        <v>44635.78125</v>
      </c>
      <c r="C565" s="15">
        <v>2022</v>
      </c>
      <c r="D565" s="15" t="str">
        <f t="shared" si="16"/>
        <v>March</v>
      </c>
      <c r="E565" s="15">
        <v>15</v>
      </c>
      <c r="F565" s="17">
        <v>0.78125</v>
      </c>
      <c r="G565" s="28"/>
      <c r="H565" s="15">
        <f>'Raw Data'!A565</f>
        <v>563</v>
      </c>
      <c r="I565" s="15" t="str">
        <f>'Raw Data'!J565</f>
        <v xml:space="preserve"> France </v>
      </c>
      <c r="J565" s="15" t="s">
        <v>1542</v>
      </c>
      <c r="K565" s="15" t="str">
        <f t="shared" si="17"/>
        <v>No Change</v>
      </c>
    </row>
    <row r="566" spans="1:11" x14ac:dyDescent="0.25">
      <c r="A566" s="15">
        <f>'Raw Data'!A566</f>
        <v>564</v>
      </c>
      <c r="B566" s="16">
        <f>'Raw Data'!D566</f>
        <v>43044.885416666664</v>
      </c>
      <c r="C566" s="15">
        <v>2017</v>
      </c>
      <c r="D566" s="15" t="str">
        <f t="shared" si="16"/>
        <v>November</v>
      </c>
      <c r="E566" s="15">
        <v>5</v>
      </c>
      <c r="F566" s="17">
        <v>0.88541666666666663</v>
      </c>
      <c r="G566" s="28"/>
      <c r="H566" s="15">
        <f>'Raw Data'!A566</f>
        <v>564</v>
      </c>
      <c r="I566" s="15" t="str">
        <f>'Raw Data'!J566</f>
        <v xml:space="preserve"> Brazil </v>
      </c>
      <c r="J566" s="15" t="s">
        <v>1537</v>
      </c>
      <c r="K566" s="15" t="str">
        <f t="shared" si="17"/>
        <v>No Change</v>
      </c>
    </row>
    <row r="567" spans="1:11" x14ac:dyDescent="0.25">
      <c r="A567" s="15">
        <f>'Raw Data'!A567</f>
        <v>565</v>
      </c>
      <c r="B567" s="16">
        <f>'Raw Data'!D567</f>
        <v>43971.6875</v>
      </c>
      <c r="C567" s="15">
        <v>2020</v>
      </c>
      <c r="D567" s="15" t="str">
        <f t="shared" si="16"/>
        <v>May</v>
      </c>
      <c r="E567" s="15">
        <v>20</v>
      </c>
      <c r="F567" s="17">
        <v>0.6875</v>
      </c>
      <c r="G567" s="28"/>
      <c r="H567" s="15">
        <f>'Raw Data'!A567</f>
        <v>565</v>
      </c>
      <c r="I567" s="15" t="str">
        <f>'Raw Data'!J567</f>
        <v xml:space="preserve"> Germany </v>
      </c>
      <c r="J567" s="15" t="s">
        <v>1533</v>
      </c>
      <c r="K567" s="15" t="str">
        <f t="shared" si="17"/>
        <v>No Change</v>
      </c>
    </row>
    <row r="568" spans="1:11" x14ac:dyDescent="0.25">
      <c r="A568" s="15">
        <f>'Raw Data'!A568</f>
        <v>566</v>
      </c>
      <c r="B568" s="16">
        <f>'Raw Data'!D568</f>
        <v>42604.822916666664</v>
      </c>
      <c r="C568" s="15">
        <v>2016</v>
      </c>
      <c r="D568" s="15" t="str">
        <f t="shared" si="16"/>
        <v>August</v>
      </c>
      <c r="E568" s="15">
        <v>22</v>
      </c>
      <c r="F568" s="17">
        <v>0.82291666666666663</v>
      </c>
      <c r="G568" s="28"/>
      <c r="H568" s="15">
        <f>'Raw Data'!A568</f>
        <v>566</v>
      </c>
      <c r="I568" s="15" t="str">
        <f>'Raw Data'!J568</f>
        <v xml:space="preserve"> UK </v>
      </c>
      <c r="J568" s="15" t="s">
        <v>2545</v>
      </c>
      <c r="K568" s="15" t="str">
        <f t="shared" si="17"/>
        <v>Updated</v>
      </c>
    </row>
    <row r="569" spans="1:11" x14ac:dyDescent="0.25">
      <c r="A569" s="15">
        <f>'Raw Data'!A569</f>
        <v>567</v>
      </c>
      <c r="B569" s="16">
        <f>'Raw Data'!D569</f>
        <v>45026.71875</v>
      </c>
      <c r="C569" s="15">
        <v>2023</v>
      </c>
      <c r="D569" s="15" t="str">
        <f t="shared" si="16"/>
        <v>April</v>
      </c>
      <c r="E569" s="15">
        <v>10</v>
      </c>
      <c r="F569" s="17">
        <v>0.71875</v>
      </c>
      <c r="G569" s="28"/>
      <c r="H569" s="15">
        <f>'Raw Data'!A569</f>
        <v>567</v>
      </c>
      <c r="I569" s="15" t="str">
        <f>'Raw Data'!J569</f>
        <v xml:space="preserve"> India </v>
      </c>
      <c r="J569" s="15" t="s">
        <v>162</v>
      </c>
      <c r="K569" s="15" t="str">
        <f t="shared" si="17"/>
        <v>No Change</v>
      </c>
    </row>
    <row r="570" spans="1:11" x14ac:dyDescent="0.25">
      <c r="A570" s="15">
        <f>'Raw Data'!A570</f>
        <v>568</v>
      </c>
      <c r="B570" s="16">
        <f>'Raw Data'!D570</f>
        <v>42356.75</v>
      </c>
      <c r="C570" s="15">
        <v>2015</v>
      </c>
      <c r="D570" s="15" t="str">
        <f t="shared" si="16"/>
        <v>December</v>
      </c>
      <c r="E570" s="15">
        <v>18</v>
      </c>
      <c r="F570" s="17">
        <v>0.75</v>
      </c>
      <c r="G570" s="28"/>
      <c r="H570" s="15">
        <f>'Raw Data'!A570</f>
        <v>568</v>
      </c>
      <c r="I570" s="15" t="str">
        <f>'Raw Data'!J570</f>
        <v xml:space="preserve"> Italy </v>
      </c>
      <c r="J570" s="15" t="s">
        <v>1550</v>
      </c>
      <c r="K570" s="15" t="str">
        <f t="shared" si="17"/>
        <v>No Change</v>
      </c>
    </row>
    <row r="571" spans="1:11" x14ac:dyDescent="0.25">
      <c r="A571" s="15">
        <f>'Raw Data'!A571</f>
        <v>569</v>
      </c>
      <c r="B571" s="16">
        <f>'Raw Data'!D571</f>
        <v>44477.854166666664</v>
      </c>
      <c r="C571" s="15">
        <v>2021</v>
      </c>
      <c r="D571" s="15" t="str">
        <f t="shared" si="16"/>
        <v>October</v>
      </c>
      <c r="E571" s="15">
        <v>8</v>
      </c>
      <c r="F571" s="17">
        <v>0.85416666666666663</v>
      </c>
      <c r="G571" s="28"/>
      <c r="H571" s="15">
        <f>'Raw Data'!A571</f>
        <v>569</v>
      </c>
      <c r="I571" s="15" t="str">
        <f>'Raw Data'!J571</f>
        <v xml:space="preserve"> Japan </v>
      </c>
      <c r="J571" s="15" t="s">
        <v>1555</v>
      </c>
      <c r="K571" s="15" t="str">
        <f t="shared" si="17"/>
        <v>No Change</v>
      </c>
    </row>
    <row r="572" spans="1:11" x14ac:dyDescent="0.25">
      <c r="A572" s="15">
        <f>'Raw Data'!A572</f>
        <v>570</v>
      </c>
      <c r="B572" s="16">
        <f>'Raw Data'!D572</f>
        <v>43546.90625</v>
      </c>
      <c r="C572" s="15">
        <v>2019</v>
      </c>
      <c r="D572" s="15" t="str">
        <f t="shared" si="16"/>
        <v>March</v>
      </c>
      <c r="E572" s="15">
        <v>22</v>
      </c>
      <c r="F572" s="17">
        <v>0.90625</v>
      </c>
      <c r="G572" s="28"/>
      <c r="H572" s="15">
        <f>'Raw Data'!A572</f>
        <v>570</v>
      </c>
      <c r="I572" s="15" t="str">
        <f>'Raw Data'!J572</f>
        <v xml:space="preserve"> Australia </v>
      </c>
      <c r="J572" s="15" t="s">
        <v>36</v>
      </c>
      <c r="K572" s="15" t="str">
        <f t="shared" si="17"/>
        <v>No Change</v>
      </c>
    </row>
    <row r="573" spans="1:11" x14ac:dyDescent="0.25">
      <c r="A573" s="15">
        <f>'Raw Data'!A573</f>
        <v>571</v>
      </c>
      <c r="B573" s="16">
        <f>'Raw Data'!D573</f>
        <v>43266.916666666664</v>
      </c>
      <c r="C573" s="15">
        <v>2018</v>
      </c>
      <c r="D573" s="15" t="str">
        <f t="shared" si="16"/>
        <v>June</v>
      </c>
      <c r="E573" s="15">
        <v>15</v>
      </c>
      <c r="F573" s="17">
        <v>0.91666666666666663</v>
      </c>
      <c r="G573" s="28"/>
      <c r="H573" s="15">
        <f>'Raw Data'!A573</f>
        <v>571</v>
      </c>
      <c r="I573" s="15" t="str">
        <f>'Raw Data'!J573</f>
        <v xml:space="preserve"> USA </v>
      </c>
      <c r="J573" s="15" t="s">
        <v>2534</v>
      </c>
      <c r="K573" s="15" t="str">
        <f t="shared" si="17"/>
        <v>Updated</v>
      </c>
    </row>
    <row r="574" spans="1:11" x14ac:dyDescent="0.25">
      <c r="A574" s="15">
        <f>'Raw Data'!A574</f>
        <v>572</v>
      </c>
      <c r="B574" s="16">
        <f>'Raw Data'!D574</f>
        <v>43705.8125</v>
      </c>
      <c r="C574" s="15">
        <v>2019</v>
      </c>
      <c r="D574" s="15" t="str">
        <f t="shared" si="16"/>
        <v>August</v>
      </c>
      <c r="E574" s="15">
        <v>28</v>
      </c>
      <c r="F574" s="17">
        <v>0.8125</v>
      </c>
      <c r="G574" s="28"/>
      <c r="H574" s="15">
        <f>'Raw Data'!A574</f>
        <v>572</v>
      </c>
      <c r="I574" s="15" t="str">
        <f>'Raw Data'!J574</f>
        <v xml:space="preserve"> Thailand </v>
      </c>
      <c r="J574" s="15" t="s">
        <v>1997</v>
      </c>
      <c r="K574" s="15" t="str">
        <f t="shared" si="17"/>
        <v>No Change</v>
      </c>
    </row>
    <row r="575" spans="1:11" x14ac:dyDescent="0.25">
      <c r="A575" s="15">
        <f>'Raw Data'!A575</f>
        <v>573</v>
      </c>
      <c r="B575" s="16">
        <f>'Raw Data'!D575</f>
        <v>44896.739583333336</v>
      </c>
      <c r="C575" s="15">
        <v>2022</v>
      </c>
      <c r="D575" s="15" t="str">
        <f t="shared" si="16"/>
        <v>December</v>
      </c>
      <c r="E575" s="15">
        <v>1</v>
      </c>
      <c r="F575" s="17">
        <v>0.73958333333333337</v>
      </c>
      <c r="G575" s="28"/>
      <c r="H575" s="15">
        <f>'Raw Data'!A575</f>
        <v>573</v>
      </c>
      <c r="I575" s="15" t="str">
        <f>'Raw Data'!J575</f>
        <v xml:space="preserve"> Canada </v>
      </c>
      <c r="J575" s="15" t="s">
        <v>121</v>
      </c>
      <c r="K575" s="15" t="str">
        <f t="shared" si="17"/>
        <v>No Change</v>
      </c>
    </row>
    <row r="576" spans="1:11" x14ac:dyDescent="0.25">
      <c r="A576" s="15">
        <f>'Raw Data'!A576</f>
        <v>574</v>
      </c>
      <c r="B576" s="16">
        <f>'Raw Data'!D576</f>
        <v>42835.885416666664</v>
      </c>
      <c r="C576" s="15">
        <v>2017</v>
      </c>
      <c r="D576" s="15" t="str">
        <f t="shared" si="16"/>
        <v>April</v>
      </c>
      <c r="E576" s="15">
        <v>10</v>
      </c>
      <c r="F576" s="17">
        <v>0.88541666666666663</v>
      </c>
      <c r="G576" s="28"/>
      <c r="H576" s="15">
        <f>'Raw Data'!A576</f>
        <v>574</v>
      </c>
      <c r="I576" s="15" t="str">
        <f>'Raw Data'!J576</f>
        <v xml:space="preserve"> UK </v>
      </c>
      <c r="J576" s="15" t="s">
        <v>2545</v>
      </c>
      <c r="K576" s="15" t="str">
        <f t="shared" si="17"/>
        <v>Updated</v>
      </c>
    </row>
    <row r="577" spans="1:11" x14ac:dyDescent="0.25">
      <c r="A577" s="15">
        <f>'Raw Data'!A577</f>
        <v>575</v>
      </c>
      <c r="B577" s="16">
        <f>'Raw Data'!D577</f>
        <v>43966.770833333336</v>
      </c>
      <c r="C577" s="15">
        <v>2020</v>
      </c>
      <c r="D577" s="15" t="str">
        <f t="shared" si="16"/>
        <v>May</v>
      </c>
      <c r="E577" s="15">
        <v>15</v>
      </c>
      <c r="F577" s="17">
        <v>0.77083333333333337</v>
      </c>
      <c r="G577" s="28"/>
      <c r="H577" s="15">
        <f>'Raw Data'!A577</f>
        <v>575</v>
      </c>
      <c r="I577" s="15" t="str">
        <f>'Raw Data'!J577</f>
        <v xml:space="preserve"> Australia </v>
      </c>
      <c r="J577" s="15" t="s">
        <v>36</v>
      </c>
      <c r="K577" s="15" t="str">
        <f t="shared" si="17"/>
        <v>No Change</v>
      </c>
    </row>
    <row r="578" spans="1:11" x14ac:dyDescent="0.25">
      <c r="A578" s="15">
        <f>'Raw Data'!A578</f>
        <v>576</v>
      </c>
      <c r="B578" s="16">
        <f>'Raw Data'!D578</f>
        <v>42635.833333333336</v>
      </c>
      <c r="C578" s="15">
        <v>2016</v>
      </c>
      <c r="D578" s="15" t="str">
        <f t="shared" si="16"/>
        <v>September</v>
      </c>
      <c r="E578" s="15">
        <v>22</v>
      </c>
      <c r="F578" s="17">
        <v>0.83333333333333337</v>
      </c>
      <c r="G578" s="28"/>
      <c r="H578" s="15">
        <f>'Raw Data'!A578</f>
        <v>576</v>
      </c>
      <c r="I578" s="15" t="str">
        <f>'Raw Data'!J578</f>
        <v xml:space="preserve"> USA </v>
      </c>
      <c r="J578" s="15" t="s">
        <v>2534</v>
      </c>
      <c r="K578" s="15" t="str">
        <f t="shared" si="17"/>
        <v>Updated</v>
      </c>
    </row>
    <row r="579" spans="1:11" x14ac:dyDescent="0.25">
      <c r="A579" s="15">
        <f>'Raw Data'!A579</f>
        <v>577</v>
      </c>
      <c r="B579" s="16">
        <f>'Raw Data'!D579</f>
        <v>44969.822916666664</v>
      </c>
      <c r="C579" s="15">
        <v>2023</v>
      </c>
      <c r="D579" s="15" t="str">
        <f t="shared" si="16"/>
        <v>February</v>
      </c>
      <c r="E579" s="15">
        <v>12</v>
      </c>
      <c r="F579" s="17">
        <v>0.82291666666666663</v>
      </c>
      <c r="G579" s="28"/>
      <c r="H579" s="15">
        <f>'Raw Data'!A579</f>
        <v>577</v>
      </c>
      <c r="I579" s="15" t="str">
        <f>'Raw Data'!J579</f>
        <v xml:space="preserve"> France </v>
      </c>
      <c r="J579" s="15" t="s">
        <v>1542</v>
      </c>
      <c r="K579" s="15" t="str">
        <f t="shared" si="17"/>
        <v>No Change</v>
      </c>
    </row>
    <row r="580" spans="1:11" x14ac:dyDescent="0.25">
      <c r="A580" s="15">
        <f>'Raw Data'!A580</f>
        <v>578</v>
      </c>
      <c r="B580" s="16">
        <f>'Raw Data'!D580</f>
        <v>42318.875</v>
      </c>
      <c r="C580" s="15">
        <v>2015</v>
      </c>
      <c r="D580" s="15" t="str">
        <f t="shared" ref="D580:D643" si="18">TEXT(B580,"MMMM")</f>
        <v>November</v>
      </c>
      <c r="E580" s="15">
        <v>10</v>
      </c>
      <c r="F580" s="17">
        <v>0.875</v>
      </c>
      <c r="G580" s="28"/>
      <c r="H580" s="15">
        <f>'Raw Data'!A580</f>
        <v>578</v>
      </c>
      <c r="I580" s="15" t="str">
        <f>'Raw Data'!J580</f>
        <v xml:space="preserve"> Italy </v>
      </c>
      <c r="J580" s="15" t="s">
        <v>1550</v>
      </c>
      <c r="K580" s="15" t="str">
        <f t="shared" ref="K580:K643" si="19">IF(I580=J580,"No Change","Updated")</f>
        <v>No Change</v>
      </c>
    </row>
    <row r="581" spans="1:11" x14ac:dyDescent="0.25">
      <c r="A581" s="15">
        <f>'Raw Data'!A581</f>
        <v>579</v>
      </c>
      <c r="B581" s="16">
        <f>'Raw Data'!D581</f>
        <v>44397.760416666664</v>
      </c>
      <c r="C581" s="15">
        <v>2021</v>
      </c>
      <c r="D581" s="15" t="str">
        <f t="shared" si="18"/>
        <v>July</v>
      </c>
      <c r="E581" s="15">
        <v>20</v>
      </c>
      <c r="F581" s="17">
        <v>0.76041666666666663</v>
      </c>
      <c r="G581" s="28"/>
      <c r="H581" s="15">
        <f>'Raw Data'!A581</f>
        <v>579</v>
      </c>
      <c r="I581" s="15" t="str">
        <f>'Raw Data'!J581</f>
        <v xml:space="preserve"> Brazil </v>
      </c>
      <c r="J581" s="15" t="s">
        <v>1537</v>
      </c>
      <c r="K581" s="15" t="str">
        <f t="shared" si="19"/>
        <v>No Change</v>
      </c>
    </row>
    <row r="582" spans="1:11" x14ac:dyDescent="0.25">
      <c r="A582" s="15">
        <f>'Raw Data'!A582</f>
        <v>580</v>
      </c>
      <c r="B582" s="16">
        <f>'Raw Data'!D582</f>
        <v>43573.854166666664</v>
      </c>
      <c r="C582" s="15">
        <v>2019</v>
      </c>
      <c r="D582" s="15" t="str">
        <f t="shared" si="18"/>
        <v>April</v>
      </c>
      <c r="E582" s="15">
        <v>18</v>
      </c>
      <c r="F582" s="17">
        <v>0.85416666666666663</v>
      </c>
      <c r="G582" s="28"/>
      <c r="H582" s="15">
        <f>'Raw Data'!A582</f>
        <v>580</v>
      </c>
      <c r="I582" s="15" t="str">
        <f>'Raw Data'!J582</f>
        <v xml:space="preserve"> Greece </v>
      </c>
      <c r="J582" s="15" t="s">
        <v>1717</v>
      </c>
      <c r="K582" s="15" t="str">
        <f t="shared" si="19"/>
        <v>No Change</v>
      </c>
    </row>
    <row r="583" spans="1:11" x14ac:dyDescent="0.25">
      <c r="A583" s="15">
        <f>'Raw Data'!A583</f>
        <v>581</v>
      </c>
      <c r="B583" s="16">
        <f>'Raw Data'!D583</f>
        <v>45066.822916666664</v>
      </c>
      <c r="C583" s="15">
        <v>2023</v>
      </c>
      <c r="D583" s="15" t="str">
        <f t="shared" si="18"/>
        <v>May</v>
      </c>
      <c r="E583" s="15">
        <v>20</v>
      </c>
      <c r="F583" s="17">
        <v>0.82291666666666663</v>
      </c>
      <c r="G583" s="28"/>
      <c r="H583" s="15">
        <f>'Raw Data'!A583</f>
        <v>581</v>
      </c>
      <c r="I583" s="15" t="str">
        <f>'Raw Data'!J583</f>
        <v xml:space="preserve"> USA</v>
      </c>
      <c r="J583" s="15" t="s">
        <v>2543</v>
      </c>
      <c r="K583" s="15" t="str">
        <f t="shared" si="19"/>
        <v>Updated</v>
      </c>
    </row>
    <row r="584" spans="1:11" x14ac:dyDescent="0.25">
      <c r="A584" s="15">
        <f>'Raw Data'!A584</f>
        <v>582</v>
      </c>
      <c r="B584" s="16">
        <f>'Raw Data'!D584</f>
        <v>45067.875</v>
      </c>
      <c r="C584" s="15">
        <v>2023</v>
      </c>
      <c r="D584" s="15" t="str">
        <f t="shared" si="18"/>
        <v>May</v>
      </c>
      <c r="E584" s="15">
        <v>21</v>
      </c>
      <c r="F584" s="17">
        <v>0.875</v>
      </c>
      <c r="G584" s="28"/>
      <c r="H584" s="15">
        <f>'Raw Data'!A584</f>
        <v>582</v>
      </c>
      <c r="I584" s="15" t="str">
        <f>'Raw Data'!J584</f>
        <v xml:space="preserve"> Canada</v>
      </c>
      <c r="J584" s="15" t="s">
        <v>2038</v>
      </c>
      <c r="K584" s="15" t="str">
        <f t="shared" si="19"/>
        <v>No Change</v>
      </c>
    </row>
    <row r="585" spans="1:11" x14ac:dyDescent="0.25">
      <c r="A585" s="15">
        <f>'Raw Data'!A585</f>
        <v>583</v>
      </c>
      <c r="B585" s="16">
        <f>'Raw Data'!D585</f>
        <v>45068.604166666664</v>
      </c>
      <c r="C585" s="15">
        <v>2023</v>
      </c>
      <c r="D585" s="15" t="str">
        <f t="shared" si="18"/>
        <v>May</v>
      </c>
      <c r="E585" s="15">
        <v>22</v>
      </c>
      <c r="F585" s="17">
        <v>0.60416666666666663</v>
      </c>
      <c r="G585" s="28"/>
      <c r="H585" s="15">
        <f>'Raw Data'!A585</f>
        <v>583</v>
      </c>
      <c r="I585" s="15" t="str">
        <f>'Raw Data'!J585</f>
        <v xml:space="preserve"> UK</v>
      </c>
      <c r="J585" s="15" t="s">
        <v>2556</v>
      </c>
      <c r="K585" s="15" t="str">
        <f t="shared" si="19"/>
        <v>Updated</v>
      </c>
    </row>
    <row r="586" spans="1:11" x14ac:dyDescent="0.25">
      <c r="A586" s="15">
        <f>'Raw Data'!A586</f>
        <v>584</v>
      </c>
      <c r="B586" s="16">
        <f>'Raw Data'!D586</f>
        <v>45069.697916666664</v>
      </c>
      <c r="C586" s="15">
        <v>2023</v>
      </c>
      <c r="D586" s="15" t="str">
        <f t="shared" si="18"/>
        <v>May</v>
      </c>
      <c r="E586" s="15">
        <v>23</v>
      </c>
      <c r="F586" s="17">
        <v>0.69791666666666663</v>
      </c>
      <c r="G586" s="28"/>
      <c r="H586" s="15">
        <f>'Raw Data'!A586</f>
        <v>584</v>
      </c>
      <c r="I586" s="15" t="str">
        <f>'Raw Data'!J586</f>
        <v xml:space="preserve"> USA</v>
      </c>
      <c r="J586" s="15" t="s">
        <v>2543</v>
      </c>
      <c r="K586" s="15" t="str">
        <f t="shared" si="19"/>
        <v>Updated</v>
      </c>
    </row>
    <row r="587" spans="1:11" x14ac:dyDescent="0.25">
      <c r="A587" s="15">
        <f>'Raw Data'!A587</f>
        <v>585</v>
      </c>
      <c r="B587" s="16">
        <f>'Raw Data'!D587</f>
        <v>45070.552083333336</v>
      </c>
      <c r="C587" s="15">
        <v>2023</v>
      </c>
      <c r="D587" s="15" t="str">
        <f t="shared" si="18"/>
        <v>May</v>
      </c>
      <c r="E587" s="15">
        <v>24</v>
      </c>
      <c r="F587" s="17">
        <v>0.55208333333333337</v>
      </c>
      <c r="G587" s="28"/>
      <c r="H587" s="15">
        <f>'Raw Data'!A587</f>
        <v>585</v>
      </c>
      <c r="I587" s="15" t="str">
        <f>'Raw Data'!J587</f>
        <v xml:space="preserve"> Canada</v>
      </c>
      <c r="J587" s="15" t="s">
        <v>2038</v>
      </c>
      <c r="K587" s="15" t="str">
        <f t="shared" si="19"/>
        <v>No Change</v>
      </c>
    </row>
    <row r="588" spans="1:11" x14ac:dyDescent="0.25">
      <c r="A588" s="15">
        <f>'Raw Data'!A588</f>
        <v>586</v>
      </c>
      <c r="B588" s="16">
        <f>'Raw Data'!D588</f>
        <v>45071.791666666664</v>
      </c>
      <c r="C588" s="15">
        <v>2023</v>
      </c>
      <c r="D588" s="15" t="str">
        <f t="shared" si="18"/>
        <v>May</v>
      </c>
      <c r="E588" s="15">
        <v>25</v>
      </c>
      <c r="F588" s="17">
        <v>0.79166666666666663</v>
      </c>
      <c r="G588" s="28"/>
      <c r="H588" s="15">
        <f>'Raw Data'!A588</f>
        <v>586</v>
      </c>
      <c r="I588" s="15" t="str">
        <f>'Raw Data'!J588</f>
        <v xml:space="preserve"> USA</v>
      </c>
      <c r="J588" s="15" t="s">
        <v>2543</v>
      </c>
      <c r="K588" s="15" t="str">
        <f t="shared" si="19"/>
        <v>Updated</v>
      </c>
    </row>
    <row r="589" spans="1:11" x14ac:dyDescent="0.25">
      <c r="A589" s="15">
        <f>'Raw Data'!A589</f>
        <v>587</v>
      </c>
      <c r="B589" s="16">
        <f>'Raw Data'!D589</f>
        <v>45072.597222222219</v>
      </c>
      <c r="C589" s="15">
        <v>2023</v>
      </c>
      <c r="D589" s="15" t="str">
        <f t="shared" si="18"/>
        <v>May</v>
      </c>
      <c r="E589" s="15">
        <v>26</v>
      </c>
      <c r="F589" s="17">
        <v>0.59722222222222221</v>
      </c>
      <c r="G589" s="28"/>
      <c r="H589" s="15">
        <f>'Raw Data'!A589</f>
        <v>587</v>
      </c>
      <c r="I589" s="15" t="str">
        <f>'Raw Data'!J589</f>
        <v xml:space="preserve"> UK</v>
      </c>
      <c r="J589" s="15" t="s">
        <v>2556</v>
      </c>
      <c r="K589" s="15" t="str">
        <f t="shared" si="19"/>
        <v>Updated</v>
      </c>
    </row>
    <row r="590" spans="1:11" x14ac:dyDescent="0.25">
      <c r="A590" s="15">
        <f>'Raw Data'!A590</f>
        <v>588</v>
      </c>
      <c r="B590" s="16">
        <f>'Raw Data'!D590</f>
        <v>45073.885416666664</v>
      </c>
      <c r="C590" s="15">
        <v>2023</v>
      </c>
      <c r="D590" s="15" t="str">
        <f t="shared" si="18"/>
        <v>May</v>
      </c>
      <c r="E590" s="15">
        <v>27</v>
      </c>
      <c r="F590" s="17">
        <v>0.88541666666666663</v>
      </c>
      <c r="G590" s="28"/>
      <c r="H590" s="15">
        <f>'Raw Data'!A590</f>
        <v>588</v>
      </c>
      <c r="I590" s="15" t="str">
        <f>'Raw Data'!J590</f>
        <v xml:space="preserve"> Canada</v>
      </c>
      <c r="J590" s="15" t="s">
        <v>2038</v>
      </c>
      <c r="K590" s="15" t="str">
        <f t="shared" si="19"/>
        <v>No Change</v>
      </c>
    </row>
    <row r="591" spans="1:11" x14ac:dyDescent="0.25">
      <c r="A591" s="15">
        <f>'Raw Data'!A591</f>
        <v>589</v>
      </c>
      <c r="B591" s="16">
        <f>'Raw Data'!D591</f>
        <v>45074.5</v>
      </c>
      <c r="C591" s="15">
        <v>2023</v>
      </c>
      <c r="D591" s="15" t="str">
        <f t="shared" si="18"/>
        <v>May</v>
      </c>
      <c r="E591" s="15">
        <v>28</v>
      </c>
      <c r="F591" s="17">
        <v>0.5</v>
      </c>
      <c r="G591" s="28"/>
      <c r="H591" s="15">
        <f>'Raw Data'!A591</f>
        <v>589</v>
      </c>
      <c r="I591" s="15" t="str">
        <f>'Raw Data'!J591</f>
        <v xml:space="preserve"> USA</v>
      </c>
      <c r="J591" s="15" t="s">
        <v>2543</v>
      </c>
      <c r="K591" s="15" t="str">
        <f t="shared" si="19"/>
        <v>Updated</v>
      </c>
    </row>
    <row r="592" spans="1:11" x14ac:dyDescent="0.25">
      <c r="A592" s="15">
        <f>'Raw Data'!A592</f>
        <v>590</v>
      </c>
      <c r="B592" s="16">
        <f>'Raw Data'!D592</f>
        <v>45075.979166666664</v>
      </c>
      <c r="C592" s="15">
        <v>2023</v>
      </c>
      <c r="D592" s="15" t="str">
        <f t="shared" si="18"/>
        <v>May</v>
      </c>
      <c r="E592" s="15">
        <v>29</v>
      </c>
      <c r="F592" s="17">
        <v>0.97916666666666663</v>
      </c>
      <c r="G592" s="28"/>
      <c r="H592" s="15">
        <f>'Raw Data'!A592</f>
        <v>590</v>
      </c>
      <c r="I592" s="15" t="str">
        <f>'Raw Data'!J592</f>
        <v xml:space="preserve"> UK</v>
      </c>
      <c r="J592" s="15" t="s">
        <v>2556</v>
      </c>
      <c r="K592" s="15" t="str">
        <f t="shared" si="19"/>
        <v>Updated</v>
      </c>
    </row>
    <row r="593" spans="1:11" x14ac:dyDescent="0.25">
      <c r="A593" s="15">
        <f>'Raw Data'!A593</f>
        <v>591</v>
      </c>
      <c r="B593" s="16">
        <f>'Raw Data'!D593</f>
        <v>45076.864583333336</v>
      </c>
      <c r="C593" s="15">
        <v>2023</v>
      </c>
      <c r="D593" s="15" t="str">
        <f t="shared" si="18"/>
        <v>May</v>
      </c>
      <c r="E593" s="15">
        <v>30</v>
      </c>
      <c r="F593" s="17">
        <v>0.86458333333333337</v>
      </c>
      <c r="G593" s="28"/>
      <c r="H593" s="15">
        <f>'Raw Data'!A593</f>
        <v>591</v>
      </c>
      <c r="I593" s="15" t="str">
        <f>'Raw Data'!J593</f>
        <v xml:space="preserve"> USA</v>
      </c>
      <c r="J593" s="15" t="s">
        <v>2543</v>
      </c>
      <c r="K593" s="15" t="str">
        <f t="shared" si="19"/>
        <v>Updated</v>
      </c>
    </row>
    <row r="594" spans="1:11" x14ac:dyDescent="0.25">
      <c r="A594" s="15">
        <f>'Raw Data'!A594</f>
        <v>592</v>
      </c>
      <c r="B594" s="16">
        <f>'Raw Data'!D594</f>
        <v>45077.645833333336</v>
      </c>
      <c r="C594" s="15">
        <v>2023</v>
      </c>
      <c r="D594" s="15" t="str">
        <f t="shared" si="18"/>
        <v>May</v>
      </c>
      <c r="E594" s="15">
        <v>31</v>
      </c>
      <c r="F594" s="17">
        <v>0.64583333333333337</v>
      </c>
      <c r="G594" s="28"/>
      <c r="H594" s="15">
        <f>'Raw Data'!A594</f>
        <v>592</v>
      </c>
      <c r="I594" s="15" t="str">
        <f>'Raw Data'!J594</f>
        <v xml:space="preserve"> Canada</v>
      </c>
      <c r="J594" s="15" t="s">
        <v>2038</v>
      </c>
      <c r="K594" s="15" t="str">
        <f t="shared" si="19"/>
        <v>No Change</v>
      </c>
    </row>
    <row r="595" spans="1:11" x14ac:dyDescent="0.25">
      <c r="A595" s="15">
        <f>'Raw Data'!A595</f>
        <v>593</v>
      </c>
      <c r="B595" s="16">
        <f>'Raw Data'!D595</f>
        <v>45078.75</v>
      </c>
      <c r="C595" s="15">
        <v>2023</v>
      </c>
      <c r="D595" s="15" t="str">
        <f t="shared" si="18"/>
        <v>June</v>
      </c>
      <c r="E595" s="15">
        <v>1</v>
      </c>
      <c r="F595" s="17">
        <v>0.75</v>
      </c>
      <c r="G595" s="28"/>
      <c r="H595" s="15">
        <f>'Raw Data'!A595</f>
        <v>593</v>
      </c>
      <c r="I595" s="15" t="str">
        <f>'Raw Data'!J595</f>
        <v xml:space="preserve"> USA</v>
      </c>
      <c r="J595" s="15" t="s">
        <v>2543</v>
      </c>
      <c r="K595" s="15" t="str">
        <f t="shared" si="19"/>
        <v>Updated</v>
      </c>
    </row>
    <row r="596" spans="1:11" x14ac:dyDescent="0.25">
      <c r="A596" s="15">
        <f>'Raw Data'!A596</f>
        <v>594</v>
      </c>
      <c r="B596" s="16">
        <f>'Raw Data'!D596</f>
        <v>45079.604166666664</v>
      </c>
      <c r="C596" s="15">
        <v>2023</v>
      </c>
      <c r="D596" s="15" t="str">
        <f t="shared" si="18"/>
        <v>June</v>
      </c>
      <c r="E596" s="15">
        <v>2</v>
      </c>
      <c r="F596" s="17">
        <v>0.60416666666666663</v>
      </c>
      <c r="G596" s="28"/>
      <c r="H596" s="15">
        <f>'Raw Data'!A596</f>
        <v>594</v>
      </c>
      <c r="I596" s="15" t="str">
        <f>'Raw Data'!J596</f>
        <v xml:space="preserve"> UK</v>
      </c>
      <c r="J596" s="15" t="s">
        <v>2556</v>
      </c>
      <c r="K596" s="15" t="str">
        <f t="shared" si="19"/>
        <v>Updated</v>
      </c>
    </row>
    <row r="597" spans="1:11" x14ac:dyDescent="0.25">
      <c r="A597" s="15">
        <f>'Raw Data'!A597</f>
        <v>595</v>
      </c>
      <c r="B597" s="16">
        <f>'Raw Data'!D597</f>
        <v>45080.885416666664</v>
      </c>
      <c r="C597" s="15">
        <v>2023</v>
      </c>
      <c r="D597" s="15" t="str">
        <f t="shared" si="18"/>
        <v>June</v>
      </c>
      <c r="E597" s="15">
        <v>3</v>
      </c>
      <c r="F597" s="17">
        <v>0.88541666666666663</v>
      </c>
      <c r="G597" s="28"/>
      <c r="H597" s="15">
        <f>'Raw Data'!A597</f>
        <v>595</v>
      </c>
      <c r="I597" s="15" t="str">
        <f>'Raw Data'!J597</f>
        <v xml:space="preserve"> Canada</v>
      </c>
      <c r="J597" s="15" t="s">
        <v>2038</v>
      </c>
      <c r="K597" s="15" t="str">
        <f t="shared" si="19"/>
        <v>No Change</v>
      </c>
    </row>
    <row r="598" spans="1:11" x14ac:dyDescent="0.25">
      <c r="A598" s="15">
        <f>'Raw Data'!A598</f>
        <v>596</v>
      </c>
      <c r="B598" s="16">
        <f>'Raw Data'!D598</f>
        <v>45081.8125</v>
      </c>
      <c r="C598" s="15">
        <v>2023</v>
      </c>
      <c r="D598" s="15" t="str">
        <f t="shared" si="18"/>
        <v>June</v>
      </c>
      <c r="E598" s="15">
        <v>4</v>
      </c>
      <c r="F598" s="17">
        <v>0.8125</v>
      </c>
      <c r="G598" s="28"/>
      <c r="H598" s="15">
        <f>'Raw Data'!A598</f>
        <v>596</v>
      </c>
      <c r="I598" s="15" t="str">
        <f>'Raw Data'!J598</f>
        <v xml:space="preserve"> USA</v>
      </c>
      <c r="J598" s="15" t="s">
        <v>2543</v>
      </c>
      <c r="K598" s="15" t="str">
        <f t="shared" si="19"/>
        <v>Updated</v>
      </c>
    </row>
    <row r="599" spans="1:11" x14ac:dyDescent="0.25">
      <c r="A599" s="15">
        <f>'Raw Data'!A599</f>
        <v>597</v>
      </c>
      <c r="B599" s="16">
        <f>'Raw Data'!D599</f>
        <v>45082.416666666664</v>
      </c>
      <c r="C599" s="15">
        <v>2023</v>
      </c>
      <c r="D599" s="15" t="str">
        <f t="shared" si="18"/>
        <v>June</v>
      </c>
      <c r="E599" s="15">
        <v>5</v>
      </c>
      <c r="F599" s="17">
        <v>0.41666666666666669</v>
      </c>
      <c r="G599" s="28"/>
      <c r="H599" s="15">
        <f>'Raw Data'!A599</f>
        <v>597</v>
      </c>
      <c r="I599" s="15" t="str">
        <f>'Raw Data'!J599</f>
        <v xml:space="preserve"> UK</v>
      </c>
      <c r="J599" s="15" t="s">
        <v>2556</v>
      </c>
      <c r="K599" s="15" t="str">
        <f t="shared" si="19"/>
        <v>Updated</v>
      </c>
    </row>
    <row r="600" spans="1:11" x14ac:dyDescent="0.25">
      <c r="A600" s="15">
        <f>'Raw Data'!A600</f>
        <v>598</v>
      </c>
      <c r="B600" s="16">
        <f>'Raw Data'!D600</f>
        <v>45083.9375</v>
      </c>
      <c r="C600" s="15">
        <v>2023</v>
      </c>
      <c r="D600" s="15" t="str">
        <f t="shared" si="18"/>
        <v>June</v>
      </c>
      <c r="E600" s="15">
        <v>6</v>
      </c>
      <c r="F600" s="17">
        <v>0.9375</v>
      </c>
      <c r="G600" s="28"/>
      <c r="H600" s="15">
        <f>'Raw Data'!A600</f>
        <v>598</v>
      </c>
      <c r="I600" s="15" t="str">
        <f>'Raw Data'!J600</f>
        <v xml:space="preserve"> Canada</v>
      </c>
      <c r="J600" s="15" t="s">
        <v>2038</v>
      </c>
      <c r="K600" s="15" t="str">
        <f t="shared" si="19"/>
        <v>No Change</v>
      </c>
    </row>
    <row r="601" spans="1:11" x14ac:dyDescent="0.25">
      <c r="A601" s="15">
        <f>'Raw Data'!A601</f>
        <v>599</v>
      </c>
      <c r="B601" s="16">
        <f>'Raw Data'!D601</f>
        <v>45084.53125</v>
      </c>
      <c r="C601" s="15">
        <v>2023</v>
      </c>
      <c r="D601" s="15" t="str">
        <f t="shared" si="18"/>
        <v>June</v>
      </c>
      <c r="E601" s="15">
        <v>7</v>
      </c>
      <c r="F601" s="17">
        <v>0.53125</v>
      </c>
      <c r="G601" s="28"/>
      <c r="H601" s="15">
        <f>'Raw Data'!A601</f>
        <v>599</v>
      </c>
      <c r="I601" s="15" t="str">
        <f>'Raw Data'!J601</f>
        <v xml:space="preserve"> USA</v>
      </c>
      <c r="J601" s="15" t="s">
        <v>2543</v>
      </c>
      <c r="K601" s="15" t="str">
        <f t="shared" si="19"/>
        <v>Updated</v>
      </c>
    </row>
    <row r="602" spans="1:11" x14ac:dyDescent="0.25">
      <c r="A602" s="15">
        <f>'Raw Data'!A602</f>
        <v>600</v>
      </c>
      <c r="B602" s="16">
        <f>'Raw Data'!D602</f>
        <v>45085.666666666664</v>
      </c>
      <c r="C602" s="15">
        <v>2023</v>
      </c>
      <c r="D602" s="15" t="str">
        <f t="shared" si="18"/>
        <v>June</v>
      </c>
      <c r="E602" s="15">
        <v>8</v>
      </c>
      <c r="F602" s="17">
        <v>0.66666666666666663</v>
      </c>
      <c r="G602" s="28"/>
      <c r="H602" s="15">
        <f>'Raw Data'!A602</f>
        <v>600</v>
      </c>
      <c r="I602" s="15" t="str">
        <f>'Raw Data'!J602</f>
        <v xml:space="preserve"> UK</v>
      </c>
      <c r="J602" s="15" t="s">
        <v>2556</v>
      </c>
      <c r="K602" s="15" t="str">
        <f t="shared" si="19"/>
        <v>Updated</v>
      </c>
    </row>
    <row r="603" spans="1:11" x14ac:dyDescent="0.25">
      <c r="A603" s="15">
        <f>'Raw Data'!A603</f>
        <v>601</v>
      </c>
      <c r="B603" s="16">
        <f>'Raw Data'!D603</f>
        <v>45086.583333333336</v>
      </c>
      <c r="C603" s="15">
        <v>2023</v>
      </c>
      <c r="D603" s="15" t="str">
        <f t="shared" si="18"/>
        <v>June</v>
      </c>
      <c r="E603" s="15">
        <v>9</v>
      </c>
      <c r="F603" s="17">
        <v>0.58333333333333337</v>
      </c>
      <c r="G603" s="28"/>
      <c r="H603" s="15">
        <f>'Raw Data'!A603</f>
        <v>601</v>
      </c>
      <c r="I603" s="15" t="str">
        <f>'Raw Data'!J603</f>
        <v xml:space="preserve"> USA</v>
      </c>
      <c r="J603" s="15" t="s">
        <v>2543</v>
      </c>
      <c r="K603" s="15" t="str">
        <f t="shared" si="19"/>
        <v>Updated</v>
      </c>
    </row>
    <row r="604" spans="1:11" x14ac:dyDescent="0.25">
      <c r="A604" s="15">
        <f>'Raw Data'!A604</f>
        <v>602</v>
      </c>
      <c r="B604" s="16">
        <f>'Raw Data'!D604</f>
        <v>45087.729166666664</v>
      </c>
      <c r="C604" s="15">
        <v>2023</v>
      </c>
      <c r="D604" s="15" t="str">
        <f t="shared" si="18"/>
        <v>June</v>
      </c>
      <c r="E604" s="15">
        <v>10</v>
      </c>
      <c r="F604" s="17">
        <v>0.72916666666666663</v>
      </c>
      <c r="G604" s="28"/>
      <c r="H604" s="15">
        <f>'Raw Data'!A604</f>
        <v>602</v>
      </c>
      <c r="I604" s="15" t="str">
        <f>'Raw Data'!J604</f>
        <v xml:space="preserve"> Canada</v>
      </c>
      <c r="J604" s="15" t="s">
        <v>2038</v>
      </c>
      <c r="K604" s="15" t="str">
        <f t="shared" si="19"/>
        <v>No Change</v>
      </c>
    </row>
    <row r="605" spans="1:11" x14ac:dyDescent="0.25">
      <c r="A605" s="15">
        <f>'Raw Data'!A605</f>
        <v>603</v>
      </c>
      <c r="B605" s="16">
        <f>'Raw Data'!D605</f>
        <v>45088.645833333336</v>
      </c>
      <c r="C605" s="15">
        <v>2023</v>
      </c>
      <c r="D605" s="15" t="str">
        <f t="shared" si="18"/>
        <v>June</v>
      </c>
      <c r="E605" s="15">
        <v>11</v>
      </c>
      <c r="F605" s="17">
        <v>0.64583333333333337</v>
      </c>
      <c r="G605" s="28"/>
      <c r="H605" s="15">
        <f>'Raw Data'!A605</f>
        <v>603</v>
      </c>
      <c r="I605" s="15" t="str">
        <f>'Raw Data'!J605</f>
        <v xml:space="preserve"> USA</v>
      </c>
      <c r="J605" s="15" t="s">
        <v>2543</v>
      </c>
      <c r="K605" s="15" t="str">
        <f t="shared" si="19"/>
        <v>Updated</v>
      </c>
    </row>
    <row r="606" spans="1:11" x14ac:dyDescent="0.25">
      <c r="A606" s="15">
        <f>'Raw Data'!A606</f>
        <v>604</v>
      </c>
      <c r="B606" s="16">
        <f>'Raw Data'!D606</f>
        <v>45089.75</v>
      </c>
      <c r="C606" s="15">
        <v>2023</v>
      </c>
      <c r="D606" s="15" t="str">
        <f t="shared" si="18"/>
        <v>June</v>
      </c>
      <c r="E606" s="15">
        <v>12</v>
      </c>
      <c r="F606" s="17">
        <v>0.75</v>
      </c>
      <c r="G606" s="28"/>
      <c r="H606" s="15">
        <f>'Raw Data'!A606</f>
        <v>604</v>
      </c>
      <c r="I606" s="15" t="str">
        <f>'Raw Data'!J606</f>
        <v xml:space="preserve"> UK</v>
      </c>
      <c r="J606" s="15" t="s">
        <v>2556</v>
      </c>
      <c r="K606" s="15" t="str">
        <f t="shared" si="19"/>
        <v>Updated</v>
      </c>
    </row>
    <row r="607" spans="1:11" x14ac:dyDescent="0.25">
      <c r="A607" s="15">
        <f>'Raw Data'!A607</f>
        <v>605</v>
      </c>
      <c r="B607" s="16">
        <f>'Raw Data'!D607</f>
        <v>45090.614583333336</v>
      </c>
      <c r="C607" s="15">
        <v>2023</v>
      </c>
      <c r="D607" s="15" t="str">
        <f t="shared" si="18"/>
        <v>June</v>
      </c>
      <c r="E607" s="15">
        <v>13</v>
      </c>
      <c r="F607" s="17">
        <v>0.61458333333333337</v>
      </c>
      <c r="G607" s="28"/>
      <c r="H607" s="15">
        <f>'Raw Data'!A607</f>
        <v>605</v>
      </c>
      <c r="I607" s="15" t="str">
        <f>'Raw Data'!J607</f>
        <v xml:space="preserve"> Canada</v>
      </c>
      <c r="J607" s="15" t="s">
        <v>2038</v>
      </c>
      <c r="K607" s="15" t="str">
        <f t="shared" si="19"/>
        <v>No Change</v>
      </c>
    </row>
    <row r="608" spans="1:11" x14ac:dyDescent="0.25">
      <c r="A608" s="15">
        <f>'Raw Data'!A608</f>
        <v>606</v>
      </c>
      <c r="B608" s="16">
        <f>'Raw Data'!D608</f>
        <v>45091.8125</v>
      </c>
      <c r="C608" s="15">
        <v>2023</v>
      </c>
      <c r="D608" s="15" t="str">
        <f t="shared" si="18"/>
        <v>June</v>
      </c>
      <c r="E608" s="15">
        <v>14</v>
      </c>
      <c r="F608" s="17">
        <v>0.8125</v>
      </c>
      <c r="G608" s="28"/>
      <c r="H608" s="15">
        <f>'Raw Data'!A608</f>
        <v>606</v>
      </c>
      <c r="I608" s="15" t="str">
        <f>'Raw Data'!J608</f>
        <v xml:space="preserve"> USA</v>
      </c>
      <c r="J608" s="15" t="s">
        <v>2543</v>
      </c>
      <c r="K608" s="15" t="str">
        <f t="shared" si="19"/>
        <v>Updated</v>
      </c>
    </row>
    <row r="609" spans="1:11" x14ac:dyDescent="0.25">
      <c r="A609" s="15">
        <f>'Raw Data'!A609</f>
        <v>607</v>
      </c>
      <c r="B609" s="16">
        <f>'Raw Data'!D609</f>
        <v>45092.510416666664</v>
      </c>
      <c r="C609" s="15">
        <v>2023</v>
      </c>
      <c r="D609" s="15" t="str">
        <f t="shared" si="18"/>
        <v>June</v>
      </c>
      <c r="E609" s="15">
        <v>15</v>
      </c>
      <c r="F609" s="17">
        <v>0.51041666666666663</v>
      </c>
      <c r="G609" s="28"/>
      <c r="H609" s="15">
        <f>'Raw Data'!A609</f>
        <v>607</v>
      </c>
      <c r="I609" s="15" t="str">
        <f>'Raw Data'!J609</f>
        <v xml:space="preserve"> UK</v>
      </c>
      <c r="J609" s="15" t="s">
        <v>2556</v>
      </c>
      <c r="K609" s="15" t="str">
        <f t="shared" si="19"/>
        <v>Updated</v>
      </c>
    </row>
    <row r="610" spans="1:11" x14ac:dyDescent="0.25">
      <c r="A610" s="15">
        <f>'Raw Data'!A610</f>
        <v>608</v>
      </c>
      <c r="B610" s="16">
        <f>'Raw Data'!D610</f>
        <v>45093.90625</v>
      </c>
      <c r="C610" s="15">
        <v>2023</v>
      </c>
      <c r="D610" s="15" t="str">
        <f t="shared" si="18"/>
        <v>June</v>
      </c>
      <c r="E610" s="15">
        <v>16</v>
      </c>
      <c r="F610" s="17">
        <v>0.90625</v>
      </c>
      <c r="G610" s="28"/>
      <c r="H610" s="15">
        <f>'Raw Data'!A610</f>
        <v>608</v>
      </c>
      <c r="I610" s="15" t="str">
        <f>'Raw Data'!J610</f>
        <v xml:space="preserve"> Canada</v>
      </c>
      <c r="J610" s="15" t="s">
        <v>2038</v>
      </c>
      <c r="K610" s="15" t="str">
        <f t="shared" si="19"/>
        <v>No Change</v>
      </c>
    </row>
    <row r="611" spans="1:11" x14ac:dyDescent="0.25">
      <c r="A611" s="15">
        <f>'Raw Data'!A611</f>
        <v>609</v>
      </c>
      <c r="B611" s="16">
        <f>'Raw Data'!D611</f>
        <v>45094.625</v>
      </c>
      <c r="C611" s="15">
        <v>2023</v>
      </c>
      <c r="D611" s="15" t="str">
        <f t="shared" si="18"/>
        <v>June</v>
      </c>
      <c r="E611" s="15">
        <v>17</v>
      </c>
      <c r="F611" s="17">
        <v>0.625</v>
      </c>
      <c r="G611" s="28"/>
      <c r="H611" s="15">
        <f>'Raw Data'!A611</f>
        <v>609</v>
      </c>
      <c r="I611" s="15" t="str">
        <f>'Raw Data'!J611</f>
        <v xml:space="preserve"> USA</v>
      </c>
      <c r="J611" s="15" t="s">
        <v>2543</v>
      </c>
      <c r="K611" s="15" t="str">
        <f t="shared" si="19"/>
        <v>Updated</v>
      </c>
    </row>
    <row r="612" spans="1:11" x14ac:dyDescent="0.25">
      <c r="A612" s="15">
        <f>'Raw Data'!A612</f>
        <v>610</v>
      </c>
      <c r="B612" s="16">
        <f>'Raw Data'!D612</f>
        <v>45095.479166666664</v>
      </c>
      <c r="C612" s="15">
        <v>2023</v>
      </c>
      <c r="D612" s="15" t="str">
        <f t="shared" si="18"/>
        <v>June</v>
      </c>
      <c r="E612" s="15">
        <v>18</v>
      </c>
      <c r="F612" s="17">
        <v>0.47916666666666669</v>
      </c>
      <c r="G612" s="28"/>
      <c r="H612" s="15">
        <f>'Raw Data'!A612</f>
        <v>610</v>
      </c>
      <c r="I612" s="15" t="str">
        <f>'Raw Data'!J612</f>
        <v xml:space="preserve"> UK</v>
      </c>
      <c r="J612" s="15" t="s">
        <v>2556</v>
      </c>
      <c r="K612" s="15" t="str">
        <f t="shared" si="19"/>
        <v>Updated</v>
      </c>
    </row>
    <row r="613" spans="1:11" x14ac:dyDescent="0.25">
      <c r="A613" s="15">
        <f>'Raw Data'!A613</f>
        <v>611</v>
      </c>
      <c r="B613" s="16">
        <f>'Raw Data'!D613</f>
        <v>45096.6875</v>
      </c>
      <c r="C613" s="15">
        <v>2023</v>
      </c>
      <c r="D613" s="15" t="str">
        <f t="shared" si="18"/>
        <v>June</v>
      </c>
      <c r="E613" s="15">
        <v>19</v>
      </c>
      <c r="F613" s="17">
        <v>0.6875</v>
      </c>
      <c r="G613" s="28"/>
      <c r="H613" s="15">
        <f>'Raw Data'!A613</f>
        <v>611</v>
      </c>
      <c r="I613" s="15" t="str">
        <f>'Raw Data'!J613</f>
        <v xml:space="preserve"> Canada</v>
      </c>
      <c r="J613" s="15" t="s">
        <v>2038</v>
      </c>
      <c r="K613" s="15" t="str">
        <f t="shared" si="19"/>
        <v>No Change</v>
      </c>
    </row>
    <row r="614" spans="1:11" x14ac:dyDescent="0.25">
      <c r="A614" s="15">
        <f>'Raw Data'!A614</f>
        <v>612</v>
      </c>
      <c r="B614" s="16">
        <f>'Raw Data'!D614</f>
        <v>45097.597222222219</v>
      </c>
      <c r="C614" s="15">
        <v>2023</v>
      </c>
      <c r="D614" s="15" t="str">
        <f t="shared" si="18"/>
        <v>June</v>
      </c>
      <c r="E614" s="15">
        <v>20</v>
      </c>
      <c r="F614" s="17">
        <v>0.59722222222222221</v>
      </c>
      <c r="G614" s="28"/>
      <c r="H614" s="15">
        <f>'Raw Data'!A614</f>
        <v>612</v>
      </c>
      <c r="I614" s="15" t="str">
        <f>'Raw Data'!J614</f>
        <v xml:space="preserve"> USA</v>
      </c>
      <c r="J614" s="15" t="s">
        <v>2543</v>
      </c>
      <c r="K614" s="15" t="str">
        <f t="shared" si="19"/>
        <v>Updated</v>
      </c>
    </row>
    <row r="615" spans="1:11" x14ac:dyDescent="0.25">
      <c r="A615" s="15">
        <f>'Raw Data'!A615</f>
        <v>613</v>
      </c>
      <c r="B615" s="16">
        <f>'Raw Data'!D615</f>
        <v>45098.791666666664</v>
      </c>
      <c r="C615" s="15">
        <v>2023</v>
      </c>
      <c r="D615" s="15" t="str">
        <f t="shared" si="18"/>
        <v>June</v>
      </c>
      <c r="E615" s="15">
        <v>21</v>
      </c>
      <c r="F615" s="17">
        <v>0.79166666666666663</v>
      </c>
      <c r="G615" s="28"/>
      <c r="H615" s="15">
        <f>'Raw Data'!A615</f>
        <v>613</v>
      </c>
      <c r="I615" s="15" t="str">
        <f>'Raw Data'!J615</f>
        <v xml:space="preserve"> UK</v>
      </c>
      <c r="J615" s="15" t="s">
        <v>2556</v>
      </c>
      <c r="K615" s="15" t="str">
        <f t="shared" si="19"/>
        <v>Updated</v>
      </c>
    </row>
    <row r="616" spans="1:11" x14ac:dyDescent="0.25">
      <c r="A616" s="15">
        <f>'Raw Data'!A616</f>
        <v>614</v>
      </c>
      <c r="B616" s="16">
        <f>'Raw Data'!D616</f>
        <v>45099.572916666664</v>
      </c>
      <c r="C616" s="15">
        <v>2023</v>
      </c>
      <c r="D616" s="15" t="str">
        <f t="shared" si="18"/>
        <v>June</v>
      </c>
      <c r="E616" s="15">
        <v>22</v>
      </c>
      <c r="F616" s="17">
        <v>0.57291666666666663</v>
      </c>
      <c r="G616" s="28"/>
      <c r="H616" s="15">
        <f>'Raw Data'!A616</f>
        <v>614</v>
      </c>
      <c r="I616" s="15" t="str">
        <f>'Raw Data'!J616</f>
        <v xml:space="preserve"> USA</v>
      </c>
      <c r="J616" s="15" t="s">
        <v>2543</v>
      </c>
      <c r="K616" s="15" t="str">
        <f t="shared" si="19"/>
        <v>Updated</v>
      </c>
    </row>
    <row r="617" spans="1:11" x14ac:dyDescent="0.25">
      <c r="A617" s="15">
        <f>'Raw Data'!A617</f>
        <v>615</v>
      </c>
      <c r="B617" s="16">
        <f>'Raw Data'!D617</f>
        <v>45100.78125</v>
      </c>
      <c r="C617" s="15">
        <v>2023</v>
      </c>
      <c r="D617" s="15" t="str">
        <f t="shared" si="18"/>
        <v>June</v>
      </c>
      <c r="E617" s="15">
        <v>23</v>
      </c>
      <c r="F617" s="17">
        <v>0.78125</v>
      </c>
      <c r="G617" s="28"/>
      <c r="H617" s="15">
        <f>'Raw Data'!A617</f>
        <v>615</v>
      </c>
      <c r="I617" s="15" t="str">
        <f>'Raw Data'!J617</f>
        <v xml:space="preserve"> UK</v>
      </c>
      <c r="J617" s="15" t="s">
        <v>2556</v>
      </c>
      <c r="K617" s="15" t="str">
        <f t="shared" si="19"/>
        <v>Updated</v>
      </c>
    </row>
    <row r="618" spans="1:11" x14ac:dyDescent="0.25">
      <c r="A618" s="15">
        <f>'Raw Data'!A618</f>
        <v>616</v>
      </c>
      <c r="B618" s="16">
        <f>'Raw Data'!D618</f>
        <v>45101.677083333336</v>
      </c>
      <c r="C618" s="15">
        <v>2023</v>
      </c>
      <c r="D618" s="15" t="str">
        <f t="shared" si="18"/>
        <v>June</v>
      </c>
      <c r="E618" s="15">
        <v>24</v>
      </c>
      <c r="F618" s="17">
        <v>0.67708333333333337</v>
      </c>
      <c r="G618" s="28"/>
      <c r="H618" s="15">
        <f>'Raw Data'!A618</f>
        <v>616</v>
      </c>
      <c r="I618" s="15" t="str">
        <f>'Raw Data'!J618</f>
        <v xml:space="preserve"> Canada</v>
      </c>
      <c r="J618" s="15" t="s">
        <v>2038</v>
      </c>
      <c r="K618" s="15" t="str">
        <f t="shared" si="19"/>
        <v>No Change</v>
      </c>
    </row>
    <row r="619" spans="1:11" x14ac:dyDescent="0.25">
      <c r="A619" s="15">
        <f>'Raw Data'!A619</f>
        <v>617</v>
      </c>
      <c r="B619" s="16">
        <f>'Raw Data'!D619</f>
        <v>45102.854166666664</v>
      </c>
      <c r="C619" s="15">
        <v>2023</v>
      </c>
      <c r="D619" s="15" t="str">
        <f t="shared" si="18"/>
        <v>June</v>
      </c>
      <c r="E619" s="15">
        <v>25</v>
      </c>
      <c r="F619" s="17">
        <v>0.85416666666666663</v>
      </c>
      <c r="G619" s="28"/>
      <c r="H619" s="15">
        <f>'Raw Data'!A619</f>
        <v>617</v>
      </c>
      <c r="I619" s="15" t="str">
        <f>'Raw Data'!J619</f>
        <v xml:space="preserve"> USA</v>
      </c>
      <c r="J619" s="15" t="s">
        <v>2543</v>
      </c>
      <c r="K619" s="15" t="str">
        <f t="shared" si="19"/>
        <v>Updated</v>
      </c>
    </row>
    <row r="620" spans="1:11" x14ac:dyDescent="0.25">
      <c r="A620" s="15">
        <f>'Raw Data'!A620</f>
        <v>618</v>
      </c>
      <c r="B620" s="16">
        <f>'Raw Data'!D620</f>
        <v>45103.583333333336</v>
      </c>
      <c r="C620" s="15">
        <v>2023</v>
      </c>
      <c r="D620" s="15" t="str">
        <f t="shared" si="18"/>
        <v>June</v>
      </c>
      <c r="E620" s="15">
        <v>26</v>
      </c>
      <c r="F620" s="17">
        <v>0.58333333333333337</v>
      </c>
      <c r="G620" s="28"/>
      <c r="H620" s="15">
        <f>'Raw Data'!A620</f>
        <v>618</v>
      </c>
      <c r="I620" s="15" t="str">
        <f>'Raw Data'!J620</f>
        <v xml:space="preserve"> UK</v>
      </c>
      <c r="J620" s="15" t="s">
        <v>2556</v>
      </c>
      <c r="K620" s="15" t="str">
        <f t="shared" si="19"/>
        <v>Updated</v>
      </c>
    </row>
    <row r="621" spans="1:11" x14ac:dyDescent="0.25">
      <c r="A621" s="15">
        <f>'Raw Data'!A621</f>
        <v>619</v>
      </c>
      <c r="B621" s="16">
        <f>'Raw Data'!D621</f>
        <v>45104.739583333336</v>
      </c>
      <c r="C621" s="15">
        <v>2023</v>
      </c>
      <c r="D621" s="15" t="str">
        <f t="shared" si="18"/>
        <v>June</v>
      </c>
      <c r="E621" s="15">
        <v>27</v>
      </c>
      <c r="F621" s="17">
        <v>0.73958333333333337</v>
      </c>
      <c r="G621" s="28"/>
      <c r="H621" s="15">
        <f>'Raw Data'!A621</f>
        <v>619</v>
      </c>
      <c r="I621" s="15" t="str">
        <f>'Raw Data'!J621</f>
        <v xml:space="preserve"> USA</v>
      </c>
      <c r="J621" s="15" t="s">
        <v>2543</v>
      </c>
      <c r="K621" s="15" t="str">
        <f t="shared" si="19"/>
        <v>Updated</v>
      </c>
    </row>
    <row r="622" spans="1:11" x14ac:dyDescent="0.25">
      <c r="A622" s="15">
        <f>'Raw Data'!A622</f>
        <v>620</v>
      </c>
      <c r="B622" s="16">
        <f>'Raw Data'!D622</f>
        <v>45105.927083333336</v>
      </c>
      <c r="C622" s="15">
        <v>2023</v>
      </c>
      <c r="D622" s="15" t="str">
        <f t="shared" si="18"/>
        <v>June</v>
      </c>
      <c r="E622" s="15">
        <v>28</v>
      </c>
      <c r="F622" s="17">
        <v>0.92708333333333337</v>
      </c>
      <c r="G622" s="28"/>
      <c r="H622" s="15">
        <f>'Raw Data'!A622</f>
        <v>620</v>
      </c>
      <c r="I622" s="15" t="str">
        <f>'Raw Data'!J622</f>
        <v xml:space="preserve"> UK</v>
      </c>
      <c r="J622" s="15" t="s">
        <v>2556</v>
      </c>
      <c r="K622" s="15" t="str">
        <f t="shared" si="19"/>
        <v>Updated</v>
      </c>
    </row>
    <row r="623" spans="1:11" x14ac:dyDescent="0.25">
      <c r="A623" s="15">
        <f>'Raw Data'!A623</f>
        <v>621</v>
      </c>
      <c r="B623" s="16">
        <f>'Raw Data'!D623</f>
        <v>45106.6875</v>
      </c>
      <c r="C623" s="15">
        <v>2023</v>
      </c>
      <c r="D623" s="15" t="str">
        <f t="shared" si="18"/>
        <v>June</v>
      </c>
      <c r="E623" s="15">
        <v>29</v>
      </c>
      <c r="F623" s="17">
        <v>0.6875</v>
      </c>
      <c r="G623" s="28"/>
      <c r="H623" s="15">
        <f>'Raw Data'!A623</f>
        <v>621</v>
      </c>
      <c r="I623" s="15" t="str">
        <f>'Raw Data'!J623</f>
        <v xml:space="preserve"> USA</v>
      </c>
      <c r="J623" s="15" t="s">
        <v>2543</v>
      </c>
      <c r="K623" s="15" t="str">
        <f t="shared" si="19"/>
        <v>Updated</v>
      </c>
    </row>
    <row r="624" spans="1:11" x14ac:dyDescent="0.25">
      <c r="A624" s="15">
        <f>'Raw Data'!A624</f>
        <v>622</v>
      </c>
      <c r="B624" s="16">
        <f>'Raw Data'!D624</f>
        <v>45107.8125</v>
      </c>
      <c r="C624" s="15">
        <v>2023</v>
      </c>
      <c r="D624" s="15" t="str">
        <f t="shared" si="18"/>
        <v>June</v>
      </c>
      <c r="E624" s="15">
        <v>30</v>
      </c>
      <c r="F624" s="17">
        <v>0.8125</v>
      </c>
      <c r="G624" s="28"/>
      <c r="H624" s="15">
        <f>'Raw Data'!A624</f>
        <v>622</v>
      </c>
      <c r="I624" s="15" t="str">
        <f>'Raw Data'!J624</f>
        <v xml:space="preserve"> UK</v>
      </c>
      <c r="J624" s="15" t="s">
        <v>2556</v>
      </c>
      <c r="K624" s="15" t="str">
        <f t="shared" si="19"/>
        <v>Updated</v>
      </c>
    </row>
    <row r="625" spans="1:11" x14ac:dyDescent="0.25">
      <c r="A625" s="15">
        <f>'Raw Data'!A625</f>
        <v>623</v>
      </c>
      <c r="B625" s="16">
        <f>'Raw Data'!D625</f>
        <v>45108.583333333336</v>
      </c>
      <c r="C625" s="15">
        <v>2023</v>
      </c>
      <c r="D625" s="15" t="str">
        <f t="shared" si="18"/>
        <v>July</v>
      </c>
      <c r="E625" s="15">
        <v>1</v>
      </c>
      <c r="F625" s="17">
        <v>0.58333333333333337</v>
      </c>
      <c r="G625" s="28"/>
      <c r="H625" s="15">
        <f>'Raw Data'!A625</f>
        <v>623</v>
      </c>
      <c r="I625" s="15" t="str">
        <f>'Raw Data'!J625</f>
        <v xml:space="preserve"> USA</v>
      </c>
      <c r="J625" s="15" t="s">
        <v>2543</v>
      </c>
      <c r="K625" s="15" t="str">
        <f t="shared" si="19"/>
        <v>Updated</v>
      </c>
    </row>
    <row r="626" spans="1:11" x14ac:dyDescent="0.25">
      <c r="A626" s="15">
        <f>'Raw Data'!A626</f>
        <v>624</v>
      </c>
      <c r="B626" s="16">
        <f>'Raw Data'!D626</f>
        <v>45109.770833333336</v>
      </c>
      <c r="C626" s="15">
        <v>2023</v>
      </c>
      <c r="D626" s="15" t="str">
        <f t="shared" si="18"/>
        <v>July</v>
      </c>
      <c r="E626" s="15">
        <v>2</v>
      </c>
      <c r="F626" s="17">
        <v>0.77083333333333337</v>
      </c>
      <c r="G626" s="28"/>
      <c r="H626" s="15">
        <f>'Raw Data'!A626</f>
        <v>624</v>
      </c>
      <c r="I626" s="15" t="str">
        <f>'Raw Data'!J626</f>
        <v xml:space="preserve"> UK</v>
      </c>
      <c r="J626" s="15" t="s">
        <v>2556</v>
      </c>
      <c r="K626" s="15" t="str">
        <f t="shared" si="19"/>
        <v>Updated</v>
      </c>
    </row>
    <row r="627" spans="1:11" x14ac:dyDescent="0.25">
      <c r="A627" s="15">
        <f>'Raw Data'!A627</f>
        <v>625</v>
      </c>
      <c r="B627" s="16">
        <f>'Raw Data'!D627</f>
        <v>45110.53125</v>
      </c>
      <c r="C627" s="15">
        <v>2023</v>
      </c>
      <c r="D627" s="15" t="str">
        <f t="shared" si="18"/>
        <v>July</v>
      </c>
      <c r="E627" s="15">
        <v>3</v>
      </c>
      <c r="F627" s="17">
        <v>0.53125</v>
      </c>
      <c r="G627" s="28"/>
      <c r="H627" s="15">
        <f>'Raw Data'!A627</f>
        <v>625</v>
      </c>
      <c r="I627" s="15" t="str">
        <f>'Raw Data'!J627</f>
        <v xml:space="preserve"> Canada</v>
      </c>
      <c r="J627" s="15" t="s">
        <v>2038</v>
      </c>
      <c r="K627" s="15" t="str">
        <f t="shared" si="19"/>
        <v>No Change</v>
      </c>
    </row>
    <row r="628" spans="1:11" x14ac:dyDescent="0.25">
      <c r="A628" s="15">
        <f>'Raw Data'!A628</f>
        <v>626</v>
      </c>
      <c r="B628" s="16">
        <f>'Raw Data'!D628</f>
        <v>45111.708333333336</v>
      </c>
      <c r="C628" s="15">
        <v>2023</v>
      </c>
      <c r="D628" s="15" t="str">
        <f t="shared" si="18"/>
        <v>July</v>
      </c>
      <c r="E628" s="15">
        <v>4</v>
      </c>
      <c r="F628" s="17">
        <v>0.70833333333333337</v>
      </c>
      <c r="G628" s="28"/>
      <c r="H628" s="15">
        <f>'Raw Data'!A628</f>
        <v>626</v>
      </c>
      <c r="I628" s="15" t="str">
        <f>'Raw Data'!J628</f>
        <v xml:space="preserve"> USA</v>
      </c>
      <c r="J628" s="15" t="s">
        <v>2543</v>
      </c>
      <c r="K628" s="15" t="str">
        <f t="shared" si="19"/>
        <v>Updated</v>
      </c>
    </row>
    <row r="629" spans="1:11" x14ac:dyDescent="0.25">
      <c r="A629" s="15">
        <f>'Raw Data'!A629</f>
        <v>627</v>
      </c>
      <c r="B629" s="16">
        <f>'Raw Data'!D629</f>
        <v>45112.84375</v>
      </c>
      <c r="C629" s="15">
        <v>2023</v>
      </c>
      <c r="D629" s="15" t="str">
        <f t="shared" si="18"/>
        <v>July</v>
      </c>
      <c r="E629" s="15">
        <v>5</v>
      </c>
      <c r="F629" s="17">
        <v>0.84375</v>
      </c>
      <c r="G629" s="28"/>
      <c r="H629" s="15">
        <f>'Raw Data'!A629</f>
        <v>627</v>
      </c>
      <c r="I629" s="15" t="str">
        <f>'Raw Data'!J629</f>
        <v xml:space="preserve"> UK</v>
      </c>
      <c r="J629" s="15" t="s">
        <v>2556</v>
      </c>
      <c r="K629" s="15" t="str">
        <f t="shared" si="19"/>
        <v>Updated</v>
      </c>
    </row>
    <row r="630" spans="1:11" x14ac:dyDescent="0.25">
      <c r="A630" s="15">
        <f>'Raw Data'!A630</f>
        <v>628</v>
      </c>
      <c r="B630" s="16">
        <f>'Raw Data'!D630</f>
        <v>45113.604166666664</v>
      </c>
      <c r="C630" s="15">
        <v>2023</v>
      </c>
      <c r="D630" s="15" t="str">
        <f t="shared" si="18"/>
        <v>July</v>
      </c>
      <c r="E630" s="15">
        <v>6</v>
      </c>
      <c r="F630" s="17">
        <v>0.60416666666666663</v>
      </c>
      <c r="G630" s="28"/>
      <c r="H630" s="15">
        <f>'Raw Data'!A630</f>
        <v>628</v>
      </c>
      <c r="I630" s="15" t="str">
        <f>'Raw Data'!J630</f>
        <v xml:space="preserve"> USA</v>
      </c>
      <c r="J630" s="15" t="s">
        <v>2543</v>
      </c>
      <c r="K630" s="15" t="str">
        <f t="shared" si="19"/>
        <v>Updated</v>
      </c>
    </row>
    <row r="631" spans="1:11" x14ac:dyDescent="0.25">
      <c r="A631" s="15">
        <f>'Raw Data'!A631</f>
        <v>629</v>
      </c>
      <c r="B631" s="16">
        <f>'Raw Data'!D631</f>
        <v>45114.822916666664</v>
      </c>
      <c r="C631" s="15">
        <v>2023</v>
      </c>
      <c r="D631" s="15" t="str">
        <f t="shared" si="18"/>
        <v>July</v>
      </c>
      <c r="E631" s="15">
        <v>7</v>
      </c>
      <c r="F631" s="17">
        <v>0.82291666666666663</v>
      </c>
      <c r="G631" s="28"/>
      <c r="H631" s="15">
        <f>'Raw Data'!A631</f>
        <v>629</v>
      </c>
      <c r="I631" s="15" t="str">
        <f>'Raw Data'!J631</f>
        <v xml:space="preserve"> UK</v>
      </c>
      <c r="J631" s="15" t="s">
        <v>2556</v>
      </c>
      <c r="K631" s="15" t="str">
        <f t="shared" si="19"/>
        <v>Updated</v>
      </c>
    </row>
    <row r="632" spans="1:11" x14ac:dyDescent="0.25">
      <c r="A632" s="15">
        <f>'Raw Data'!A632</f>
        <v>630</v>
      </c>
      <c r="B632" s="16">
        <f>'Raw Data'!D632</f>
        <v>45115.666666666664</v>
      </c>
      <c r="C632" s="15">
        <v>2023</v>
      </c>
      <c r="D632" s="15" t="str">
        <f t="shared" si="18"/>
        <v>July</v>
      </c>
      <c r="E632" s="15">
        <v>8</v>
      </c>
      <c r="F632" s="17">
        <v>0.66666666666666663</v>
      </c>
      <c r="G632" s="28"/>
      <c r="H632" s="15">
        <f>'Raw Data'!A632</f>
        <v>630</v>
      </c>
      <c r="I632" s="15" t="str">
        <f>'Raw Data'!J632</f>
        <v xml:space="preserve"> Canada</v>
      </c>
      <c r="J632" s="15" t="s">
        <v>2038</v>
      </c>
      <c r="K632" s="15" t="str">
        <f t="shared" si="19"/>
        <v>No Change</v>
      </c>
    </row>
    <row r="633" spans="1:11" x14ac:dyDescent="0.25">
      <c r="A633" s="15">
        <f>'Raw Data'!A633</f>
        <v>631</v>
      </c>
      <c r="B633" s="16">
        <f>'Raw Data'!D633</f>
        <v>45116.9375</v>
      </c>
      <c r="C633" s="15">
        <v>2023</v>
      </c>
      <c r="D633" s="15" t="str">
        <f t="shared" si="18"/>
        <v>July</v>
      </c>
      <c r="E633" s="15">
        <v>9</v>
      </c>
      <c r="F633" s="17">
        <v>0.9375</v>
      </c>
      <c r="G633" s="28"/>
      <c r="H633" s="15">
        <f>'Raw Data'!A633</f>
        <v>631</v>
      </c>
      <c r="I633" s="15" t="str">
        <f>'Raw Data'!J633</f>
        <v xml:space="preserve"> USA</v>
      </c>
      <c r="J633" s="15" t="s">
        <v>2543</v>
      </c>
      <c r="K633" s="15" t="str">
        <f t="shared" si="19"/>
        <v>Updated</v>
      </c>
    </row>
    <row r="634" spans="1:11" x14ac:dyDescent="0.25">
      <c r="A634" s="15">
        <f>'Raw Data'!A634</f>
        <v>632</v>
      </c>
      <c r="B634" s="16">
        <f>'Raw Data'!D634</f>
        <v>45117.597222222219</v>
      </c>
      <c r="C634" s="15">
        <v>2023</v>
      </c>
      <c r="D634" s="15" t="str">
        <f t="shared" si="18"/>
        <v>July</v>
      </c>
      <c r="E634" s="15">
        <v>10</v>
      </c>
      <c r="F634" s="17">
        <v>0.59722222222222221</v>
      </c>
      <c r="G634" s="28"/>
      <c r="H634" s="15">
        <f>'Raw Data'!A634</f>
        <v>632</v>
      </c>
      <c r="I634" s="15" t="str">
        <f>'Raw Data'!J634</f>
        <v xml:space="preserve"> UK</v>
      </c>
      <c r="J634" s="15" t="s">
        <v>2556</v>
      </c>
      <c r="K634" s="15" t="str">
        <f t="shared" si="19"/>
        <v>Updated</v>
      </c>
    </row>
    <row r="635" spans="1:11" x14ac:dyDescent="0.25">
      <c r="A635" s="15">
        <f>'Raw Data'!A635</f>
        <v>633</v>
      </c>
      <c r="B635" s="16">
        <f>'Raw Data'!D635</f>
        <v>45118.78125</v>
      </c>
      <c r="C635" s="15">
        <v>2023</v>
      </c>
      <c r="D635" s="15" t="str">
        <f t="shared" si="18"/>
        <v>July</v>
      </c>
      <c r="E635" s="15">
        <v>11</v>
      </c>
      <c r="F635" s="17">
        <v>0.78125</v>
      </c>
      <c r="G635" s="28"/>
      <c r="H635" s="15">
        <f>'Raw Data'!A635</f>
        <v>633</v>
      </c>
      <c r="I635" s="15" t="str">
        <f>'Raw Data'!J635</f>
        <v xml:space="preserve"> Canada</v>
      </c>
      <c r="J635" s="15" t="s">
        <v>2038</v>
      </c>
      <c r="K635" s="15" t="str">
        <f t="shared" si="19"/>
        <v>No Change</v>
      </c>
    </row>
    <row r="636" spans="1:11" x14ac:dyDescent="0.25">
      <c r="A636" s="15">
        <f>'Raw Data'!A636</f>
        <v>634</v>
      </c>
      <c r="B636" s="16">
        <f>'Raw Data'!D636</f>
        <v>45119.572916666664</v>
      </c>
      <c r="C636" s="15">
        <v>2023</v>
      </c>
      <c r="D636" s="15" t="str">
        <f t="shared" si="18"/>
        <v>July</v>
      </c>
      <c r="E636" s="15">
        <v>12</v>
      </c>
      <c r="F636" s="17">
        <v>0.57291666666666663</v>
      </c>
      <c r="G636" s="28"/>
      <c r="H636" s="15">
        <f>'Raw Data'!A636</f>
        <v>634</v>
      </c>
      <c r="I636" s="15" t="str">
        <f>'Raw Data'!J636</f>
        <v xml:space="preserve"> USA</v>
      </c>
      <c r="J636" s="15" t="s">
        <v>2543</v>
      </c>
      <c r="K636" s="15" t="str">
        <f t="shared" si="19"/>
        <v>Updated</v>
      </c>
    </row>
    <row r="637" spans="1:11" x14ac:dyDescent="0.25">
      <c r="A637" s="15">
        <f>'Raw Data'!A637</f>
        <v>635</v>
      </c>
      <c r="B637" s="16">
        <f>'Raw Data'!D637</f>
        <v>45120.833333333336</v>
      </c>
      <c r="C637" s="15">
        <v>2023</v>
      </c>
      <c r="D637" s="15" t="str">
        <f t="shared" si="18"/>
        <v>July</v>
      </c>
      <c r="E637" s="15">
        <v>13</v>
      </c>
      <c r="F637" s="17">
        <v>0.83333333333333337</v>
      </c>
      <c r="G637" s="28"/>
      <c r="H637" s="15">
        <f>'Raw Data'!A637</f>
        <v>635</v>
      </c>
      <c r="I637" s="15" t="str">
        <f>'Raw Data'!J637</f>
        <v xml:space="preserve"> UK</v>
      </c>
      <c r="J637" s="15" t="s">
        <v>2556</v>
      </c>
      <c r="K637" s="15" t="str">
        <f t="shared" si="19"/>
        <v>Updated</v>
      </c>
    </row>
    <row r="638" spans="1:11" x14ac:dyDescent="0.25">
      <c r="A638" s="15">
        <f>'Raw Data'!A638</f>
        <v>636</v>
      </c>
      <c r="B638" s="16">
        <f>'Raw Data'!D638</f>
        <v>45121.677083333336</v>
      </c>
      <c r="C638" s="15">
        <v>2023</v>
      </c>
      <c r="D638" s="15" t="str">
        <f t="shared" si="18"/>
        <v>July</v>
      </c>
      <c r="E638" s="15">
        <v>14</v>
      </c>
      <c r="F638" s="17">
        <v>0.67708333333333337</v>
      </c>
      <c r="G638" s="28"/>
      <c r="H638" s="15">
        <f>'Raw Data'!A638</f>
        <v>636</v>
      </c>
      <c r="I638" s="15" t="str">
        <f>'Raw Data'!J638</f>
        <v xml:space="preserve"> USA</v>
      </c>
      <c r="J638" s="15" t="s">
        <v>2543</v>
      </c>
      <c r="K638" s="15" t="str">
        <f t="shared" si="19"/>
        <v>Updated</v>
      </c>
    </row>
    <row r="639" spans="1:11" x14ac:dyDescent="0.25">
      <c r="A639" s="15">
        <f>'Raw Data'!A639</f>
        <v>637</v>
      </c>
      <c r="B639" s="16">
        <f>'Raw Data'!D639</f>
        <v>45122.8125</v>
      </c>
      <c r="C639" s="15">
        <v>2023</v>
      </c>
      <c r="D639" s="15" t="str">
        <f t="shared" si="18"/>
        <v>July</v>
      </c>
      <c r="E639" s="15">
        <v>15</v>
      </c>
      <c r="F639" s="17">
        <v>0.8125</v>
      </c>
      <c r="G639" s="28"/>
      <c r="H639" s="15">
        <f>'Raw Data'!A639</f>
        <v>637</v>
      </c>
      <c r="I639" s="15" t="str">
        <f>'Raw Data'!J639</f>
        <v xml:space="preserve"> Canada</v>
      </c>
      <c r="J639" s="15" t="s">
        <v>2038</v>
      </c>
      <c r="K639" s="15" t="str">
        <f t="shared" si="19"/>
        <v>No Change</v>
      </c>
    </row>
    <row r="640" spans="1:11" x14ac:dyDescent="0.25">
      <c r="A640" s="15">
        <f>'Raw Data'!A640</f>
        <v>638</v>
      </c>
      <c r="B640" s="16">
        <f>'Raw Data'!D640</f>
        <v>45123.583333333336</v>
      </c>
      <c r="C640" s="15">
        <v>2023</v>
      </c>
      <c r="D640" s="15" t="str">
        <f t="shared" si="18"/>
        <v>July</v>
      </c>
      <c r="E640" s="15">
        <v>16</v>
      </c>
      <c r="F640" s="17">
        <v>0.58333333333333337</v>
      </c>
      <c r="G640" s="28"/>
      <c r="H640" s="15">
        <f>'Raw Data'!A640</f>
        <v>638</v>
      </c>
      <c r="I640" s="15" t="str">
        <f>'Raw Data'!J640</f>
        <v xml:space="preserve"> USA</v>
      </c>
      <c r="J640" s="15" t="s">
        <v>2543</v>
      </c>
      <c r="K640" s="15" t="str">
        <f t="shared" si="19"/>
        <v>Updated</v>
      </c>
    </row>
    <row r="641" spans="1:11" x14ac:dyDescent="0.25">
      <c r="A641" s="15">
        <f>'Raw Data'!A641</f>
        <v>639</v>
      </c>
      <c r="B641" s="16">
        <f>'Raw Data'!D641</f>
        <v>45124.927083333336</v>
      </c>
      <c r="C641" s="15">
        <v>2023</v>
      </c>
      <c r="D641" s="15" t="str">
        <f t="shared" si="18"/>
        <v>July</v>
      </c>
      <c r="E641" s="15">
        <v>17</v>
      </c>
      <c r="F641" s="17">
        <v>0.92708333333333337</v>
      </c>
      <c r="G641" s="28"/>
      <c r="H641" s="15">
        <f>'Raw Data'!A641</f>
        <v>639</v>
      </c>
      <c r="I641" s="15" t="str">
        <f>'Raw Data'!J641</f>
        <v xml:space="preserve"> UK</v>
      </c>
      <c r="J641" s="15" t="s">
        <v>2556</v>
      </c>
      <c r="K641" s="15" t="str">
        <f t="shared" si="19"/>
        <v>Updated</v>
      </c>
    </row>
    <row r="642" spans="1:11" x14ac:dyDescent="0.25">
      <c r="A642" s="15">
        <f>'Raw Data'!A642</f>
        <v>640</v>
      </c>
      <c r="B642" s="16">
        <f>'Raw Data'!D642</f>
        <v>45125.6875</v>
      </c>
      <c r="C642" s="15">
        <v>2023</v>
      </c>
      <c r="D642" s="15" t="str">
        <f t="shared" si="18"/>
        <v>July</v>
      </c>
      <c r="E642" s="15">
        <v>18</v>
      </c>
      <c r="F642" s="17">
        <v>0.6875</v>
      </c>
      <c r="G642" s="28"/>
      <c r="H642" s="15">
        <f>'Raw Data'!A642</f>
        <v>640</v>
      </c>
      <c r="I642" s="15" t="str">
        <f>'Raw Data'!J642</f>
        <v xml:space="preserve"> USA</v>
      </c>
      <c r="J642" s="15" t="s">
        <v>2543</v>
      </c>
      <c r="K642" s="15" t="str">
        <f t="shared" si="19"/>
        <v>Updated</v>
      </c>
    </row>
    <row r="643" spans="1:11" x14ac:dyDescent="0.25">
      <c r="A643" s="15">
        <f>'Raw Data'!A643</f>
        <v>641</v>
      </c>
      <c r="B643" s="16">
        <f>'Raw Data'!D643</f>
        <v>45126.822916666664</v>
      </c>
      <c r="C643" s="15">
        <v>2023</v>
      </c>
      <c r="D643" s="15" t="str">
        <f t="shared" si="18"/>
        <v>July</v>
      </c>
      <c r="E643" s="15">
        <v>19</v>
      </c>
      <c r="F643" s="17">
        <v>0.82291666666666663</v>
      </c>
      <c r="G643" s="28"/>
      <c r="H643" s="15">
        <f>'Raw Data'!A643</f>
        <v>641</v>
      </c>
      <c r="I643" s="15" t="str">
        <f>'Raw Data'!J643</f>
        <v xml:space="preserve"> UK</v>
      </c>
      <c r="J643" s="15" t="s">
        <v>2556</v>
      </c>
      <c r="K643" s="15" t="str">
        <f t="shared" si="19"/>
        <v>Updated</v>
      </c>
    </row>
    <row r="644" spans="1:11" x14ac:dyDescent="0.25">
      <c r="A644" s="15">
        <f>'Raw Data'!A644</f>
        <v>642</v>
      </c>
      <c r="B644" s="16">
        <f>'Raw Data'!D644</f>
        <v>45127.708333333336</v>
      </c>
      <c r="C644" s="15">
        <v>2023</v>
      </c>
      <c r="D644" s="15" t="str">
        <f t="shared" ref="D644:D707" si="20">TEXT(B644,"MMMM")</f>
        <v>July</v>
      </c>
      <c r="E644" s="15">
        <v>20</v>
      </c>
      <c r="F644" s="17">
        <v>0.70833333333333337</v>
      </c>
      <c r="G644" s="28"/>
      <c r="H644" s="15">
        <f>'Raw Data'!A644</f>
        <v>642</v>
      </c>
      <c r="I644" s="15" t="str">
        <f>'Raw Data'!J644</f>
        <v xml:space="preserve"> Canada</v>
      </c>
      <c r="J644" s="15" t="s">
        <v>2038</v>
      </c>
      <c r="K644" s="15" t="str">
        <f t="shared" ref="K644:K707" si="21">IF(I644=J644,"No Change","Updated")</f>
        <v>No Change</v>
      </c>
    </row>
    <row r="645" spans="1:11" x14ac:dyDescent="0.25">
      <c r="A645" s="15">
        <f>'Raw Data'!A645</f>
        <v>643</v>
      </c>
      <c r="B645" s="16">
        <f>'Raw Data'!D645</f>
        <v>45139.5625</v>
      </c>
      <c r="C645" s="15">
        <v>2023</v>
      </c>
      <c r="D645" s="15" t="str">
        <f t="shared" si="20"/>
        <v>August</v>
      </c>
      <c r="E645" s="15">
        <v>1</v>
      </c>
      <c r="F645" s="17">
        <v>0.5625</v>
      </c>
      <c r="G645" s="28"/>
      <c r="H645" s="15">
        <f>'Raw Data'!A645</f>
        <v>643</v>
      </c>
      <c r="I645" s="15" t="str">
        <f>'Raw Data'!J645</f>
        <v xml:space="preserve"> USA</v>
      </c>
      <c r="J645" s="15" t="s">
        <v>2543</v>
      </c>
      <c r="K645" s="15" t="str">
        <f t="shared" si="21"/>
        <v>Updated</v>
      </c>
    </row>
    <row r="646" spans="1:11" x14ac:dyDescent="0.25">
      <c r="A646" s="15">
        <f>'Raw Data'!A646</f>
        <v>644</v>
      </c>
      <c r="B646" s="16">
        <f>'Raw Data'!D646</f>
        <v>45140.614583333336</v>
      </c>
      <c r="C646" s="15">
        <v>2023</v>
      </c>
      <c r="D646" s="15" t="str">
        <f t="shared" si="20"/>
        <v>August</v>
      </c>
      <c r="E646" s="15">
        <v>2</v>
      </c>
      <c r="F646" s="17">
        <v>0.61458333333333337</v>
      </c>
      <c r="G646" s="28"/>
      <c r="H646" s="15">
        <f>'Raw Data'!A646</f>
        <v>644</v>
      </c>
      <c r="I646" s="15" t="str">
        <f>'Raw Data'!J646</f>
        <v xml:space="preserve"> UK</v>
      </c>
      <c r="J646" s="15" t="s">
        <v>2556</v>
      </c>
      <c r="K646" s="15" t="str">
        <f t="shared" si="21"/>
        <v>Updated</v>
      </c>
    </row>
    <row r="647" spans="1:11" x14ac:dyDescent="0.25">
      <c r="A647" s="15">
        <f>'Raw Data'!A647</f>
        <v>645</v>
      </c>
      <c r="B647" s="16">
        <f>'Raw Data'!D647</f>
        <v>45141.510416666664</v>
      </c>
      <c r="C647" s="15">
        <v>2023</v>
      </c>
      <c r="D647" s="15" t="str">
        <f t="shared" si="20"/>
        <v>August</v>
      </c>
      <c r="E647" s="15">
        <v>3</v>
      </c>
      <c r="F647" s="17">
        <v>0.51041666666666663</v>
      </c>
      <c r="G647" s="28"/>
      <c r="H647" s="15">
        <f>'Raw Data'!A647</f>
        <v>645</v>
      </c>
      <c r="I647" s="15" t="str">
        <f>'Raw Data'!J647</f>
        <v xml:space="preserve"> Canada</v>
      </c>
      <c r="J647" s="15" t="s">
        <v>2038</v>
      </c>
      <c r="K647" s="15" t="str">
        <f t="shared" si="21"/>
        <v>No Change</v>
      </c>
    </row>
    <row r="648" spans="1:11" x14ac:dyDescent="0.25">
      <c r="A648" s="15">
        <f>'Raw Data'!A648</f>
        <v>646</v>
      </c>
      <c r="B648" s="16">
        <f>'Raw Data'!D648</f>
        <v>45142.6875</v>
      </c>
      <c r="C648" s="15">
        <v>2023</v>
      </c>
      <c r="D648" s="15" t="str">
        <f t="shared" si="20"/>
        <v>August</v>
      </c>
      <c r="E648" s="15">
        <v>4</v>
      </c>
      <c r="F648" s="17">
        <v>0.6875</v>
      </c>
      <c r="G648" s="28"/>
      <c r="H648" s="15">
        <f>'Raw Data'!A648</f>
        <v>646</v>
      </c>
      <c r="I648" s="15" t="str">
        <f>'Raw Data'!J648</f>
        <v xml:space="preserve"> USA</v>
      </c>
      <c r="J648" s="15" t="s">
        <v>2543</v>
      </c>
      <c r="K648" s="15" t="str">
        <f t="shared" si="21"/>
        <v>Updated</v>
      </c>
    </row>
    <row r="649" spans="1:11" x14ac:dyDescent="0.25">
      <c r="A649" s="15">
        <f>'Raw Data'!A649</f>
        <v>647</v>
      </c>
      <c r="B649" s="16">
        <f>'Raw Data'!D649</f>
        <v>45143.822916666664</v>
      </c>
      <c r="C649" s="15">
        <v>2023</v>
      </c>
      <c r="D649" s="15" t="str">
        <f t="shared" si="20"/>
        <v>August</v>
      </c>
      <c r="E649" s="15">
        <v>5</v>
      </c>
      <c r="F649" s="17">
        <v>0.82291666666666663</v>
      </c>
      <c r="G649" s="28"/>
      <c r="H649" s="15">
        <f>'Raw Data'!A649</f>
        <v>647</v>
      </c>
      <c r="I649" s="15" t="str">
        <f>'Raw Data'!J649</f>
        <v xml:space="preserve"> Canada</v>
      </c>
      <c r="J649" s="15" t="s">
        <v>2038</v>
      </c>
      <c r="K649" s="15" t="str">
        <f t="shared" si="21"/>
        <v>No Change</v>
      </c>
    </row>
    <row r="650" spans="1:11" x14ac:dyDescent="0.25">
      <c r="A650" s="15">
        <f>'Raw Data'!A650</f>
        <v>648</v>
      </c>
      <c r="B650" s="16">
        <f>'Raw Data'!D650</f>
        <v>45144.583333333336</v>
      </c>
      <c r="C650" s="15">
        <v>2023</v>
      </c>
      <c r="D650" s="15" t="str">
        <f t="shared" si="20"/>
        <v>August</v>
      </c>
      <c r="E650" s="15">
        <v>6</v>
      </c>
      <c r="F650" s="17">
        <v>0.58333333333333337</v>
      </c>
      <c r="G650" s="28"/>
      <c r="H650" s="15">
        <f>'Raw Data'!A650</f>
        <v>648</v>
      </c>
      <c r="I650" s="15" t="str">
        <f>'Raw Data'!J650</f>
        <v xml:space="preserve"> USA</v>
      </c>
      <c r="J650" s="15" t="s">
        <v>2543</v>
      </c>
      <c r="K650" s="15" t="str">
        <f t="shared" si="21"/>
        <v>Updated</v>
      </c>
    </row>
    <row r="651" spans="1:11" x14ac:dyDescent="0.25">
      <c r="A651" s="15">
        <f>'Raw Data'!A651</f>
        <v>649</v>
      </c>
      <c r="B651" s="16">
        <f>'Raw Data'!D651</f>
        <v>45145.822916666664</v>
      </c>
      <c r="C651" s="15">
        <v>2023</v>
      </c>
      <c r="D651" s="15" t="str">
        <f t="shared" si="20"/>
        <v>August</v>
      </c>
      <c r="E651" s="15">
        <v>7</v>
      </c>
      <c r="F651" s="17">
        <v>0.82291666666666663</v>
      </c>
      <c r="G651" s="28"/>
      <c r="H651" s="15">
        <f>'Raw Data'!A651</f>
        <v>649</v>
      </c>
      <c r="I651" s="15" t="str">
        <f>'Raw Data'!J651</f>
        <v xml:space="preserve"> UK</v>
      </c>
      <c r="J651" s="15" t="s">
        <v>2556</v>
      </c>
      <c r="K651" s="15" t="str">
        <f t="shared" si="21"/>
        <v>Updated</v>
      </c>
    </row>
    <row r="652" spans="1:11" x14ac:dyDescent="0.25">
      <c r="A652" s="15">
        <f>'Raw Data'!A652</f>
        <v>650</v>
      </c>
      <c r="B652" s="16">
        <f>'Raw Data'!D652</f>
        <v>45146.666666666664</v>
      </c>
      <c r="C652" s="15">
        <v>2023</v>
      </c>
      <c r="D652" s="15" t="str">
        <f t="shared" si="20"/>
        <v>August</v>
      </c>
      <c r="E652" s="15">
        <v>8</v>
      </c>
      <c r="F652" s="17">
        <v>0.66666666666666663</v>
      </c>
      <c r="G652" s="28"/>
      <c r="H652" s="15">
        <f>'Raw Data'!A652</f>
        <v>650</v>
      </c>
      <c r="I652" s="15" t="str">
        <f>'Raw Data'!J652</f>
        <v xml:space="preserve"> Canada</v>
      </c>
      <c r="J652" s="15" t="s">
        <v>2038</v>
      </c>
      <c r="K652" s="15" t="str">
        <f t="shared" si="21"/>
        <v>No Change</v>
      </c>
    </row>
    <row r="653" spans="1:11" x14ac:dyDescent="0.25">
      <c r="A653" s="15">
        <f>'Raw Data'!A653</f>
        <v>651</v>
      </c>
      <c r="B653" s="16">
        <f>'Raw Data'!D653</f>
        <v>45147.9375</v>
      </c>
      <c r="C653" s="15">
        <v>2023</v>
      </c>
      <c r="D653" s="15" t="str">
        <f t="shared" si="20"/>
        <v>August</v>
      </c>
      <c r="E653" s="15">
        <v>9</v>
      </c>
      <c r="F653" s="17">
        <v>0.9375</v>
      </c>
      <c r="G653" s="28"/>
      <c r="H653" s="15">
        <f>'Raw Data'!A653</f>
        <v>651</v>
      </c>
      <c r="I653" s="15" t="str">
        <f>'Raw Data'!J653</f>
        <v xml:space="preserve"> USA</v>
      </c>
      <c r="J653" s="15" t="s">
        <v>2543</v>
      </c>
      <c r="K653" s="15" t="str">
        <f t="shared" si="21"/>
        <v>Updated</v>
      </c>
    </row>
    <row r="654" spans="1:11" x14ac:dyDescent="0.25">
      <c r="A654" s="15">
        <f>'Raw Data'!A654</f>
        <v>652</v>
      </c>
      <c r="B654" s="16">
        <f>'Raw Data'!D654</f>
        <v>45148.597222222219</v>
      </c>
      <c r="C654" s="15">
        <v>2023</v>
      </c>
      <c r="D654" s="15" t="str">
        <f t="shared" si="20"/>
        <v>August</v>
      </c>
      <c r="E654" s="15">
        <v>10</v>
      </c>
      <c r="F654" s="17">
        <v>0.59722222222222221</v>
      </c>
      <c r="G654" s="28"/>
      <c r="H654" s="15">
        <f>'Raw Data'!A654</f>
        <v>652</v>
      </c>
      <c r="I654" s="15" t="str">
        <f>'Raw Data'!J654</f>
        <v xml:space="preserve"> UK</v>
      </c>
      <c r="J654" s="15" t="s">
        <v>2556</v>
      </c>
      <c r="K654" s="15" t="str">
        <f t="shared" si="21"/>
        <v>Updated</v>
      </c>
    </row>
    <row r="655" spans="1:11" x14ac:dyDescent="0.25">
      <c r="A655" s="15">
        <f>'Raw Data'!A655</f>
        <v>653</v>
      </c>
      <c r="B655" s="16">
        <f>'Raw Data'!D655</f>
        <v>45149.78125</v>
      </c>
      <c r="C655" s="15">
        <v>2023</v>
      </c>
      <c r="D655" s="15" t="str">
        <f t="shared" si="20"/>
        <v>August</v>
      </c>
      <c r="E655" s="15">
        <v>11</v>
      </c>
      <c r="F655" s="17">
        <v>0.78125</v>
      </c>
      <c r="G655" s="28"/>
      <c r="H655" s="15">
        <f>'Raw Data'!A655</f>
        <v>653</v>
      </c>
      <c r="I655" s="15" t="str">
        <f>'Raw Data'!J655</f>
        <v xml:space="preserve"> Canada</v>
      </c>
      <c r="J655" s="15" t="s">
        <v>2038</v>
      </c>
      <c r="K655" s="15" t="str">
        <f t="shared" si="21"/>
        <v>No Change</v>
      </c>
    </row>
    <row r="656" spans="1:11" x14ac:dyDescent="0.25">
      <c r="A656" s="15">
        <f>'Raw Data'!A656</f>
        <v>654</v>
      </c>
      <c r="B656" s="16">
        <f>'Raw Data'!D656</f>
        <v>45150.572916666664</v>
      </c>
      <c r="C656" s="15">
        <v>2023</v>
      </c>
      <c r="D656" s="15" t="str">
        <f t="shared" si="20"/>
        <v>August</v>
      </c>
      <c r="E656" s="15">
        <v>12</v>
      </c>
      <c r="F656" s="17">
        <v>0.57291666666666663</v>
      </c>
      <c r="G656" s="28"/>
      <c r="H656" s="15">
        <f>'Raw Data'!A656</f>
        <v>654</v>
      </c>
      <c r="I656" s="15" t="str">
        <f>'Raw Data'!J656</f>
        <v xml:space="preserve"> USA</v>
      </c>
      <c r="J656" s="15" t="s">
        <v>2543</v>
      </c>
      <c r="K656" s="15" t="str">
        <f t="shared" si="21"/>
        <v>Updated</v>
      </c>
    </row>
    <row r="657" spans="1:11" x14ac:dyDescent="0.25">
      <c r="A657" s="15">
        <f>'Raw Data'!A657</f>
        <v>655</v>
      </c>
      <c r="B657" s="16">
        <f>'Raw Data'!D657</f>
        <v>45151.833333333336</v>
      </c>
      <c r="C657" s="15">
        <v>2023</v>
      </c>
      <c r="D657" s="15" t="str">
        <f t="shared" si="20"/>
        <v>August</v>
      </c>
      <c r="E657" s="15">
        <v>13</v>
      </c>
      <c r="F657" s="17">
        <v>0.83333333333333337</v>
      </c>
      <c r="G657" s="28"/>
      <c r="H657" s="15">
        <f>'Raw Data'!A657</f>
        <v>655</v>
      </c>
      <c r="I657" s="15" t="str">
        <f>'Raw Data'!J657</f>
        <v xml:space="preserve"> UK</v>
      </c>
      <c r="J657" s="15" t="s">
        <v>2556</v>
      </c>
      <c r="K657" s="15" t="str">
        <f t="shared" si="21"/>
        <v>Updated</v>
      </c>
    </row>
    <row r="658" spans="1:11" x14ac:dyDescent="0.25">
      <c r="A658" s="15">
        <f>'Raw Data'!A658</f>
        <v>656</v>
      </c>
      <c r="B658" s="16">
        <f>'Raw Data'!D658</f>
        <v>45152.677083333336</v>
      </c>
      <c r="C658" s="15">
        <v>2023</v>
      </c>
      <c r="D658" s="15" t="str">
        <f t="shared" si="20"/>
        <v>August</v>
      </c>
      <c r="E658" s="15">
        <v>14</v>
      </c>
      <c r="F658" s="17">
        <v>0.67708333333333337</v>
      </c>
      <c r="G658" s="28"/>
      <c r="H658" s="15">
        <f>'Raw Data'!A658</f>
        <v>656</v>
      </c>
      <c r="I658" s="15" t="str">
        <f>'Raw Data'!J658</f>
        <v xml:space="preserve"> USA</v>
      </c>
      <c r="J658" s="15" t="s">
        <v>2543</v>
      </c>
      <c r="K658" s="15" t="str">
        <f t="shared" si="21"/>
        <v>Updated</v>
      </c>
    </row>
    <row r="659" spans="1:11" x14ac:dyDescent="0.25">
      <c r="A659" s="15">
        <f>'Raw Data'!A659</f>
        <v>657</v>
      </c>
      <c r="B659" s="16">
        <f>'Raw Data'!D659</f>
        <v>45153.8125</v>
      </c>
      <c r="C659" s="15">
        <v>2023</v>
      </c>
      <c r="D659" s="15" t="str">
        <f t="shared" si="20"/>
        <v>August</v>
      </c>
      <c r="E659" s="15">
        <v>15</v>
      </c>
      <c r="F659" s="17">
        <v>0.8125</v>
      </c>
      <c r="G659" s="28"/>
      <c r="H659" s="15">
        <f>'Raw Data'!A659</f>
        <v>657</v>
      </c>
      <c r="I659" s="15" t="str">
        <f>'Raw Data'!J659</f>
        <v xml:space="preserve"> Canada</v>
      </c>
      <c r="J659" s="15" t="s">
        <v>2038</v>
      </c>
      <c r="K659" s="15" t="str">
        <f t="shared" si="21"/>
        <v>No Change</v>
      </c>
    </row>
    <row r="660" spans="1:11" x14ac:dyDescent="0.25">
      <c r="A660" s="15">
        <f>'Raw Data'!A660</f>
        <v>658</v>
      </c>
      <c r="B660" s="16">
        <f>'Raw Data'!D660</f>
        <v>45154.583333333336</v>
      </c>
      <c r="C660" s="15">
        <v>2023</v>
      </c>
      <c r="D660" s="15" t="str">
        <f t="shared" si="20"/>
        <v>August</v>
      </c>
      <c r="E660" s="15">
        <v>16</v>
      </c>
      <c r="F660" s="17">
        <v>0.58333333333333337</v>
      </c>
      <c r="G660" s="28"/>
      <c r="H660" s="15">
        <f>'Raw Data'!A660</f>
        <v>658</v>
      </c>
      <c r="I660" s="15" t="str">
        <f>'Raw Data'!J660</f>
        <v xml:space="preserve"> USA</v>
      </c>
      <c r="J660" s="15" t="s">
        <v>2543</v>
      </c>
      <c r="K660" s="15" t="str">
        <f t="shared" si="21"/>
        <v>Updated</v>
      </c>
    </row>
    <row r="661" spans="1:11" x14ac:dyDescent="0.25">
      <c r="A661" s="15">
        <f>'Raw Data'!A661</f>
        <v>659</v>
      </c>
      <c r="B661" s="16">
        <f>'Raw Data'!D661</f>
        <v>45155.927083333336</v>
      </c>
      <c r="C661" s="15">
        <v>2023</v>
      </c>
      <c r="D661" s="15" t="str">
        <f t="shared" si="20"/>
        <v>August</v>
      </c>
      <c r="E661" s="15">
        <v>17</v>
      </c>
      <c r="F661" s="17">
        <v>0.92708333333333337</v>
      </c>
      <c r="G661" s="28"/>
      <c r="H661" s="15">
        <f>'Raw Data'!A661</f>
        <v>659</v>
      </c>
      <c r="I661" s="15" t="str">
        <f>'Raw Data'!J661</f>
        <v xml:space="preserve"> UK</v>
      </c>
      <c r="J661" s="15" t="s">
        <v>2556</v>
      </c>
      <c r="K661" s="15" t="str">
        <f t="shared" si="21"/>
        <v>Updated</v>
      </c>
    </row>
    <row r="662" spans="1:11" x14ac:dyDescent="0.25">
      <c r="A662" s="15">
        <f>'Raw Data'!A662</f>
        <v>660</v>
      </c>
      <c r="B662" s="16">
        <f>'Raw Data'!D662</f>
        <v>45156.6875</v>
      </c>
      <c r="C662" s="15">
        <v>2023</v>
      </c>
      <c r="D662" s="15" t="str">
        <f t="shared" si="20"/>
        <v>August</v>
      </c>
      <c r="E662" s="15">
        <v>18</v>
      </c>
      <c r="F662" s="17">
        <v>0.6875</v>
      </c>
      <c r="G662" s="28"/>
      <c r="H662" s="15">
        <f>'Raw Data'!A662</f>
        <v>660</v>
      </c>
      <c r="I662" s="15" t="str">
        <f>'Raw Data'!J662</f>
        <v xml:space="preserve"> USA</v>
      </c>
      <c r="J662" s="15" t="s">
        <v>2543</v>
      </c>
      <c r="K662" s="15" t="str">
        <f t="shared" si="21"/>
        <v>Updated</v>
      </c>
    </row>
    <row r="663" spans="1:11" x14ac:dyDescent="0.25">
      <c r="A663" s="15">
        <f>'Raw Data'!A663</f>
        <v>661</v>
      </c>
      <c r="B663" s="16">
        <f>'Raw Data'!D663</f>
        <v>45157.822916666664</v>
      </c>
      <c r="C663" s="15">
        <v>2023</v>
      </c>
      <c r="D663" s="15" t="str">
        <f t="shared" si="20"/>
        <v>August</v>
      </c>
      <c r="E663" s="15">
        <v>19</v>
      </c>
      <c r="F663" s="17">
        <v>0.82291666666666663</v>
      </c>
      <c r="G663" s="28"/>
      <c r="H663" s="15">
        <f>'Raw Data'!A663</f>
        <v>661</v>
      </c>
      <c r="I663" s="15" t="str">
        <f>'Raw Data'!J663</f>
        <v xml:space="preserve"> UK</v>
      </c>
      <c r="J663" s="15" t="s">
        <v>2556</v>
      </c>
      <c r="K663" s="15" t="str">
        <f t="shared" si="21"/>
        <v>Updated</v>
      </c>
    </row>
    <row r="664" spans="1:11" x14ac:dyDescent="0.25">
      <c r="A664" s="15">
        <f>'Raw Data'!A664</f>
        <v>662</v>
      </c>
      <c r="B664" s="16">
        <f>'Raw Data'!D664</f>
        <v>45158.708333333336</v>
      </c>
      <c r="C664" s="15">
        <v>2023</v>
      </c>
      <c r="D664" s="15" t="str">
        <f t="shared" si="20"/>
        <v>August</v>
      </c>
      <c r="E664" s="15">
        <v>20</v>
      </c>
      <c r="F664" s="17">
        <v>0.70833333333333337</v>
      </c>
      <c r="G664" s="28"/>
      <c r="H664" s="15">
        <f>'Raw Data'!A664</f>
        <v>662</v>
      </c>
      <c r="I664" s="15" t="str">
        <f>'Raw Data'!J664</f>
        <v xml:space="preserve"> Canada</v>
      </c>
      <c r="J664" s="15" t="s">
        <v>2038</v>
      </c>
      <c r="K664" s="15" t="str">
        <f t="shared" si="21"/>
        <v>No Change</v>
      </c>
    </row>
    <row r="665" spans="1:11" x14ac:dyDescent="0.25">
      <c r="A665" s="15">
        <f>'Raw Data'!A665</f>
        <v>663</v>
      </c>
      <c r="B665" s="16">
        <f>'Raw Data'!D665</f>
        <v>45159.65625</v>
      </c>
      <c r="C665" s="15">
        <v>2023</v>
      </c>
      <c r="D665" s="15" t="str">
        <f t="shared" si="20"/>
        <v>August</v>
      </c>
      <c r="E665" s="15">
        <v>21</v>
      </c>
      <c r="F665" s="17">
        <v>0.65625</v>
      </c>
      <c r="G665" s="28"/>
      <c r="H665" s="15">
        <f>'Raw Data'!A665</f>
        <v>663</v>
      </c>
      <c r="I665" s="15" t="str">
        <f>'Raw Data'!J665</f>
        <v xml:space="preserve"> USA</v>
      </c>
      <c r="J665" s="15" t="s">
        <v>2543</v>
      </c>
      <c r="K665" s="15" t="str">
        <f t="shared" si="21"/>
        <v>Updated</v>
      </c>
    </row>
    <row r="666" spans="1:11" x14ac:dyDescent="0.25">
      <c r="A666" s="15">
        <f>'Raw Data'!A666</f>
        <v>664</v>
      </c>
      <c r="B666" s="16">
        <f>'Raw Data'!D666</f>
        <v>45160.520833333336</v>
      </c>
      <c r="C666" s="15">
        <v>2023</v>
      </c>
      <c r="D666" s="15" t="str">
        <f t="shared" si="20"/>
        <v>August</v>
      </c>
      <c r="E666" s="15">
        <v>22</v>
      </c>
      <c r="F666" s="17">
        <v>0.52083333333333337</v>
      </c>
      <c r="G666" s="28"/>
      <c r="H666" s="15">
        <f>'Raw Data'!A666</f>
        <v>664</v>
      </c>
      <c r="I666" s="15" t="str">
        <f>'Raw Data'!J666</f>
        <v xml:space="preserve"> Canada</v>
      </c>
      <c r="J666" s="15" t="s">
        <v>2038</v>
      </c>
      <c r="K666" s="15" t="str">
        <f t="shared" si="21"/>
        <v>No Change</v>
      </c>
    </row>
    <row r="667" spans="1:11" x14ac:dyDescent="0.25">
      <c r="A667" s="15">
        <f>'Raw Data'!A667</f>
        <v>665</v>
      </c>
      <c r="B667" s="16">
        <f>'Raw Data'!D667</f>
        <v>45161.697916666664</v>
      </c>
      <c r="C667" s="15">
        <v>2023</v>
      </c>
      <c r="D667" s="15" t="str">
        <f t="shared" si="20"/>
        <v>August</v>
      </c>
      <c r="E667" s="15">
        <v>23</v>
      </c>
      <c r="F667" s="17">
        <v>0.69791666666666663</v>
      </c>
      <c r="G667" s="28"/>
      <c r="H667" s="15">
        <f>'Raw Data'!A667</f>
        <v>665</v>
      </c>
      <c r="I667" s="15" t="str">
        <f>'Raw Data'!J667</f>
        <v xml:space="preserve"> USA</v>
      </c>
      <c r="J667" s="15" t="s">
        <v>2543</v>
      </c>
      <c r="K667" s="15" t="str">
        <f t="shared" si="21"/>
        <v>Updated</v>
      </c>
    </row>
    <row r="668" spans="1:11" x14ac:dyDescent="0.25">
      <c r="A668" s="15">
        <f>'Raw Data'!A668</f>
        <v>666</v>
      </c>
      <c r="B668" s="16">
        <f>'Raw Data'!D668</f>
        <v>45162.763888888891</v>
      </c>
      <c r="C668" s="15">
        <v>2023</v>
      </c>
      <c r="D668" s="15" t="str">
        <f t="shared" si="20"/>
        <v>August</v>
      </c>
      <c r="E668" s="15">
        <v>24</v>
      </c>
      <c r="F668" s="17">
        <v>0.76388888888888884</v>
      </c>
      <c r="G668" s="28"/>
      <c r="H668" s="15">
        <f>'Raw Data'!A668</f>
        <v>666</v>
      </c>
      <c r="I668" s="15" t="str">
        <f>'Raw Data'!J668</f>
        <v xml:space="preserve"> UK</v>
      </c>
      <c r="J668" s="15" t="s">
        <v>2556</v>
      </c>
      <c r="K668" s="15" t="str">
        <f t="shared" si="21"/>
        <v>Updated</v>
      </c>
    </row>
    <row r="669" spans="1:11" x14ac:dyDescent="0.25">
      <c r="A669" s="15">
        <f>'Raw Data'!A669</f>
        <v>667</v>
      </c>
      <c r="B669" s="16">
        <f>'Raw Data'!D669</f>
        <v>45163.59375</v>
      </c>
      <c r="C669" s="15">
        <v>2023</v>
      </c>
      <c r="D669" s="15" t="str">
        <f t="shared" si="20"/>
        <v>August</v>
      </c>
      <c r="E669" s="15">
        <v>25</v>
      </c>
      <c r="F669" s="17">
        <v>0.59375</v>
      </c>
      <c r="G669" s="28"/>
      <c r="H669" s="15">
        <f>'Raw Data'!A669</f>
        <v>667</v>
      </c>
      <c r="I669" s="15" t="str">
        <f>'Raw Data'!J669</f>
        <v xml:space="preserve"> Canada</v>
      </c>
      <c r="J669" s="15" t="s">
        <v>2038</v>
      </c>
      <c r="K669" s="15" t="str">
        <f t="shared" si="21"/>
        <v>No Change</v>
      </c>
    </row>
    <row r="670" spans="1:11" x14ac:dyDescent="0.25">
      <c r="A670" s="15">
        <f>'Raw Data'!A670</f>
        <v>668</v>
      </c>
      <c r="B670" s="16">
        <f>'Raw Data'!D670</f>
        <v>45164.729166666664</v>
      </c>
      <c r="C670" s="15">
        <v>2023</v>
      </c>
      <c r="D670" s="15" t="str">
        <f t="shared" si="20"/>
        <v>August</v>
      </c>
      <c r="E670" s="15">
        <v>26</v>
      </c>
      <c r="F670" s="17">
        <v>0.72916666666666663</v>
      </c>
      <c r="G670" s="28"/>
      <c r="H670" s="15">
        <f>'Raw Data'!A670</f>
        <v>668</v>
      </c>
      <c r="I670" s="15" t="str">
        <f>'Raw Data'!J670</f>
        <v xml:space="preserve"> USA</v>
      </c>
      <c r="J670" s="15" t="s">
        <v>2543</v>
      </c>
      <c r="K670" s="15" t="str">
        <f t="shared" si="21"/>
        <v>Updated</v>
      </c>
    </row>
    <row r="671" spans="1:11" x14ac:dyDescent="0.25">
      <c r="A671" s="15">
        <f>'Raw Data'!A671</f>
        <v>669</v>
      </c>
      <c r="B671" s="16">
        <f>'Raw Data'!D671</f>
        <v>45165.864583333336</v>
      </c>
      <c r="C671" s="15">
        <v>2023</v>
      </c>
      <c r="D671" s="15" t="str">
        <f t="shared" si="20"/>
        <v>August</v>
      </c>
      <c r="E671" s="15">
        <v>27</v>
      </c>
      <c r="F671" s="17">
        <v>0.86458333333333337</v>
      </c>
      <c r="G671" s="28"/>
      <c r="H671" s="15">
        <f>'Raw Data'!A671</f>
        <v>669</v>
      </c>
      <c r="I671" s="15" t="str">
        <f>'Raw Data'!J671</f>
        <v xml:space="preserve"> UK</v>
      </c>
      <c r="J671" s="15" t="s">
        <v>2556</v>
      </c>
      <c r="K671" s="15" t="str">
        <f t="shared" si="21"/>
        <v>Updated</v>
      </c>
    </row>
    <row r="672" spans="1:11" x14ac:dyDescent="0.25">
      <c r="A672" s="15">
        <f>'Raw Data'!A672</f>
        <v>670</v>
      </c>
      <c r="B672" s="16">
        <f>'Raw Data'!D672</f>
        <v>45166.666666666664</v>
      </c>
      <c r="C672" s="15">
        <v>2023</v>
      </c>
      <c r="D672" s="15" t="str">
        <f t="shared" si="20"/>
        <v>August</v>
      </c>
      <c r="E672" s="15">
        <v>28</v>
      </c>
      <c r="F672" s="17">
        <v>0.66666666666666663</v>
      </c>
      <c r="G672" s="28"/>
      <c r="H672" s="15">
        <f>'Raw Data'!A672</f>
        <v>670</v>
      </c>
      <c r="I672" s="15" t="str">
        <f>'Raw Data'!J672</f>
        <v xml:space="preserve"> USA</v>
      </c>
      <c r="J672" s="15" t="s">
        <v>2543</v>
      </c>
      <c r="K672" s="15" t="str">
        <f t="shared" si="21"/>
        <v>Updated</v>
      </c>
    </row>
    <row r="673" spans="1:11" x14ac:dyDescent="0.25">
      <c r="A673" s="15">
        <f>'Raw Data'!A673</f>
        <v>671</v>
      </c>
      <c r="B673" s="16">
        <f>'Raw Data'!D673</f>
        <v>45167.572916666664</v>
      </c>
      <c r="C673" s="15">
        <v>2023</v>
      </c>
      <c r="D673" s="15" t="str">
        <f t="shared" si="20"/>
        <v>August</v>
      </c>
      <c r="E673" s="15">
        <v>29</v>
      </c>
      <c r="F673" s="17">
        <v>0.57291666666666663</v>
      </c>
      <c r="G673" s="28"/>
      <c r="H673" s="15">
        <f>'Raw Data'!A673</f>
        <v>671</v>
      </c>
      <c r="I673" s="15" t="str">
        <f>'Raw Data'!J673</f>
        <v xml:space="preserve"> Canada</v>
      </c>
      <c r="J673" s="15" t="s">
        <v>2038</v>
      </c>
      <c r="K673" s="15" t="str">
        <f t="shared" si="21"/>
        <v>No Change</v>
      </c>
    </row>
    <row r="674" spans="1:11" x14ac:dyDescent="0.25">
      <c r="A674" s="15">
        <f>'Raw Data'!A674</f>
        <v>672</v>
      </c>
      <c r="B674" s="16">
        <f>'Raw Data'!D674</f>
        <v>45168.729166666664</v>
      </c>
      <c r="C674" s="15">
        <v>2023</v>
      </c>
      <c r="D674" s="15" t="str">
        <f t="shared" si="20"/>
        <v>August</v>
      </c>
      <c r="E674" s="15">
        <v>30</v>
      </c>
      <c r="F674" s="17">
        <v>0.72916666666666663</v>
      </c>
      <c r="G674" s="28"/>
      <c r="H674" s="15">
        <f>'Raw Data'!A674</f>
        <v>672</v>
      </c>
      <c r="I674" s="15" t="str">
        <f>'Raw Data'!J674</f>
        <v xml:space="preserve"> USA</v>
      </c>
      <c r="J674" s="15" t="s">
        <v>2543</v>
      </c>
      <c r="K674" s="15" t="str">
        <f t="shared" si="21"/>
        <v>Updated</v>
      </c>
    </row>
    <row r="675" spans="1:11" x14ac:dyDescent="0.25">
      <c r="A675" s="15">
        <f>'Raw Data'!A675</f>
        <v>673</v>
      </c>
      <c r="B675" s="16">
        <f>'Raw Data'!D675</f>
        <v>45169.84375</v>
      </c>
      <c r="C675" s="15">
        <v>2023</v>
      </c>
      <c r="D675" s="15" t="str">
        <f t="shared" si="20"/>
        <v>August</v>
      </c>
      <c r="E675" s="15">
        <v>31</v>
      </c>
      <c r="F675" s="17">
        <v>0.84375</v>
      </c>
      <c r="G675" s="28"/>
      <c r="H675" s="15">
        <f>'Raw Data'!A675</f>
        <v>673</v>
      </c>
      <c r="I675" s="15" t="str">
        <f>'Raw Data'!J675</f>
        <v xml:space="preserve"> UK</v>
      </c>
      <c r="J675" s="15" t="s">
        <v>2556</v>
      </c>
      <c r="K675" s="15" t="str">
        <f t="shared" si="21"/>
        <v>Updated</v>
      </c>
    </row>
    <row r="676" spans="1:11" x14ac:dyDescent="0.25">
      <c r="A676" s="15">
        <f>'Raw Data'!A676</f>
        <v>674</v>
      </c>
      <c r="B676" s="16">
        <f>'Raw Data'!D676</f>
        <v>45170.614583333336</v>
      </c>
      <c r="C676" s="15">
        <v>2023</v>
      </c>
      <c r="D676" s="15" t="str">
        <f t="shared" si="20"/>
        <v>September</v>
      </c>
      <c r="E676" s="15">
        <v>1</v>
      </c>
      <c r="F676" s="17">
        <v>0.61458333333333337</v>
      </c>
      <c r="G676" s="28"/>
      <c r="H676" s="15">
        <f>'Raw Data'!A676</f>
        <v>674</v>
      </c>
      <c r="I676" s="15" t="str">
        <f>'Raw Data'!J676</f>
        <v xml:space="preserve"> Canada</v>
      </c>
      <c r="J676" s="15" t="s">
        <v>2038</v>
      </c>
      <c r="K676" s="15" t="str">
        <f t="shared" si="21"/>
        <v>No Change</v>
      </c>
    </row>
    <row r="677" spans="1:11" x14ac:dyDescent="0.25">
      <c r="A677" s="15">
        <f>'Raw Data'!A677</f>
        <v>675</v>
      </c>
      <c r="B677" s="16">
        <f>'Raw Data'!D677</f>
        <v>45171.770833333336</v>
      </c>
      <c r="C677" s="15">
        <v>2023</v>
      </c>
      <c r="D677" s="15" t="str">
        <f t="shared" si="20"/>
        <v>September</v>
      </c>
      <c r="E677" s="15">
        <v>2</v>
      </c>
      <c r="F677" s="17">
        <v>0.77083333333333337</v>
      </c>
      <c r="G677" s="28"/>
      <c r="H677" s="15">
        <f>'Raw Data'!A677</f>
        <v>675</v>
      </c>
      <c r="I677" s="15" t="str">
        <f>'Raw Data'!J677</f>
        <v xml:space="preserve"> USA</v>
      </c>
      <c r="J677" s="15" t="s">
        <v>2543</v>
      </c>
      <c r="K677" s="15" t="str">
        <f t="shared" si="21"/>
        <v>Updated</v>
      </c>
    </row>
    <row r="678" spans="1:11" x14ac:dyDescent="0.25">
      <c r="A678" s="15">
        <f>'Raw Data'!A678</f>
        <v>676</v>
      </c>
      <c r="B678" s="16">
        <f>'Raw Data'!D678</f>
        <v>45172.916666666664</v>
      </c>
      <c r="C678" s="15">
        <v>2023</v>
      </c>
      <c r="D678" s="15" t="str">
        <f t="shared" si="20"/>
        <v>September</v>
      </c>
      <c r="E678" s="15">
        <v>3</v>
      </c>
      <c r="F678" s="17">
        <v>0.91666666666666663</v>
      </c>
      <c r="G678" s="28"/>
      <c r="H678" s="15">
        <f>'Raw Data'!A678</f>
        <v>676</v>
      </c>
      <c r="I678" s="15" t="str">
        <f>'Raw Data'!J678</f>
        <v xml:space="preserve"> UK</v>
      </c>
      <c r="J678" s="15" t="s">
        <v>2556</v>
      </c>
      <c r="K678" s="15" t="str">
        <f t="shared" si="21"/>
        <v>Updated</v>
      </c>
    </row>
    <row r="679" spans="1:11" x14ac:dyDescent="0.25">
      <c r="A679" s="15">
        <f>'Raw Data'!A679</f>
        <v>677</v>
      </c>
      <c r="B679" s="16">
        <f>'Raw Data'!D679</f>
        <v>45173.635416666664</v>
      </c>
      <c r="C679" s="15">
        <v>2023</v>
      </c>
      <c r="D679" s="15" t="str">
        <f t="shared" si="20"/>
        <v>September</v>
      </c>
      <c r="E679" s="15">
        <v>4</v>
      </c>
      <c r="F679" s="17">
        <v>0.63541666666666663</v>
      </c>
      <c r="G679" s="28"/>
      <c r="H679" s="15">
        <f>'Raw Data'!A679</f>
        <v>677</v>
      </c>
      <c r="I679" s="15" t="str">
        <f>'Raw Data'!J679</f>
        <v xml:space="preserve"> USA</v>
      </c>
      <c r="J679" s="15" t="s">
        <v>2543</v>
      </c>
      <c r="K679" s="15" t="str">
        <f t="shared" si="21"/>
        <v>Updated</v>
      </c>
    </row>
    <row r="680" spans="1:11" x14ac:dyDescent="0.25">
      <c r="A680" s="15">
        <f>'Raw Data'!A680</f>
        <v>678</v>
      </c>
      <c r="B680" s="16">
        <f>'Raw Data'!D680</f>
        <v>45174.520833333336</v>
      </c>
      <c r="C680" s="15">
        <v>2023</v>
      </c>
      <c r="D680" s="15" t="str">
        <f t="shared" si="20"/>
        <v>September</v>
      </c>
      <c r="E680" s="15">
        <v>5</v>
      </c>
      <c r="F680" s="17">
        <v>0.52083333333333337</v>
      </c>
      <c r="G680" s="28"/>
      <c r="H680" s="15">
        <f>'Raw Data'!A680</f>
        <v>678</v>
      </c>
      <c r="I680" s="15" t="str">
        <f>'Raw Data'!J680</f>
        <v xml:space="preserve"> Canada</v>
      </c>
      <c r="J680" s="15" t="s">
        <v>2038</v>
      </c>
      <c r="K680" s="15" t="str">
        <f t="shared" si="21"/>
        <v>No Change</v>
      </c>
    </row>
    <row r="681" spans="1:11" x14ac:dyDescent="0.25">
      <c r="A681" s="15">
        <f>'Raw Data'!A681</f>
        <v>679</v>
      </c>
      <c r="B681" s="16">
        <f>'Raw Data'!D681</f>
        <v>45175.697916666664</v>
      </c>
      <c r="C681" s="15">
        <v>2023</v>
      </c>
      <c r="D681" s="15" t="str">
        <f t="shared" si="20"/>
        <v>September</v>
      </c>
      <c r="E681" s="15">
        <v>6</v>
      </c>
      <c r="F681" s="17">
        <v>0.69791666666666663</v>
      </c>
      <c r="G681" s="28"/>
      <c r="H681" s="15">
        <f>'Raw Data'!A681</f>
        <v>679</v>
      </c>
      <c r="I681" s="15" t="str">
        <f>'Raw Data'!J681</f>
        <v xml:space="preserve"> UK</v>
      </c>
      <c r="J681" s="15" t="s">
        <v>2556</v>
      </c>
      <c r="K681" s="15" t="str">
        <f t="shared" si="21"/>
        <v>Updated</v>
      </c>
    </row>
    <row r="682" spans="1:11" x14ac:dyDescent="0.25">
      <c r="A682" s="15">
        <f>'Raw Data'!A682</f>
        <v>680</v>
      </c>
      <c r="B682" s="16">
        <f>'Raw Data'!D682</f>
        <v>45176.763888888891</v>
      </c>
      <c r="C682" s="15">
        <v>2023</v>
      </c>
      <c r="D682" s="15" t="str">
        <f t="shared" si="20"/>
        <v>September</v>
      </c>
      <c r="E682" s="15">
        <v>7</v>
      </c>
      <c r="F682" s="17">
        <v>0.76388888888888884</v>
      </c>
      <c r="G682" s="28"/>
      <c r="H682" s="15">
        <f>'Raw Data'!A682</f>
        <v>680</v>
      </c>
      <c r="I682" s="15" t="str">
        <f>'Raw Data'!J682</f>
        <v xml:space="preserve"> USA</v>
      </c>
      <c r="J682" s="15" t="s">
        <v>2543</v>
      </c>
      <c r="K682" s="15" t="str">
        <f t="shared" si="21"/>
        <v>Updated</v>
      </c>
    </row>
    <row r="683" spans="1:11" x14ac:dyDescent="0.25">
      <c r="A683" s="15">
        <f>'Raw Data'!A683</f>
        <v>681</v>
      </c>
      <c r="B683" s="16">
        <f>'Raw Data'!D683</f>
        <v>45177.59375</v>
      </c>
      <c r="C683" s="15">
        <v>2023</v>
      </c>
      <c r="D683" s="15" t="str">
        <f t="shared" si="20"/>
        <v>September</v>
      </c>
      <c r="E683" s="15">
        <v>8</v>
      </c>
      <c r="F683" s="17">
        <v>0.59375</v>
      </c>
      <c r="G683" s="28"/>
      <c r="H683" s="15">
        <f>'Raw Data'!A683</f>
        <v>681</v>
      </c>
      <c r="I683" s="15" t="str">
        <f>'Raw Data'!J683</f>
        <v xml:space="preserve"> Canada</v>
      </c>
      <c r="J683" s="15" t="s">
        <v>2038</v>
      </c>
      <c r="K683" s="15" t="str">
        <f t="shared" si="21"/>
        <v>No Change</v>
      </c>
    </row>
    <row r="684" spans="1:11" x14ac:dyDescent="0.25">
      <c r="A684" s="15">
        <f>'Raw Data'!A684</f>
        <v>682</v>
      </c>
      <c r="B684" s="16">
        <f>'Raw Data'!D684</f>
        <v>45178.729166666664</v>
      </c>
      <c r="C684" s="15">
        <v>2023</v>
      </c>
      <c r="D684" s="15" t="str">
        <f t="shared" si="20"/>
        <v>September</v>
      </c>
      <c r="E684" s="15">
        <v>9</v>
      </c>
      <c r="F684" s="17">
        <v>0.72916666666666663</v>
      </c>
      <c r="G684" s="28"/>
      <c r="H684" s="15">
        <f>'Raw Data'!A684</f>
        <v>682</v>
      </c>
      <c r="I684" s="15" t="str">
        <f>'Raw Data'!J684</f>
        <v xml:space="preserve"> USA</v>
      </c>
      <c r="J684" s="15" t="s">
        <v>2543</v>
      </c>
      <c r="K684" s="15" t="str">
        <f t="shared" si="21"/>
        <v>Updated</v>
      </c>
    </row>
    <row r="685" spans="1:11" x14ac:dyDescent="0.25">
      <c r="A685" s="15">
        <f>'Raw Data'!A685</f>
        <v>683</v>
      </c>
      <c r="B685" s="16">
        <f>'Raw Data'!D685</f>
        <v>45179.864583333336</v>
      </c>
      <c r="C685" s="15">
        <v>2023</v>
      </c>
      <c r="D685" s="15" t="str">
        <f t="shared" si="20"/>
        <v>September</v>
      </c>
      <c r="E685" s="15">
        <v>10</v>
      </c>
      <c r="F685" s="17">
        <v>0.86458333333333337</v>
      </c>
      <c r="G685" s="28"/>
      <c r="H685" s="15">
        <f>'Raw Data'!A685</f>
        <v>683</v>
      </c>
      <c r="I685" s="15" t="str">
        <f>'Raw Data'!J685</f>
        <v xml:space="preserve"> UK</v>
      </c>
      <c r="J685" s="15" t="s">
        <v>2556</v>
      </c>
      <c r="K685" s="15" t="str">
        <f t="shared" si="21"/>
        <v>Updated</v>
      </c>
    </row>
    <row r="686" spans="1:11" x14ac:dyDescent="0.25">
      <c r="A686" s="15">
        <f>'Raw Data'!A686</f>
        <v>684</v>
      </c>
      <c r="B686" s="16">
        <f>'Raw Data'!D686</f>
        <v>45180.65625</v>
      </c>
      <c r="C686" s="15">
        <v>2023</v>
      </c>
      <c r="D686" s="15" t="str">
        <f t="shared" si="20"/>
        <v>September</v>
      </c>
      <c r="E686" s="15">
        <v>11</v>
      </c>
      <c r="F686" s="17">
        <v>0.65625</v>
      </c>
      <c r="G686" s="28"/>
      <c r="H686" s="15">
        <f>'Raw Data'!A686</f>
        <v>684</v>
      </c>
      <c r="I686" s="15" t="str">
        <f>'Raw Data'!J686</f>
        <v xml:space="preserve"> USA</v>
      </c>
      <c r="J686" s="15" t="s">
        <v>2543</v>
      </c>
      <c r="K686" s="15" t="str">
        <f t="shared" si="21"/>
        <v>Updated</v>
      </c>
    </row>
    <row r="687" spans="1:11" x14ac:dyDescent="0.25">
      <c r="A687" s="15">
        <f>'Raw Data'!A687</f>
        <v>685</v>
      </c>
      <c r="B687" s="16">
        <f>'Raw Data'!D687</f>
        <v>45181.520833333336</v>
      </c>
      <c r="C687" s="15">
        <v>2023</v>
      </c>
      <c r="D687" s="15" t="str">
        <f t="shared" si="20"/>
        <v>September</v>
      </c>
      <c r="E687" s="15">
        <v>12</v>
      </c>
      <c r="F687" s="17">
        <v>0.52083333333333337</v>
      </c>
      <c r="G687" s="28"/>
      <c r="H687" s="15">
        <f>'Raw Data'!A687</f>
        <v>685</v>
      </c>
      <c r="I687" s="15" t="str">
        <f>'Raw Data'!J687</f>
        <v xml:space="preserve"> Canada</v>
      </c>
      <c r="J687" s="15" t="s">
        <v>2038</v>
      </c>
      <c r="K687" s="15" t="str">
        <f t="shared" si="21"/>
        <v>No Change</v>
      </c>
    </row>
    <row r="688" spans="1:11" x14ac:dyDescent="0.25">
      <c r="A688" s="15">
        <f>'Raw Data'!A688</f>
        <v>686</v>
      </c>
      <c r="B688" s="16">
        <f>'Raw Data'!D688</f>
        <v>45182.697916666664</v>
      </c>
      <c r="C688" s="15">
        <v>2023</v>
      </c>
      <c r="D688" s="15" t="str">
        <f t="shared" si="20"/>
        <v>September</v>
      </c>
      <c r="E688" s="15">
        <v>13</v>
      </c>
      <c r="F688" s="17">
        <v>0.69791666666666663</v>
      </c>
      <c r="G688" s="28"/>
      <c r="H688" s="15">
        <f>'Raw Data'!A688</f>
        <v>686</v>
      </c>
      <c r="I688" s="15" t="str">
        <f>'Raw Data'!J688</f>
        <v xml:space="preserve"> UK</v>
      </c>
      <c r="J688" s="15" t="s">
        <v>2556</v>
      </c>
      <c r="K688" s="15" t="str">
        <f t="shared" si="21"/>
        <v>Updated</v>
      </c>
    </row>
    <row r="689" spans="1:11" x14ac:dyDescent="0.25">
      <c r="A689" s="15">
        <f>'Raw Data'!A689</f>
        <v>687</v>
      </c>
      <c r="B689" s="16">
        <f>'Raw Data'!D689</f>
        <v>45183.763888888891</v>
      </c>
      <c r="C689" s="15">
        <v>2023</v>
      </c>
      <c r="D689" s="15" t="str">
        <f t="shared" si="20"/>
        <v>September</v>
      </c>
      <c r="E689" s="15">
        <v>14</v>
      </c>
      <c r="F689" s="17">
        <v>0.76388888888888884</v>
      </c>
      <c r="G689" s="28"/>
      <c r="H689" s="15">
        <f>'Raw Data'!A689</f>
        <v>687</v>
      </c>
      <c r="I689" s="15" t="str">
        <f>'Raw Data'!J689</f>
        <v xml:space="preserve"> USA</v>
      </c>
      <c r="J689" s="15" t="s">
        <v>2543</v>
      </c>
      <c r="K689" s="15" t="str">
        <f t="shared" si="21"/>
        <v>Updated</v>
      </c>
    </row>
    <row r="690" spans="1:11" x14ac:dyDescent="0.25">
      <c r="A690" s="15">
        <f>'Raw Data'!A690</f>
        <v>688</v>
      </c>
      <c r="B690" s="16">
        <f>'Raw Data'!D690</f>
        <v>45184.59375</v>
      </c>
      <c r="C690" s="15">
        <v>2023</v>
      </c>
      <c r="D690" s="15" t="str">
        <f t="shared" si="20"/>
        <v>September</v>
      </c>
      <c r="E690" s="15">
        <v>15</v>
      </c>
      <c r="F690" s="17">
        <v>0.59375</v>
      </c>
      <c r="G690" s="28"/>
      <c r="H690" s="15">
        <f>'Raw Data'!A690</f>
        <v>688</v>
      </c>
      <c r="I690" s="15" t="str">
        <f>'Raw Data'!J690</f>
        <v xml:space="preserve"> Canada</v>
      </c>
      <c r="J690" s="15" t="s">
        <v>2038</v>
      </c>
      <c r="K690" s="15" t="str">
        <f t="shared" si="21"/>
        <v>No Change</v>
      </c>
    </row>
    <row r="691" spans="1:11" x14ac:dyDescent="0.25">
      <c r="A691" s="15">
        <f>'Raw Data'!A691</f>
        <v>689</v>
      </c>
      <c r="B691" s="16">
        <f>'Raw Data'!D691</f>
        <v>45185.729166666664</v>
      </c>
      <c r="C691" s="15">
        <v>2023</v>
      </c>
      <c r="D691" s="15" t="str">
        <f t="shared" si="20"/>
        <v>September</v>
      </c>
      <c r="E691" s="15">
        <v>16</v>
      </c>
      <c r="F691" s="17">
        <v>0.72916666666666663</v>
      </c>
      <c r="G691" s="28"/>
      <c r="H691" s="15">
        <f>'Raw Data'!A691</f>
        <v>689</v>
      </c>
      <c r="I691" s="15" t="str">
        <f>'Raw Data'!J691</f>
        <v xml:space="preserve"> UK</v>
      </c>
      <c r="J691" s="15" t="s">
        <v>2556</v>
      </c>
      <c r="K691" s="15" t="str">
        <f t="shared" si="21"/>
        <v>Updated</v>
      </c>
    </row>
    <row r="692" spans="1:11" x14ac:dyDescent="0.25">
      <c r="A692" s="15">
        <f>'Raw Data'!A692</f>
        <v>690</v>
      </c>
      <c r="B692" s="16">
        <f>'Raw Data'!D692</f>
        <v>45186.864583333336</v>
      </c>
      <c r="C692" s="15">
        <v>2023</v>
      </c>
      <c r="D692" s="15" t="str">
        <f t="shared" si="20"/>
        <v>September</v>
      </c>
      <c r="E692" s="15">
        <v>17</v>
      </c>
      <c r="F692" s="17">
        <v>0.86458333333333337</v>
      </c>
      <c r="G692" s="28"/>
      <c r="H692" s="15">
        <f>'Raw Data'!A692</f>
        <v>690</v>
      </c>
      <c r="I692" s="15" t="str">
        <f>'Raw Data'!J692</f>
        <v xml:space="preserve"> USA</v>
      </c>
      <c r="J692" s="15" t="s">
        <v>2543</v>
      </c>
      <c r="K692" s="15" t="str">
        <f t="shared" si="21"/>
        <v>Updated</v>
      </c>
    </row>
    <row r="693" spans="1:11" x14ac:dyDescent="0.25">
      <c r="A693" s="15">
        <f>'Raw Data'!A693</f>
        <v>691</v>
      </c>
      <c r="B693" s="16">
        <f>'Raw Data'!D693</f>
        <v>45187.916666666664</v>
      </c>
      <c r="C693" s="15">
        <v>2023</v>
      </c>
      <c r="D693" s="15" t="str">
        <f t="shared" si="20"/>
        <v>September</v>
      </c>
      <c r="E693" s="15">
        <v>18</v>
      </c>
      <c r="F693" s="17">
        <v>0.91666666666666663</v>
      </c>
      <c r="G693" s="28"/>
      <c r="H693" s="15">
        <f>'Raw Data'!A693</f>
        <v>691</v>
      </c>
      <c r="I693" s="15" t="str">
        <f>'Raw Data'!J693</f>
        <v xml:space="preserve"> Canada</v>
      </c>
      <c r="J693" s="15" t="s">
        <v>2038</v>
      </c>
      <c r="K693" s="15" t="str">
        <f t="shared" si="21"/>
        <v>No Change</v>
      </c>
    </row>
    <row r="694" spans="1:11" x14ac:dyDescent="0.25">
      <c r="A694" s="15">
        <f>'Raw Data'!A694</f>
        <v>692</v>
      </c>
      <c r="B694" s="16">
        <f>'Raw Data'!D694</f>
        <v>45188.635416666664</v>
      </c>
      <c r="C694" s="15">
        <v>2023</v>
      </c>
      <c r="D694" s="15" t="str">
        <f t="shared" si="20"/>
        <v>September</v>
      </c>
      <c r="E694" s="15">
        <v>19</v>
      </c>
      <c r="F694" s="17">
        <v>0.63541666666666663</v>
      </c>
      <c r="G694" s="28"/>
      <c r="H694" s="15">
        <f>'Raw Data'!A694</f>
        <v>692</v>
      </c>
      <c r="I694" s="15" t="str">
        <f>'Raw Data'!J694</f>
        <v xml:space="preserve"> UK</v>
      </c>
      <c r="J694" s="15" t="s">
        <v>2556</v>
      </c>
      <c r="K694" s="15" t="str">
        <f t="shared" si="21"/>
        <v>Updated</v>
      </c>
    </row>
    <row r="695" spans="1:11" x14ac:dyDescent="0.25">
      <c r="A695" s="15">
        <f>'Raw Data'!A695</f>
        <v>693</v>
      </c>
      <c r="B695" s="16">
        <f>'Raw Data'!D695</f>
        <v>45189.520833333336</v>
      </c>
      <c r="C695" s="15">
        <v>2023</v>
      </c>
      <c r="D695" s="15" t="str">
        <f t="shared" si="20"/>
        <v>September</v>
      </c>
      <c r="E695" s="15">
        <v>20</v>
      </c>
      <c r="F695" s="17">
        <v>0.52083333333333337</v>
      </c>
      <c r="G695" s="28"/>
      <c r="H695" s="15">
        <f>'Raw Data'!A695</f>
        <v>693</v>
      </c>
      <c r="I695" s="15" t="str">
        <f>'Raw Data'!J695</f>
        <v xml:space="preserve"> USA</v>
      </c>
      <c r="J695" s="15" t="s">
        <v>2543</v>
      </c>
      <c r="K695" s="15" t="str">
        <f t="shared" si="21"/>
        <v>Updated</v>
      </c>
    </row>
    <row r="696" spans="1:11" x14ac:dyDescent="0.25">
      <c r="A696" s="15">
        <f>'Raw Data'!A696</f>
        <v>694</v>
      </c>
      <c r="B696" s="16">
        <f>'Raw Data'!D696</f>
        <v>45190.697916666664</v>
      </c>
      <c r="C696" s="15">
        <v>2023</v>
      </c>
      <c r="D696" s="15" t="str">
        <f t="shared" si="20"/>
        <v>September</v>
      </c>
      <c r="E696" s="15">
        <v>21</v>
      </c>
      <c r="F696" s="17">
        <v>0.69791666666666663</v>
      </c>
      <c r="G696" s="28"/>
      <c r="H696" s="15">
        <f>'Raw Data'!A696</f>
        <v>694</v>
      </c>
      <c r="I696" s="15" t="str">
        <f>'Raw Data'!J696</f>
        <v xml:space="preserve"> Canada</v>
      </c>
      <c r="J696" s="15" t="s">
        <v>2038</v>
      </c>
      <c r="K696" s="15" t="str">
        <f t="shared" si="21"/>
        <v>No Change</v>
      </c>
    </row>
    <row r="697" spans="1:11" x14ac:dyDescent="0.25">
      <c r="A697" s="15">
        <f>'Raw Data'!A697</f>
        <v>695</v>
      </c>
      <c r="B697" s="16">
        <f>'Raw Data'!D697</f>
        <v>45191.763888888891</v>
      </c>
      <c r="C697" s="15">
        <v>2023</v>
      </c>
      <c r="D697" s="15" t="str">
        <f t="shared" si="20"/>
        <v>September</v>
      </c>
      <c r="E697" s="15">
        <v>22</v>
      </c>
      <c r="F697" s="17">
        <v>0.76388888888888884</v>
      </c>
      <c r="G697" s="28"/>
      <c r="H697" s="15">
        <f>'Raw Data'!A697</f>
        <v>695</v>
      </c>
      <c r="I697" s="15" t="str">
        <f>'Raw Data'!J697</f>
        <v xml:space="preserve"> UK</v>
      </c>
      <c r="J697" s="15" t="s">
        <v>2556</v>
      </c>
      <c r="K697" s="15" t="str">
        <f t="shared" si="21"/>
        <v>Updated</v>
      </c>
    </row>
    <row r="698" spans="1:11" x14ac:dyDescent="0.25">
      <c r="A698" s="15">
        <f>'Raw Data'!A698</f>
        <v>696</v>
      </c>
      <c r="B698" s="16">
        <f>'Raw Data'!D698</f>
        <v>45192.59375</v>
      </c>
      <c r="C698" s="15">
        <v>2023</v>
      </c>
      <c r="D698" s="15" t="str">
        <f t="shared" si="20"/>
        <v>September</v>
      </c>
      <c r="E698" s="15">
        <v>23</v>
      </c>
      <c r="F698" s="17">
        <v>0.59375</v>
      </c>
      <c r="G698" s="28"/>
      <c r="H698" s="15">
        <f>'Raw Data'!A698</f>
        <v>696</v>
      </c>
      <c r="I698" s="15" t="str">
        <f>'Raw Data'!J698</f>
        <v xml:space="preserve"> USA</v>
      </c>
      <c r="J698" s="15" t="s">
        <v>2543</v>
      </c>
      <c r="K698" s="15" t="str">
        <f t="shared" si="21"/>
        <v>Updated</v>
      </c>
    </row>
    <row r="699" spans="1:11" x14ac:dyDescent="0.25">
      <c r="A699" s="15">
        <f>'Raw Data'!A699</f>
        <v>697</v>
      </c>
      <c r="B699" s="16">
        <f>'Raw Data'!D699</f>
        <v>45193.729166666664</v>
      </c>
      <c r="C699" s="15">
        <v>2023</v>
      </c>
      <c r="D699" s="15" t="str">
        <f t="shared" si="20"/>
        <v>September</v>
      </c>
      <c r="E699" s="15">
        <v>24</v>
      </c>
      <c r="F699" s="17">
        <v>0.72916666666666663</v>
      </c>
      <c r="G699" s="28"/>
      <c r="H699" s="15">
        <f>'Raw Data'!A699</f>
        <v>697</v>
      </c>
      <c r="I699" s="15" t="str">
        <f>'Raw Data'!J699</f>
        <v xml:space="preserve"> Canada</v>
      </c>
      <c r="J699" s="15" t="s">
        <v>2038</v>
      </c>
      <c r="K699" s="15" t="str">
        <f t="shared" si="21"/>
        <v>No Change</v>
      </c>
    </row>
    <row r="700" spans="1:11" x14ac:dyDescent="0.25">
      <c r="A700" s="15">
        <f>'Raw Data'!A700</f>
        <v>698</v>
      </c>
      <c r="B700" s="16">
        <f>'Raw Data'!D700</f>
        <v>45194.864583333336</v>
      </c>
      <c r="C700" s="15">
        <v>2023</v>
      </c>
      <c r="D700" s="15" t="str">
        <f t="shared" si="20"/>
        <v>September</v>
      </c>
      <c r="E700" s="15">
        <v>25</v>
      </c>
      <c r="F700" s="17">
        <v>0.86458333333333337</v>
      </c>
      <c r="G700" s="28"/>
      <c r="H700" s="15">
        <f>'Raw Data'!A700</f>
        <v>698</v>
      </c>
      <c r="I700" s="15" t="str">
        <f>'Raw Data'!J700</f>
        <v xml:space="preserve"> UK</v>
      </c>
      <c r="J700" s="15" t="s">
        <v>2556</v>
      </c>
      <c r="K700" s="15" t="str">
        <f t="shared" si="21"/>
        <v>Updated</v>
      </c>
    </row>
    <row r="701" spans="1:11" x14ac:dyDescent="0.25">
      <c r="A701" s="15">
        <f>'Raw Data'!A701</f>
        <v>699</v>
      </c>
      <c r="B701" s="16">
        <f>'Raw Data'!D701</f>
        <v>45195.59375</v>
      </c>
      <c r="C701" s="15">
        <v>2023</v>
      </c>
      <c r="D701" s="15" t="str">
        <f t="shared" si="20"/>
        <v>September</v>
      </c>
      <c r="E701" s="15">
        <v>26</v>
      </c>
      <c r="F701" s="17">
        <v>0.59375</v>
      </c>
      <c r="G701" s="28"/>
      <c r="H701" s="15">
        <f>'Raw Data'!A701</f>
        <v>699</v>
      </c>
      <c r="I701" s="15" t="str">
        <f>'Raw Data'!J701</f>
        <v xml:space="preserve"> USA</v>
      </c>
      <c r="J701" s="15" t="s">
        <v>2543</v>
      </c>
      <c r="K701" s="15" t="str">
        <f t="shared" si="21"/>
        <v>Updated</v>
      </c>
    </row>
    <row r="702" spans="1:11" x14ac:dyDescent="0.25">
      <c r="A702" s="15">
        <f>'Raw Data'!A702</f>
        <v>700</v>
      </c>
      <c r="B702" s="16">
        <f>'Raw Data'!D702</f>
        <v>45196.729166666664</v>
      </c>
      <c r="C702" s="15">
        <v>2023</v>
      </c>
      <c r="D702" s="15" t="str">
        <f t="shared" si="20"/>
        <v>September</v>
      </c>
      <c r="E702" s="15">
        <v>27</v>
      </c>
      <c r="F702" s="17">
        <v>0.72916666666666663</v>
      </c>
      <c r="G702" s="28"/>
      <c r="H702" s="15">
        <f>'Raw Data'!A702</f>
        <v>700</v>
      </c>
      <c r="I702" s="15" t="str">
        <f>'Raw Data'!J702</f>
        <v xml:space="preserve"> Canada</v>
      </c>
      <c r="J702" s="15" t="s">
        <v>2038</v>
      </c>
      <c r="K702" s="15" t="str">
        <f t="shared" si="21"/>
        <v>No Change</v>
      </c>
    </row>
    <row r="703" spans="1:11" x14ac:dyDescent="0.25">
      <c r="A703" s="15">
        <f>'Raw Data'!A703</f>
        <v>701</v>
      </c>
      <c r="B703" s="16">
        <f>'Raw Data'!D703</f>
        <v>45197.916666666664</v>
      </c>
      <c r="C703" s="15">
        <v>2023</v>
      </c>
      <c r="D703" s="15" t="str">
        <f t="shared" si="20"/>
        <v>September</v>
      </c>
      <c r="E703" s="15">
        <v>28</v>
      </c>
      <c r="F703" s="17">
        <v>0.91666666666666663</v>
      </c>
      <c r="G703" s="28"/>
      <c r="H703" s="15">
        <f>'Raw Data'!A703</f>
        <v>701</v>
      </c>
      <c r="I703" s="15" t="str">
        <f>'Raw Data'!J703</f>
        <v xml:space="preserve"> UK</v>
      </c>
      <c r="J703" s="15" t="s">
        <v>2556</v>
      </c>
      <c r="K703" s="15" t="str">
        <f t="shared" si="21"/>
        <v>Updated</v>
      </c>
    </row>
    <row r="704" spans="1:11" x14ac:dyDescent="0.25">
      <c r="A704" s="15">
        <f>'Raw Data'!A704</f>
        <v>702</v>
      </c>
      <c r="B704" s="16">
        <f>'Raw Data'!D704</f>
        <v>45198.65625</v>
      </c>
      <c r="C704" s="15">
        <v>2023</v>
      </c>
      <c r="D704" s="15" t="str">
        <f t="shared" si="20"/>
        <v>September</v>
      </c>
      <c r="E704" s="15">
        <v>29</v>
      </c>
      <c r="F704" s="17">
        <v>0.65625</v>
      </c>
      <c r="G704" s="28"/>
      <c r="H704" s="15">
        <f>'Raw Data'!A704</f>
        <v>702</v>
      </c>
      <c r="I704" s="15" t="str">
        <f>'Raw Data'!J704</f>
        <v xml:space="preserve"> USA</v>
      </c>
      <c r="J704" s="15" t="s">
        <v>2543</v>
      </c>
      <c r="K704" s="15" t="str">
        <f t="shared" si="21"/>
        <v>Updated</v>
      </c>
    </row>
    <row r="705" spans="1:11" x14ac:dyDescent="0.25">
      <c r="A705" s="15">
        <f>'Raw Data'!A705</f>
        <v>703</v>
      </c>
      <c r="B705" s="16">
        <f>'Raw Data'!D705</f>
        <v>45199.763888888891</v>
      </c>
      <c r="C705" s="15">
        <v>2023</v>
      </c>
      <c r="D705" s="15" t="str">
        <f t="shared" si="20"/>
        <v>September</v>
      </c>
      <c r="E705" s="15">
        <v>30</v>
      </c>
      <c r="F705" s="17">
        <v>0.76388888888888884</v>
      </c>
      <c r="G705" s="28"/>
      <c r="H705" s="15">
        <f>'Raw Data'!A705</f>
        <v>703</v>
      </c>
      <c r="I705" s="15" t="str">
        <f>'Raw Data'!J705</f>
        <v xml:space="preserve"> Canada</v>
      </c>
      <c r="J705" s="15" t="s">
        <v>2038</v>
      </c>
      <c r="K705" s="15" t="str">
        <f t="shared" si="21"/>
        <v>No Change</v>
      </c>
    </row>
    <row r="706" spans="1:11" x14ac:dyDescent="0.25">
      <c r="A706" s="15">
        <f>'Raw Data'!A706</f>
        <v>704</v>
      </c>
      <c r="B706" s="16">
        <f>'Raw Data'!D706</f>
        <v>45200.59375</v>
      </c>
      <c r="C706" s="15">
        <v>2023</v>
      </c>
      <c r="D706" s="15" t="str">
        <f t="shared" si="20"/>
        <v>October</v>
      </c>
      <c r="E706" s="15">
        <v>1</v>
      </c>
      <c r="F706" s="17">
        <v>0.59375</v>
      </c>
      <c r="G706" s="28"/>
      <c r="H706" s="15">
        <f>'Raw Data'!A706</f>
        <v>704</v>
      </c>
      <c r="I706" s="15" t="str">
        <f>'Raw Data'!J706</f>
        <v xml:space="preserve"> UK</v>
      </c>
      <c r="J706" s="15" t="s">
        <v>2556</v>
      </c>
      <c r="K706" s="15" t="str">
        <f t="shared" si="21"/>
        <v>Updated</v>
      </c>
    </row>
    <row r="707" spans="1:11" x14ac:dyDescent="0.25">
      <c r="A707" s="15">
        <f>'Raw Data'!A707</f>
        <v>705</v>
      </c>
      <c r="B707" s="16">
        <f>'Raw Data'!D707</f>
        <v>45201.697916666664</v>
      </c>
      <c r="C707" s="15">
        <v>2023</v>
      </c>
      <c r="D707" s="15" t="str">
        <f t="shared" si="20"/>
        <v>October</v>
      </c>
      <c r="E707" s="15">
        <v>2</v>
      </c>
      <c r="F707" s="17">
        <v>0.69791666666666663</v>
      </c>
      <c r="G707" s="28"/>
      <c r="H707" s="15">
        <f>'Raw Data'!A707</f>
        <v>705</v>
      </c>
      <c r="I707" s="15" t="str">
        <f>'Raw Data'!J707</f>
        <v xml:space="preserve"> USA</v>
      </c>
      <c r="J707" s="15" t="s">
        <v>2543</v>
      </c>
      <c r="K707" s="15" t="str">
        <f t="shared" si="21"/>
        <v>Updated</v>
      </c>
    </row>
    <row r="708" spans="1:11" x14ac:dyDescent="0.25">
      <c r="A708" s="15">
        <f>'Raw Data'!A708</f>
        <v>706</v>
      </c>
      <c r="B708" s="16">
        <f>'Raw Data'!D708</f>
        <v>45202.520833333336</v>
      </c>
      <c r="C708" s="15">
        <v>2023</v>
      </c>
      <c r="D708" s="15" t="str">
        <f t="shared" ref="D708:D734" si="22">TEXT(B708,"MMMM")</f>
        <v>October</v>
      </c>
      <c r="E708" s="15">
        <v>3</v>
      </c>
      <c r="F708" s="17">
        <v>0.52083333333333337</v>
      </c>
      <c r="G708" s="28"/>
      <c r="H708" s="15">
        <f>'Raw Data'!A708</f>
        <v>706</v>
      </c>
      <c r="I708" s="15" t="str">
        <f>'Raw Data'!J708</f>
        <v xml:space="preserve"> Canada</v>
      </c>
      <c r="J708" s="15" t="s">
        <v>2038</v>
      </c>
      <c r="K708" s="15" t="str">
        <f t="shared" ref="K708:K734" si="23">IF(I708=J708,"No Change","Updated")</f>
        <v>No Change</v>
      </c>
    </row>
    <row r="709" spans="1:11" x14ac:dyDescent="0.25">
      <c r="A709" s="15">
        <f>'Raw Data'!A709</f>
        <v>707</v>
      </c>
      <c r="B709" s="16">
        <f>'Raw Data'!D709</f>
        <v>45203.763888888891</v>
      </c>
      <c r="C709" s="15">
        <v>2023</v>
      </c>
      <c r="D709" s="15" t="str">
        <f t="shared" si="22"/>
        <v>October</v>
      </c>
      <c r="E709" s="15">
        <v>4</v>
      </c>
      <c r="F709" s="17">
        <v>0.76388888888888884</v>
      </c>
      <c r="G709" s="28"/>
      <c r="H709" s="15">
        <f>'Raw Data'!A709</f>
        <v>707</v>
      </c>
      <c r="I709" s="15" t="str">
        <f>'Raw Data'!J709</f>
        <v xml:space="preserve"> UK</v>
      </c>
      <c r="J709" s="15" t="s">
        <v>2556</v>
      </c>
      <c r="K709" s="15" t="str">
        <f t="shared" si="23"/>
        <v>Updated</v>
      </c>
    </row>
    <row r="710" spans="1:11" x14ac:dyDescent="0.25">
      <c r="A710" s="15">
        <f>'Raw Data'!A710</f>
        <v>708</v>
      </c>
      <c r="B710" s="16">
        <f>'Raw Data'!D710</f>
        <v>45204.59375</v>
      </c>
      <c r="C710" s="15">
        <v>2023</v>
      </c>
      <c r="D710" s="15" t="str">
        <f t="shared" si="22"/>
        <v>October</v>
      </c>
      <c r="E710" s="15">
        <v>5</v>
      </c>
      <c r="F710" s="17">
        <v>0.59375</v>
      </c>
      <c r="G710" s="28"/>
      <c r="H710" s="15">
        <f>'Raw Data'!A710</f>
        <v>708</v>
      </c>
      <c r="I710" s="15" t="str">
        <f>'Raw Data'!J710</f>
        <v xml:space="preserve"> USA</v>
      </c>
      <c r="J710" s="15" t="s">
        <v>2543</v>
      </c>
      <c r="K710" s="15" t="str">
        <f t="shared" si="23"/>
        <v>Updated</v>
      </c>
    </row>
    <row r="711" spans="1:11" x14ac:dyDescent="0.25">
      <c r="A711" s="15">
        <f>'Raw Data'!A711</f>
        <v>709</v>
      </c>
      <c r="B711" s="16">
        <f>'Raw Data'!D711</f>
        <v>45205.729166666664</v>
      </c>
      <c r="C711" s="15">
        <v>2023</v>
      </c>
      <c r="D711" s="15" t="str">
        <f t="shared" si="22"/>
        <v>October</v>
      </c>
      <c r="E711" s="15">
        <v>6</v>
      </c>
      <c r="F711" s="17">
        <v>0.72916666666666663</v>
      </c>
      <c r="G711" s="28"/>
      <c r="H711" s="15">
        <f>'Raw Data'!A711</f>
        <v>709</v>
      </c>
      <c r="I711" s="15" t="str">
        <f>'Raw Data'!J711</f>
        <v xml:space="preserve"> Canada</v>
      </c>
      <c r="J711" s="15" t="s">
        <v>2038</v>
      </c>
      <c r="K711" s="15" t="str">
        <f t="shared" si="23"/>
        <v>No Change</v>
      </c>
    </row>
    <row r="712" spans="1:11" x14ac:dyDescent="0.25">
      <c r="A712" s="15">
        <f>'Raw Data'!A712</f>
        <v>710</v>
      </c>
      <c r="B712" s="16">
        <f>'Raw Data'!D712</f>
        <v>45206.864583333336</v>
      </c>
      <c r="C712" s="15">
        <v>2023</v>
      </c>
      <c r="D712" s="15" t="str">
        <f t="shared" si="22"/>
        <v>October</v>
      </c>
      <c r="E712" s="15">
        <v>7</v>
      </c>
      <c r="F712" s="17">
        <v>0.86458333333333337</v>
      </c>
      <c r="G712" s="28"/>
      <c r="H712" s="15">
        <f>'Raw Data'!A712</f>
        <v>710</v>
      </c>
      <c r="I712" s="15" t="str">
        <f>'Raw Data'!J712</f>
        <v xml:space="preserve"> UK</v>
      </c>
      <c r="J712" s="15" t="s">
        <v>2556</v>
      </c>
      <c r="K712" s="15" t="str">
        <f t="shared" si="23"/>
        <v>Updated</v>
      </c>
    </row>
    <row r="713" spans="1:11" x14ac:dyDescent="0.25">
      <c r="A713" s="15">
        <f>'Raw Data'!A713</f>
        <v>711</v>
      </c>
      <c r="B713" s="16">
        <f>'Raw Data'!D713</f>
        <v>45207.635416666664</v>
      </c>
      <c r="C713" s="15">
        <v>2023</v>
      </c>
      <c r="D713" s="15" t="str">
        <f t="shared" si="22"/>
        <v>October</v>
      </c>
      <c r="E713" s="15">
        <v>8</v>
      </c>
      <c r="F713" s="17">
        <v>0.63541666666666663</v>
      </c>
      <c r="G713" s="28"/>
      <c r="H713" s="15">
        <f>'Raw Data'!A713</f>
        <v>711</v>
      </c>
      <c r="I713" s="15" t="str">
        <f>'Raw Data'!J713</f>
        <v xml:space="preserve"> USA</v>
      </c>
      <c r="J713" s="15" t="s">
        <v>2543</v>
      </c>
      <c r="K713" s="15" t="str">
        <f t="shared" si="23"/>
        <v>Updated</v>
      </c>
    </row>
    <row r="714" spans="1:11" x14ac:dyDescent="0.25">
      <c r="A714" s="15">
        <f>'Raw Data'!A714</f>
        <v>712</v>
      </c>
      <c r="B714" s="16">
        <f>'Raw Data'!D714</f>
        <v>45208.916666666664</v>
      </c>
      <c r="C714" s="15">
        <v>2023</v>
      </c>
      <c r="D714" s="15" t="str">
        <f t="shared" si="22"/>
        <v>October</v>
      </c>
      <c r="E714" s="15">
        <v>9</v>
      </c>
      <c r="F714" s="17">
        <v>0.91666666666666663</v>
      </c>
      <c r="G714" s="28"/>
      <c r="H714" s="15">
        <f>'Raw Data'!A714</f>
        <v>712</v>
      </c>
      <c r="I714" s="15" t="str">
        <f>'Raw Data'!J714</f>
        <v xml:space="preserve"> Canada</v>
      </c>
      <c r="J714" s="15" t="s">
        <v>2038</v>
      </c>
      <c r="K714" s="15" t="str">
        <f t="shared" si="23"/>
        <v>No Change</v>
      </c>
    </row>
    <row r="715" spans="1:11" x14ac:dyDescent="0.25">
      <c r="A715" s="15">
        <f>'Raw Data'!A715</f>
        <v>713</v>
      </c>
      <c r="B715" s="16">
        <f>'Raw Data'!D715</f>
        <v>45209.59375</v>
      </c>
      <c r="C715" s="15">
        <v>2023</v>
      </c>
      <c r="D715" s="15" t="str">
        <f t="shared" si="22"/>
        <v>October</v>
      </c>
      <c r="E715" s="15">
        <v>10</v>
      </c>
      <c r="F715" s="17">
        <v>0.59375</v>
      </c>
      <c r="G715" s="28"/>
      <c r="H715" s="15">
        <f>'Raw Data'!A715</f>
        <v>713</v>
      </c>
      <c r="I715" s="15" t="str">
        <f>'Raw Data'!J715</f>
        <v xml:space="preserve"> UK</v>
      </c>
      <c r="J715" s="15" t="s">
        <v>2556</v>
      </c>
      <c r="K715" s="15" t="str">
        <f t="shared" si="23"/>
        <v>Updated</v>
      </c>
    </row>
    <row r="716" spans="1:11" x14ac:dyDescent="0.25">
      <c r="A716" s="15">
        <f>'Raw Data'!A716</f>
        <v>714</v>
      </c>
      <c r="B716" s="16">
        <f>'Raw Data'!D716</f>
        <v>45210.697916666664</v>
      </c>
      <c r="C716" s="15">
        <v>2023</v>
      </c>
      <c r="D716" s="15" t="str">
        <f t="shared" si="22"/>
        <v>October</v>
      </c>
      <c r="E716" s="15">
        <v>11</v>
      </c>
      <c r="F716" s="17">
        <v>0.69791666666666663</v>
      </c>
      <c r="G716" s="28"/>
      <c r="H716" s="15">
        <f>'Raw Data'!A716</f>
        <v>714</v>
      </c>
      <c r="I716" s="15" t="str">
        <f>'Raw Data'!J716</f>
        <v xml:space="preserve"> USA</v>
      </c>
      <c r="J716" s="15" t="s">
        <v>2543</v>
      </c>
      <c r="K716" s="15" t="str">
        <f t="shared" si="23"/>
        <v>Updated</v>
      </c>
    </row>
    <row r="717" spans="1:11" x14ac:dyDescent="0.25">
      <c r="A717" s="15">
        <f>'Raw Data'!A717</f>
        <v>715</v>
      </c>
      <c r="B717" s="16">
        <f>'Raw Data'!D717</f>
        <v>45211.763888888891</v>
      </c>
      <c r="C717" s="15">
        <v>2023</v>
      </c>
      <c r="D717" s="15" t="str">
        <f t="shared" si="22"/>
        <v>October</v>
      </c>
      <c r="E717" s="15">
        <v>12</v>
      </c>
      <c r="F717" s="17">
        <v>0.76388888888888884</v>
      </c>
      <c r="G717" s="28"/>
      <c r="H717" s="15">
        <f>'Raw Data'!A717</f>
        <v>715</v>
      </c>
      <c r="I717" s="15" t="str">
        <f>'Raw Data'!J717</f>
        <v xml:space="preserve"> Canada</v>
      </c>
      <c r="J717" s="15" t="s">
        <v>2038</v>
      </c>
      <c r="K717" s="15" t="str">
        <f t="shared" si="23"/>
        <v>No Change</v>
      </c>
    </row>
    <row r="718" spans="1:11" x14ac:dyDescent="0.25">
      <c r="A718" s="15">
        <f>'Raw Data'!A718</f>
        <v>716</v>
      </c>
      <c r="B718" s="16">
        <f>'Raw Data'!D718</f>
        <v>45212.520833333336</v>
      </c>
      <c r="C718" s="15">
        <v>2023</v>
      </c>
      <c r="D718" s="15" t="str">
        <f t="shared" si="22"/>
        <v>October</v>
      </c>
      <c r="E718" s="15">
        <v>13</v>
      </c>
      <c r="F718" s="17">
        <v>0.52083333333333337</v>
      </c>
      <c r="G718" s="28"/>
      <c r="H718" s="15">
        <f>'Raw Data'!A718</f>
        <v>716</v>
      </c>
      <c r="I718" s="15" t="str">
        <f>'Raw Data'!J718</f>
        <v xml:space="preserve"> UK</v>
      </c>
      <c r="J718" s="15" t="s">
        <v>2556</v>
      </c>
      <c r="K718" s="15" t="str">
        <f t="shared" si="23"/>
        <v>Updated</v>
      </c>
    </row>
    <row r="719" spans="1:11" x14ac:dyDescent="0.25">
      <c r="A719" s="15">
        <f>'Raw Data'!A719</f>
        <v>717</v>
      </c>
      <c r="B719" s="16">
        <f>'Raw Data'!D719</f>
        <v>45213.729166666664</v>
      </c>
      <c r="C719" s="15">
        <v>2023</v>
      </c>
      <c r="D719" s="15" t="str">
        <f t="shared" si="22"/>
        <v>October</v>
      </c>
      <c r="E719" s="15">
        <v>14</v>
      </c>
      <c r="F719" s="17">
        <v>0.72916666666666663</v>
      </c>
      <c r="G719" s="28"/>
      <c r="H719" s="15">
        <f>'Raw Data'!A719</f>
        <v>717</v>
      </c>
      <c r="I719" s="15" t="str">
        <f>'Raw Data'!J719</f>
        <v xml:space="preserve"> USA</v>
      </c>
      <c r="J719" s="15" t="s">
        <v>2543</v>
      </c>
      <c r="K719" s="15" t="str">
        <f t="shared" si="23"/>
        <v>Updated</v>
      </c>
    </row>
    <row r="720" spans="1:11" x14ac:dyDescent="0.25">
      <c r="A720" s="15">
        <f>'Raw Data'!A720</f>
        <v>718</v>
      </c>
      <c r="B720" s="16">
        <f>'Raw Data'!D720</f>
        <v>45214.864583333336</v>
      </c>
      <c r="C720" s="15">
        <v>2023</v>
      </c>
      <c r="D720" s="15" t="str">
        <f t="shared" si="22"/>
        <v>October</v>
      </c>
      <c r="E720" s="15">
        <v>15</v>
      </c>
      <c r="F720" s="17">
        <v>0.86458333333333337</v>
      </c>
      <c r="G720" s="28"/>
      <c r="H720" s="15">
        <f>'Raw Data'!A720</f>
        <v>718</v>
      </c>
      <c r="I720" s="15" t="str">
        <f>'Raw Data'!J720</f>
        <v xml:space="preserve"> Canada</v>
      </c>
      <c r="J720" s="15" t="s">
        <v>2038</v>
      </c>
      <c r="K720" s="15" t="str">
        <f t="shared" si="23"/>
        <v>No Change</v>
      </c>
    </row>
    <row r="721" spans="1:11" x14ac:dyDescent="0.25">
      <c r="A721" s="15">
        <f>'Raw Data'!A721</f>
        <v>719</v>
      </c>
      <c r="B721" s="16">
        <f>'Raw Data'!D721</f>
        <v>45215.65625</v>
      </c>
      <c r="C721" s="15">
        <v>2023</v>
      </c>
      <c r="D721" s="15" t="str">
        <f t="shared" si="22"/>
        <v>October</v>
      </c>
      <c r="E721" s="15">
        <v>16</v>
      </c>
      <c r="F721" s="17">
        <v>0.65625</v>
      </c>
      <c r="G721" s="28"/>
      <c r="H721" s="15">
        <f>'Raw Data'!A721</f>
        <v>719</v>
      </c>
      <c r="I721" s="15" t="str">
        <f>'Raw Data'!J721</f>
        <v xml:space="preserve"> UK</v>
      </c>
      <c r="J721" s="15" t="s">
        <v>2556</v>
      </c>
      <c r="K721" s="15" t="str">
        <f t="shared" si="23"/>
        <v>Updated</v>
      </c>
    </row>
    <row r="722" spans="1:11" x14ac:dyDescent="0.25">
      <c r="A722" s="15">
        <f>'Raw Data'!A722</f>
        <v>720</v>
      </c>
      <c r="B722" s="16">
        <f>'Raw Data'!D722</f>
        <v>45216.520833333336</v>
      </c>
      <c r="C722" s="15">
        <v>2023</v>
      </c>
      <c r="D722" s="15" t="str">
        <f t="shared" si="22"/>
        <v>October</v>
      </c>
      <c r="E722" s="15">
        <v>17</v>
      </c>
      <c r="F722" s="17">
        <v>0.52083333333333337</v>
      </c>
      <c r="G722" s="28"/>
      <c r="H722" s="15">
        <f>'Raw Data'!A722</f>
        <v>720</v>
      </c>
      <c r="I722" s="15" t="str">
        <f>'Raw Data'!J722</f>
        <v xml:space="preserve"> USA</v>
      </c>
      <c r="J722" s="15" t="s">
        <v>2543</v>
      </c>
      <c r="K722" s="15" t="str">
        <f t="shared" si="23"/>
        <v>Updated</v>
      </c>
    </row>
    <row r="723" spans="1:11" x14ac:dyDescent="0.25">
      <c r="A723" s="15">
        <f>'Raw Data'!A723</f>
        <v>721</v>
      </c>
      <c r="B723" s="16">
        <f>'Raw Data'!D723</f>
        <v>45217.697916666664</v>
      </c>
      <c r="C723" s="15">
        <v>2023</v>
      </c>
      <c r="D723" s="15" t="str">
        <f t="shared" si="22"/>
        <v>October</v>
      </c>
      <c r="E723" s="15">
        <v>18</v>
      </c>
      <c r="F723" s="17">
        <v>0.69791666666666663</v>
      </c>
      <c r="G723" s="28"/>
      <c r="H723" s="15">
        <f>'Raw Data'!A723</f>
        <v>721</v>
      </c>
      <c r="I723" s="15" t="str">
        <f>'Raw Data'!J723</f>
        <v xml:space="preserve"> Canada</v>
      </c>
      <c r="J723" s="15" t="s">
        <v>2038</v>
      </c>
      <c r="K723" s="15" t="str">
        <f t="shared" si="23"/>
        <v>No Change</v>
      </c>
    </row>
    <row r="724" spans="1:11" x14ac:dyDescent="0.25">
      <c r="A724" s="15">
        <f>'Raw Data'!A724</f>
        <v>722</v>
      </c>
      <c r="B724" s="16">
        <f>'Raw Data'!D724</f>
        <v>45218.763888888891</v>
      </c>
      <c r="C724" s="15">
        <v>2023</v>
      </c>
      <c r="D724" s="15" t="str">
        <f t="shared" si="22"/>
        <v>October</v>
      </c>
      <c r="E724" s="15">
        <v>19</v>
      </c>
      <c r="F724" s="17">
        <v>0.76388888888888884</v>
      </c>
      <c r="G724" s="28"/>
      <c r="H724" s="15">
        <f>'Raw Data'!A724</f>
        <v>722</v>
      </c>
      <c r="I724" s="15" t="str">
        <f>'Raw Data'!J724</f>
        <v xml:space="preserve"> UK</v>
      </c>
      <c r="J724" s="15" t="s">
        <v>2556</v>
      </c>
      <c r="K724" s="15" t="str">
        <f t="shared" si="23"/>
        <v>Updated</v>
      </c>
    </row>
    <row r="725" spans="1:11" x14ac:dyDescent="0.25">
      <c r="A725" s="15">
        <f>'Raw Data'!A725</f>
        <v>723</v>
      </c>
      <c r="B725" s="16">
        <f>'Raw Data'!D725</f>
        <v>45219.59375</v>
      </c>
      <c r="C725" s="15">
        <v>2023</v>
      </c>
      <c r="D725" s="15" t="str">
        <f t="shared" si="22"/>
        <v>October</v>
      </c>
      <c r="E725" s="15">
        <v>20</v>
      </c>
      <c r="F725" s="17">
        <v>0.59375</v>
      </c>
      <c r="G725" s="28"/>
      <c r="H725" s="15">
        <f>'Raw Data'!A725</f>
        <v>723</v>
      </c>
      <c r="I725" s="15" t="str">
        <f>'Raw Data'!J725</f>
        <v xml:space="preserve"> USA</v>
      </c>
      <c r="J725" s="15" t="s">
        <v>2543</v>
      </c>
      <c r="K725" s="15" t="str">
        <f t="shared" si="23"/>
        <v>Updated</v>
      </c>
    </row>
    <row r="726" spans="1:11" x14ac:dyDescent="0.25">
      <c r="A726" s="15">
        <f>'Raw Data'!A726</f>
        <v>724</v>
      </c>
      <c r="B726" s="16">
        <f>'Raw Data'!D726</f>
        <v>45220.729166666664</v>
      </c>
      <c r="C726" s="15">
        <v>2023</v>
      </c>
      <c r="D726" s="15" t="str">
        <f t="shared" si="22"/>
        <v>October</v>
      </c>
      <c r="E726" s="15">
        <v>21</v>
      </c>
      <c r="F726" s="17">
        <v>0.72916666666666663</v>
      </c>
      <c r="G726" s="28"/>
      <c r="H726" s="15">
        <f>'Raw Data'!A726</f>
        <v>724</v>
      </c>
      <c r="I726" s="15" t="str">
        <f>'Raw Data'!J726</f>
        <v xml:space="preserve"> Canada</v>
      </c>
      <c r="J726" s="15" t="s">
        <v>2038</v>
      </c>
      <c r="K726" s="15" t="str">
        <f t="shared" si="23"/>
        <v>No Change</v>
      </c>
    </row>
    <row r="727" spans="1:11" x14ac:dyDescent="0.25">
      <c r="A727" s="15">
        <f>'Raw Data'!A727</f>
        <v>725</v>
      </c>
      <c r="B727" s="16">
        <f>'Raw Data'!D727</f>
        <v>45221.864583333336</v>
      </c>
      <c r="C727" s="15">
        <v>2023</v>
      </c>
      <c r="D727" s="15" t="str">
        <f t="shared" si="22"/>
        <v>October</v>
      </c>
      <c r="E727" s="15">
        <v>22</v>
      </c>
      <c r="F727" s="17">
        <v>0.86458333333333337</v>
      </c>
      <c r="G727" s="28"/>
      <c r="H727" s="15">
        <f>'Raw Data'!A727</f>
        <v>725</v>
      </c>
      <c r="I727" s="15" t="str">
        <f>'Raw Data'!J727</f>
        <v xml:space="preserve"> UK</v>
      </c>
      <c r="J727" s="15" t="s">
        <v>2556</v>
      </c>
      <c r="K727" s="15" t="str">
        <f t="shared" si="23"/>
        <v>Updated</v>
      </c>
    </row>
    <row r="728" spans="1:11" x14ac:dyDescent="0.25">
      <c r="A728" s="15">
        <f>'Raw Data'!A728</f>
        <v>726</v>
      </c>
      <c r="B728" s="16">
        <f>'Raw Data'!D728</f>
        <v>42318.697916666664</v>
      </c>
      <c r="C728" s="15">
        <v>2015</v>
      </c>
      <c r="D728" s="15" t="str">
        <f t="shared" si="22"/>
        <v>November</v>
      </c>
      <c r="E728" s="15">
        <v>10</v>
      </c>
      <c r="F728" s="17">
        <v>0.69791666666666663</v>
      </c>
      <c r="G728" s="28"/>
      <c r="H728" s="15">
        <f>'Raw Data'!A728</f>
        <v>726</v>
      </c>
      <c r="I728" s="15" t="str">
        <f>'Raw Data'!J728</f>
        <v xml:space="preserve"> USA</v>
      </c>
      <c r="J728" s="15" t="s">
        <v>2543</v>
      </c>
      <c r="K728" s="15" t="str">
        <f t="shared" si="23"/>
        <v>Updated</v>
      </c>
    </row>
    <row r="729" spans="1:11" x14ac:dyDescent="0.25">
      <c r="A729" s="15">
        <f>'Raw Data'!A729</f>
        <v>727</v>
      </c>
      <c r="B729" s="16">
        <f>'Raw Data'!D729</f>
        <v>42627.520833333336</v>
      </c>
      <c r="C729" s="15">
        <v>2016</v>
      </c>
      <c r="D729" s="15" t="str">
        <f t="shared" si="22"/>
        <v>September</v>
      </c>
      <c r="E729" s="15">
        <v>14</v>
      </c>
      <c r="F729" s="17">
        <v>0.52083333333333337</v>
      </c>
      <c r="G729" s="28"/>
      <c r="H729" s="15">
        <f>'Raw Data'!A729</f>
        <v>727</v>
      </c>
      <c r="I729" s="15" t="str">
        <f>'Raw Data'!J729</f>
        <v xml:space="preserve"> Canada</v>
      </c>
      <c r="J729" s="15" t="s">
        <v>2038</v>
      </c>
      <c r="K729" s="15" t="str">
        <f t="shared" si="23"/>
        <v>No Change</v>
      </c>
    </row>
    <row r="730" spans="1:11" x14ac:dyDescent="0.25">
      <c r="A730" s="15">
        <f>'Raw Data'!A730</f>
        <v>728</v>
      </c>
      <c r="B730" s="16">
        <f>'Raw Data'!D730</f>
        <v>42965.763888888891</v>
      </c>
      <c r="C730" s="15">
        <v>2017</v>
      </c>
      <c r="D730" s="15" t="str">
        <f t="shared" si="22"/>
        <v>August</v>
      </c>
      <c r="E730" s="15">
        <v>18</v>
      </c>
      <c r="F730" s="17">
        <v>0.76388888888888884</v>
      </c>
      <c r="G730" s="28"/>
      <c r="H730" s="15">
        <f>'Raw Data'!A730</f>
        <v>728</v>
      </c>
      <c r="I730" s="15" t="str">
        <f>'Raw Data'!J730</f>
        <v xml:space="preserve"> UK</v>
      </c>
      <c r="J730" s="15" t="s">
        <v>2556</v>
      </c>
      <c r="K730" s="15" t="str">
        <f t="shared" si="23"/>
        <v>Updated</v>
      </c>
    </row>
    <row r="731" spans="1:11" x14ac:dyDescent="0.25">
      <c r="A731" s="15">
        <f>'Raw Data'!A731</f>
        <v>729</v>
      </c>
      <c r="B731" s="16">
        <f>'Raw Data'!D731</f>
        <v>43273.59375</v>
      </c>
      <c r="C731" s="15">
        <v>2018</v>
      </c>
      <c r="D731" s="15" t="str">
        <f t="shared" si="22"/>
        <v>June</v>
      </c>
      <c r="E731" s="15">
        <v>22</v>
      </c>
      <c r="F731" s="17">
        <v>0.59375</v>
      </c>
      <c r="G731" s="28"/>
      <c r="H731" s="15">
        <f>'Raw Data'!A731</f>
        <v>729</v>
      </c>
      <c r="I731" s="15" t="str">
        <f>'Raw Data'!J731</f>
        <v xml:space="preserve"> USA</v>
      </c>
      <c r="J731" s="15" t="s">
        <v>2543</v>
      </c>
      <c r="K731" s="15" t="str">
        <f t="shared" si="23"/>
        <v>Updated</v>
      </c>
    </row>
    <row r="732" spans="1:11" x14ac:dyDescent="0.25">
      <c r="A732" s="15">
        <f>'Raw Data'!A732</f>
        <v>730</v>
      </c>
      <c r="B732" s="16">
        <f>'Raw Data'!D732</f>
        <v>43560.729166666664</v>
      </c>
      <c r="C732" s="15">
        <v>2019</v>
      </c>
      <c r="D732" s="15" t="str">
        <f t="shared" si="22"/>
        <v>April</v>
      </c>
      <c r="E732" s="15">
        <v>5</v>
      </c>
      <c r="F732" s="17">
        <v>0.72916666666666663</v>
      </c>
      <c r="G732" s="28"/>
      <c r="H732" s="15">
        <f>'Raw Data'!A732</f>
        <v>730</v>
      </c>
      <c r="I732" s="15" t="str">
        <f>'Raw Data'!J732</f>
        <v xml:space="preserve"> Canada</v>
      </c>
      <c r="J732" s="15" t="s">
        <v>2038</v>
      </c>
      <c r="K732" s="15" t="str">
        <f t="shared" si="23"/>
        <v>No Change</v>
      </c>
    </row>
    <row r="733" spans="1:11" x14ac:dyDescent="0.25">
      <c r="A733" s="15">
        <f>'Raw Data'!A733</f>
        <v>731</v>
      </c>
      <c r="B733" s="16">
        <f>'Raw Data'!D733</f>
        <v>43890.864583333336</v>
      </c>
      <c r="C733" s="15">
        <v>2020</v>
      </c>
      <c r="D733" s="15" t="str">
        <f t="shared" si="22"/>
        <v>February</v>
      </c>
      <c r="E733" s="15">
        <v>29</v>
      </c>
      <c r="F733" s="17">
        <v>0.86458333333333337</v>
      </c>
      <c r="G733" s="28"/>
      <c r="H733" s="15">
        <f>'Raw Data'!A733</f>
        <v>731</v>
      </c>
      <c r="I733" s="15" t="str">
        <f>'Raw Data'!J733</f>
        <v xml:space="preserve"> UK</v>
      </c>
      <c r="J733" s="15" t="s">
        <v>2556</v>
      </c>
      <c r="K733" s="15" t="str">
        <f t="shared" si="23"/>
        <v>Updated</v>
      </c>
    </row>
    <row r="734" spans="1:11" x14ac:dyDescent="0.25">
      <c r="A734" s="15">
        <f>'Raw Data'!A734</f>
        <v>732</v>
      </c>
      <c r="B734" s="16">
        <f>'Raw Data'!D734</f>
        <v>44150.635416666664</v>
      </c>
      <c r="C734" s="15">
        <v>2020</v>
      </c>
      <c r="D734" s="15" t="str">
        <f t="shared" si="22"/>
        <v>November</v>
      </c>
      <c r="E734" s="15">
        <v>15</v>
      </c>
      <c r="F734" s="17">
        <v>0.63541666666666663</v>
      </c>
      <c r="G734" s="29"/>
      <c r="H734" s="15">
        <f>'Raw Data'!A734</f>
        <v>732</v>
      </c>
      <c r="I734" s="15" t="str">
        <f>'Raw Data'!J734</f>
        <v xml:space="preserve"> USA</v>
      </c>
      <c r="J734" s="15" t="s">
        <v>2543</v>
      </c>
      <c r="K734" s="15" t="str">
        <f t="shared" si="23"/>
        <v>Updated</v>
      </c>
    </row>
  </sheetData>
  <mergeCells count="2">
    <mergeCell ref="A1:F1"/>
    <mergeCell ref="G2:G734"/>
  </mergeCells>
  <conditionalFormatting sqref="A3:F734 H3:K734">
    <cfRule type="expression" dxfId="2" priority="1">
      <formula>MOD(ROW(),2)=0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B44F-99F9-4D5B-B095-329963A3F7AF}">
  <dimension ref="A1:C245"/>
  <sheetViews>
    <sheetView zoomScale="69" zoomScaleNormal="69" workbookViewId="0">
      <selection activeCell="B31" sqref="B31"/>
    </sheetView>
  </sheetViews>
  <sheetFormatPr defaultRowHeight="15" x14ac:dyDescent="0.25"/>
  <cols>
    <col min="1" max="1" width="22.7109375" customWidth="1"/>
    <col min="2" max="3" width="55.7109375" customWidth="1"/>
  </cols>
  <sheetData>
    <row r="1" spans="1:3" ht="30" customHeight="1" x14ac:dyDescent="0.25">
      <c r="A1" s="30" t="s">
        <v>2558</v>
      </c>
      <c r="B1" s="30"/>
      <c r="C1" s="30"/>
    </row>
    <row r="2" spans="1:3" ht="21.95" customHeight="1" x14ac:dyDescent="0.25">
      <c r="A2" s="19" t="s">
        <v>2559</v>
      </c>
      <c r="B2" s="19" t="s">
        <v>2560</v>
      </c>
      <c r="C2" s="19" t="s">
        <v>2561</v>
      </c>
    </row>
    <row r="3" spans="1:3" ht="35.1" customHeight="1" x14ac:dyDescent="0.25">
      <c r="A3" s="20" t="s">
        <v>2562</v>
      </c>
      <c r="B3" s="20" t="s">
        <v>2563</v>
      </c>
      <c r="C3" s="20" t="s">
        <v>2564</v>
      </c>
    </row>
    <row r="4" spans="1:3" ht="35.1" customHeight="1" x14ac:dyDescent="0.25">
      <c r="A4" s="20" t="s">
        <v>2565</v>
      </c>
      <c r="B4" s="20" t="s">
        <v>2566</v>
      </c>
      <c r="C4" s="20" t="s">
        <v>2567</v>
      </c>
    </row>
    <row r="5" spans="1:3" ht="35.1" customHeight="1" x14ac:dyDescent="0.25">
      <c r="A5" s="20" t="s">
        <v>2568</v>
      </c>
      <c r="B5" s="20" t="s">
        <v>2569</v>
      </c>
      <c r="C5" s="20" t="s">
        <v>2570</v>
      </c>
    </row>
    <row r="6" spans="1:3" ht="35.1" customHeight="1" x14ac:dyDescent="0.25">
      <c r="A6" s="20" t="s">
        <v>2571</v>
      </c>
      <c r="B6" s="20" t="s">
        <v>2572</v>
      </c>
      <c r="C6" s="20" t="s">
        <v>2573</v>
      </c>
    </row>
    <row r="7" spans="1:3" ht="35.1" customHeight="1" x14ac:dyDescent="0.25">
      <c r="A7" s="20" t="s">
        <v>2574</v>
      </c>
      <c r="B7" s="20" t="s">
        <v>2575</v>
      </c>
      <c r="C7" s="20" t="s">
        <v>2576</v>
      </c>
    </row>
    <row r="8" spans="1:3" ht="35.1" customHeight="1" x14ac:dyDescent="0.25">
      <c r="A8" s="20" t="s">
        <v>2577</v>
      </c>
      <c r="B8" s="20" t="s">
        <v>2578</v>
      </c>
      <c r="C8" s="20" t="s">
        <v>2579</v>
      </c>
    </row>
    <row r="9" spans="1:3" ht="35.1" customHeight="1" x14ac:dyDescent="0.25">
      <c r="A9" s="20" t="s">
        <v>2580</v>
      </c>
      <c r="B9" s="20" t="s">
        <v>2581</v>
      </c>
      <c r="C9" s="20" t="s">
        <v>2582</v>
      </c>
    </row>
    <row r="10" spans="1:3" ht="35.1" customHeight="1" x14ac:dyDescent="0.25">
      <c r="A10" s="20" t="s">
        <v>2583</v>
      </c>
      <c r="B10" s="20" t="s">
        <v>2584</v>
      </c>
      <c r="C10" s="20" t="s">
        <v>2585</v>
      </c>
    </row>
    <row r="11" spans="1:3" ht="35.1" customHeight="1" x14ac:dyDescent="0.25">
      <c r="A11" s="20" t="s">
        <v>2586</v>
      </c>
      <c r="B11" s="20" t="s">
        <v>2587</v>
      </c>
      <c r="C11" s="20" t="s">
        <v>2588</v>
      </c>
    </row>
    <row r="12" spans="1:3" ht="35.1" customHeight="1" x14ac:dyDescent="0.25">
      <c r="A12" s="20" t="s">
        <v>2589</v>
      </c>
      <c r="B12" s="20" t="s">
        <v>2590</v>
      </c>
      <c r="C12" s="20" t="s">
        <v>2591</v>
      </c>
    </row>
    <row r="13" spans="1:3" ht="35.1" customHeight="1" x14ac:dyDescent="0.25">
      <c r="A13" s="20" t="s">
        <v>2592</v>
      </c>
      <c r="B13" s="20" t="s">
        <v>2593</v>
      </c>
      <c r="C13" s="20" t="s">
        <v>2594</v>
      </c>
    </row>
    <row r="14" spans="1:3" x14ac:dyDescent="0.25">
      <c r="A14" s="18"/>
      <c r="B14" s="18"/>
      <c r="C14" s="18"/>
    </row>
    <row r="15" spans="1:3" x14ac:dyDescent="0.25">
      <c r="A15" s="31" t="s">
        <v>2872</v>
      </c>
      <c r="B15" s="31"/>
      <c r="C15" s="31"/>
    </row>
    <row r="16" spans="1:3" x14ac:dyDescent="0.25">
      <c r="A16" s="18"/>
      <c r="B16" s="18"/>
      <c r="C16" s="18"/>
    </row>
    <row r="17" spans="1:3" ht="18" x14ac:dyDescent="0.25">
      <c r="A17" s="30" t="s">
        <v>2841</v>
      </c>
      <c r="B17" s="30"/>
      <c r="C17" s="30"/>
    </row>
    <row r="18" spans="1:3" x14ac:dyDescent="0.25">
      <c r="A18" s="19" t="s">
        <v>2559</v>
      </c>
      <c r="B18" s="19" t="s">
        <v>2560</v>
      </c>
      <c r="C18" s="19" t="s">
        <v>2561</v>
      </c>
    </row>
    <row r="19" spans="1:3" ht="30" x14ac:dyDescent="0.25">
      <c r="A19" s="20" t="s">
        <v>2842</v>
      </c>
      <c r="B19" s="20" t="s">
        <v>2843</v>
      </c>
      <c r="C19" s="20" t="s">
        <v>2844</v>
      </c>
    </row>
    <row r="20" spans="1:3" ht="30" x14ac:dyDescent="0.25">
      <c r="A20" s="20" t="s">
        <v>2845</v>
      </c>
      <c r="B20" s="20" t="s">
        <v>2846</v>
      </c>
      <c r="C20" s="20" t="s">
        <v>2847</v>
      </c>
    </row>
    <row r="21" spans="1:3" ht="30" x14ac:dyDescent="0.25">
      <c r="A21" s="20" t="s">
        <v>2848</v>
      </c>
      <c r="B21" s="20" t="s">
        <v>2849</v>
      </c>
      <c r="C21" s="20" t="s">
        <v>2850</v>
      </c>
    </row>
    <row r="22" spans="1:3" ht="30" x14ac:dyDescent="0.25">
      <c r="A22" s="20" t="s">
        <v>2851</v>
      </c>
      <c r="B22" s="20" t="s">
        <v>2852</v>
      </c>
      <c r="C22" s="20" t="s">
        <v>2853</v>
      </c>
    </row>
    <row r="23" spans="1:3" x14ac:dyDescent="0.25">
      <c r="A23" s="20" t="s">
        <v>2854</v>
      </c>
      <c r="B23" s="20" t="s">
        <v>2855</v>
      </c>
      <c r="C23" s="20" t="s">
        <v>2856</v>
      </c>
    </row>
    <row r="24" spans="1:3" ht="30" x14ac:dyDescent="0.25">
      <c r="A24" s="20" t="s">
        <v>2857</v>
      </c>
      <c r="B24" s="20" t="s">
        <v>2858</v>
      </c>
      <c r="C24" s="20" t="s">
        <v>2859</v>
      </c>
    </row>
    <row r="25" spans="1:3" ht="30" x14ac:dyDescent="0.25">
      <c r="A25" s="20" t="s">
        <v>2860</v>
      </c>
      <c r="B25" s="20" t="s">
        <v>2861</v>
      </c>
      <c r="C25" s="20" t="s">
        <v>2862</v>
      </c>
    </row>
    <row r="26" spans="1:3" ht="30" x14ac:dyDescent="0.25">
      <c r="A26" s="20" t="s">
        <v>2863</v>
      </c>
      <c r="B26" s="20" t="s">
        <v>2864</v>
      </c>
      <c r="C26" s="20" t="s">
        <v>2865</v>
      </c>
    </row>
    <row r="27" spans="1:3" ht="30" x14ac:dyDescent="0.25">
      <c r="A27" s="20" t="s">
        <v>2866</v>
      </c>
      <c r="B27" s="20" t="s">
        <v>2867</v>
      </c>
      <c r="C27" s="20" t="s">
        <v>2868</v>
      </c>
    </row>
    <row r="28" spans="1:3" x14ac:dyDescent="0.25">
      <c r="A28" s="20" t="s">
        <v>2869</v>
      </c>
      <c r="B28" s="20" t="s">
        <v>2870</v>
      </c>
      <c r="C28" s="20" t="s">
        <v>2871</v>
      </c>
    </row>
    <row r="29" spans="1:3" x14ac:dyDescent="0.25">
      <c r="A29" s="18"/>
      <c r="B29" s="18"/>
      <c r="C29" s="18"/>
    </row>
    <row r="30" spans="1:3" ht="15" customHeight="1" x14ac:dyDescent="0.25">
      <c r="A30" s="18"/>
      <c r="B30" s="18"/>
      <c r="C30" s="18"/>
    </row>
    <row r="31" spans="1:3" x14ac:dyDescent="0.25">
      <c r="A31" s="18"/>
      <c r="B31" s="18"/>
      <c r="C31" s="18"/>
    </row>
    <row r="32" spans="1:3" x14ac:dyDescent="0.25">
      <c r="A32" s="18"/>
      <c r="B32" s="18"/>
      <c r="C32" s="18"/>
    </row>
    <row r="33" spans="1:3" x14ac:dyDescent="0.25">
      <c r="A33" s="18"/>
      <c r="B33" s="18"/>
      <c r="C33" s="18"/>
    </row>
    <row r="34" spans="1:3" x14ac:dyDescent="0.25">
      <c r="A34" s="18"/>
      <c r="B34" s="18"/>
      <c r="C34" s="18"/>
    </row>
    <row r="35" spans="1:3" x14ac:dyDescent="0.25">
      <c r="A35" s="18"/>
      <c r="B35" s="18"/>
      <c r="C35" s="18"/>
    </row>
    <row r="36" spans="1:3" x14ac:dyDescent="0.25">
      <c r="A36" s="18"/>
      <c r="B36" s="18"/>
      <c r="C36" s="18"/>
    </row>
    <row r="37" spans="1:3" x14ac:dyDescent="0.25">
      <c r="A37" s="18"/>
      <c r="B37" s="18"/>
      <c r="C37" s="18"/>
    </row>
    <row r="38" spans="1:3" x14ac:dyDescent="0.25">
      <c r="A38" s="18"/>
      <c r="B38" s="18"/>
      <c r="C38" s="18"/>
    </row>
    <row r="39" spans="1:3" x14ac:dyDescent="0.25">
      <c r="A39" s="18"/>
      <c r="B39" s="18"/>
      <c r="C39" s="18"/>
    </row>
    <row r="40" spans="1:3" x14ac:dyDescent="0.25">
      <c r="A40" s="18"/>
      <c r="B40" s="18"/>
      <c r="C40" s="18"/>
    </row>
    <row r="41" spans="1:3" x14ac:dyDescent="0.25">
      <c r="A41" s="18"/>
      <c r="B41" s="18"/>
      <c r="C41" s="18"/>
    </row>
    <row r="42" spans="1:3" x14ac:dyDescent="0.25">
      <c r="A42" s="18"/>
      <c r="B42" s="18"/>
      <c r="C42" s="18"/>
    </row>
    <row r="43" spans="1:3" x14ac:dyDescent="0.25">
      <c r="A43" s="18"/>
      <c r="B43" s="18"/>
      <c r="C43" s="18"/>
    </row>
    <row r="44" spans="1:3" x14ac:dyDescent="0.25">
      <c r="A44" s="18"/>
      <c r="B44" s="18"/>
      <c r="C44" s="18"/>
    </row>
    <row r="45" spans="1:3" x14ac:dyDescent="0.25">
      <c r="A45" s="18"/>
      <c r="B45" s="18"/>
      <c r="C45" s="18"/>
    </row>
    <row r="46" spans="1:3" x14ac:dyDescent="0.25">
      <c r="A46" s="18"/>
      <c r="B46" s="18"/>
      <c r="C46" s="18"/>
    </row>
    <row r="47" spans="1:3" x14ac:dyDescent="0.25">
      <c r="A47" s="18"/>
      <c r="B47" s="18"/>
      <c r="C47" s="18"/>
    </row>
    <row r="48" spans="1:3" x14ac:dyDescent="0.25">
      <c r="A48" s="18"/>
      <c r="B48" s="18"/>
      <c r="C48" s="18"/>
    </row>
    <row r="49" spans="1:3" x14ac:dyDescent="0.25">
      <c r="A49" s="18"/>
      <c r="B49" s="18"/>
      <c r="C49" s="18"/>
    </row>
    <row r="50" spans="1:3" x14ac:dyDescent="0.25">
      <c r="A50" s="18"/>
      <c r="B50" s="18"/>
      <c r="C50" s="18"/>
    </row>
    <row r="51" spans="1:3" x14ac:dyDescent="0.25">
      <c r="A51" s="18"/>
      <c r="B51" s="18"/>
      <c r="C51" s="18"/>
    </row>
    <row r="52" spans="1:3" x14ac:dyDescent="0.25">
      <c r="A52" s="18"/>
      <c r="B52" s="18"/>
      <c r="C52" s="18"/>
    </row>
    <row r="53" spans="1:3" x14ac:dyDescent="0.25">
      <c r="A53" s="18"/>
      <c r="B53" s="18"/>
      <c r="C53" s="18"/>
    </row>
    <row r="54" spans="1:3" x14ac:dyDescent="0.25">
      <c r="A54" s="18"/>
      <c r="B54" s="18"/>
      <c r="C54" s="18"/>
    </row>
    <row r="55" spans="1:3" x14ac:dyDescent="0.25">
      <c r="A55" s="18"/>
      <c r="B55" s="18"/>
      <c r="C55" s="18"/>
    </row>
    <row r="56" spans="1:3" x14ac:dyDescent="0.25">
      <c r="A56" s="18"/>
      <c r="B56" s="18"/>
      <c r="C56" s="18"/>
    </row>
    <row r="57" spans="1:3" x14ac:dyDescent="0.25">
      <c r="A57" s="18"/>
      <c r="B57" s="18"/>
      <c r="C57" s="18"/>
    </row>
    <row r="58" spans="1:3" x14ac:dyDescent="0.25">
      <c r="A58" s="18"/>
      <c r="B58" s="18"/>
      <c r="C58" s="18"/>
    </row>
    <row r="59" spans="1:3" x14ac:dyDescent="0.25">
      <c r="A59" s="18"/>
      <c r="B59" s="18"/>
      <c r="C59" s="18"/>
    </row>
    <row r="60" spans="1:3" x14ac:dyDescent="0.25">
      <c r="A60" s="18"/>
      <c r="B60" s="18"/>
      <c r="C60" s="18"/>
    </row>
    <row r="61" spans="1:3" x14ac:dyDescent="0.25">
      <c r="A61" s="18"/>
      <c r="B61" s="18"/>
      <c r="C61" s="18"/>
    </row>
    <row r="62" spans="1:3" x14ac:dyDescent="0.25">
      <c r="A62" s="18"/>
      <c r="B62" s="18"/>
      <c r="C62" s="18"/>
    </row>
    <row r="63" spans="1:3" x14ac:dyDescent="0.25">
      <c r="A63" s="18"/>
      <c r="B63" s="18"/>
      <c r="C63" s="18"/>
    </row>
    <row r="64" spans="1:3" x14ac:dyDescent="0.25">
      <c r="A64" s="18"/>
      <c r="B64" s="18"/>
      <c r="C64" s="18"/>
    </row>
    <row r="65" spans="1:3" x14ac:dyDescent="0.25">
      <c r="A65" s="18"/>
      <c r="B65" s="18"/>
      <c r="C65" s="18"/>
    </row>
    <row r="66" spans="1:3" x14ac:dyDescent="0.25">
      <c r="A66" s="18"/>
      <c r="B66" s="18"/>
      <c r="C66" s="18"/>
    </row>
    <row r="67" spans="1:3" x14ac:dyDescent="0.25">
      <c r="A67" s="18"/>
      <c r="B67" s="18"/>
      <c r="C67" s="18"/>
    </row>
    <row r="68" spans="1:3" x14ac:dyDescent="0.25">
      <c r="A68" s="18"/>
      <c r="B68" s="18"/>
      <c r="C68" s="18"/>
    </row>
    <row r="69" spans="1:3" x14ac:dyDescent="0.25">
      <c r="A69" s="18"/>
      <c r="B69" s="18"/>
      <c r="C69" s="18"/>
    </row>
    <row r="70" spans="1:3" x14ac:dyDescent="0.25">
      <c r="A70" s="18"/>
      <c r="B70" s="18"/>
      <c r="C70" s="18"/>
    </row>
    <row r="71" spans="1:3" x14ac:dyDescent="0.25">
      <c r="A71" s="18"/>
      <c r="B71" s="18"/>
      <c r="C71" s="18"/>
    </row>
    <row r="72" spans="1:3" x14ac:dyDescent="0.25">
      <c r="A72" s="18"/>
      <c r="B72" s="18"/>
      <c r="C72" s="18"/>
    </row>
    <row r="73" spans="1:3" x14ac:dyDescent="0.25">
      <c r="A73" s="18"/>
      <c r="B73" s="18"/>
      <c r="C73" s="18"/>
    </row>
    <row r="74" spans="1:3" x14ac:dyDescent="0.25">
      <c r="A74" s="18"/>
      <c r="B74" s="18"/>
      <c r="C74" s="18"/>
    </row>
    <row r="75" spans="1:3" x14ac:dyDescent="0.25">
      <c r="A75" s="18"/>
      <c r="B75" s="18"/>
      <c r="C75" s="18"/>
    </row>
    <row r="76" spans="1:3" x14ac:dyDescent="0.25">
      <c r="A76" s="18"/>
      <c r="B76" s="18"/>
      <c r="C76" s="18"/>
    </row>
    <row r="77" spans="1:3" x14ac:dyDescent="0.25">
      <c r="A77" s="18"/>
      <c r="B77" s="18"/>
      <c r="C77" s="18"/>
    </row>
    <row r="78" spans="1:3" x14ac:dyDescent="0.25">
      <c r="A78" s="18"/>
      <c r="B78" s="18"/>
      <c r="C78" s="18"/>
    </row>
    <row r="79" spans="1:3" x14ac:dyDescent="0.25">
      <c r="A79" s="18"/>
      <c r="B79" s="18"/>
      <c r="C79" s="18"/>
    </row>
    <row r="80" spans="1:3" x14ac:dyDescent="0.25">
      <c r="A80" s="18"/>
      <c r="B80" s="18"/>
      <c r="C80" s="18"/>
    </row>
    <row r="81" spans="1:3" x14ac:dyDescent="0.25">
      <c r="A81" s="18"/>
      <c r="B81" s="18"/>
      <c r="C81" s="18"/>
    </row>
    <row r="82" spans="1:3" x14ac:dyDescent="0.25">
      <c r="A82" s="18"/>
      <c r="B82" s="18"/>
      <c r="C82" s="18"/>
    </row>
    <row r="83" spans="1:3" x14ac:dyDescent="0.25">
      <c r="A83" s="18"/>
      <c r="B83" s="18"/>
      <c r="C83" s="18"/>
    </row>
    <row r="84" spans="1:3" x14ac:dyDescent="0.25">
      <c r="A84" s="18"/>
      <c r="B84" s="18"/>
      <c r="C84" s="18"/>
    </row>
    <row r="85" spans="1:3" x14ac:dyDescent="0.25">
      <c r="A85" s="18"/>
      <c r="B85" s="18"/>
      <c r="C85" s="18"/>
    </row>
    <row r="86" spans="1:3" x14ac:dyDescent="0.25">
      <c r="A86" s="18"/>
      <c r="B86" s="18"/>
      <c r="C86" s="18"/>
    </row>
    <row r="87" spans="1:3" x14ac:dyDescent="0.25">
      <c r="A87" s="18"/>
      <c r="B87" s="18"/>
      <c r="C87" s="18"/>
    </row>
    <row r="88" spans="1:3" x14ac:dyDescent="0.25">
      <c r="A88" s="18"/>
      <c r="B88" s="18"/>
      <c r="C88" s="18"/>
    </row>
    <row r="89" spans="1:3" x14ac:dyDescent="0.25">
      <c r="A89" s="18"/>
      <c r="B89" s="18"/>
      <c r="C89" s="18"/>
    </row>
    <row r="90" spans="1:3" x14ac:dyDescent="0.25">
      <c r="A90" s="18"/>
      <c r="B90" s="18"/>
      <c r="C90" s="18"/>
    </row>
    <row r="91" spans="1:3" x14ac:dyDescent="0.25">
      <c r="A91" s="18"/>
      <c r="B91" s="18"/>
      <c r="C91" s="18"/>
    </row>
    <row r="92" spans="1:3" x14ac:dyDescent="0.25">
      <c r="A92" s="18"/>
      <c r="B92" s="18"/>
      <c r="C92" s="18"/>
    </row>
    <row r="93" spans="1:3" x14ac:dyDescent="0.25">
      <c r="A93" s="18"/>
      <c r="B93" s="18"/>
      <c r="C93" s="18"/>
    </row>
    <row r="94" spans="1:3" x14ac:dyDescent="0.25">
      <c r="A94" s="18"/>
      <c r="B94" s="18"/>
      <c r="C94" s="18"/>
    </row>
    <row r="95" spans="1:3" x14ac:dyDescent="0.25">
      <c r="A95" s="18"/>
      <c r="B95" s="18"/>
      <c r="C95" s="18"/>
    </row>
    <row r="96" spans="1:3" x14ac:dyDescent="0.25">
      <c r="A96" s="18"/>
      <c r="B96" s="18"/>
      <c r="C96" s="18"/>
    </row>
    <row r="97" spans="1:3" x14ac:dyDescent="0.25">
      <c r="A97" s="18"/>
      <c r="B97" s="18"/>
      <c r="C97" s="18"/>
    </row>
    <row r="98" spans="1:3" x14ac:dyDescent="0.25">
      <c r="A98" s="18"/>
      <c r="B98" s="18"/>
      <c r="C98" s="18"/>
    </row>
    <row r="99" spans="1:3" x14ac:dyDescent="0.25">
      <c r="A99" s="18"/>
      <c r="B99" s="18"/>
      <c r="C99" s="18"/>
    </row>
    <row r="100" spans="1:3" x14ac:dyDescent="0.25">
      <c r="A100" s="18"/>
      <c r="B100" s="18"/>
      <c r="C100" s="18"/>
    </row>
    <row r="101" spans="1:3" x14ac:dyDescent="0.25">
      <c r="A101" s="18"/>
      <c r="B101" s="18"/>
      <c r="C101" s="18"/>
    </row>
    <row r="102" spans="1:3" x14ac:dyDescent="0.25">
      <c r="A102" s="18"/>
      <c r="B102" s="18"/>
      <c r="C102" s="18"/>
    </row>
    <row r="103" spans="1:3" x14ac:dyDescent="0.25">
      <c r="A103" s="18"/>
      <c r="B103" s="18"/>
      <c r="C103" s="18"/>
    </row>
    <row r="104" spans="1:3" x14ac:dyDescent="0.25">
      <c r="A104" s="18"/>
      <c r="B104" s="18"/>
      <c r="C104" s="18"/>
    </row>
    <row r="105" spans="1:3" x14ac:dyDescent="0.25">
      <c r="A105" s="18"/>
      <c r="B105" s="18"/>
      <c r="C105" s="18"/>
    </row>
    <row r="106" spans="1:3" x14ac:dyDescent="0.25">
      <c r="A106" s="18"/>
      <c r="B106" s="18"/>
      <c r="C106" s="18"/>
    </row>
    <row r="107" spans="1:3" x14ac:dyDescent="0.25">
      <c r="A107" s="18"/>
      <c r="B107" s="18"/>
      <c r="C107" s="18"/>
    </row>
    <row r="108" spans="1:3" x14ac:dyDescent="0.25">
      <c r="A108" s="18"/>
      <c r="B108" s="18"/>
      <c r="C108" s="18"/>
    </row>
    <row r="109" spans="1:3" x14ac:dyDescent="0.25">
      <c r="A109" s="18"/>
      <c r="B109" s="18"/>
      <c r="C109" s="18"/>
    </row>
    <row r="110" spans="1:3" x14ac:dyDescent="0.25">
      <c r="A110" s="18"/>
      <c r="B110" s="18"/>
      <c r="C110" s="18"/>
    </row>
    <row r="111" spans="1:3" x14ac:dyDescent="0.25">
      <c r="A111" s="18"/>
      <c r="B111" s="18"/>
      <c r="C111" s="18"/>
    </row>
    <row r="112" spans="1:3" x14ac:dyDescent="0.25">
      <c r="A112" s="18"/>
      <c r="B112" s="18"/>
      <c r="C112" s="18"/>
    </row>
    <row r="113" spans="1:3" x14ac:dyDescent="0.25">
      <c r="A113" s="18"/>
      <c r="B113" s="18"/>
      <c r="C113" s="18"/>
    </row>
    <row r="114" spans="1:3" x14ac:dyDescent="0.25">
      <c r="A114" s="18"/>
      <c r="B114" s="18"/>
      <c r="C114" s="18"/>
    </row>
    <row r="115" spans="1:3" x14ac:dyDescent="0.25">
      <c r="A115" s="18"/>
      <c r="B115" s="18"/>
      <c r="C115" s="18"/>
    </row>
    <row r="116" spans="1:3" x14ac:dyDescent="0.25">
      <c r="A116" s="18"/>
      <c r="B116" s="18"/>
      <c r="C116" s="18"/>
    </row>
    <row r="117" spans="1:3" x14ac:dyDescent="0.25">
      <c r="A117" s="18"/>
      <c r="B117" s="18"/>
      <c r="C117" s="18"/>
    </row>
    <row r="118" spans="1:3" x14ac:dyDescent="0.25">
      <c r="A118" s="18"/>
      <c r="B118" s="18"/>
      <c r="C118" s="18"/>
    </row>
    <row r="119" spans="1:3" x14ac:dyDescent="0.25">
      <c r="A119" s="18"/>
      <c r="B119" s="18"/>
      <c r="C119" s="18"/>
    </row>
    <row r="120" spans="1:3" x14ac:dyDescent="0.25">
      <c r="A120" s="18"/>
      <c r="B120" s="18"/>
      <c r="C120" s="18"/>
    </row>
    <row r="121" spans="1:3" x14ac:dyDescent="0.25">
      <c r="A121" s="18"/>
      <c r="B121" s="18"/>
      <c r="C121" s="18"/>
    </row>
    <row r="122" spans="1:3" x14ac:dyDescent="0.25">
      <c r="A122" s="18"/>
      <c r="B122" s="18"/>
      <c r="C122" s="18"/>
    </row>
    <row r="123" spans="1:3" x14ac:dyDescent="0.25">
      <c r="A123" s="18"/>
      <c r="B123" s="18"/>
      <c r="C123" s="18"/>
    </row>
    <row r="124" spans="1:3" x14ac:dyDescent="0.25">
      <c r="A124" s="18"/>
      <c r="B124" s="18"/>
      <c r="C124" s="18"/>
    </row>
    <row r="125" spans="1:3" x14ac:dyDescent="0.25">
      <c r="A125" s="18"/>
      <c r="B125" s="18"/>
      <c r="C125" s="18"/>
    </row>
    <row r="126" spans="1:3" x14ac:dyDescent="0.25">
      <c r="A126" s="18"/>
      <c r="B126" s="18"/>
      <c r="C126" s="18"/>
    </row>
    <row r="127" spans="1:3" x14ac:dyDescent="0.25">
      <c r="A127" s="18"/>
      <c r="B127" s="18"/>
      <c r="C127" s="18"/>
    </row>
    <row r="128" spans="1:3" x14ac:dyDescent="0.25">
      <c r="A128" s="18"/>
      <c r="B128" s="18"/>
      <c r="C128" s="18"/>
    </row>
    <row r="129" spans="1:3" x14ac:dyDescent="0.25">
      <c r="A129" s="18"/>
      <c r="B129" s="18"/>
      <c r="C129" s="18"/>
    </row>
    <row r="130" spans="1:3" x14ac:dyDescent="0.25">
      <c r="A130" s="18"/>
      <c r="B130" s="18"/>
      <c r="C130" s="18"/>
    </row>
    <row r="131" spans="1:3" x14ac:dyDescent="0.25">
      <c r="A131" s="18"/>
      <c r="B131" s="18"/>
      <c r="C131" s="18"/>
    </row>
    <row r="132" spans="1:3" x14ac:dyDescent="0.25">
      <c r="A132" s="18"/>
      <c r="B132" s="18"/>
      <c r="C132" s="18"/>
    </row>
    <row r="133" spans="1:3" x14ac:dyDescent="0.25">
      <c r="A133" s="18"/>
      <c r="B133" s="18"/>
      <c r="C133" s="18"/>
    </row>
    <row r="134" spans="1:3" x14ac:dyDescent="0.25">
      <c r="A134" s="18"/>
      <c r="B134" s="18"/>
      <c r="C134" s="18"/>
    </row>
    <row r="135" spans="1:3" x14ac:dyDescent="0.25">
      <c r="A135" s="18"/>
      <c r="B135" s="18"/>
      <c r="C135" s="18"/>
    </row>
    <row r="136" spans="1:3" x14ac:dyDescent="0.25">
      <c r="A136" s="18"/>
      <c r="B136" s="18"/>
      <c r="C136" s="18"/>
    </row>
    <row r="137" spans="1:3" x14ac:dyDescent="0.25">
      <c r="A137" s="18"/>
      <c r="B137" s="18"/>
      <c r="C137" s="18"/>
    </row>
    <row r="138" spans="1:3" x14ac:dyDescent="0.25">
      <c r="A138" s="18"/>
      <c r="B138" s="18"/>
      <c r="C138" s="18"/>
    </row>
    <row r="139" spans="1:3" x14ac:dyDescent="0.25">
      <c r="A139" s="18"/>
      <c r="B139" s="18"/>
      <c r="C139" s="18"/>
    </row>
    <row r="140" spans="1:3" x14ac:dyDescent="0.25">
      <c r="A140" s="18"/>
      <c r="B140" s="18"/>
      <c r="C140" s="18"/>
    </row>
    <row r="141" spans="1:3" x14ac:dyDescent="0.25">
      <c r="A141" s="18"/>
      <c r="B141" s="18"/>
      <c r="C141" s="18"/>
    </row>
    <row r="142" spans="1:3" x14ac:dyDescent="0.25">
      <c r="A142" s="18"/>
      <c r="B142" s="18"/>
      <c r="C142" s="18"/>
    </row>
    <row r="143" spans="1:3" x14ac:dyDescent="0.25">
      <c r="A143" s="18"/>
      <c r="B143" s="18"/>
      <c r="C143" s="18"/>
    </row>
    <row r="144" spans="1:3" x14ac:dyDescent="0.25">
      <c r="A144" s="18"/>
      <c r="B144" s="18"/>
      <c r="C144" s="18"/>
    </row>
    <row r="145" spans="1:3" x14ac:dyDescent="0.25">
      <c r="A145" s="18"/>
      <c r="B145" s="18"/>
      <c r="C145" s="18"/>
    </row>
    <row r="146" spans="1:3" x14ac:dyDescent="0.25">
      <c r="A146" s="18"/>
      <c r="B146" s="18"/>
      <c r="C146" s="18"/>
    </row>
    <row r="147" spans="1:3" x14ac:dyDescent="0.25">
      <c r="A147" s="18"/>
      <c r="B147" s="18"/>
      <c r="C147" s="18"/>
    </row>
    <row r="148" spans="1:3" x14ac:dyDescent="0.25">
      <c r="A148" s="18"/>
      <c r="B148" s="18"/>
      <c r="C148" s="18"/>
    </row>
    <row r="149" spans="1:3" x14ac:dyDescent="0.25">
      <c r="A149" s="18"/>
      <c r="B149" s="18"/>
      <c r="C149" s="18"/>
    </row>
    <row r="150" spans="1:3" x14ac:dyDescent="0.25">
      <c r="A150" s="18"/>
      <c r="B150" s="18"/>
      <c r="C150" s="18"/>
    </row>
    <row r="151" spans="1:3" x14ac:dyDescent="0.25">
      <c r="A151" s="18"/>
      <c r="B151" s="18"/>
      <c r="C151" s="18"/>
    </row>
    <row r="152" spans="1:3" x14ac:dyDescent="0.25">
      <c r="A152" s="18"/>
      <c r="B152" s="18"/>
      <c r="C152" s="18"/>
    </row>
    <row r="153" spans="1:3" x14ac:dyDescent="0.25">
      <c r="A153" s="18"/>
      <c r="B153" s="18"/>
      <c r="C153" s="18"/>
    </row>
    <row r="154" spans="1:3" x14ac:dyDescent="0.25">
      <c r="A154" s="18"/>
      <c r="B154" s="18"/>
      <c r="C154" s="18"/>
    </row>
    <row r="155" spans="1:3" x14ac:dyDescent="0.25">
      <c r="A155" s="18"/>
      <c r="B155" s="18"/>
      <c r="C155" s="18"/>
    </row>
    <row r="156" spans="1:3" x14ac:dyDescent="0.25">
      <c r="A156" s="18"/>
      <c r="B156" s="18"/>
      <c r="C156" s="18"/>
    </row>
    <row r="157" spans="1:3" x14ac:dyDescent="0.25">
      <c r="A157" s="18"/>
      <c r="B157" s="18"/>
      <c r="C157" s="18"/>
    </row>
    <row r="158" spans="1:3" x14ac:dyDescent="0.25">
      <c r="A158" s="18"/>
      <c r="B158" s="18"/>
      <c r="C158" s="18"/>
    </row>
    <row r="159" spans="1:3" x14ac:dyDescent="0.25">
      <c r="A159" s="18"/>
      <c r="B159" s="18"/>
      <c r="C159" s="18"/>
    </row>
    <row r="160" spans="1:3" x14ac:dyDescent="0.25">
      <c r="A160" s="18"/>
      <c r="B160" s="18"/>
      <c r="C160" s="18"/>
    </row>
    <row r="161" spans="1:3" x14ac:dyDescent="0.25">
      <c r="A161" s="18"/>
      <c r="B161" s="18"/>
      <c r="C161" s="18"/>
    </row>
    <row r="162" spans="1:3" x14ac:dyDescent="0.25">
      <c r="A162" s="18"/>
      <c r="B162" s="18"/>
      <c r="C162" s="18"/>
    </row>
    <row r="163" spans="1:3" x14ac:dyDescent="0.25">
      <c r="A163" s="18"/>
      <c r="B163" s="18"/>
      <c r="C163" s="18"/>
    </row>
    <row r="164" spans="1:3" x14ac:dyDescent="0.25">
      <c r="A164" s="18"/>
      <c r="B164" s="18"/>
      <c r="C164" s="18"/>
    </row>
    <row r="165" spans="1:3" x14ac:dyDescent="0.25">
      <c r="A165" s="18"/>
      <c r="B165" s="18"/>
      <c r="C165" s="18"/>
    </row>
    <row r="166" spans="1:3" x14ac:dyDescent="0.25">
      <c r="A166" s="18"/>
      <c r="B166" s="18"/>
      <c r="C166" s="18"/>
    </row>
    <row r="167" spans="1:3" x14ac:dyDescent="0.25">
      <c r="A167" s="18"/>
      <c r="B167" s="18"/>
      <c r="C167" s="18"/>
    </row>
    <row r="168" spans="1:3" x14ac:dyDescent="0.25">
      <c r="A168" s="18"/>
      <c r="B168" s="18"/>
      <c r="C168" s="18"/>
    </row>
    <row r="169" spans="1:3" x14ac:dyDescent="0.25">
      <c r="A169" s="18"/>
      <c r="B169" s="18"/>
      <c r="C169" s="18"/>
    </row>
    <row r="170" spans="1:3" x14ac:dyDescent="0.25">
      <c r="A170" s="18"/>
      <c r="B170" s="18"/>
      <c r="C170" s="18"/>
    </row>
    <row r="171" spans="1:3" x14ac:dyDescent="0.25">
      <c r="A171" s="18"/>
      <c r="B171" s="18"/>
      <c r="C171" s="18"/>
    </row>
    <row r="172" spans="1:3" x14ac:dyDescent="0.25">
      <c r="A172" s="18"/>
      <c r="B172" s="18"/>
      <c r="C172" s="18"/>
    </row>
    <row r="173" spans="1:3" x14ac:dyDescent="0.25">
      <c r="A173" s="18"/>
      <c r="B173" s="18"/>
      <c r="C173" s="18"/>
    </row>
    <row r="174" spans="1:3" x14ac:dyDescent="0.25">
      <c r="A174" s="18"/>
      <c r="B174" s="18"/>
      <c r="C174" s="18"/>
    </row>
    <row r="175" spans="1:3" x14ac:dyDescent="0.25">
      <c r="A175" s="18"/>
      <c r="B175" s="18"/>
      <c r="C175" s="18"/>
    </row>
    <row r="176" spans="1:3" x14ac:dyDescent="0.25">
      <c r="A176" s="18"/>
      <c r="B176" s="18"/>
      <c r="C176" s="18"/>
    </row>
    <row r="177" spans="1:3" x14ac:dyDescent="0.25">
      <c r="A177" s="18"/>
      <c r="B177" s="18"/>
      <c r="C177" s="18"/>
    </row>
    <row r="178" spans="1:3" x14ac:dyDescent="0.25">
      <c r="A178" s="18"/>
      <c r="B178" s="18"/>
      <c r="C178" s="18"/>
    </row>
    <row r="179" spans="1:3" x14ac:dyDescent="0.25">
      <c r="A179" s="18"/>
      <c r="B179" s="18"/>
      <c r="C179" s="18"/>
    </row>
    <row r="180" spans="1:3" x14ac:dyDescent="0.25">
      <c r="A180" s="18"/>
      <c r="B180" s="18"/>
      <c r="C180" s="18"/>
    </row>
    <row r="181" spans="1:3" x14ac:dyDescent="0.25">
      <c r="A181" s="18"/>
      <c r="B181" s="18"/>
      <c r="C181" s="18"/>
    </row>
    <row r="182" spans="1:3" x14ac:dyDescent="0.25">
      <c r="A182" s="18"/>
      <c r="B182" s="18"/>
      <c r="C182" s="18"/>
    </row>
    <row r="183" spans="1:3" x14ac:dyDescent="0.25">
      <c r="A183" s="18"/>
      <c r="B183" s="18"/>
      <c r="C183" s="18"/>
    </row>
    <row r="184" spans="1:3" x14ac:dyDescent="0.25">
      <c r="A184" s="18"/>
      <c r="B184" s="18"/>
      <c r="C184" s="18"/>
    </row>
    <row r="185" spans="1:3" x14ac:dyDescent="0.25">
      <c r="A185" s="18"/>
      <c r="B185" s="18"/>
      <c r="C185" s="18"/>
    </row>
    <row r="186" spans="1:3" x14ac:dyDescent="0.25">
      <c r="A186" s="18"/>
      <c r="B186" s="18"/>
      <c r="C186" s="18"/>
    </row>
    <row r="187" spans="1:3" x14ac:dyDescent="0.25">
      <c r="A187" s="18"/>
      <c r="B187" s="18"/>
      <c r="C187" s="18"/>
    </row>
    <row r="188" spans="1:3" x14ac:dyDescent="0.25">
      <c r="A188" s="18"/>
      <c r="B188" s="18"/>
      <c r="C188" s="18"/>
    </row>
    <row r="189" spans="1:3" x14ac:dyDescent="0.25">
      <c r="A189" s="18"/>
      <c r="B189" s="18"/>
      <c r="C189" s="18"/>
    </row>
    <row r="190" spans="1:3" x14ac:dyDescent="0.25">
      <c r="A190" s="18"/>
      <c r="B190" s="18"/>
      <c r="C190" s="18"/>
    </row>
    <row r="191" spans="1:3" x14ac:dyDescent="0.25">
      <c r="A191" s="18"/>
      <c r="B191" s="18"/>
      <c r="C191" s="18"/>
    </row>
    <row r="192" spans="1:3" x14ac:dyDescent="0.25">
      <c r="A192" s="18"/>
      <c r="B192" s="18"/>
      <c r="C192" s="18"/>
    </row>
    <row r="193" spans="1:3" x14ac:dyDescent="0.25">
      <c r="A193" s="18"/>
      <c r="B193" s="18"/>
      <c r="C193" s="18"/>
    </row>
    <row r="194" spans="1:3" x14ac:dyDescent="0.25">
      <c r="A194" s="18"/>
      <c r="B194" s="18"/>
      <c r="C194" s="18"/>
    </row>
    <row r="195" spans="1:3" x14ac:dyDescent="0.25">
      <c r="A195" s="18"/>
      <c r="B195" s="18"/>
      <c r="C195" s="18"/>
    </row>
    <row r="196" spans="1:3" x14ac:dyDescent="0.25">
      <c r="A196" s="18"/>
      <c r="B196" s="18"/>
      <c r="C196" s="18"/>
    </row>
    <row r="197" spans="1:3" x14ac:dyDescent="0.25">
      <c r="A197" s="18"/>
      <c r="B197" s="18"/>
      <c r="C197" s="18"/>
    </row>
    <row r="198" spans="1:3" x14ac:dyDescent="0.25">
      <c r="A198" s="18"/>
      <c r="B198" s="18"/>
      <c r="C198" s="18"/>
    </row>
    <row r="199" spans="1:3" x14ac:dyDescent="0.25">
      <c r="A199" s="18"/>
      <c r="B199" s="18"/>
      <c r="C199" s="18"/>
    </row>
    <row r="200" spans="1:3" x14ac:dyDescent="0.25">
      <c r="A200" s="18"/>
      <c r="B200" s="18"/>
      <c r="C200" s="18"/>
    </row>
    <row r="201" spans="1:3" x14ac:dyDescent="0.25">
      <c r="A201" s="18"/>
      <c r="B201" s="18"/>
      <c r="C201" s="18"/>
    </row>
    <row r="202" spans="1:3" x14ac:dyDescent="0.25">
      <c r="A202" s="18"/>
      <c r="B202" s="18"/>
      <c r="C202" s="18"/>
    </row>
    <row r="203" spans="1:3" x14ac:dyDescent="0.25">
      <c r="A203" s="18"/>
      <c r="B203" s="18"/>
      <c r="C203" s="18"/>
    </row>
    <row r="204" spans="1:3" x14ac:dyDescent="0.25">
      <c r="A204" s="18"/>
      <c r="B204" s="18"/>
      <c r="C204" s="18"/>
    </row>
    <row r="205" spans="1:3" x14ac:dyDescent="0.25">
      <c r="A205" s="18"/>
      <c r="B205" s="18"/>
      <c r="C205" s="18"/>
    </row>
    <row r="206" spans="1:3" x14ac:dyDescent="0.25">
      <c r="A206" s="18"/>
      <c r="B206" s="18"/>
      <c r="C206" s="18"/>
    </row>
    <row r="207" spans="1:3" x14ac:dyDescent="0.25">
      <c r="A207" s="18"/>
      <c r="B207" s="18"/>
      <c r="C207" s="18"/>
    </row>
    <row r="208" spans="1:3" x14ac:dyDescent="0.25">
      <c r="A208" s="18"/>
      <c r="B208" s="18"/>
      <c r="C208" s="18"/>
    </row>
    <row r="209" spans="1:3" x14ac:dyDescent="0.25">
      <c r="A209" s="18"/>
      <c r="B209" s="18"/>
      <c r="C209" s="18"/>
    </row>
    <row r="210" spans="1:3" x14ac:dyDescent="0.25">
      <c r="A210" s="18"/>
      <c r="B210" s="18"/>
      <c r="C210" s="18"/>
    </row>
    <row r="211" spans="1:3" x14ac:dyDescent="0.25">
      <c r="A211" s="18"/>
      <c r="B211" s="18"/>
      <c r="C211" s="18"/>
    </row>
    <row r="212" spans="1:3" x14ac:dyDescent="0.25">
      <c r="A212" s="18"/>
      <c r="B212" s="18"/>
      <c r="C212" s="18"/>
    </row>
    <row r="213" spans="1:3" x14ac:dyDescent="0.25">
      <c r="A213" s="18"/>
      <c r="B213" s="18"/>
      <c r="C213" s="18"/>
    </row>
    <row r="214" spans="1:3" x14ac:dyDescent="0.25">
      <c r="A214" s="18"/>
      <c r="B214" s="18"/>
      <c r="C214" s="18"/>
    </row>
    <row r="215" spans="1:3" x14ac:dyDescent="0.25">
      <c r="A215" s="18"/>
      <c r="B215" s="18"/>
      <c r="C215" s="18"/>
    </row>
    <row r="216" spans="1:3" x14ac:dyDescent="0.25">
      <c r="A216" s="18"/>
      <c r="B216" s="18"/>
      <c r="C216" s="18"/>
    </row>
    <row r="217" spans="1:3" x14ac:dyDescent="0.25">
      <c r="A217" s="18"/>
      <c r="B217" s="18"/>
      <c r="C217" s="18"/>
    </row>
    <row r="218" spans="1:3" x14ac:dyDescent="0.25">
      <c r="A218" s="18"/>
      <c r="B218" s="18"/>
      <c r="C218" s="18"/>
    </row>
    <row r="219" spans="1:3" x14ac:dyDescent="0.25">
      <c r="A219" s="18"/>
      <c r="B219" s="18"/>
      <c r="C219" s="18"/>
    </row>
    <row r="220" spans="1:3" x14ac:dyDescent="0.25">
      <c r="A220" s="18"/>
      <c r="B220" s="18"/>
      <c r="C220" s="18"/>
    </row>
    <row r="221" spans="1:3" x14ac:dyDescent="0.25">
      <c r="A221" s="18"/>
      <c r="B221" s="18"/>
      <c r="C221" s="18"/>
    </row>
    <row r="222" spans="1:3" x14ac:dyDescent="0.25">
      <c r="A222" s="18"/>
      <c r="B222" s="18"/>
      <c r="C222" s="18"/>
    </row>
    <row r="223" spans="1:3" x14ac:dyDescent="0.25">
      <c r="A223" s="18"/>
      <c r="B223" s="18"/>
      <c r="C223" s="18"/>
    </row>
    <row r="224" spans="1:3" x14ac:dyDescent="0.25">
      <c r="A224" s="18"/>
      <c r="B224" s="18"/>
      <c r="C224" s="18"/>
    </row>
    <row r="225" spans="1:3" x14ac:dyDescent="0.25">
      <c r="A225" s="18"/>
      <c r="B225" s="18"/>
      <c r="C225" s="18"/>
    </row>
    <row r="226" spans="1:3" x14ac:dyDescent="0.25">
      <c r="A226" s="18"/>
      <c r="B226" s="18"/>
      <c r="C226" s="18"/>
    </row>
    <row r="227" spans="1:3" x14ac:dyDescent="0.25">
      <c r="A227" s="18"/>
      <c r="B227" s="18"/>
      <c r="C227" s="18"/>
    </row>
    <row r="228" spans="1:3" x14ac:dyDescent="0.25">
      <c r="A228" s="18"/>
      <c r="B228" s="18"/>
      <c r="C228" s="18"/>
    </row>
    <row r="229" spans="1:3" x14ac:dyDescent="0.25">
      <c r="A229" s="18"/>
      <c r="B229" s="18"/>
      <c r="C229" s="18"/>
    </row>
    <row r="230" spans="1:3" x14ac:dyDescent="0.25">
      <c r="A230" s="18"/>
      <c r="B230" s="18"/>
      <c r="C230" s="18"/>
    </row>
    <row r="231" spans="1:3" x14ac:dyDescent="0.25">
      <c r="A231" s="18"/>
      <c r="B231" s="18"/>
      <c r="C231" s="18"/>
    </row>
    <row r="232" spans="1:3" x14ac:dyDescent="0.25">
      <c r="A232" s="18"/>
      <c r="B232" s="18"/>
      <c r="C232" s="18"/>
    </row>
    <row r="233" spans="1:3" x14ac:dyDescent="0.25">
      <c r="A233" s="18"/>
      <c r="B233" s="18"/>
      <c r="C233" s="18"/>
    </row>
    <row r="234" spans="1:3" x14ac:dyDescent="0.25">
      <c r="A234" s="18"/>
      <c r="B234" s="18"/>
      <c r="C234" s="18"/>
    </row>
    <row r="235" spans="1:3" x14ac:dyDescent="0.25">
      <c r="A235" s="18"/>
      <c r="B235" s="18"/>
      <c r="C235" s="18"/>
    </row>
    <row r="236" spans="1:3" x14ac:dyDescent="0.25">
      <c r="A236" s="18"/>
      <c r="B236" s="18"/>
      <c r="C236" s="18"/>
    </row>
    <row r="237" spans="1:3" x14ac:dyDescent="0.25">
      <c r="A237" s="18"/>
      <c r="B237" s="18"/>
      <c r="C237" s="18"/>
    </row>
    <row r="238" spans="1:3" x14ac:dyDescent="0.25">
      <c r="A238" s="18"/>
      <c r="B238" s="18"/>
      <c r="C238" s="18"/>
    </row>
    <row r="239" spans="1:3" x14ac:dyDescent="0.25">
      <c r="A239" s="18"/>
      <c r="B239" s="18"/>
      <c r="C239" s="18"/>
    </row>
    <row r="240" spans="1:3" x14ac:dyDescent="0.25">
      <c r="A240" s="18"/>
      <c r="B240" s="18"/>
      <c r="C240" s="18"/>
    </row>
    <row r="241" spans="1:3" x14ac:dyDescent="0.25">
      <c r="A241" s="18"/>
      <c r="B241" s="18"/>
      <c r="C241" s="18"/>
    </row>
    <row r="242" spans="1:3" x14ac:dyDescent="0.25">
      <c r="A242" s="18"/>
      <c r="B242" s="18"/>
      <c r="C242" s="18"/>
    </row>
    <row r="243" spans="1:3" x14ac:dyDescent="0.25">
      <c r="A243" s="18"/>
      <c r="B243" s="18"/>
      <c r="C243" s="18"/>
    </row>
    <row r="244" spans="1:3" x14ac:dyDescent="0.25">
      <c r="A244" s="18"/>
      <c r="B244" s="18"/>
      <c r="C244" s="18"/>
    </row>
    <row r="245" spans="1:3" x14ac:dyDescent="0.25">
      <c r="A245" s="18"/>
      <c r="B245" s="18"/>
      <c r="C245" s="18"/>
    </row>
  </sheetData>
  <mergeCells count="3">
    <mergeCell ref="A1:C1"/>
    <mergeCell ref="A15:C15"/>
    <mergeCell ref="A17:C17"/>
  </mergeCells>
  <conditionalFormatting sqref="A3:C13">
    <cfRule type="expression" dxfId="1" priority="2">
      <formula>MOD(ROW(),2)=0</formula>
    </cfRule>
  </conditionalFormatting>
  <conditionalFormatting sqref="A19:C28">
    <cfRule type="expression" dxfId="0" priority="1">
      <formula>MOD(ROW(),2)=0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09E0-8062-4EFA-B241-0DAC680D3CEF}">
  <dimension ref="A1:GU197"/>
  <sheetViews>
    <sheetView tabSelected="1" topLeftCell="I1" zoomScale="82" zoomScaleNormal="82" workbookViewId="0">
      <selection activeCell="M30" sqref="M30"/>
    </sheetView>
  </sheetViews>
  <sheetFormatPr defaultRowHeight="15" x14ac:dyDescent="0.25"/>
  <cols>
    <col min="1" max="1" width="19.85546875" bestFit="1" customWidth="1"/>
    <col min="2" max="2" width="26" bestFit="1" customWidth="1"/>
    <col min="3" max="3" width="16.5703125" customWidth="1"/>
    <col min="4" max="5" width="26" customWidth="1"/>
    <col min="6" max="6" width="8.140625" customWidth="1"/>
    <col min="7" max="7" width="16.5703125" bestFit="1" customWidth="1"/>
    <col min="8" max="8" width="15.7109375" bestFit="1" customWidth="1"/>
    <col min="9" max="9" width="19.7109375" bestFit="1" customWidth="1"/>
    <col min="11" max="11" width="13.42578125" bestFit="1" customWidth="1"/>
    <col min="12" max="12" width="16.42578125" bestFit="1" customWidth="1"/>
    <col min="13" max="13" width="16" bestFit="1" customWidth="1"/>
    <col min="14" max="14" width="10.85546875" bestFit="1" customWidth="1"/>
    <col min="15" max="15" width="9.7109375" bestFit="1" customWidth="1"/>
    <col min="16" max="16" width="10.5703125" bestFit="1" customWidth="1"/>
    <col min="17" max="17" width="9.7109375" bestFit="1" customWidth="1"/>
    <col min="18" max="18" width="8.7109375" bestFit="1" customWidth="1"/>
    <col min="19" max="19" width="11.28515625" bestFit="1" customWidth="1"/>
    <col min="20" max="20" width="12.28515625" bestFit="1" customWidth="1"/>
    <col min="21" max="21" width="11.42578125" bestFit="1" customWidth="1"/>
    <col min="22" max="22" width="6" bestFit="1" customWidth="1"/>
    <col min="23" max="23" width="11.7109375" bestFit="1" customWidth="1"/>
    <col min="24" max="24" width="7.28515625" bestFit="1" customWidth="1"/>
    <col min="25" max="25" width="12.28515625" bestFit="1" customWidth="1"/>
    <col min="26" max="26" width="12.85546875" bestFit="1" customWidth="1"/>
    <col min="27" max="27" width="7.85546875" bestFit="1" customWidth="1"/>
    <col min="28" max="28" width="11.7109375" bestFit="1" customWidth="1"/>
    <col min="29" max="29" width="4.7109375" bestFit="1" customWidth="1"/>
    <col min="30" max="30" width="4.42578125" bestFit="1" customWidth="1"/>
    <col min="31" max="31" width="8.28515625" bestFit="1" customWidth="1"/>
    <col min="32" max="32" width="6" bestFit="1" customWidth="1"/>
    <col min="33" max="33" width="9.85546875" bestFit="1" customWidth="1"/>
    <col min="34" max="34" width="11.140625" bestFit="1" customWidth="1"/>
    <col min="35" max="35" width="7.85546875" bestFit="1" customWidth="1"/>
    <col min="36" max="36" width="9" bestFit="1" customWidth="1"/>
    <col min="37" max="37" width="12.85546875" bestFit="1" customWidth="1"/>
    <col min="38" max="38" width="9.7109375" bestFit="1" customWidth="1"/>
    <col min="39" max="39" width="11.140625" bestFit="1" customWidth="1"/>
    <col min="40" max="40" width="11.28515625" bestFit="1" customWidth="1"/>
    <col min="41" max="41" width="16" bestFit="1" customWidth="1"/>
    <col min="42" max="42" width="9.7109375" bestFit="1" customWidth="1"/>
    <col min="43" max="43" width="7" bestFit="1" customWidth="1"/>
    <col min="44" max="44" width="8" bestFit="1" customWidth="1"/>
    <col min="45" max="45" width="12.140625" bestFit="1" customWidth="1"/>
    <col min="46" max="46" width="15" bestFit="1" customWidth="1"/>
    <col min="47" max="47" width="11" bestFit="1" customWidth="1"/>
    <col min="48" max="48" width="9.5703125" bestFit="1" customWidth="1"/>
    <col min="49" max="49" width="10" bestFit="1" customWidth="1"/>
    <col min="50" max="50" width="11.140625" bestFit="1" customWidth="1"/>
    <col min="51" max="51" width="14.140625" bestFit="1" customWidth="1"/>
    <col min="52" max="52" width="12.5703125" bestFit="1" customWidth="1"/>
    <col min="53" max="53" width="8.85546875" bestFit="1" customWidth="1"/>
    <col min="54" max="54" width="18.42578125" bestFit="1" customWidth="1"/>
    <col min="55" max="55" width="9.5703125" bestFit="1" customWidth="1"/>
    <col min="56" max="56" width="17.7109375" bestFit="1" customWidth="1"/>
    <col min="57" max="57" width="15.42578125" bestFit="1" customWidth="1"/>
    <col min="58" max="58" width="8.85546875" bestFit="1" customWidth="1"/>
    <col min="59" max="59" width="9.28515625" bestFit="1" customWidth="1"/>
    <col min="60" max="60" width="7" bestFit="1" customWidth="1"/>
    <col min="61" max="61" width="10.5703125" bestFit="1" customWidth="1"/>
    <col min="62" max="62" width="7.85546875" bestFit="1" customWidth="1"/>
    <col min="63" max="63" width="11.7109375" bestFit="1" customWidth="1"/>
    <col min="64" max="64" width="13.7109375" bestFit="1" customWidth="1"/>
    <col min="65" max="65" width="11" bestFit="1" customWidth="1"/>
    <col min="66" max="66" width="12.85546875" bestFit="1" customWidth="1"/>
    <col min="67" max="67" width="15.28515625" bestFit="1" customWidth="1"/>
    <col min="68" max="68" width="7.5703125" bestFit="1" customWidth="1"/>
    <col min="69" max="69" width="10.5703125" bestFit="1" customWidth="1"/>
    <col min="70" max="70" width="12.85546875" bestFit="1" customWidth="1"/>
    <col min="71" max="71" width="7.5703125" bestFit="1" customWidth="1"/>
    <col min="72" max="72" width="7.140625" bestFit="1" customWidth="1"/>
    <col min="73" max="73" width="8.85546875" bestFit="1" customWidth="1"/>
    <col min="74" max="74" width="12.7109375" bestFit="1" customWidth="1"/>
    <col min="75" max="75" width="8.28515625" bestFit="1" customWidth="1"/>
    <col min="76" max="76" width="15.28515625" bestFit="1" customWidth="1"/>
    <col min="77" max="77" width="11" bestFit="1" customWidth="1"/>
    <col min="78" max="78" width="13.7109375" bestFit="1" customWidth="1"/>
    <col min="79" max="79" width="12.5703125" bestFit="1" customWidth="1"/>
    <col min="80" max="80" width="6.7109375" bestFit="1" customWidth="1"/>
    <col min="81" max="81" width="11.7109375" bestFit="1" customWidth="1"/>
    <col min="82" max="82" width="10.140625" bestFit="1" customWidth="1"/>
    <col min="83" max="83" width="11.42578125" bestFit="1" customWidth="1"/>
    <col min="84" max="84" width="7.85546875" bestFit="1" customWidth="1"/>
    <col min="85" max="85" width="18" bestFit="1" customWidth="1"/>
    <col min="86" max="86" width="5" bestFit="1" customWidth="1"/>
    <col min="87" max="87" width="9" bestFit="1" customWidth="1"/>
    <col min="88" max="89" width="10.7109375" bestFit="1" customWidth="1"/>
    <col min="90" max="90" width="11" bestFit="1" customWidth="1"/>
    <col min="91" max="91" width="5" bestFit="1" customWidth="1"/>
    <col min="92" max="92" width="7.140625" bestFit="1" customWidth="1"/>
    <col min="93" max="93" width="9.7109375" bestFit="1" customWidth="1"/>
    <col min="94" max="94" width="8.7109375" bestFit="1" customWidth="1"/>
    <col min="95" max="95" width="12.28515625" bestFit="1" customWidth="1"/>
    <col min="96" max="96" width="10.42578125" bestFit="1" customWidth="1"/>
    <col min="97" max="97" width="10.140625" bestFit="1" customWidth="1"/>
    <col min="98" max="98" width="10.7109375" bestFit="1" customWidth="1"/>
    <col min="99" max="99" width="10.42578125" bestFit="1" customWidth="1"/>
    <col min="100" max="100" width="9.28515625" bestFit="1" customWidth="1"/>
    <col min="101" max="101" width="8.140625" bestFit="1" customWidth="1"/>
    <col min="102" max="102" width="9.42578125" bestFit="1" customWidth="1"/>
    <col min="103" max="103" width="5.42578125" bestFit="1" customWidth="1"/>
    <col min="104" max="104" width="10.42578125" bestFit="1" customWidth="1"/>
    <col min="105" max="105" width="6.5703125" bestFit="1" customWidth="1"/>
    <col min="106" max="106" width="9" bestFit="1" customWidth="1"/>
    <col min="107" max="107" width="5.42578125" bestFit="1" customWidth="1"/>
    <col min="108" max="108" width="10.28515625" bestFit="1" customWidth="1"/>
    <col min="109" max="109" width="10.7109375" bestFit="1" customWidth="1"/>
    <col min="110" max="110" width="13.5703125" bestFit="1" customWidth="1"/>
    <col min="111" max="111" width="12.7109375" bestFit="1" customWidth="1"/>
    <col min="112" max="112" width="5.7109375" bestFit="1" customWidth="1"/>
    <col min="113" max="113" width="7.85546875" bestFit="1" customWidth="1"/>
    <col min="114" max="114" width="8.85546875" bestFit="1" customWidth="1"/>
    <col min="115" max="115" width="6.42578125" bestFit="1" customWidth="1"/>
    <col min="116" max="116" width="11.7109375" bestFit="1" customWidth="1"/>
    <col min="117" max="117" width="10.5703125" bestFit="1" customWidth="1"/>
    <col min="118" max="118" width="11.42578125" bestFit="1" customWidth="1"/>
    <col min="119" max="119" width="12.140625" bestFit="1" customWidth="1"/>
    <col min="120" max="120" width="10.7109375" bestFit="1" customWidth="1"/>
    <col min="121" max="121" width="8.28515625" bestFit="1" customWidth="1"/>
    <col min="122" max="122" width="11.85546875" bestFit="1" customWidth="1"/>
    <col min="123" max="123" width="7.7109375" bestFit="1" customWidth="1"/>
    <col min="124" max="124" width="8.85546875" bestFit="1" customWidth="1"/>
    <col min="125" max="125" width="7.7109375" bestFit="1" customWidth="1"/>
    <col min="126" max="126" width="8.5703125" bestFit="1" customWidth="1"/>
    <col min="127" max="127" width="7.7109375" bestFit="1" customWidth="1"/>
    <col min="128" max="128" width="3.85546875" bestFit="1" customWidth="1"/>
    <col min="129" max="129" width="12.28515625" bestFit="1" customWidth="1"/>
    <col min="130" max="130" width="12.85546875" bestFit="1" customWidth="1"/>
    <col min="131" max="131" width="5" bestFit="1" customWidth="1"/>
    <col min="132" max="132" width="9.140625" bestFit="1" customWidth="1"/>
    <col min="133" max="133" width="10.42578125" bestFit="1" customWidth="1"/>
    <col min="134" max="134" width="5" bestFit="1" customWidth="1"/>
    <col min="135" max="135" width="8.140625" bestFit="1" customWidth="1"/>
    <col min="136" max="136" width="5" bestFit="1" customWidth="1"/>
    <col min="137" max="137" width="7" bestFit="1" customWidth="1"/>
    <col min="138" max="138" width="11.140625" bestFit="1" customWidth="1"/>
    <col min="139" max="139" width="8" bestFit="1" customWidth="1"/>
    <col min="140" max="140" width="12.140625" bestFit="1" customWidth="1"/>
    <col min="141" max="141" width="11.85546875" bestFit="1" customWidth="1"/>
    <col min="142" max="142" width="14.28515625" bestFit="1" customWidth="1"/>
    <col min="143" max="143" width="12" bestFit="1" customWidth="1"/>
    <col min="144" max="144" width="10.28515625" bestFit="1" customWidth="1"/>
    <col min="145" max="145" width="15" bestFit="1" customWidth="1"/>
    <col min="146" max="146" width="8.7109375" bestFit="1" customWidth="1"/>
    <col min="147" max="147" width="7.5703125" bestFit="1" customWidth="1"/>
    <col min="148" max="148" width="9.5703125" bestFit="1" customWidth="1"/>
    <col min="149" max="149" width="10.5703125" bestFit="1" customWidth="1"/>
    <col min="150" max="150" width="8.85546875" bestFit="1" customWidth="1"/>
    <col min="151" max="151" width="16.42578125" bestFit="1" customWidth="1"/>
    <col min="152" max="153" width="9.7109375" bestFit="1" customWidth="1"/>
    <col min="154" max="154" width="13.140625" bestFit="1" customWidth="1"/>
    <col min="155" max="155" width="7.7109375" bestFit="1" customWidth="1"/>
    <col min="156" max="156" width="7" bestFit="1" customWidth="1"/>
    <col min="157" max="157" width="9.5703125" bestFit="1" customWidth="1"/>
    <col min="158" max="158" width="7.85546875" bestFit="1" customWidth="1"/>
    <col min="159" max="159" width="8.85546875" bestFit="1" customWidth="1"/>
    <col min="160" max="160" width="8.7109375" bestFit="1" customWidth="1"/>
    <col min="161" max="161" width="5.5703125" bestFit="1" customWidth="1"/>
    <col min="162" max="162" width="6.28515625" bestFit="1" customWidth="1"/>
    <col min="163" max="163" width="9.28515625" bestFit="1" customWidth="1"/>
    <col min="164" max="164" width="9.85546875" bestFit="1" customWidth="1"/>
    <col min="165" max="165" width="6.7109375" bestFit="1" customWidth="1"/>
    <col min="166" max="166" width="12.42578125" bestFit="1" customWidth="1"/>
    <col min="167" max="167" width="6" bestFit="1" customWidth="1"/>
    <col min="168" max="168" width="14.140625" bestFit="1" customWidth="1"/>
    <col min="169" max="169" width="11.42578125" bestFit="1" customWidth="1"/>
    <col min="170" max="170" width="10.140625" bestFit="1" customWidth="1"/>
    <col min="171" max="171" width="10.28515625" bestFit="1" customWidth="1"/>
    <col min="172" max="172" width="9.28515625" bestFit="1" customWidth="1"/>
    <col min="173" max="173" width="6" bestFit="1" customWidth="1"/>
    <col min="174" max="174" width="16.7109375" bestFit="1" customWidth="1"/>
    <col min="175" max="175" width="4.28515625" bestFit="1" customWidth="1"/>
    <col min="176" max="176" width="8.42578125" bestFit="1" customWidth="1"/>
    <col min="177" max="177" width="11.42578125" bestFit="1" customWidth="1"/>
    <col min="178" max="178" width="8.140625" bestFit="1" customWidth="1"/>
    <col min="179" max="180" width="7" bestFit="1" customWidth="1"/>
    <col min="181" max="181" width="8.140625" bestFit="1" customWidth="1"/>
    <col min="182" max="182" width="7.140625" bestFit="1" customWidth="1"/>
    <col min="183" max="183" width="6" bestFit="1" customWidth="1"/>
    <col min="184" max="184" width="8.140625" bestFit="1" customWidth="1"/>
    <col min="185" max="185" width="8.7109375" bestFit="1" customWidth="1"/>
    <col min="186" max="186" width="8.28515625" bestFit="1" customWidth="1"/>
    <col min="187" max="188" width="9.42578125" bestFit="1" customWidth="1"/>
    <col min="189" max="189" width="11.140625" bestFit="1" customWidth="1"/>
    <col min="190" max="190" width="5.5703125" bestFit="1" customWidth="1"/>
    <col min="191" max="191" width="15.5703125" bestFit="1" customWidth="1"/>
    <col min="192" max="192" width="8.5703125" bestFit="1" customWidth="1"/>
    <col min="193" max="193" width="10.42578125" bestFit="1" customWidth="1"/>
    <col min="194" max="194" width="8.42578125" bestFit="1" customWidth="1"/>
    <col min="195" max="195" width="8.7109375" bestFit="1" customWidth="1"/>
    <col min="196" max="196" width="8" bestFit="1" customWidth="1"/>
    <col min="197" max="197" width="19.85546875" bestFit="1" customWidth="1"/>
    <col min="198" max="198" width="12.42578125" bestFit="1" customWidth="1"/>
    <col min="199" max="199" width="7.85546875" bestFit="1" customWidth="1"/>
    <col min="200" max="200" width="12.28515625" bestFit="1" customWidth="1"/>
    <col min="201" max="201" width="8.7109375" bestFit="1" customWidth="1"/>
    <col min="202" max="202" width="4.85546875" bestFit="1" customWidth="1"/>
    <col min="203" max="203" width="11.28515625" bestFit="1" customWidth="1"/>
  </cols>
  <sheetData>
    <row r="1" spans="1:12" ht="18" x14ac:dyDescent="0.25">
      <c r="A1" s="33" t="s">
        <v>2829</v>
      </c>
      <c r="B1" s="33"/>
      <c r="C1" s="33"/>
      <c r="D1" s="33"/>
      <c r="E1" s="33"/>
      <c r="F1" s="33"/>
      <c r="G1" s="33"/>
      <c r="H1" s="33"/>
      <c r="I1" s="33"/>
      <c r="J1" s="33"/>
      <c r="K1" s="33"/>
    </row>
    <row r="3" spans="1:12" x14ac:dyDescent="0.25">
      <c r="A3" s="36" t="s">
        <v>2790</v>
      </c>
      <c r="B3" s="36"/>
      <c r="C3" s="22"/>
      <c r="D3" s="22"/>
      <c r="E3" s="22"/>
      <c r="G3" s="23" t="s">
        <v>2794</v>
      </c>
      <c r="H3" s="23"/>
      <c r="K3" s="38" t="s">
        <v>2834</v>
      </c>
      <c r="L3" s="38"/>
    </row>
    <row r="4" spans="1:12" x14ac:dyDescent="0.25">
      <c r="A4" s="21" t="s">
        <v>2595</v>
      </c>
      <c r="B4" t="s">
        <v>2788</v>
      </c>
      <c r="G4" s="21" t="s">
        <v>2595</v>
      </c>
      <c r="H4" t="s">
        <v>2789</v>
      </c>
      <c r="K4" s="21" t="s">
        <v>2595</v>
      </c>
      <c r="L4" t="s">
        <v>2833</v>
      </c>
    </row>
    <row r="5" spans="1:12" x14ac:dyDescent="0.25">
      <c r="A5" s="9" t="s">
        <v>2596</v>
      </c>
      <c r="B5" s="32">
        <v>8</v>
      </c>
      <c r="C5" s="32"/>
      <c r="D5" s="32"/>
      <c r="E5" s="32"/>
      <c r="G5" s="9" t="s">
        <v>2791</v>
      </c>
      <c r="H5" s="32">
        <v>231</v>
      </c>
      <c r="K5" s="9">
        <v>1</v>
      </c>
      <c r="L5" s="32">
        <v>12320</v>
      </c>
    </row>
    <row r="6" spans="1:12" x14ac:dyDescent="0.25">
      <c r="A6" s="9" t="s">
        <v>2597</v>
      </c>
      <c r="B6" s="32">
        <v>3</v>
      </c>
      <c r="C6" s="32"/>
      <c r="D6" s="32"/>
      <c r="E6" s="32"/>
      <c r="G6" s="9" t="s">
        <v>2792</v>
      </c>
      <c r="H6" s="32">
        <v>258</v>
      </c>
      <c r="K6" s="9">
        <v>2</v>
      </c>
      <c r="L6" s="32">
        <v>15458</v>
      </c>
    </row>
    <row r="7" spans="1:12" x14ac:dyDescent="0.25">
      <c r="A7" s="9" t="s">
        <v>2598</v>
      </c>
      <c r="B7" s="32">
        <v>4</v>
      </c>
      <c r="C7" s="32"/>
      <c r="D7" s="32"/>
      <c r="E7" s="32"/>
      <c r="G7" s="9" t="s">
        <v>2793</v>
      </c>
      <c r="H7" s="32">
        <v>243</v>
      </c>
      <c r="K7" s="9">
        <v>3</v>
      </c>
      <c r="L7" s="32">
        <v>13009</v>
      </c>
    </row>
    <row r="8" spans="1:12" x14ac:dyDescent="0.25">
      <c r="A8" s="9" t="s">
        <v>2599</v>
      </c>
      <c r="B8" s="32">
        <v>2</v>
      </c>
      <c r="C8" s="32"/>
      <c r="D8" s="32"/>
      <c r="E8" s="32"/>
      <c r="G8" s="9" t="s">
        <v>2787</v>
      </c>
      <c r="H8" s="32">
        <v>732</v>
      </c>
      <c r="K8" s="9">
        <v>4</v>
      </c>
      <c r="L8" s="32">
        <v>17827</v>
      </c>
    </row>
    <row r="9" spans="1:12" x14ac:dyDescent="0.25">
      <c r="A9" s="9" t="s">
        <v>2600</v>
      </c>
      <c r="B9" s="32">
        <v>1</v>
      </c>
      <c r="C9" s="32"/>
      <c r="D9" s="32"/>
      <c r="E9" s="32"/>
      <c r="K9" s="9">
        <v>5</v>
      </c>
      <c r="L9" s="32">
        <v>18950</v>
      </c>
    </row>
    <row r="10" spans="1:12" x14ac:dyDescent="0.25">
      <c r="A10" s="9" t="s">
        <v>2601</v>
      </c>
      <c r="B10" s="32">
        <v>3</v>
      </c>
      <c r="C10" s="32"/>
      <c r="D10" s="32"/>
      <c r="E10" s="32"/>
      <c r="K10" s="9">
        <v>6</v>
      </c>
      <c r="L10" s="32">
        <v>32891</v>
      </c>
    </row>
    <row r="11" spans="1:12" x14ac:dyDescent="0.25">
      <c r="A11" s="9" t="s">
        <v>2602</v>
      </c>
      <c r="B11" s="32">
        <v>2</v>
      </c>
      <c r="C11" s="32"/>
      <c r="D11" s="32"/>
      <c r="E11" s="32"/>
      <c r="K11" s="9">
        <v>7</v>
      </c>
      <c r="L11" s="32">
        <v>26757</v>
      </c>
    </row>
    <row r="12" spans="1:12" x14ac:dyDescent="0.25">
      <c r="A12" s="9" t="s">
        <v>2603</v>
      </c>
      <c r="B12" s="32">
        <v>1</v>
      </c>
      <c r="C12" s="32"/>
      <c r="D12" s="32"/>
      <c r="E12" s="32"/>
      <c r="K12" s="9">
        <v>8</v>
      </c>
      <c r="L12" s="32">
        <v>37234</v>
      </c>
    </row>
    <row r="13" spans="1:12" x14ac:dyDescent="0.25">
      <c r="A13" s="9" t="s">
        <v>2604</v>
      </c>
      <c r="B13" s="32">
        <v>6</v>
      </c>
      <c r="C13" s="32"/>
      <c r="D13" s="32"/>
      <c r="E13" s="32"/>
      <c r="G13" s="24" t="s">
        <v>2831</v>
      </c>
      <c r="H13" s="24"/>
      <c r="I13" s="24"/>
      <c r="K13" s="9">
        <v>9</v>
      </c>
      <c r="L13" s="32">
        <v>37962</v>
      </c>
    </row>
    <row r="14" spans="1:12" x14ac:dyDescent="0.25">
      <c r="A14" s="9" t="s">
        <v>2605</v>
      </c>
      <c r="B14" s="32">
        <v>3</v>
      </c>
      <c r="C14" s="32"/>
      <c r="D14" s="32"/>
      <c r="E14" s="32"/>
      <c r="G14" s="21" t="s">
        <v>2595</v>
      </c>
      <c r="H14" t="s">
        <v>2827</v>
      </c>
      <c r="I14" t="s">
        <v>2828</v>
      </c>
      <c r="K14" s="9">
        <v>10</v>
      </c>
      <c r="L14" s="32">
        <v>24196</v>
      </c>
    </row>
    <row r="15" spans="1:12" x14ac:dyDescent="0.25">
      <c r="A15" s="9" t="s">
        <v>2606</v>
      </c>
      <c r="B15" s="32">
        <v>2</v>
      </c>
      <c r="C15" s="32"/>
      <c r="D15" s="32"/>
      <c r="E15" s="32"/>
      <c r="G15" s="9" t="s">
        <v>2795</v>
      </c>
      <c r="H15" s="32">
        <v>38.453333333333333</v>
      </c>
      <c r="I15" s="32">
        <v>19.52</v>
      </c>
      <c r="K15" s="9">
        <v>11</v>
      </c>
      <c r="L15" s="32">
        <v>18042</v>
      </c>
    </row>
    <row r="16" spans="1:12" x14ac:dyDescent="0.25">
      <c r="A16" s="9" t="s">
        <v>2607</v>
      </c>
      <c r="B16" s="32">
        <v>3</v>
      </c>
      <c r="C16" s="32"/>
      <c r="D16" s="34" t="s">
        <v>2830</v>
      </c>
      <c r="E16" s="34"/>
      <c r="G16" s="9" t="s">
        <v>2796</v>
      </c>
      <c r="H16" s="32">
        <v>60</v>
      </c>
      <c r="I16" s="32">
        <v>22</v>
      </c>
      <c r="K16" s="9">
        <v>12</v>
      </c>
      <c r="L16" s="32">
        <v>13606</v>
      </c>
    </row>
    <row r="17" spans="1:203" x14ac:dyDescent="0.25">
      <c r="A17" s="9" t="s">
        <v>2608</v>
      </c>
      <c r="B17" s="32">
        <v>2</v>
      </c>
      <c r="C17" s="32"/>
      <c r="D17" s="32"/>
      <c r="E17" s="32"/>
      <c r="G17" s="9" t="s">
        <v>2797</v>
      </c>
      <c r="H17" s="32">
        <v>45</v>
      </c>
      <c r="I17" s="32">
        <v>35</v>
      </c>
      <c r="K17" s="9" t="s">
        <v>2787</v>
      </c>
      <c r="L17" s="32">
        <v>268252</v>
      </c>
    </row>
    <row r="18" spans="1:203" x14ac:dyDescent="0.25">
      <c r="A18" s="9" t="s">
        <v>2609</v>
      </c>
      <c r="B18" s="32">
        <v>1</v>
      </c>
      <c r="C18" s="32"/>
      <c r="D18" s="32"/>
      <c r="E18" s="32"/>
      <c r="G18" s="9" t="s">
        <v>2798</v>
      </c>
      <c r="H18" s="32">
        <v>45</v>
      </c>
      <c r="I18" s="32">
        <v>26.352941176470587</v>
      </c>
    </row>
    <row r="19" spans="1:203" x14ac:dyDescent="0.25">
      <c r="A19" s="9" t="s">
        <v>2610</v>
      </c>
      <c r="B19" s="32">
        <v>2</v>
      </c>
      <c r="C19" s="32"/>
      <c r="D19" s="32"/>
      <c r="E19" s="32"/>
      <c r="G19" s="9" t="s">
        <v>2799</v>
      </c>
      <c r="H19" s="32">
        <v>55</v>
      </c>
      <c r="I19" s="32">
        <v>20</v>
      </c>
      <c r="K19" s="21" t="s">
        <v>2874</v>
      </c>
      <c r="L19" s="21" t="s">
        <v>2873</v>
      </c>
    </row>
    <row r="20" spans="1:203" x14ac:dyDescent="0.25">
      <c r="A20" s="9" t="s">
        <v>2611</v>
      </c>
      <c r="B20" s="32">
        <v>4</v>
      </c>
      <c r="C20" s="32"/>
      <c r="D20" s="32"/>
      <c r="E20" s="32"/>
      <c r="G20" s="9" t="s">
        <v>2800</v>
      </c>
      <c r="H20" s="32">
        <v>40.88148148148148</v>
      </c>
      <c r="I20" s="32">
        <v>20.377777777777776</v>
      </c>
      <c r="K20" s="21" t="s">
        <v>2595</v>
      </c>
      <c r="L20" t="s">
        <v>2596</v>
      </c>
      <c r="M20" t="s">
        <v>2597</v>
      </c>
      <c r="N20" t="s">
        <v>2598</v>
      </c>
      <c r="O20" t="s">
        <v>2599</v>
      </c>
      <c r="P20" t="s">
        <v>2600</v>
      </c>
      <c r="Q20" t="s">
        <v>2601</v>
      </c>
      <c r="R20" t="s">
        <v>2602</v>
      </c>
      <c r="S20" t="s">
        <v>2603</v>
      </c>
      <c r="T20" t="s">
        <v>2604</v>
      </c>
      <c r="U20" t="s">
        <v>2605</v>
      </c>
      <c r="V20" t="s">
        <v>2606</v>
      </c>
      <c r="W20" t="s">
        <v>2607</v>
      </c>
      <c r="X20" t="s">
        <v>2608</v>
      </c>
      <c r="Y20" t="s">
        <v>2609</v>
      </c>
      <c r="Z20" t="s">
        <v>2610</v>
      </c>
      <c r="AA20" t="s">
        <v>2611</v>
      </c>
      <c r="AB20" t="s">
        <v>2612</v>
      </c>
      <c r="AC20" t="s">
        <v>2613</v>
      </c>
      <c r="AD20" t="s">
        <v>2614</v>
      </c>
      <c r="AE20" t="s">
        <v>2615</v>
      </c>
      <c r="AF20" t="s">
        <v>2616</v>
      </c>
      <c r="AG20" t="s">
        <v>2617</v>
      </c>
      <c r="AH20" t="s">
        <v>2618</v>
      </c>
      <c r="AI20" t="s">
        <v>2619</v>
      </c>
      <c r="AJ20" t="s">
        <v>2620</v>
      </c>
      <c r="AK20" t="s">
        <v>2621</v>
      </c>
      <c r="AL20" t="s">
        <v>2622</v>
      </c>
      <c r="AM20" t="s">
        <v>2623</v>
      </c>
      <c r="AN20" t="s">
        <v>2624</v>
      </c>
      <c r="AO20" t="s">
        <v>2625</v>
      </c>
      <c r="AP20" t="s">
        <v>2626</v>
      </c>
      <c r="AQ20" t="s">
        <v>2627</v>
      </c>
      <c r="AR20" t="s">
        <v>2628</v>
      </c>
      <c r="AS20" t="s">
        <v>2629</v>
      </c>
      <c r="AT20" t="s">
        <v>2630</v>
      </c>
      <c r="AU20" t="s">
        <v>2631</v>
      </c>
      <c r="AV20" t="s">
        <v>2632</v>
      </c>
      <c r="AW20" t="s">
        <v>2633</v>
      </c>
      <c r="AX20" t="s">
        <v>2634</v>
      </c>
      <c r="AY20" t="s">
        <v>2635</v>
      </c>
      <c r="AZ20" t="s">
        <v>2636</v>
      </c>
      <c r="BA20" t="s">
        <v>2637</v>
      </c>
      <c r="BB20" t="s">
        <v>2638</v>
      </c>
      <c r="BC20" t="s">
        <v>2639</v>
      </c>
      <c r="BD20" t="s">
        <v>2640</v>
      </c>
      <c r="BE20" t="s">
        <v>2641</v>
      </c>
      <c r="BF20" t="s">
        <v>2642</v>
      </c>
      <c r="BG20" t="s">
        <v>2643</v>
      </c>
      <c r="BH20" t="s">
        <v>2644</v>
      </c>
      <c r="BI20" t="s">
        <v>2645</v>
      </c>
      <c r="BJ20" t="s">
        <v>2646</v>
      </c>
      <c r="BK20" t="s">
        <v>2647</v>
      </c>
      <c r="BL20" t="s">
        <v>2648</v>
      </c>
      <c r="BM20" t="s">
        <v>2649</v>
      </c>
      <c r="BN20" t="s">
        <v>2650</v>
      </c>
      <c r="BO20" t="s">
        <v>2651</v>
      </c>
      <c r="BP20" t="s">
        <v>2652</v>
      </c>
      <c r="BQ20" t="s">
        <v>2653</v>
      </c>
      <c r="BR20" t="s">
        <v>2654</v>
      </c>
      <c r="BS20" t="s">
        <v>2655</v>
      </c>
      <c r="BT20" t="s">
        <v>2656</v>
      </c>
      <c r="BU20" t="s">
        <v>2657</v>
      </c>
      <c r="BV20" t="s">
        <v>2658</v>
      </c>
      <c r="BW20" t="s">
        <v>2659</v>
      </c>
      <c r="BX20" t="s">
        <v>2660</v>
      </c>
      <c r="BY20" t="s">
        <v>2661</v>
      </c>
      <c r="BZ20" t="s">
        <v>2662</v>
      </c>
      <c r="CA20" t="s">
        <v>2663</v>
      </c>
      <c r="CB20" t="s">
        <v>2664</v>
      </c>
      <c r="CC20" t="s">
        <v>2665</v>
      </c>
      <c r="CD20" t="s">
        <v>2666</v>
      </c>
      <c r="CE20" t="s">
        <v>2667</v>
      </c>
      <c r="CF20" t="s">
        <v>2668</v>
      </c>
      <c r="CG20" t="s">
        <v>2669</v>
      </c>
      <c r="CH20" t="s">
        <v>2670</v>
      </c>
      <c r="CI20" t="s">
        <v>2671</v>
      </c>
      <c r="CJ20" t="s">
        <v>2672</v>
      </c>
      <c r="CK20" t="s">
        <v>2673</v>
      </c>
      <c r="CL20" t="s">
        <v>2674</v>
      </c>
      <c r="CM20" t="s">
        <v>2675</v>
      </c>
      <c r="CN20" t="s">
        <v>2676</v>
      </c>
      <c r="CO20" t="s">
        <v>2677</v>
      </c>
      <c r="CP20" t="s">
        <v>2678</v>
      </c>
      <c r="CQ20" t="s">
        <v>2679</v>
      </c>
      <c r="CR20" t="s">
        <v>2680</v>
      </c>
      <c r="CS20" t="s">
        <v>2681</v>
      </c>
      <c r="CT20" t="s">
        <v>2682</v>
      </c>
      <c r="CU20" t="s">
        <v>2683</v>
      </c>
      <c r="CV20" t="s">
        <v>2684</v>
      </c>
      <c r="CW20" t="s">
        <v>2685</v>
      </c>
      <c r="CX20" t="s">
        <v>2686</v>
      </c>
      <c r="CY20" t="s">
        <v>2687</v>
      </c>
      <c r="CZ20" t="s">
        <v>2688</v>
      </c>
      <c r="DA20" t="s">
        <v>2689</v>
      </c>
      <c r="DB20" t="s">
        <v>2690</v>
      </c>
      <c r="DC20" t="s">
        <v>2691</v>
      </c>
      <c r="DD20" t="s">
        <v>2692</v>
      </c>
      <c r="DE20" t="s">
        <v>2693</v>
      </c>
      <c r="DF20" t="s">
        <v>2694</v>
      </c>
      <c r="DG20" t="s">
        <v>2695</v>
      </c>
      <c r="DH20" t="s">
        <v>2696</v>
      </c>
      <c r="DI20" t="s">
        <v>2697</v>
      </c>
      <c r="DJ20" t="s">
        <v>2698</v>
      </c>
      <c r="DK20" t="s">
        <v>2699</v>
      </c>
      <c r="DL20" t="s">
        <v>2700</v>
      </c>
      <c r="DM20" t="s">
        <v>2701</v>
      </c>
      <c r="DN20" t="s">
        <v>2702</v>
      </c>
      <c r="DO20" t="s">
        <v>2703</v>
      </c>
      <c r="DP20" t="s">
        <v>2704</v>
      </c>
      <c r="DQ20" t="s">
        <v>2705</v>
      </c>
      <c r="DR20" t="s">
        <v>2706</v>
      </c>
      <c r="DS20" t="s">
        <v>2707</v>
      </c>
      <c r="DT20" t="s">
        <v>2708</v>
      </c>
      <c r="DU20" t="s">
        <v>2709</v>
      </c>
      <c r="DV20" t="s">
        <v>2710</v>
      </c>
      <c r="DW20" t="s">
        <v>2711</v>
      </c>
      <c r="DX20" t="s">
        <v>2712</v>
      </c>
      <c r="DY20" t="s">
        <v>2713</v>
      </c>
      <c r="DZ20" t="s">
        <v>2714</v>
      </c>
      <c r="EA20" t="s">
        <v>2715</v>
      </c>
      <c r="EB20" t="s">
        <v>2716</v>
      </c>
      <c r="EC20" t="s">
        <v>2717</v>
      </c>
      <c r="ED20" t="s">
        <v>2718</v>
      </c>
      <c r="EE20" t="s">
        <v>2719</v>
      </c>
      <c r="EF20" t="s">
        <v>2720</v>
      </c>
      <c r="EG20" t="s">
        <v>2721</v>
      </c>
      <c r="EH20" t="s">
        <v>2722</v>
      </c>
      <c r="EI20" t="s">
        <v>2723</v>
      </c>
      <c r="EJ20" t="s">
        <v>2724</v>
      </c>
      <c r="EK20" t="s">
        <v>2725</v>
      </c>
      <c r="EL20" t="s">
        <v>2726</v>
      </c>
      <c r="EM20" t="s">
        <v>2727</v>
      </c>
      <c r="EN20" t="s">
        <v>2728</v>
      </c>
      <c r="EO20" t="s">
        <v>2729</v>
      </c>
      <c r="EP20" t="s">
        <v>2730</v>
      </c>
      <c r="EQ20" t="s">
        <v>2731</v>
      </c>
      <c r="ER20" t="s">
        <v>2732</v>
      </c>
      <c r="ES20" t="s">
        <v>2733</v>
      </c>
      <c r="ET20" t="s">
        <v>2734</v>
      </c>
      <c r="EU20" t="s">
        <v>2735</v>
      </c>
      <c r="EV20" t="s">
        <v>2736</v>
      </c>
      <c r="EW20" t="s">
        <v>2737</v>
      </c>
      <c r="EX20" t="s">
        <v>2738</v>
      </c>
      <c r="EY20" t="s">
        <v>2739</v>
      </c>
      <c r="EZ20" t="s">
        <v>2740</v>
      </c>
      <c r="FA20" t="s">
        <v>2741</v>
      </c>
      <c r="FB20" t="s">
        <v>2742</v>
      </c>
      <c r="FC20" t="s">
        <v>2743</v>
      </c>
      <c r="FD20" t="s">
        <v>2744</v>
      </c>
      <c r="FE20" t="s">
        <v>2745</v>
      </c>
      <c r="FF20" t="s">
        <v>2746</v>
      </c>
      <c r="FG20" t="s">
        <v>2747</v>
      </c>
      <c r="FH20" t="s">
        <v>2748</v>
      </c>
      <c r="FI20" t="s">
        <v>2749</v>
      </c>
      <c r="FJ20" t="s">
        <v>2750</v>
      </c>
      <c r="FK20" t="s">
        <v>2751</v>
      </c>
      <c r="FL20" t="s">
        <v>2752</v>
      </c>
      <c r="FM20" t="s">
        <v>2753</v>
      </c>
      <c r="FN20" t="s">
        <v>2754</v>
      </c>
      <c r="FO20" t="s">
        <v>2755</v>
      </c>
      <c r="FP20" t="s">
        <v>2756</v>
      </c>
      <c r="FQ20" t="s">
        <v>2757</v>
      </c>
      <c r="FR20" t="s">
        <v>2758</v>
      </c>
      <c r="FS20" t="s">
        <v>2759</v>
      </c>
      <c r="FT20" t="s">
        <v>2760</v>
      </c>
      <c r="FU20" t="s">
        <v>2761</v>
      </c>
      <c r="FV20" t="s">
        <v>2762</v>
      </c>
      <c r="FW20" t="s">
        <v>2763</v>
      </c>
      <c r="FX20" t="s">
        <v>2764</v>
      </c>
      <c r="FY20" t="s">
        <v>2765</v>
      </c>
      <c r="FZ20" t="s">
        <v>2766</v>
      </c>
      <c r="GA20" t="s">
        <v>2767</v>
      </c>
      <c r="GB20" t="s">
        <v>2768</v>
      </c>
      <c r="GC20" t="s">
        <v>2769</v>
      </c>
      <c r="GD20" t="s">
        <v>2770</v>
      </c>
      <c r="GE20" t="s">
        <v>2771</v>
      </c>
      <c r="GF20" t="s">
        <v>2772</v>
      </c>
      <c r="GG20" t="s">
        <v>2773</v>
      </c>
      <c r="GH20" t="s">
        <v>2774</v>
      </c>
      <c r="GI20" t="s">
        <v>2775</v>
      </c>
      <c r="GJ20" t="s">
        <v>2776</v>
      </c>
      <c r="GK20" t="s">
        <v>2777</v>
      </c>
      <c r="GL20" t="s">
        <v>2778</v>
      </c>
      <c r="GM20" t="s">
        <v>2779</v>
      </c>
      <c r="GN20" t="s">
        <v>2780</v>
      </c>
      <c r="GO20" t="s">
        <v>2781</v>
      </c>
      <c r="GP20" t="s">
        <v>2782</v>
      </c>
      <c r="GQ20" t="s">
        <v>2783</v>
      </c>
      <c r="GR20" t="s">
        <v>2784</v>
      </c>
      <c r="GS20" t="s">
        <v>2785</v>
      </c>
      <c r="GT20" t="s">
        <v>2786</v>
      </c>
      <c r="GU20" t="s">
        <v>2787</v>
      </c>
    </row>
    <row r="21" spans="1:203" x14ac:dyDescent="0.25">
      <c r="A21" s="9" t="s">
        <v>2612</v>
      </c>
      <c r="B21" s="32">
        <v>1</v>
      </c>
      <c r="C21" s="32"/>
      <c r="D21" s="32"/>
      <c r="E21" s="32"/>
      <c r="G21" s="9" t="s">
        <v>2801</v>
      </c>
      <c r="H21" s="32">
        <v>60</v>
      </c>
      <c r="I21" s="32">
        <v>18</v>
      </c>
      <c r="K21" s="9" t="s">
        <v>2791</v>
      </c>
      <c r="L21" s="32">
        <v>4</v>
      </c>
      <c r="M21" s="32">
        <v>3</v>
      </c>
      <c r="N21" s="32"/>
      <c r="O21" s="32"/>
      <c r="P21" s="32">
        <v>1</v>
      </c>
      <c r="Q21" s="32"/>
      <c r="R21" s="32"/>
      <c r="S21" s="32"/>
      <c r="T21" s="32">
        <v>2</v>
      </c>
      <c r="U21" s="32">
        <v>1</v>
      </c>
      <c r="V21" s="32"/>
      <c r="W21" s="32"/>
      <c r="X21" s="32">
        <v>1</v>
      </c>
      <c r="Y21" s="32"/>
      <c r="Z21" s="32"/>
      <c r="AA21" s="32"/>
      <c r="AB21" s="32"/>
      <c r="AC21" s="32">
        <v>5</v>
      </c>
      <c r="AD21" s="32">
        <v>2</v>
      </c>
      <c r="AE21" s="32">
        <v>2</v>
      </c>
      <c r="AF21" s="32">
        <v>2</v>
      </c>
      <c r="AG21" s="32">
        <v>2</v>
      </c>
      <c r="AH21" s="32"/>
      <c r="AI21" s="32"/>
      <c r="AJ21" s="32">
        <v>1</v>
      </c>
      <c r="AK21" s="32"/>
      <c r="AL21" s="32">
        <v>1</v>
      </c>
      <c r="AM21" s="32"/>
      <c r="AN21" s="32"/>
      <c r="AO21" s="32">
        <v>1</v>
      </c>
      <c r="AP21" s="32">
        <v>1</v>
      </c>
      <c r="AQ21" s="32"/>
      <c r="AR21" s="32"/>
      <c r="AS21" s="32">
        <v>2</v>
      </c>
      <c r="AT21" s="32">
        <v>1</v>
      </c>
      <c r="AU21" s="32"/>
      <c r="AV21" s="32">
        <v>2</v>
      </c>
      <c r="AW21" s="32">
        <v>2</v>
      </c>
      <c r="AX21" s="32"/>
      <c r="AY21" s="32"/>
      <c r="AZ21" s="32">
        <v>6</v>
      </c>
      <c r="BA21" s="32"/>
      <c r="BB21" s="32"/>
      <c r="BC21" s="32"/>
      <c r="BD21" s="32"/>
      <c r="BE21" s="32"/>
      <c r="BF21" s="32">
        <v>6</v>
      </c>
      <c r="BG21" s="32">
        <v>1</v>
      </c>
      <c r="BH21" s="32">
        <v>1</v>
      </c>
      <c r="BI21" s="32">
        <v>2</v>
      </c>
      <c r="BJ21" s="32">
        <v>4</v>
      </c>
      <c r="BK21" s="32"/>
      <c r="BL21" s="32">
        <v>3</v>
      </c>
      <c r="BM21" s="32"/>
      <c r="BN21" s="32"/>
      <c r="BO21" s="32"/>
      <c r="BP21" s="32"/>
      <c r="BQ21" s="32"/>
      <c r="BR21" s="32"/>
      <c r="BS21" s="32">
        <v>1</v>
      </c>
      <c r="BT21" s="32">
        <v>2</v>
      </c>
      <c r="BU21" s="32">
        <v>1</v>
      </c>
      <c r="BV21" s="32">
        <v>2</v>
      </c>
      <c r="BW21" s="32">
        <v>1</v>
      </c>
      <c r="BX21" s="32"/>
      <c r="BY21" s="32">
        <v>2</v>
      </c>
      <c r="BZ21" s="32"/>
      <c r="CA21" s="32">
        <v>1</v>
      </c>
      <c r="CB21" s="32"/>
      <c r="CC21" s="32">
        <v>1</v>
      </c>
      <c r="CD21" s="32">
        <v>2</v>
      </c>
      <c r="CE21" s="32">
        <v>2</v>
      </c>
      <c r="CF21" s="32">
        <v>1</v>
      </c>
      <c r="CG21" s="32"/>
      <c r="CH21" s="32">
        <v>1</v>
      </c>
      <c r="CI21" s="32">
        <v>3</v>
      </c>
      <c r="CJ21" s="32">
        <v>11</v>
      </c>
      <c r="CK21" s="32"/>
      <c r="CL21" s="32"/>
      <c r="CM21" s="32"/>
      <c r="CN21" s="32">
        <v>1</v>
      </c>
      <c r="CO21" s="32">
        <v>1</v>
      </c>
      <c r="CP21" s="32"/>
      <c r="CQ21" s="32"/>
      <c r="CR21" s="32"/>
      <c r="CS21" s="32">
        <v>2</v>
      </c>
      <c r="CT21" s="32">
        <v>1</v>
      </c>
      <c r="CU21" s="32">
        <v>2</v>
      </c>
      <c r="CV21" s="32"/>
      <c r="CW21" s="32">
        <v>1</v>
      </c>
      <c r="CX21" s="32">
        <v>7</v>
      </c>
      <c r="CY21" s="32">
        <v>6</v>
      </c>
      <c r="CZ21" s="32">
        <v>1</v>
      </c>
      <c r="DA21" s="32">
        <v>4</v>
      </c>
      <c r="DB21" s="32">
        <v>1</v>
      </c>
      <c r="DC21" s="32">
        <v>2</v>
      </c>
      <c r="DD21" s="32"/>
      <c r="DE21" s="32"/>
      <c r="DF21" s="32"/>
      <c r="DG21" s="32"/>
      <c r="DH21" s="32">
        <v>2</v>
      </c>
      <c r="DI21" s="32">
        <v>1</v>
      </c>
      <c r="DJ21" s="32">
        <v>1</v>
      </c>
      <c r="DK21" s="32"/>
      <c r="DL21" s="32">
        <v>1</v>
      </c>
      <c r="DM21" s="32"/>
      <c r="DN21" s="32">
        <v>3</v>
      </c>
      <c r="DO21" s="32"/>
      <c r="DP21" s="32">
        <v>2</v>
      </c>
      <c r="DQ21" s="32">
        <v>2</v>
      </c>
      <c r="DR21" s="32">
        <v>1</v>
      </c>
      <c r="DS21" s="32"/>
      <c r="DT21" s="32"/>
      <c r="DU21" s="32">
        <v>1</v>
      </c>
      <c r="DV21" s="32">
        <v>1</v>
      </c>
      <c r="DW21" s="32"/>
      <c r="DX21" s="32">
        <v>20</v>
      </c>
      <c r="DY21" s="32"/>
      <c r="DZ21" s="32"/>
      <c r="EA21" s="32">
        <v>1</v>
      </c>
      <c r="EB21" s="32">
        <v>1</v>
      </c>
      <c r="EC21" s="32">
        <v>3</v>
      </c>
      <c r="ED21" s="32"/>
      <c r="EE21" s="32">
        <v>1</v>
      </c>
      <c r="EF21" s="32"/>
      <c r="EG21" s="32"/>
      <c r="EH21" s="32">
        <v>2</v>
      </c>
      <c r="EI21" s="32"/>
      <c r="EJ21" s="32"/>
      <c r="EK21" s="32"/>
      <c r="EL21" s="32"/>
      <c r="EM21" s="32"/>
      <c r="EN21" s="32">
        <v>1</v>
      </c>
      <c r="EO21" s="32"/>
      <c r="EP21" s="32"/>
      <c r="EQ21" s="32">
        <v>6</v>
      </c>
      <c r="ER21" s="32">
        <v>4</v>
      </c>
      <c r="ES21" s="32">
        <v>1</v>
      </c>
      <c r="ET21" s="32"/>
      <c r="EU21" s="32">
        <v>1</v>
      </c>
      <c r="EV21" s="32"/>
      <c r="EW21" s="32"/>
      <c r="EX21" s="32">
        <v>3</v>
      </c>
      <c r="EY21" s="32"/>
      <c r="EZ21" s="32">
        <v>4</v>
      </c>
      <c r="FA21" s="32">
        <v>1</v>
      </c>
      <c r="FB21" s="32">
        <v>16</v>
      </c>
      <c r="FC21" s="32"/>
      <c r="FD21" s="32">
        <v>1</v>
      </c>
      <c r="FE21" s="32">
        <v>1</v>
      </c>
      <c r="FF21" s="32"/>
      <c r="FG21" s="32">
        <v>2</v>
      </c>
      <c r="FH21" s="32">
        <v>1</v>
      </c>
      <c r="FI21" s="32">
        <v>1</v>
      </c>
      <c r="FJ21" s="32"/>
      <c r="FK21" s="32"/>
      <c r="FL21" s="32"/>
      <c r="FM21" s="32">
        <v>1</v>
      </c>
      <c r="FN21" s="32">
        <v>1</v>
      </c>
      <c r="FO21" s="32"/>
      <c r="FP21" s="32"/>
      <c r="FQ21" s="32"/>
      <c r="FR21" s="32"/>
      <c r="FS21" s="32">
        <v>3</v>
      </c>
      <c r="FT21" s="32">
        <v>2</v>
      </c>
      <c r="FU21" s="32"/>
      <c r="FV21" s="32">
        <v>5</v>
      </c>
      <c r="FW21" s="32">
        <v>2</v>
      </c>
      <c r="FX21" s="32">
        <v>1</v>
      </c>
      <c r="FY21" s="32"/>
      <c r="FZ21" s="32"/>
      <c r="GA21" s="32">
        <v>1</v>
      </c>
      <c r="GB21" s="32"/>
      <c r="GC21" s="32">
        <v>1</v>
      </c>
      <c r="GD21" s="32">
        <v>1</v>
      </c>
      <c r="GE21" s="32">
        <v>1</v>
      </c>
      <c r="GF21" s="32"/>
      <c r="GG21" s="32">
        <v>2</v>
      </c>
      <c r="GH21" s="32">
        <v>1</v>
      </c>
      <c r="GI21" s="32"/>
      <c r="GJ21" s="32"/>
      <c r="GK21" s="32">
        <v>1</v>
      </c>
      <c r="GL21" s="32">
        <v>1</v>
      </c>
      <c r="GM21" s="32"/>
      <c r="GN21" s="32"/>
      <c r="GO21" s="32"/>
      <c r="GP21" s="32">
        <v>1</v>
      </c>
      <c r="GQ21" s="32"/>
      <c r="GR21" s="32"/>
      <c r="GS21" s="32">
        <v>1</v>
      </c>
      <c r="GT21" s="32"/>
      <c r="GU21" s="32">
        <v>231</v>
      </c>
    </row>
    <row r="22" spans="1:203" x14ac:dyDescent="0.25">
      <c r="A22" s="9" t="s">
        <v>2613</v>
      </c>
      <c r="B22" s="32">
        <v>9</v>
      </c>
      <c r="C22" s="32"/>
      <c r="D22" s="32"/>
      <c r="E22" s="32"/>
      <c r="G22" s="9" t="s">
        <v>2802</v>
      </c>
      <c r="H22" s="32">
        <v>35</v>
      </c>
      <c r="I22" s="32">
        <v>28</v>
      </c>
      <c r="K22" s="9" t="s">
        <v>2792</v>
      </c>
      <c r="L22" s="32">
        <v>2</v>
      </c>
      <c r="M22" s="32"/>
      <c r="N22" s="32">
        <v>2</v>
      </c>
      <c r="O22" s="32"/>
      <c r="P22" s="32"/>
      <c r="Q22" s="32"/>
      <c r="R22" s="32">
        <v>2</v>
      </c>
      <c r="S22" s="32"/>
      <c r="T22" s="32">
        <v>2</v>
      </c>
      <c r="U22" s="32">
        <v>2</v>
      </c>
      <c r="V22" s="32"/>
      <c r="W22" s="32">
        <v>2</v>
      </c>
      <c r="X22" s="32">
        <v>1</v>
      </c>
      <c r="Y22" s="32"/>
      <c r="Z22" s="32">
        <v>1</v>
      </c>
      <c r="AA22" s="32">
        <v>2</v>
      </c>
      <c r="AB22" s="32"/>
      <c r="AC22" s="32">
        <v>3</v>
      </c>
      <c r="AD22" s="32">
        <v>2</v>
      </c>
      <c r="AE22" s="32">
        <v>2</v>
      </c>
      <c r="AF22" s="32"/>
      <c r="AG22" s="32">
        <v>2</v>
      </c>
      <c r="AH22" s="32">
        <v>1</v>
      </c>
      <c r="AI22" s="32">
        <v>1</v>
      </c>
      <c r="AJ22" s="32">
        <v>2</v>
      </c>
      <c r="AK22" s="32"/>
      <c r="AL22" s="32"/>
      <c r="AM22" s="32"/>
      <c r="AN22" s="32">
        <v>1</v>
      </c>
      <c r="AO22" s="32"/>
      <c r="AP22" s="32"/>
      <c r="AQ22" s="32"/>
      <c r="AR22" s="32">
        <v>1</v>
      </c>
      <c r="AS22" s="32">
        <v>2</v>
      </c>
      <c r="AT22" s="32">
        <v>2</v>
      </c>
      <c r="AU22" s="32">
        <v>1</v>
      </c>
      <c r="AV22" s="32">
        <v>1</v>
      </c>
      <c r="AW22" s="32">
        <v>4</v>
      </c>
      <c r="AX22" s="32">
        <v>1</v>
      </c>
      <c r="AY22" s="32">
        <v>1</v>
      </c>
      <c r="AZ22" s="32">
        <v>7</v>
      </c>
      <c r="BA22" s="32">
        <v>2</v>
      </c>
      <c r="BB22" s="32"/>
      <c r="BC22" s="32">
        <v>1</v>
      </c>
      <c r="BD22" s="32">
        <v>1</v>
      </c>
      <c r="BE22" s="32"/>
      <c r="BF22" s="32">
        <v>6</v>
      </c>
      <c r="BG22" s="32"/>
      <c r="BH22" s="32"/>
      <c r="BI22" s="32"/>
      <c r="BJ22" s="32">
        <v>4</v>
      </c>
      <c r="BK22" s="32">
        <v>1</v>
      </c>
      <c r="BL22" s="32">
        <v>1</v>
      </c>
      <c r="BM22" s="32">
        <v>2</v>
      </c>
      <c r="BN22" s="32"/>
      <c r="BO22" s="32"/>
      <c r="BP22" s="32">
        <v>2</v>
      </c>
      <c r="BQ22" s="32">
        <v>2</v>
      </c>
      <c r="BR22" s="32"/>
      <c r="BS22" s="32"/>
      <c r="BT22" s="32">
        <v>3</v>
      </c>
      <c r="BU22" s="32"/>
      <c r="BV22" s="32">
        <v>3</v>
      </c>
      <c r="BW22" s="32">
        <v>1</v>
      </c>
      <c r="BX22" s="32">
        <v>1</v>
      </c>
      <c r="BY22" s="32">
        <v>1</v>
      </c>
      <c r="BZ22" s="32">
        <v>3</v>
      </c>
      <c r="CA22" s="32">
        <v>3</v>
      </c>
      <c r="CB22" s="32"/>
      <c r="CC22" s="32"/>
      <c r="CD22" s="32"/>
      <c r="CE22" s="32">
        <v>4</v>
      </c>
      <c r="CF22" s="32"/>
      <c r="CG22" s="32"/>
      <c r="CH22" s="32">
        <v>1</v>
      </c>
      <c r="CI22" s="32">
        <v>4</v>
      </c>
      <c r="CJ22" s="32">
        <v>13</v>
      </c>
      <c r="CK22" s="32">
        <v>1</v>
      </c>
      <c r="CL22" s="32">
        <v>1</v>
      </c>
      <c r="CM22" s="32">
        <v>2</v>
      </c>
      <c r="CN22" s="32"/>
      <c r="CO22" s="32"/>
      <c r="CP22" s="32"/>
      <c r="CQ22" s="32">
        <v>1</v>
      </c>
      <c r="CR22" s="32">
        <v>1</v>
      </c>
      <c r="CS22" s="32">
        <v>2</v>
      </c>
      <c r="CT22" s="32">
        <v>3</v>
      </c>
      <c r="CU22" s="32"/>
      <c r="CV22" s="32">
        <v>1</v>
      </c>
      <c r="CW22" s="32">
        <v>2</v>
      </c>
      <c r="CX22" s="32">
        <v>4</v>
      </c>
      <c r="CY22" s="32">
        <v>2</v>
      </c>
      <c r="CZ22" s="32">
        <v>2</v>
      </c>
      <c r="DA22" s="32">
        <v>6</v>
      </c>
      <c r="DB22" s="32">
        <v>2</v>
      </c>
      <c r="DC22" s="32">
        <v>2</v>
      </c>
      <c r="DD22" s="32">
        <v>1</v>
      </c>
      <c r="DE22" s="32">
        <v>1</v>
      </c>
      <c r="DF22" s="32">
        <v>1</v>
      </c>
      <c r="DG22" s="32">
        <v>1</v>
      </c>
      <c r="DH22" s="32">
        <v>1</v>
      </c>
      <c r="DI22" s="32">
        <v>4</v>
      </c>
      <c r="DJ22" s="32"/>
      <c r="DK22" s="32"/>
      <c r="DL22" s="32"/>
      <c r="DM22" s="32"/>
      <c r="DN22" s="32">
        <v>2</v>
      </c>
      <c r="DO22" s="32">
        <v>1</v>
      </c>
      <c r="DP22" s="32">
        <v>1</v>
      </c>
      <c r="DQ22" s="32"/>
      <c r="DR22" s="32"/>
      <c r="DS22" s="32"/>
      <c r="DT22" s="32">
        <v>2</v>
      </c>
      <c r="DU22" s="32"/>
      <c r="DV22" s="32">
        <v>1</v>
      </c>
      <c r="DW22" s="32">
        <v>1</v>
      </c>
      <c r="DX22" s="32">
        <v>14</v>
      </c>
      <c r="DY22" s="32">
        <v>1</v>
      </c>
      <c r="DZ22" s="32">
        <v>1</v>
      </c>
      <c r="EA22" s="32"/>
      <c r="EB22" s="32"/>
      <c r="EC22" s="32">
        <v>2</v>
      </c>
      <c r="ED22" s="32">
        <v>1</v>
      </c>
      <c r="EE22" s="32"/>
      <c r="EF22" s="32"/>
      <c r="EG22" s="32">
        <v>1</v>
      </c>
      <c r="EH22" s="32">
        <v>2</v>
      </c>
      <c r="EI22" s="32"/>
      <c r="EJ22" s="32"/>
      <c r="EK22" s="32">
        <v>1</v>
      </c>
      <c r="EL22" s="32">
        <v>1</v>
      </c>
      <c r="EM22" s="32">
        <v>1</v>
      </c>
      <c r="EN22" s="32"/>
      <c r="EO22" s="32">
        <v>1</v>
      </c>
      <c r="EP22" s="32">
        <v>1</v>
      </c>
      <c r="EQ22" s="32">
        <v>6</v>
      </c>
      <c r="ER22" s="32">
        <v>4</v>
      </c>
      <c r="ES22" s="32">
        <v>3</v>
      </c>
      <c r="ET22" s="32"/>
      <c r="EU22" s="32"/>
      <c r="EV22" s="32">
        <v>1</v>
      </c>
      <c r="EW22" s="32"/>
      <c r="EX22" s="32">
        <v>1</v>
      </c>
      <c r="EY22" s="32"/>
      <c r="EZ22" s="32">
        <v>2</v>
      </c>
      <c r="FA22" s="32"/>
      <c r="FB22" s="32">
        <v>16</v>
      </c>
      <c r="FC22" s="32">
        <v>1</v>
      </c>
      <c r="FD22" s="32"/>
      <c r="FE22" s="32">
        <v>3</v>
      </c>
      <c r="FF22" s="32"/>
      <c r="FG22" s="32"/>
      <c r="FH22" s="32">
        <v>1</v>
      </c>
      <c r="FI22" s="32">
        <v>2</v>
      </c>
      <c r="FJ22" s="32"/>
      <c r="FK22" s="32">
        <v>1</v>
      </c>
      <c r="FL22" s="32"/>
      <c r="FM22" s="32">
        <v>1</v>
      </c>
      <c r="FN22" s="32"/>
      <c r="FO22" s="32">
        <v>2</v>
      </c>
      <c r="FP22" s="32">
        <v>1</v>
      </c>
      <c r="FQ22" s="32"/>
      <c r="FR22" s="32">
        <v>1</v>
      </c>
      <c r="FS22" s="32">
        <v>3</v>
      </c>
      <c r="FT22" s="32"/>
      <c r="FU22" s="32"/>
      <c r="FV22" s="32">
        <v>4</v>
      </c>
      <c r="FW22" s="32"/>
      <c r="FX22" s="32"/>
      <c r="FY22" s="32">
        <v>1</v>
      </c>
      <c r="FZ22" s="32">
        <v>1</v>
      </c>
      <c r="GA22" s="32"/>
      <c r="GB22" s="32">
        <v>1</v>
      </c>
      <c r="GC22" s="32"/>
      <c r="GD22" s="32">
        <v>4</v>
      </c>
      <c r="GE22" s="32"/>
      <c r="GF22" s="32">
        <v>1</v>
      </c>
      <c r="GG22" s="32"/>
      <c r="GH22" s="32">
        <v>2</v>
      </c>
      <c r="GI22" s="32"/>
      <c r="GJ22" s="32">
        <v>1</v>
      </c>
      <c r="GK22" s="32">
        <v>1</v>
      </c>
      <c r="GL22" s="32"/>
      <c r="GM22" s="32">
        <v>1</v>
      </c>
      <c r="GN22" s="32">
        <v>2</v>
      </c>
      <c r="GO22" s="32"/>
      <c r="GP22" s="32"/>
      <c r="GQ22" s="32">
        <v>3</v>
      </c>
      <c r="GR22" s="32"/>
      <c r="GS22" s="32">
        <v>1</v>
      </c>
      <c r="GT22" s="32">
        <v>1</v>
      </c>
      <c r="GU22" s="32">
        <v>258</v>
      </c>
    </row>
    <row r="23" spans="1:203" x14ac:dyDescent="0.25">
      <c r="A23" s="9" t="s">
        <v>2614</v>
      </c>
      <c r="B23" s="32">
        <v>6</v>
      </c>
      <c r="C23" s="32"/>
      <c r="D23" s="32"/>
      <c r="E23" s="32"/>
      <c r="G23" s="9" t="s">
        <v>2803</v>
      </c>
      <c r="H23" s="32">
        <v>40</v>
      </c>
      <c r="I23" s="32">
        <v>18</v>
      </c>
      <c r="K23" s="9" t="s">
        <v>2793</v>
      </c>
      <c r="L23" s="32">
        <v>2</v>
      </c>
      <c r="M23" s="32"/>
      <c r="N23" s="32">
        <v>2</v>
      </c>
      <c r="O23" s="32">
        <v>2</v>
      </c>
      <c r="P23" s="32"/>
      <c r="Q23" s="32">
        <v>3</v>
      </c>
      <c r="R23" s="32"/>
      <c r="S23" s="32">
        <v>1</v>
      </c>
      <c r="T23" s="32">
        <v>2</v>
      </c>
      <c r="U23" s="32"/>
      <c r="V23" s="32">
        <v>2</v>
      </c>
      <c r="W23" s="32">
        <v>1</v>
      </c>
      <c r="X23" s="32"/>
      <c r="Y23" s="32">
        <v>1</v>
      </c>
      <c r="Z23" s="32">
        <v>1</v>
      </c>
      <c r="AA23" s="32">
        <v>2</v>
      </c>
      <c r="AB23" s="32">
        <v>1</v>
      </c>
      <c r="AC23" s="32">
        <v>1</v>
      </c>
      <c r="AD23" s="32">
        <v>2</v>
      </c>
      <c r="AE23" s="32">
        <v>1</v>
      </c>
      <c r="AF23" s="32">
        <v>1</v>
      </c>
      <c r="AG23" s="32">
        <v>1</v>
      </c>
      <c r="AH23" s="32"/>
      <c r="AI23" s="32"/>
      <c r="AJ23" s="32">
        <v>1</v>
      </c>
      <c r="AK23" s="32">
        <v>1</v>
      </c>
      <c r="AL23" s="32">
        <v>3</v>
      </c>
      <c r="AM23" s="32">
        <v>2</v>
      </c>
      <c r="AN23" s="32"/>
      <c r="AO23" s="32"/>
      <c r="AP23" s="32"/>
      <c r="AQ23" s="32">
        <v>1</v>
      </c>
      <c r="AR23" s="32"/>
      <c r="AS23" s="32"/>
      <c r="AT23" s="32">
        <v>1</v>
      </c>
      <c r="AU23" s="32"/>
      <c r="AV23" s="32"/>
      <c r="AW23" s="32">
        <v>2</v>
      </c>
      <c r="AX23" s="32"/>
      <c r="AY23" s="32">
        <v>1</v>
      </c>
      <c r="AZ23" s="32">
        <v>6</v>
      </c>
      <c r="BA23" s="32"/>
      <c r="BB23" s="32">
        <v>1</v>
      </c>
      <c r="BC23" s="32">
        <v>2</v>
      </c>
      <c r="BD23" s="32"/>
      <c r="BE23" s="32">
        <v>1</v>
      </c>
      <c r="BF23" s="32">
        <v>4</v>
      </c>
      <c r="BG23" s="32"/>
      <c r="BH23" s="32"/>
      <c r="BI23" s="32">
        <v>2</v>
      </c>
      <c r="BJ23" s="32">
        <v>3</v>
      </c>
      <c r="BK23" s="32"/>
      <c r="BL23" s="32">
        <v>3</v>
      </c>
      <c r="BM23" s="32">
        <v>1</v>
      </c>
      <c r="BN23" s="32">
        <v>2</v>
      </c>
      <c r="BO23" s="32">
        <v>2</v>
      </c>
      <c r="BP23" s="32">
        <v>3</v>
      </c>
      <c r="BQ23" s="32">
        <v>1</v>
      </c>
      <c r="BR23" s="32">
        <v>1</v>
      </c>
      <c r="BS23" s="32"/>
      <c r="BT23" s="32">
        <v>2</v>
      </c>
      <c r="BU23" s="32"/>
      <c r="BV23" s="32">
        <v>3</v>
      </c>
      <c r="BW23" s="32"/>
      <c r="BX23" s="32"/>
      <c r="BY23" s="32"/>
      <c r="BZ23" s="32">
        <v>2</v>
      </c>
      <c r="CA23" s="32"/>
      <c r="CB23" s="32">
        <v>1</v>
      </c>
      <c r="CC23" s="32"/>
      <c r="CD23" s="32"/>
      <c r="CE23" s="32">
        <v>1</v>
      </c>
      <c r="CF23" s="32">
        <v>2</v>
      </c>
      <c r="CG23" s="32">
        <v>1</v>
      </c>
      <c r="CH23" s="32"/>
      <c r="CI23" s="32"/>
      <c r="CJ23" s="32">
        <v>13</v>
      </c>
      <c r="CK23" s="32"/>
      <c r="CL23" s="32">
        <v>1</v>
      </c>
      <c r="CM23" s="32"/>
      <c r="CN23" s="32">
        <v>2</v>
      </c>
      <c r="CO23" s="32"/>
      <c r="CP23" s="32">
        <v>1</v>
      </c>
      <c r="CQ23" s="32">
        <v>2</v>
      </c>
      <c r="CR23" s="32"/>
      <c r="CS23" s="32">
        <v>1</v>
      </c>
      <c r="CT23" s="32">
        <v>2</v>
      </c>
      <c r="CU23" s="32">
        <v>2</v>
      </c>
      <c r="CV23" s="32"/>
      <c r="CW23" s="32">
        <v>1</v>
      </c>
      <c r="CX23" s="32">
        <v>7</v>
      </c>
      <c r="CY23" s="32">
        <v>1</v>
      </c>
      <c r="CZ23" s="32">
        <v>2</v>
      </c>
      <c r="DA23" s="32">
        <v>4</v>
      </c>
      <c r="DB23" s="32"/>
      <c r="DC23" s="32">
        <v>2</v>
      </c>
      <c r="DD23" s="32"/>
      <c r="DE23" s="32">
        <v>2</v>
      </c>
      <c r="DF23" s="32"/>
      <c r="DG23" s="32">
        <v>1</v>
      </c>
      <c r="DH23" s="32">
        <v>2</v>
      </c>
      <c r="DI23" s="32">
        <v>4</v>
      </c>
      <c r="DJ23" s="32"/>
      <c r="DK23" s="32">
        <v>1</v>
      </c>
      <c r="DL23" s="32"/>
      <c r="DM23" s="32">
        <v>1</v>
      </c>
      <c r="DN23" s="32">
        <v>1</v>
      </c>
      <c r="DO23" s="32"/>
      <c r="DP23" s="32">
        <v>3</v>
      </c>
      <c r="DQ23" s="32">
        <v>3</v>
      </c>
      <c r="DR23" s="32">
        <v>1</v>
      </c>
      <c r="DS23" s="32">
        <v>1</v>
      </c>
      <c r="DT23" s="32"/>
      <c r="DU23" s="32">
        <v>2</v>
      </c>
      <c r="DV23" s="32">
        <v>1</v>
      </c>
      <c r="DW23" s="32"/>
      <c r="DX23" s="32">
        <v>10</v>
      </c>
      <c r="DY23" s="32"/>
      <c r="DZ23" s="32"/>
      <c r="EA23" s="32">
        <v>2</v>
      </c>
      <c r="EB23" s="32"/>
      <c r="EC23" s="32">
        <v>4</v>
      </c>
      <c r="ED23" s="32">
        <v>1</v>
      </c>
      <c r="EE23" s="32"/>
      <c r="EF23" s="32">
        <v>3</v>
      </c>
      <c r="EG23" s="32"/>
      <c r="EH23" s="32">
        <v>2</v>
      </c>
      <c r="EI23" s="32">
        <v>1</v>
      </c>
      <c r="EJ23" s="32">
        <v>1</v>
      </c>
      <c r="EK23" s="32"/>
      <c r="EL23" s="32"/>
      <c r="EM23" s="32">
        <v>1</v>
      </c>
      <c r="EN23" s="32"/>
      <c r="EO23" s="32"/>
      <c r="EP23" s="32">
        <v>3</v>
      </c>
      <c r="EQ23" s="32">
        <v>6</v>
      </c>
      <c r="ER23" s="32">
        <v>3</v>
      </c>
      <c r="ES23" s="32">
        <v>2</v>
      </c>
      <c r="ET23" s="32">
        <v>1</v>
      </c>
      <c r="EU23" s="32"/>
      <c r="EV23" s="32"/>
      <c r="EW23" s="32">
        <v>1</v>
      </c>
      <c r="EX23" s="32"/>
      <c r="EY23" s="32">
        <v>1</v>
      </c>
      <c r="EZ23" s="32"/>
      <c r="FA23" s="32"/>
      <c r="FB23" s="32">
        <v>13</v>
      </c>
      <c r="FC23" s="32"/>
      <c r="FD23" s="32"/>
      <c r="FE23" s="32">
        <v>3</v>
      </c>
      <c r="FF23" s="32">
        <v>4</v>
      </c>
      <c r="FG23" s="32"/>
      <c r="FH23" s="32">
        <v>2</v>
      </c>
      <c r="FI23" s="32">
        <v>3</v>
      </c>
      <c r="FJ23" s="32">
        <v>2</v>
      </c>
      <c r="FK23" s="32"/>
      <c r="FL23" s="32">
        <v>1</v>
      </c>
      <c r="FM23" s="32">
        <v>1</v>
      </c>
      <c r="FN23" s="32">
        <v>1</v>
      </c>
      <c r="FO23" s="32">
        <v>2</v>
      </c>
      <c r="FP23" s="32"/>
      <c r="FQ23" s="32">
        <v>1</v>
      </c>
      <c r="FR23" s="32"/>
      <c r="FS23" s="32">
        <v>3</v>
      </c>
      <c r="FT23" s="32"/>
      <c r="FU23" s="32">
        <v>3</v>
      </c>
      <c r="FV23" s="32">
        <v>6</v>
      </c>
      <c r="FW23" s="32">
        <v>1</v>
      </c>
      <c r="FX23" s="32"/>
      <c r="FY23" s="32"/>
      <c r="FZ23" s="32">
        <v>1</v>
      </c>
      <c r="GA23" s="32"/>
      <c r="GB23" s="32"/>
      <c r="GC23" s="32"/>
      <c r="GD23" s="32">
        <v>1</v>
      </c>
      <c r="GE23" s="32"/>
      <c r="GF23" s="32"/>
      <c r="GG23" s="32">
        <v>2</v>
      </c>
      <c r="GH23" s="32">
        <v>1</v>
      </c>
      <c r="GI23" s="32">
        <v>1</v>
      </c>
      <c r="GJ23" s="32"/>
      <c r="GK23" s="32"/>
      <c r="GL23" s="32"/>
      <c r="GM23" s="32"/>
      <c r="GN23" s="32"/>
      <c r="GO23" s="32">
        <v>1</v>
      </c>
      <c r="GP23" s="32"/>
      <c r="GQ23" s="32"/>
      <c r="GR23" s="32">
        <v>1</v>
      </c>
      <c r="GS23" s="32"/>
      <c r="GT23" s="32">
        <v>1</v>
      </c>
      <c r="GU23" s="32">
        <v>243</v>
      </c>
    </row>
    <row r="24" spans="1:203" x14ac:dyDescent="0.25">
      <c r="A24" s="9" t="s">
        <v>2615</v>
      </c>
      <c r="B24" s="32">
        <v>5</v>
      </c>
      <c r="C24" s="32"/>
      <c r="D24" s="32"/>
      <c r="E24" s="32"/>
      <c r="G24" s="9" t="s">
        <v>2804</v>
      </c>
      <c r="H24" s="32">
        <v>70</v>
      </c>
      <c r="I24" s="32">
        <v>20</v>
      </c>
      <c r="K24" s="9" t="s">
        <v>2787</v>
      </c>
      <c r="L24" s="32">
        <v>8</v>
      </c>
      <c r="M24" s="32">
        <v>3</v>
      </c>
      <c r="N24" s="32">
        <v>4</v>
      </c>
      <c r="O24" s="32">
        <v>2</v>
      </c>
      <c r="P24" s="32">
        <v>1</v>
      </c>
      <c r="Q24" s="32">
        <v>3</v>
      </c>
      <c r="R24" s="32">
        <v>2</v>
      </c>
      <c r="S24" s="32">
        <v>1</v>
      </c>
      <c r="T24" s="32">
        <v>6</v>
      </c>
      <c r="U24" s="32">
        <v>3</v>
      </c>
      <c r="V24" s="32">
        <v>2</v>
      </c>
      <c r="W24" s="32">
        <v>3</v>
      </c>
      <c r="X24" s="32">
        <v>2</v>
      </c>
      <c r="Y24" s="32">
        <v>1</v>
      </c>
      <c r="Z24" s="32">
        <v>2</v>
      </c>
      <c r="AA24" s="32">
        <v>4</v>
      </c>
      <c r="AB24" s="32">
        <v>1</v>
      </c>
      <c r="AC24" s="32">
        <v>9</v>
      </c>
      <c r="AD24" s="32">
        <v>6</v>
      </c>
      <c r="AE24" s="32">
        <v>5</v>
      </c>
      <c r="AF24" s="32">
        <v>3</v>
      </c>
      <c r="AG24" s="32">
        <v>5</v>
      </c>
      <c r="AH24" s="32">
        <v>1</v>
      </c>
      <c r="AI24" s="32">
        <v>1</v>
      </c>
      <c r="AJ24" s="32">
        <v>4</v>
      </c>
      <c r="AK24" s="32">
        <v>1</v>
      </c>
      <c r="AL24" s="32">
        <v>4</v>
      </c>
      <c r="AM24" s="32">
        <v>2</v>
      </c>
      <c r="AN24" s="32">
        <v>1</v>
      </c>
      <c r="AO24" s="32">
        <v>1</v>
      </c>
      <c r="AP24" s="32">
        <v>1</v>
      </c>
      <c r="AQ24" s="32">
        <v>1</v>
      </c>
      <c r="AR24" s="32">
        <v>1</v>
      </c>
      <c r="AS24" s="32">
        <v>4</v>
      </c>
      <c r="AT24" s="32">
        <v>4</v>
      </c>
      <c r="AU24" s="32">
        <v>1</v>
      </c>
      <c r="AV24" s="32">
        <v>3</v>
      </c>
      <c r="AW24" s="32">
        <v>8</v>
      </c>
      <c r="AX24" s="32">
        <v>1</v>
      </c>
      <c r="AY24" s="32">
        <v>2</v>
      </c>
      <c r="AZ24" s="32">
        <v>19</v>
      </c>
      <c r="BA24" s="32">
        <v>2</v>
      </c>
      <c r="BB24" s="32">
        <v>1</v>
      </c>
      <c r="BC24" s="32">
        <v>3</v>
      </c>
      <c r="BD24" s="32">
        <v>1</v>
      </c>
      <c r="BE24" s="32">
        <v>1</v>
      </c>
      <c r="BF24" s="32">
        <v>16</v>
      </c>
      <c r="BG24" s="32">
        <v>1</v>
      </c>
      <c r="BH24" s="32">
        <v>1</v>
      </c>
      <c r="BI24" s="32">
        <v>4</v>
      </c>
      <c r="BJ24" s="32">
        <v>11</v>
      </c>
      <c r="BK24" s="32">
        <v>1</v>
      </c>
      <c r="BL24" s="32">
        <v>7</v>
      </c>
      <c r="BM24" s="32">
        <v>3</v>
      </c>
      <c r="BN24" s="32">
        <v>2</v>
      </c>
      <c r="BO24" s="32">
        <v>2</v>
      </c>
      <c r="BP24" s="32">
        <v>5</v>
      </c>
      <c r="BQ24" s="32">
        <v>3</v>
      </c>
      <c r="BR24" s="32">
        <v>1</v>
      </c>
      <c r="BS24" s="32">
        <v>1</v>
      </c>
      <c r="BT24" s="32">
        <v>7</v>
      </c>
      <c r="BU24" s="32">
        <v>1</v>
      </c>
      <c r="BV24" s="32">
        <v>8</v>
      </c>
      <c r="BW24" s="32">
        <v>2</v>
      </c>
      <c r="BX24" s="32">
        <v>1</v>
      </c>
      <c r="BY24" s="32">
        <v>3</v>
      </c>
      <c r="BZ24" s="32">
        <v>5</v>
      </c>
      <c r="CA24" s="32">
        <v>4</v>
      </c>
      <c r="CB24" s="32">
        <v>1</v>
      </c>
      <c r="CC24" s="32">
        <v>1</v>
      </c>
      <c r="CD24" s="32">
        <v>2</v>
      </c>
      <c r="CE24" s="32">
        <v>7</v>
      </c>
      <c r="CF24" s="32">
        <v>3</v>
      </c>
      <c r="CG24" s="32">
        <v>1</v>
      </c>
      <c r="CH24" s="32">
        <v>2</v>
      </c>
      <c r="CI24" s="32">
        <v>7</v>
      </c>
      <c r="CJ24" s="32">
        <v>37</v>
      </c>
      <c r="CK24" s="32">
        <v>1</v>
      </c>
      <c r="CL24" s="32">
        <v>2</v>
      </c>
      <c r="CM24" s="32">
        <v>2</v>
      </c>
      <c r="CN24" s="32">
        <v>3</v>
      </c>
      <c r="CO24" s="32">
        <v>1</v>
      </c>
      <c r="CP24" s="32">
        <v>1</v>
      </c>
      <c r="CQ24" s="32">
        <v>3</v>
      </c>
      <c r="CR24" s="32">
        <v>1</v>
      </c>
      <c r="CS24" s="32">
        <v>5</v>
      </c>
      <c r="CT24" s="32">
        <v>6</v>
      </c>
      <c r="CU24" s="32">
        <v>4</v>
      </c>
      <c r="CV24" s="32">
        <v>1</v>
      </c>
      <c r="CW24" s="32">
        <v>4</v>
      </c>
      <c r="CX24" s="32">
        <v>18</v>
      </c>
      <c r="CY24" s="32">
        <v>9</v>
      </c>
      <c r="CZ24" s="32">
        <v>5</v>
      </c>
      <c r="DA24" s="32">
        <v>14</v>
      </c>
      <c r="DB24" s="32">
        <v>3</v>
      </c>
      <c r="DC24" s="32">
        <v>6</v>
      </c>
      <c r="DD24" s="32">
        <v>1</v>
      </c>
      <c r="DE24" s="32">
        <v>3</v>
      </c>
      <c r="DF24" s="32">
        <v>1</v>
      </c>
      <c r="DG24" s="32">
        <v>2</v>
      </c>
      <c r="DH24" s="32">
        <v>5</v>
      </c>
      <c r="DI24" s="32">
        <v>9</v>
      </c>
      <c r="DJ24" s="32">
        <v>1</v>
      </c>
      <c r="DK24" s="32">
        <v>1</v>
      </c>
      <c r="DL24" s="32">
        <v>1</v>
      </c>
      <c r="DM24" s="32">
        <v>1</v>
      </c>
      <c r="DN24" s="32">
        <v>6</v>
      </c>
      <c r="DO24" s="32">
        <v>1</v>
      </c>
      <c r="DP24" s="32">
        <v>6</v>
      </c>
      <c r="DQ24" s="32">
        <v>5</v>
      </c>
      <c r="DR24" s="32">
        <v>2</v>
      </c>
      <c r="DS24" s="32">
        <v>1</v>
      </c>
      <c r="DT24" s="32">
        <v>2</v>
      </c>
      <c r="DU24" s="32">
        <v>3</v>
      </c>
      <c r="DV24" s="32">
        <v>3</v>
      </c>
      <c r="DW24" s="32">
        <v>1</v>
      </c>
      <c r="DX24" s="32">
        <v>44</v>
      </c>
      <c r="DY24" s="32">
        <v>1</v>
      </c>
      <c r="DZ24" s="32">
        <v>1</v>
      </c>
      <c r="EA24" s="32">
        <v>3</v>
      </c>
      <c r="EB24" s="32">
        <v>1</v>
      </c>
      <c r="EC24" s="32">
        <v>9</v>
      </c>
      <c r="ED24" s="32">
        <v>2</v>
      </c>
      <c r="EE24" s="32">
        <v>1</v>
      </c>
      <c r="EF24" s="32">
        <v>3</v>
      </c>
      <c r="EG24" s="32">
        <v>1</v>
      </c>
      <c r="EH24" s="32">
        <v>6</v>
      </c>
      <c r="EI24" s="32">
        <v>1</v>
      </c>
      <c r="EJ24" s="32">
        <v>1</v>
      </c>
      <c r="EK24" s="32">
        <v>1</v>
      </c>
      <c r="EL24" s="32">
        <v>1</v>
      </c>
      <c r="EM24" s="32">
        <v>2</v>
      </c>
      <c r="EN24" s="32">
        <v>1</v>
      </c>
      <c r="EO24" s="32">
        <v>1</v>
      </c>
      <c r="EP24" s="32">
        <v>4</v>
      </c>
      <c r="EQ24" s="32">
        <v>18</v>
      </c>
      <c r="ER24" s="32">
        <v>11</v>
      </c>
      <c r="ES24" s="32">
        <v>6</v>
      </c>
      <c r="ET24" s="32">
        <v>1</v>
      </c>
      <c r="EU24" s="32">
        <v>1</v>
      </c>
      <c r="EV24" s="32">
        <v>1</v>
      </c>
      <c r="EW24" s="32">
        <v>1</v>
      </c>
      <c r="EX24" s="32">
        <v>4</v>
      </c>
      <c r="EY24" s="32">
        <v>1</v>
      </c>
      <c r="EZ24" s="32">
        <v>6</v>
      </c>
      <c r="FA24" s="32">
        <v>1</v>
      </c>
      <c r="FB24" s="32">
        <v>45</v>
      </c>
      <c r="FC24" s="32">
        <v>1</v>
      </c>
      <c r="FD24" s="32">
        <v>1</v>
      </c>
      <c r="FE24" s="32">
        <v>7</v>
      </c>
      <c r="FF24" s="32">
        <v>4</v>
      </c>
      <c r="FG24" s="32">
        <v>2</v>
      </c>
      <c r="FH24" s="32">
        <v>4</v>
      </c>
      <c r="FI24" s="32">
        <v>6</v>
      </c>
      <c r="FJ24" s="32">
        <v>2</v>
      </c>
      <c r="FK24" s="32">
        <v>1</v>
      </c>
      <c r="FL24" s="32">
        <v>1</v>
      </c>
      <c r="FM24" s="32">
        <v>3</v>
      </c>
      <c r="FN24" s="32">
        <v>2</v>
      </c>
      <c r="FO24" s="32">
        <v>4</v>
      </c>
      <c r="FP24" s="32">
        <v>1</v>
      </c>
      <c r="FQ24" s="32">
        <v>1</v>
      </c>
      <c r="FR24" s="32">
        <v>1</v>
      </c>
      <c r="FS24" s="32">
        <v>9</v>
      </c>
      <c r="FT24" s="32">
        <v>2</v>
      </c>
      <c r="FU24" s="32">
        <v>3</v>
      </c>
      <c r="FV24" s="32">
        <v>15</v>
      </c>
      <c r="FW24" s="32">
        <v>3</v>
      </c>
      <c r="FX24" s="32">
        <v>1</v>
      </c>
      <c r="FY24" s="32">
        <v>1</v>
      </c>
      <c r="FZ24" s="32">
        <v>2</v>
      </c>
      <c r="GA24" s="32">
        <v>1</v>
      </c>
      <c r="GB24" s="32">
        <v>1</v>
      </c>
      <c r="GC24" s="32">
        <v>1</v>
      </c>
      <c r="GD24" s="32">
        <v>6</v>
      </c>
      <c r="GE24" s="32">
        <v>1</v>
      </c>
      <c r="GF24" s="32">
        <v>1</v>
      </c>
      <c r="GG24" s="32">
        <v>4</v>
      </c>
      <c r="GH24" s="32">
        <v>4</v>
      </c>
      <c r="GI24" s="32">
        <v>1</v>
      </c>
      <c r="GJ24" s="32">
        <v>1</v>
      </c>
      <c r="GK24" s="32">
        <v>2</v>
      </c>
      <c r="GL24" s="32">
        <v>1</v>
      </c>
      <c r="GM24" s="32">
        <v>1</v>
      </c>
      <c r="GN24" s="32">
        <v>2</v>
      </c>
      <c r="GO24" s="32">
        <v>1</v>
      </c>
      <c r="GP24" s="32">
        <v>1</v>
      </c>
      <c r="GQ24" s="32">
        <v>3</v>
      </c>
      <c r="GR24" s="32">
        <v>1</v>
      </c>
      <c r="GS24" s="32">
        <v>2</v>
      </c>
      <c r="GT24" s="32">
        <v>2</v>
      </c>
      <c r="GU24" s="32">
        <v>732</v>
      </c>
    </row>
    <row r="25" spans="1:203" x14ac:dyDescent="0.25">
      <c r="A25" s="9" t="s">
        <v>2616</v>
      </c>
      <c r="B25" s="32">
        <v>3</v>
      </c>
      <c r="C25" s="32"/>
      <c r="D25" s="32"/>
      <c r="E25" s="32"/>
      <c r="G25" s="9" t="s">
        <v>2805</v>
      </c>
      <c r="H25" s="32">
        <v>51.25</v>
      </c>
      <c r="I25" s="32">
        <v>23.25</v>
      </c>
    </row>
    <row r="26" spans="1:203" x14ac:dyDescent="0.25">
      <c r="A26" s="9" t="s">
        <v>2617</v>
      </c>
      <c r="B26" s="32">
        <v>5</v>
      </c>
      <c r="C26" s="32"/>
      <c r="D26" s="32"/>
      <c r="E26" s="32"/>
      <c r="G26" s="9" t="s">
        <v>2806</v>
      </c>
      <c r="H26" s="32">
        <v>46.428571428571431</v>
      </c>
      <c r="I26" s="32">
        <v>24.214285714285715</v>
      </c>
    </row>
    <row r="27" spans="1:203" x14ac:dyDescent="0.25">
      <c r="A27" s="9" t="s">
        <v>2618</v>
      </c>
      <c r="B27" s="32">
        <v>1</v>
      </c>
      <c r="C27" s="32"/>
      <c r="D27" s="32"/>
      <c r="E27" s="32"/>
      <c r="G27" s="9" t="s">
        <v>2807</v>
      </c>
      <c r="H27" s="32">
        <v>43</v>
      </c>
      <c r="I27" s="32">
        <v>22.2</v>
      </c>
    </row>
    <row r="28" spans="1:203" x14ac:dyDescent="0.25">
      <c r="A28" s="9" t="s">
        <v>2619</v>
      </c>
      <c r="B28" s="32">
        <v>1</v>
      </c>
      <c r="C28" s="32"/>
      <c r="D28" s="32"/>
      <c r="E28" s="32"/>
      <c r="G28" s="9" t="s">
        <v>2808</v>
      </c>
      <c r="H28" s="32">
        <v>38.700000000000003</v>
      </c>
      <c r="I28" s="32">
        <v>19.057142857142857</v>
      </c>
    </row>
    <row r="29" spans="1:203" x14ac:dyDescent="0.25">
      <c r="A29" s="9" t="s">
        <v>2620</v>
      </c>
      <c r="B29" s="32">
        <v>4</v>
      </c>
      <c r="C29" s="32"/>
      <c r="D29" s="32"/>
      <c r="E29" s="32"/>
      <c r="G29" s="9" t="s">
        <v>2809</v>
      </c>
      <c r="H29" s="32">
        <v>55</v>
      </c>
      <c r="I29" s="32">
        <v>25</v>
      </c>
    </row>
    <row r="30" spans="1:203" x14ac:dyDescent="0.25">
      <c r="A30" s="9" t="s">
        <v>2621</v>
      </c>
      <c r="B30" s="32">
        <v>1</v>
      </c>
      <c r="C30" s="32"/>
      <c r="D30" s="32"/>
      <c r="E30" s="32"/>
      <c r="G30" s="9" t="s">
        <v>2810</v>
      </c>
      <c r="H30" s="32">
        <v>57.272727272727273</v>
      </c>
      <c r="I30" s="32">
        <v>23.545454545454547</v>
      </c>
    </row>
    <row r="31" spans="1:203" x14ac:dyDescent="0.25">
      <c r="A31" s="9" t="s">
        <v>2622</v>
      </c>
      <c r="B31" s="32">
        <v>4</v>
      </c>
      <c r="C31" s="32"/>
      <c r="D31" s="32"/>
      <c r="E31" s="32"/>
      <c r="G31" s="9" t="s">
        <v>2811</v>
      </c>
      <c r="H31" s="32">
        <v>70</v>
      </c>
      <c r="I31" s="32">
        <v>30</v>
      </c>
    </row>
    <row r="32" spans="1:203" x14ac:dyDescent="0.25">
      <c r="A32" s="9" t="s">
        <v>2623</v>
      </c>
      <c r="B32" s="32">
        <v>2</v>
      </c>
      <c r="C32" s="32"/>
      <c r="D32" s="32"/>
      <c r="E32" s="32"/>
      <c r="G32" s="9" t="s">
        <v>2812</v>
      </c>
      <c r="H32" s="32">
        <v>49</v>
      </c>
      <c r="I32" s="32">
        <v>26.2</v>
      </c>
    </row>
    <row r="33" spans="1:9" x14ac:dyDescent="0.25">
      <c r="A33" s="9" t="s">
        <v>2624</v>
      </c>
      <c r="B33" s="32">
        <v>1</v>
      </c>
      <c r="C33" s="32"/>
      <c r="D33" s="32"/>
      <c r="E33" s="32"/>
      <c r="G33" s="9" t="s">
        <v>2813</v>
      </c>
      <c r="H33" s="32">
        <v>45</v>
      </c>
      <c r="I33" s="32">
        <v>30</v>
      </c>
    </row>
    <row r="34" spans="1:9" x14ac:dyDescent="0.25">
      <c r="A34" s="9" t="s">
        <v>2625</v>
      </c>
      <c r="B34" s="32">
        <v>1</v>
      </c>
      <c r="C34" s="32"/>
      <c r="D34" s="32"/>
      <c r="E34" s="32"/>
      <c r="G34" s="9" t="s">
        <v>2814</v>
      </c>
      <c r="H34" s="32">
        <v>60</v>
      </c>
      <c r="I34" s="32">
        <v>22</v>
      </c>
    </row>
    <row r="35" spans="1:9" x14ac:dyDescent="0.25">
      <c r="A35" s="9" t="s">
        <v>2626</v>
      </c>
      <c r="B35" s="32">
        <v>1</v>
      </c>
      <c r="C35" s="32"/>
      <c r="D35" s="32"/>
      <c r="E35" s="32"/>
      <c r="G35" s="9" t="s">
        <v>2815</v>
      </c>
      <c r="H35" s="32">
        <v>50</v>
      </c>
      <c r="I35" s="32">
        <v>22</v>
      </c>
    </row>
    <row r="36" spans="1:9" x14ac:dyDescent="0.25">
      <c r="A36" s="9" t="s">
        <v>2627</v>
      </c>
      <c r="B36" s="32">
        <v>1</v>
      </c>
      <c r="C36" s="32"/>
      <c r="D36" s="32"/>
      <c r="E36" s="32"/>
      <c r="G36" s="9" t="s">
        <v>2816</v>
      </c>
      <c r="H36" s="32">
        <v>36.25</v>
      </c>
      <c r="I36" s="32">
        <v>26.75</v>
      </c>
    </row>
    <row r="37" spans="1:9" x14ac:dyDescent="0.25">
      <c r="A37" s="9" t="s">
        <v>2628</v>
      </c>
      <c r="B37" s="32">
        <v>1</v>
      </c>
      <c r="C37" s="32"/>
      <c r="D37" s="32"/>
      <c r="E37" s="32"/>
      <c r="G37" s="9" t="s">
        <v>2817</v>
      </c>
      <c r="H37" s="32">
        <v>50</v>
      </c>
      <c r="I37" s="32">
        <v>22</v>
      </c>
    </row>
    <row r="38" spans="1:9" x14ac:dyDescent="0.25">
      <c r="A38" s="9" t="s">
        <v>2629</v>
      </c>
      <c r="B38" s="32">
        <v>4</v>
      </c>
      <c r="C38" s="32"/>
      <c r="D38" s="32"/>
      <c r="E38" s="32"/>
      <c r="G38" s="9" t="s">
        <v>2818</v>
      </c>
      <c r="H38" s="32">
        <v>40</v>
      </c>
      <c r="I38" s="32">
        <v>28</v>
      </c>
    </row>
    <row r="39" spans="1:9" x14ac:dyDescent="0.25">
      <c r="A39" s="9" t="s">
        <v>2630</v>
      </c>
      <c r="B39" s="32">
        <v>4</v>
      </c>
      <c r="C39" s="32"/>
      <c r="D39" s="32"/>
      <c r="E39" s="32"/>
      <c r="G39" s="9" t="s">
        <v>2819</v>
      </c>
      <c r="H39" s="32">
        <v>35</v>
      </c>
      <c r="I39" s="32">
        <v>28</v>
      </c>
    </row>
    <row r="40" spans="1:9" x14ac:dyDescent="0.25">
      <c r="A40" s="9" t="s">
        <v>2631</v>
      </c>
      <c r="B40" s="32">
        <v>1</v>
      </c>
      <c r="C40" s="32"/>
      <c r="D40" s="32"/>
      <c r="E40" s="32"/>
      <c r="G40" s="9" t="s">
        <v>2820</v>
      </c>
      <c r="H40" s="32">
        <v>35</v>
      </c>
      <c r="I40" s="32">
        <v>22</v>
      </c>
    </row>
    <row r="41" spans="1:9" x14ac:dyDescent="0.25">
      <c r="A41" s="9" t="s">
        <v>2632</v>
      </c>
      <c r="B41" s="32">
        <v>3</v>
      </c>
      <c r="C41" s="32"/>
      <c r="D41" s="32"/>
      <c r="E41" s="32"/>
      <c r="G41" s="9" t="s">
        <v>2821</v>
      </c>
      <c r="H41" s="32">
        <v>54.166666666666664</v>
      </c>
      <c r="I41" s="32">
        <v>35.833333333333336</v>
      </c>
    </row>
    <row r="42" spans="1:9" x14ac:dyDescent="0.25">
      <c r="A42" s="9" t="s">
        <v>2633</v>
      </c>
      <c r="B42" s="32">
        <v>8</v>
      </c>
      <c r="C42" s="32"/>
      <c r="D42" s="32"/>
      <c r="E42" s="32"/>
      <c r="G42" s="9" t="s">
        <v>2822</v>
      </c>
      <c r="H42" s="32">
        <v>65</v>
      </c>
      <c r="I42" s="32">
        <v>21</v>
      </c>
    </row>
    <row r="43" spans="1:9" x14ac:dyDescent="0.25">
      <c r="A43" s="9" t="s">
        <v>2634</v>
      </c>
      <c r="B43" s="32">
        <v>1</v>
      </c>
      <c r="C43" s="32"/>
      <c r="D43" s="32"/>
      <c r="E43" s="32"/>
      <c r="G43" s="9" t="s">
        <v>2823</v>
      </c>
      <c r="H43" s="32">
        <v>45</v>
      </c>
      <c r="I43" s="32">
        <v>35</v>
      </c>
    </row>
    <row r="44" spans="1:9" x14ac:dyDescent="0.25">
      <c r="A44" s="9" t="s">
        <v>2635</v>
      </c>
      <c r="B44" s="32">
        <v>2</v>
      </c>
      <c r="C44" s="32"/>
      <c r="D44" s="32"/>
      <c r="E44" s="32"/>
      <c r="G44" s="9" t="s">
        <v>2824</v>
      </c>
      <c r="H44" s="32">
        <v>50</v>
      </c>
      <c r="I44" s="32">
        <v>27.333333333333332</v>
      </c>
    </row>
    <row r="45" spans="1:9" x14ac:dyDescent="0.25">
      <c r="A45" s="9" t="s">
        <v>2636</v>
      </c>
      <c r="B45" s="32">
        <v>19</v>
      </c>
      <c r="C45" s="32"/>
      <c r="D45" s="32"/>
      <c r="E45" s="32"/>
      <c r="G45" s="9" t="s">
        <v>2825</v>
      </c>
      <c r="H45" s="32">
        <v>80</v>
      </c>
      <c r="I45" s="32">
        <v>35</v>
      </c>
    </row>
    <row r="46" spans="1:9" x14ac:dyDescent="0.25">
      <c r="A46" s="9" t="s">
        <v>2637</v>
      </c>
      <c r="B46" s="32">
        <v>2</v>
      </c>
      <c r="C46" s="32"/>
      <c r="D46" s="32"/>
      <c r="E46" s="32"/>
      <c r="G46" s="9" t="s">
        <v>2826</v>
      </c>
      <c r="H46" s="32">
        <v>42.146853146853147</v>
      </c>
      <c r="I46" s="32">
        <v>20.496503496503497</v>
      </c>
    </row>
    <row r="47" spans="1:9" x14ac:dyDescent="0.25">
      <c r="A47" s="9" t="s">
        <v>2638</v>
      </c>
      <c r="B47" s="32">
        <v>1</v>
      </c>
      <c r="C47" s="32"/>
      <c r="D47" s="32"/>
      <c r="E47" s="32"/>
      <c r="G47" s="9" t="s">
        <v>57</v>
      </c>
      <c r="H47" s="32">
        <v>43.606382978723403</v>
      </c>
      <c r="I47" s="32">
        <v>22.308510638297872</v>
      </c>
    </row>
    <row r="48" spans="1:9" x14ac:dyDescent="0.25">
      <c r="A48" s="9" t="s">
        <v>2639</v>
      </c>
      <c r="B48" s="32">
        <v>3</v>
      </c>
      <c r="C48" s="32"/>
      <c r="D48" s="32"/>
      <c r="E48" s="32"/>
      <c r="G48" s="9" t="s">
        <v>2787</v>
      </c>
      <c r="H48" s="32">
        <v>42.87841530054645</v>
      </c>
      <c r="I48" s="32">
        <v>21.508196721311474</v>
      </c>
    </row>
    <row r="49" spans="1:5" x14ac:dyDescent="0.25">
      <c r="A49" s="9" t="s">
        <v>2640</v>
      </c>
      <c r="B49" s="32">
        <v>1</v>
      </c>
      <c r="C49" s="32"/>
      <c r="D49" s="32"/>
      <c r="E49" s="32"/>
    </row>
    <row r="50" spans="1:5" x14ac:dyDescent="0.25">
      <c r="A50" s="9" t="s">
        <v>2641</v>
      </c>
      <c r="B50" s="32">
        <v>1</v>
      </c>
      <c r="C50" s="32"/>
      <c r="D50" s="32"/>
      <c r="E50" s="32"/>
    </row>
    <row r="51" spans="1:5" x14ac:dyDescent="0.25">
      <c r="A51" s="9" t="s">
        <v>2642</v>
      </c>
      <c r="B51" s="32">
        <v>16</v>
      </c>
      <c r="C51" s="32"/>
      <c r="D51" s="32"/>
      <c r="E51" s="32"/>
    </row>
    <row r="52" spans="1:5" x14ac:dyDescent="0.25">
      <c r="A52" s="9" t="s">
        <v>2643</v>
      </c>
      <c r="B52" s="32">
        <v>1</v>
      </c>
      <c r="C52" s="32"/>
      <c r="D52" s="32"/>
      <c r="E52" s="32"/>
    </row>
    <row r="53" spans="1:5" x14ac:dyDescent="0.25">
      <c r="A53" s="9" t="s">
        <v>2644</v>
      </c>
      <c r="B53" s="32">
        <v>1</v>
      </c>
      <c r="C53" s="32"/>
      <c r="D53" s="32"/>
      <c r="E53" s="32"/>
    </row>
    <row r="54" spans="1:5" x14ac:dyDescent="0.25">
      <c r="A54" s="9" t="s">
        <v>2645</v>
      </c>
      <c r="B54" s="32">
        <v>4</v>
      </c>
      <c r="C54" s="32"/>
      <c r="D54" s="32"/>
      <c r="E54" s="32"/>
    </row>
    <row r="55" spans="1:5" x14ac:dyDescent="0.25">
      <c r="A55" s="9" t="s">
        <v>2646</v>
      </c>
      <c r="B55" s="32">
        <v>11</v>
      </c>
      <c r="C55" s="32"/>
      <c r="D55" s="32"/>
      <c r="E55" s="32"/>
    </row>
    <row r="56" spans="1:5" x14ac:dyDescent="0.25">
      <c r="A56" s="9" t="s">
        <v>2647</v>
      </c>
      <c r="B56" s="32">
        <v>1</v>
      </c>
      <c r="C56" s="32"/>
      <c r="D56" s="32"/>
      <c r="E56" s="32"/>
    </row>
    <row r="57" spans="1:5" x14ac:dyDescent="0.25">
      <c r="A57" s="9" t="s">
        <v>2648</v>
      </c>
      <c r="B57" s="32">
        <v>7</v>
      </c>
      <c r="C57" s="32"/>
      <c r="D57" s="32"/>
      <c r="E57" s="32"/>
    </row>
    <row r="58" spans="1:5" x14ac:dyDescent="0.25">
      <c r="A58" s="9" t="s">
        <v>2649</v>
      </c>
      <c r="B58" s="32">
        <v>3</v>
      </c>
      <c r="C58" s="32"/>
      <c r="D58" s="32"/>
      <c r="E58" s="32"/>
    </row>
    <row r="59" spans="1:5" x14ac:dyDescent="0.25">
      <c r="A59" s="9" t="s">
        <v>2650</v>
      </c>
      <c r="B59" s="32">
        <v>2</v>
      </c>
      <c r="C59" s="32"/>
      <c r="D59" s="32"/>
      <c r="E59" s="32"/>
    </row>
    <row r="60" spans="1:5" x14ac:dyDescent="0.25">
      <c r="A60" s="9" t="s">
        <v>2651</v>
      </c>
      <c r="B60" s="32">
        <v>2</v>
      </c>
      <c r="C60" s="32"/>
      <c r="D60" s="32"/>
      <c r="E60" s="32"/>
    </row>
    <row r="61" spans="1:5" x14ac:dyDescent="0.25">
      <c r="A61" s="9" t="s">
        <v>2652</v>
      </c>
      <c r="B61" s="32">
        <v>5</v>
      </c>
      <c r="C61" s="32"/>
      <c r="D61" s="32"/>
      <c r="E61" s="32"/>
    </row>
    <row r="62" spans="1:5" x14ac:dyDescent="0.25">
      <c r="A62" s="9" t="s">
        <v>2653</v>
      </c>
      <c r="B62" s="32">
        <v>3</v>
      </c>
      <c r="C62" s="32"/>
      <c r="D62" s="32"/>
      <c r="E62" s="32"/>
    </row>
    <row r="63" spans="1:5" x14ac:dyDescent="0.25">
      <c r="A63" s="9" t="s">
        <v>2654</v>
      </c>
      <c r="B63" s="32">
        <v>1</v>
      </c>
      <c r="C63" s="32"/>
      <c r="D63" s="32"/>
      <c r="E63" s="32"/>
    </row>
    <row r="64" spans="1:5" x14ac:dyDescent="0.25">
      <c r="A64" s="9" t="s">
        <v>2655</v>
      </c>
      <c r="B64" s="32">
        <v>1</v>
      </c>
      <c r="C64" s="32"/>
      <c r="D64" s="32"/>
      <c r="E64" s="32"/>
    </row>
    <row r="65" spans="1:5" x14ac:dyDescent="0.25">
      <c r="A65" s="9" t="s">
        <v>2656</v>
      </c>
      <c r="B65" s="32">
        <v>7</v>
      </c>
      <c r="C65" s="32"/>
      <c r="D65" s="32"/>
      <c r="E65" s="32"/>
    </row>
    <row r="66" spans="1:5" x14ac:dyDescent="0.25">
      <c r="A66" s="9" t="s">
        <v>2657</v>
      </c>
      <c r="B66" s="32">
        <v>1</v>
      </c>
      <c r="C66" s="32"/>
      <c r="D66" s="32"/>
      <c r="E66" s="32"/>
    </row>
    <row r="67" spans="1:5" x14ac:dyDescent="0.25">
      <c r="A67" s="9" t="s">
        <v>2658</v>
      </c>
      <c r="B67" s="32">
        <v>8</v>
      </c>
      <c r="C67" s="32"/>
      <c r="D67" s="32"/>
      <c r="E67" s="32"/>
    </row>
    <row r="68" spans="1:5" x14ac:dyDescent="0.25">
      <c r="A68" s="9" t="s">
        <v>2659</v>
      </c>
      <c r="B68" s="32">
        <v>2</v>
      </c>
      <c r="C68" s="32"/>
      <c r="D68" s="32"/>
      <c r="E68" s="32"/>
    </row>
    <row r="69" spans="1:5" x14ac:dyDescent="0.25">
      <c r="A69" s="9" t="s">
        <v>2660</v>
      </c>
      <c r="B69" s="32">
        <v>1</v>
      </c>
      <c r="C69" s="32"/>
      <c r="D69" s="32"/>
      <c r="E69" s="32"/>
    </row>
    <row r="70" spans="1:5" x14ac:dyDescent="0.25">
      <c r="A70" s="9" t="s">
        <v>2661</v>
      </c>
      <c r="B70" s="32">
        <v>3</v>
      </c>
      <c r="C70" s="32"/>
      <c r="D70" s="32"/>
      <c r="E70" s="32"/>
    </row>
    <row r="71" spans="1:5" x14ac:dyDescent="0.25">
      <c r="A71" s="9" t="s">
        <v>2662</v>
      </c>
      <c r="B71" s="32">
        <v>5</v>
      </c>
      <c r="C71" s="32"/>
      <c r="D71" s="32"/>
      <c r="E71" s="32"/>
    </row>
    <row r="72" spans="1:5" x14ac:dyDescent="0.25">
      <c r="A72" s="9" t="s">
        <v>2663</v>
      </c>
      <c r="B72" s="32">
        <v>4</v>
      </c>
      <c r="C72" s="32"/>
      <c r="D72" s="32"/>
      <c r="E72" s="32"/>
    </row>
    <row r="73" spans="1:5" x14ac:dyDescent="0.25">
      <c r="A73" s="9" t="s">
        <v>2664</v>
      </c>
      <c r="B73" s="32">
        <v>1</v>
      </c>
      <c r="C73" s="32"/>
      <c r="D73" s="32"/>
      <c r="E73" s="32"/>
    </row>
    <row r="74" spans="1:5" x14ac:dyDescent="0.25">
      <c r="A74" s="9" t="s">
        <v>2665</v>
      </c>
      <c r="B74" s="32">
        <v>1</v>
      </c>
      <c r="C74" s="32"/>
      <c r="D74" s="32"/>
      <c r="E74" s="32"/>
    </row>
    <row r="75" spans="1:5" x14ac:dyDescent="0.25">
      <c r="A75" s="9" t="s">
        <v>2666</v>
      </c>
      <c r="B75" s="32">
        <v>2</v>
      </c>
      <c r="C75" s="32"/>
      <c r="D75" s="32"/>
      <c r="E75" s="32"/>
    </row>
    <row r="76" spans="1:5" x14ac:dyDescent="0.25">
      <c r="A76" s="9" t="s">
        <v>2667</v>
      </c>
      <c r="B76" s="32">
        <v>7</v>
      </c>
      <c r="C76" s="32"/>
      <c r="D76" s="32"/>
      <c r="E76" s="32"/>
    </row>
    <row r="77" spans="1:5" x14ac:dyDescent="0.25">
      <c r="A77" s="9" t="s">
        <v>2668</v>
      </c>
      <c r="B77" s="32">
        <v>3</v>
      </c>
      <c r="C77" s="32"/>
      <c r="D77" s="32"/>
      <c r="E77" s="32"/>
    </row>
    <row r="78" spans="1:5" x14ac:dyDescent="0.25">
      <c r="A78" s="9" t="s">
        <v>2669</v>
      </c>
      <c r="B78" s="32">
        <v>1</v>
      </c>
      <c r="C78" s="32"/>
      <c r="D78" s="32"/>
      <c r="E78" s="32"/>
    </row>
    <row r="79" spans="1:5" x14ac:dyDescent="0.25">
      <c r="A79" s="9" t="s">
        <v>2670</v>
      </c>
      <c r="B79" s="32">
        <v>2</v>
      </c>
      <c r="C79" s="32"/>
      <c r="D79" s="32"/>
      <c r="E79" s="32"/>
    </row>
    <row r="80" spans="1:5" x14ac:dyDescent="0.25">
      <c r="A80" s="9" t="s">
        <v>2671</v>
      </c>
      <c r="B80" s="32">
        <v>7</v>
      </c>
      <c r="C80" s="32"/>
      <c r="D80" s="32"/>
      <c r="E80" s="32"/>
    </row>
    <row r="81" spans="1:5" x14ac:dyDescent="0.25">
      <c r="A81" s="9" t="s">
        <v>2672</v>
      </c>
      <c r="B81" s="32">
        <v>37</v>
      </c>
      <c r="C81" s="32"/>
      <c r="D81" s="32"/>
      <c r="E81" s="32"/>
    </row>
    <row r="82" spans="1:5" x14ac:dyDescent="0.25">
      <c r="A82" s="9" t="s">
        <v>2673</v>
      </c>
      <c r="B82" s="32">
        <v>1</v>
      </c>
      <c r="C82" s="32"/>
      <c r="D82" s="32"/>
      <c r="E82" s="32"/>
    </row>
    <row r="83" spans="1:5" x14ac:dyDescent="0.25">
      <c r="A83" s="9" t="s">
        <v>2674</v>
      </c>
      <c r="B83" s="32">
        <v>2</v>
      </c>
      <c r="C83" s="32"/>
      <c r="D83" s="32"/>
      <c r="E83" s="32"/>
    </row>
    <row r="84" spans="1:5" x14ac:dyDescent="0.25">
      <c r="A84" s="9" t="s">
        <v>2675</v>
      </c>
      <c r="B84" s="32">
        <v>2</v>
      </c>
      <c r="C84" s="32"/>
      <c r="D84" s="32"/>
      <c r="E84" s="32"/>
    </row>
    <row r="85" spans="1:5" x14ac:dyDescent="0.25">
      <c r="A85" s="9" t="s">
        <v>2676</v>
      </c>
      <c r="B85" s="32">
        <v>3</v>
      </c>
      <c r="C85" s="32"/>
      <c r="D85" s="32"/>
      <c r="E85" s="32"/>
    </row>
    <row r="86" spans="1:5" x14ac:dyDescent="0.25">
      <c r="A86" s="9" t="s">
        <v>2677</v>
      </c>
      <c r="B86" s="32">
        <v>1</v>
      </c>
      <c r="C86" s="32"/>
      <c r="D86" s="32"/>
      <c r="E86" s="32"/>
    </row>
    <row r="87" spans="1:5" x14ac:dyDescent="0.25">
      <c r="A87" s="9" t="s">
        <v>2678</v>
      </c>
      <c r="B87" s="32">
        <v>1</v>
      </c>
      <c r="C87" s="32"/>
      <c r="D87" s="32"/>
      <c r="E87" s="32"/>
    </row>
    <row r="88" spans="1:5" x14ac:dyDescent="0.25">
      <c r="A88" s="9" t="s">
        <v>2679</v>
      </c>
      <c r="B88" s="32">
        <v>3</v>
      </c>
      <c r="C88" s="32"/>
      <c r="D88" s="32"/>
      <c r="E88" s="32"/>
    </row>
    <row r="89" spans="1:5" x14ac:dyDescent="0.25">
      <c r="A89" s="9" t="s">
        <v>2680</v>
      </c>
      <c r="B89" s="32">
        <v>1</v>
      </c>
      <c r="C89" s="32"/>
      <c r="D89" s="32"/>
      <c r="E89" s="32"/>
    </row>
    <row r="90" spans="1:5" x14ac:dyDescent="0.25">
      <c r="A90" s="9" t="s">
        <v>2681</v>
      </c>
      <c r="B90" s="32">
        <v>5</v>
      </c>
      <c r="C90" s="32"/>
      <c r="D90" s="32"/>
      <c r="E90" s="32"/>
    </row>
    <row r="91" spans="1:5" x14ac:dyDescent="0.25">
      <c r="A91" s="9" t="s">
        <v>2682</v>
      </c>
      <c r="B91" s="32">
        <v>6</v>
      </c>
      <c r="C91" s="32"/>
      <c r="D91" s="32"/>
      <c r="E91" s="32"/>
    </row>
    <row r="92" spans="1:5" x14ac:dyDescent="0.25">
      <c r="A92" s="9" t="s">
        <v>2683</v>
      </c>
      <c r="B92" s="32">
        <v>4</v>
      </c>
      <c r="C92" s="32"/>
      <c r="D92" s="32"/>
      <c r="E92" s="32"/>
    </row>
    <row r="93" spans="1:5" x14ac:dyDescent="0.25">
      <c r="A93" s="9" t="s">
        <v>2684</v>
      </c>
      <c r="B93" s="32">
        <v>1</v>
      </c>
      <c r="C93" s="32"/>
      <c r="D93" s="32"/>
      <c r="E93" s="32"/>
    </row>
    <row r="94" spans="1:5" x14ac:dyDescent="0.25">
      <c r="A94" s="9" t="s">
        <v>2685</v>
      </c>
      <c r="B94" s="32">
        <v>4</v>
      </c>
      <c r="C94" s="32"/>
      <c r="D94" s="32"/>
      <c r="E94" s="32"/>
    </row>
    <row r="95" spans="1:5" x14ac:dyDescent="0.25">
      <c r="A95" s="9" t="s">
        <v>2686</v>
      </c>
      <c r="B95" s="32">
        <v>18</v>
      </c>
      <c r="C95" s="32"/>
      <c r="D95" s="32"/>
      <c r="E95" s="32"/>
    </row>
    <row r="96" spans="1:5" x14ac:dyDescent="0.25">
      <c r="A96" s="9" t="s">
        <v>2687</v>
      </c>
      <c r="B96" s="32">
        <v>9</v>
      </c>
      <c r="C96" s="32"/>
      <c r="D96" s="32"/>
      <c r="E96" s="32"/>
    </row>
    <row r="97" spans="1:5" x14ac:dyDescent="0.25">
      <c r="A97" s="9" t="s">
        <v>2688</v>
      </c>
      <c r="B97" s="32">
        <v>5</v>
      </c>
      <c r="C97" s="32"/>
      <c r="D97" s="32"/>
      <c r="E97" s="32"/>
    </row>
    <row r="98" spans="1:5" x14ac:dyDescent="0.25">
      <c r="A98" s="9" t="s">
        <v>2689</v>
      </c>
      <c r="B98" s="32">
        <v>14</v>
      </c>
      <c r="C98" s="32"/>
      <c r="D98" s="32"/>
      <c r="E98" s="32"/>
    </row>
    <row r="99" spans="1:5" x14ac:dyDescent="0.25">
      <c r="A99" s="9" t="s">
        <v>2690</v>
      </c>
      <c r="B99" s="32">
        <v>3</v>
      </c>
      <c r="C99" s="32"/>
      <c r="D99" s="32"/>
      <c r="E99" s="32"/>
    </row>
    <row r="100" spans="1:5" x14ac:dyDescent="0.25">
      <c r="A100" s="9" t="s">
        <v>2691</v>
      </c>
      <c r="B100" s="32">
        <v>6</v>
      </c>
      <c r="C100" s="32"/>
      <c r="D100" s="32"/>
      <c r="E100" s="32"/>
    </row>
    <row r="101" spans="1:5" x14ac:dyDescent="0.25">
      <c r="A101" s="9" t="s">
        <v>2692</v>
      </c>
      <c r="B101" s="32">
        <v>1</v>
      </c>
      <c r="C101" s="32"/>
      <c r="D101" s="32"/>
      <c r="E101" s="32"/>
    </row>
    <row r="102" spans="1:5" x14ac:dyDescent="0.25">
      <c r="A102" s="9" t="s">
        <v>2693</v>
      </c>
      <c r="B102" s="32">
        <v>3</v>
      </c>
      <c r="C102" s="32"/>
      <c r="D102" s="32"/>
      <c r="E102" s="32"/>
    </row>
    <row r="103" spans="1:5" x14ac:dyDescent="0.25">
      <c r="A103" s="9" t="s">
        <v>2694</v>
      </c>
      <c r="B103" s="32">
        <v>1</v>
      </c>
      <c r="C103" s="32"/>
      <c r="D103" s="32"/>
      <c r="E103" s="32"/>
    </row>
    <row r="104" spans="1:5" x14ac:dyDescent="0.25">
      <c r="A104" s="9" t="s">
        <v>2695</v>
      </c>
      <c r="B104" s="32">
        <v>2</v>
      </c>
      <c r="C104" s="32"/>
      <c r="D104" s="32"/>
      <c r="E104" s="32"/>
    </row>
    <row r="105" spans="1:5" x14ac:dyDescent="0.25">
      <c r="A105" s="9" t="s">
        <v>2696</v>
      </c>
      <c r="B105" s="32">
        <v>5</v>
      </c>
      <c r="C105" s="32"/>
      <c r="D105" s="32"/>
      <c r="E105" s="32"/>
    </row>
    <row r="106" spans="1:5" x14ac:dyDescent="0.25">
      <c r="A106" s="9" t="s">
        <v>2697</v>
      </c>
      <c r="B106" s="32">
        <v>9</v>
      </c>
      <c r="C106" s="32"/>
      <c r="D106" s="32"/>
      <c r="E106" s="32"/>
    </row>
    <row r="107" spans="1:5" x14ac:dyDescent="0.25">
      <c r="A107" s="9" t="s">
        <v>2698</v>
      </c>
      <c r="B107" s="32">
        <v>1</v>
      </c>
      <c r="C107" s="32"/>
      <c r="D107" s="32"/>
      <c r="E107" s="32"/>
    </row>
    <row r="108" spans="1:5" x14ac:dyDescent="0.25">
      <c r="A108" s="9" t="s">
        <v>2699</v>
      </c>
      <c r="B108" s="32">
        <v>1</v>
      </c>
      <c r="C108" s="32"/>
      <c r="D108" s="32"/>
      <c r="E108" s="32"/>
    </row>
    <row r="109" spans="1:5" x14ac:dyDescent="0.25">
      <c r="A109" s="9" t="s">
        <v>2700</v>
      </c>
      <c r="B109" s="32">
        <v>1</v>
      </c>
      <c r="C109" s="32"/>
      <c r="D109" s="32"/>
      <c r="E109" s="32"/>
    </row>
    <row r="110" spans="1:5" x14ac:dyDescent="0.25">
      <c r="A110" s="9" t="s">
        <v>2701</v>
      </c>
      <c r="B110" s="32">
        <v>1</v>
      </c>
      <c r="C110" s="32"/>
      <c r="D110" s="32"/>
      <c r="E110" s="32"/>
    </row>
    <row r="111" spans="1:5" x14ac:dyDescent="0.25">
      <c r="A111" s="9" t="s">
        <v>2702</v>
      </c>
      <c r="B111" s="32">
        <v>6</v>
      </c>
      <c r="C111" s="32"/>
      <c r="D111" s="32"/>
      <c r="E111" s="32"/>
    </row>
    <row r="112" spans="1:5" x14ac:dyDescent="0.25">
      <c r="A112" s="9" t="s">
        <v>2703</v>
      </c>
      <c r="B112" s="32">
        <v>1</v>
      </c>
      <c r="C112" s="32"/>
      <c r="D112" s="32"/>
      <c r="E112" s="32"/>
    </row>
    <row r="113" spans="1:5" x14ac:dyDescent="0.25">
      <c r="A113" s="9" t="s">
        <v>2704</v>
      </c>
      <c r="B113" s="32">
        <v>6</v>
      </c>
      <c r="C113" s="32"/>
      <c r="D113" s="32"/>
      <c r="E113" s="32"/>
    </row>
    <row r="114" spans="1:5" x14ac:dyDescent="0.25">
      <c r="A114" s="9" t="s">
        <v>2705</v>
      </c>
      <c r="B114" s="32">
        <v>5</v>
      </c>
      <c r="C114" s="32"/>
      <c r="D114" s="32"/>
      <c r="E114" s="32"/>
    </row>
    <row r="115" spans="1:5" x14ac:dyDescent="0.25">
      <c r="A115" s="9" t="s">
        <v>2706</v>
      </c>
      <c r="B115" s="32">
        <v>2</v>
      </c>
      <c r="C115" s="32"/>
      <c r="D115" s="32"/>
      <c r="E115" s="32"/>
    </row>
    <row r="116" spans="1:5" x14ac:dyDescent="0.25">
      <c r="A116" s="9" t="s">
        <v>2707</v>
      </c>
      <c r="B116" s="32">
        <v>1</v>
      </c>
      <c r="C116" s="32"/>
      <c r="D116" s="32"/>
      <c r="E116" s="32"/>
    </row>
    <row r="117" spans="1:5" x14ac:dyDescent="0.25">
      <c r="A117" s="9" t="s">
        <v>2708</v>
      </c>
      <c r="B117" s="32">
        <v>2</v>
      </c>
      <c r="C117" s="32"/>
      <c r="D117" s="32"/>
      <c r="E117" s="32"/>
    </row>
    <row r="118" spans="1:5" x14ac:dyDescent="0.25">
      <c r="A118" s="9" t="s">
        <v>2709</v>
      </c>
      <c r="B118" s="32">
        <v>3</v>
      </c>
      <c r="C118" s="32"/>
      <c r="D118" s="32"/>
      <c r="E118" s="32"/>
    </row>
    <row r="119" spans="1:5" x14ac:dyDescent="0.25">
      <c r="A119" s="9" t="s">
        <v>2710</v>
      </c>
      <c r="B119" s="32">
        <v>3</v>
      </c>
      <c r="C119" s="32"/>
      <c r="D119" s="32"/>
      <c r="E119" s="32"/>
    </row>
    <row r="120" spans="1:5" x14ac:dyDescent="0.25">
      <c r="A120" s="9" t="s">
        <v>2711</v>
      </c>
      <c r="B120" s="32">
        <v>1</v>
      </c>
      <c r="C120" s="32"/>
      <c r="D120" s="32"/>
      <c r="E120" s="32"/>
    </row>
    <row r="121" spans="1:5" x14ac:dyDescent="0.25">
      <c r="A121" s="9" t="s">
        <v>2712</v>
      </c>
      <c r="B121" s="32">
        <v>44</v>
      </c>
      <c r="C121" s="32"/>
      <c r="D121" s="32"/>
      <c r="E121" s="32"/>
    </row>
    <row r="122" spans="1:5" x14ac:dyDescent="0.25">
      <c r="A122" s="9" t="s">
        <v>2713</v>
      </c>
      <c r="B122" s="32">
        <v>1</v>
      </c>
      <c r="C122" s="32"/>
      <c r="D122" s="32"/>
      <c r="E122" s="32"/>
    </row>
    <row r="123" spans="1:5" x14ac:dyDescent="0.25">
      <c r="A123" s="9" t="s">
        <v>2714</v>
      </c>
      <c r="B123" s="32">
        <v>1</v>
      </c>
      <c r="C123" s="32"/>
      <c r="D123" s="32"/>
      <c r="E123" s="32"/>
    </row>
    <row r="124" spans="1:5" x14ac:dyDescent="0.25">
      <c r="A124" s="9" t="s">
        <v>2715</v>
      </c>
      <c r="B124" s="32">
        <v>3</v>
      </c>
      <c r="C124" s="32"/>
      <c r="D124" s="32"/>
      <c r="E124" s="32"/>
    </row>
    <row r="125" spans="1:5" x14ac:dyDescent="0.25">
      <c r="A125" s="9" t="s">
        <v>2716</v>
      </c>
      <c r="B125" s="32">
        <v>1</v>
      </c>
      <c r="C125" s="32"/>
      <c r="D125" s="32"/>
      <c r="E125" s="32"/>
    </row>
    <row r="126" spans="1:5" x14ac:dyDescent="0.25">
      <c r="A126" s="9" t="s">
        <v>2717</v>
      </c>
      <c r="B126" s="32">
        <v>9</v>
      </c>
      <c r="C126" s="32"/>
      <c r="D126" s="32"/>
      <c r="E126" s="32"/>
    </row>
    <row r="127" spans="1:5" x14ac:dyDescent="0.25">
      <c r="A127" s="9" t="s">
        <v>2718</v>
      </c>
      <c r="B127" s="32">
        <v>2</v>
      </c>
      <c r="C127" s="32"/>
      <c r="D127" s="32"/>
      <c r="E127" s="32"/>
    </row>
    <row r="128" spans="1:5" x14ac:dyDescent="0.25">
      <c r="A128" s="9" t="s">
        <v>2719</v>
      </c>
      <c r="B128" s="32">
        <v>1</v>
      </c>
      <c r="C128" s="32"/>
      <c r="D128" s="32"/>
      <c r="E128" s="32"/>
    </row>
    <row r="129" spans="1:5" x14ac:dyDescent="0.25">
      <c r="A129" s="9" t="s">
        <v>2720</v>
      </c>
      <c r="B129" s="32">
        <v>3</v>
      </c>
      <c r="C129" s="32"/>
      <c r="D129" s="32"/>
      <c r="E129" s="32"/>
    </row>
    <row r="130" spans="1:5" x14ac:dyDescent="0.25">
      <c r="A130" s="9" t="s">
        <v>2721</v>
      </c>
      <c r="B130" s="32">
        <v>1</v>
      </c>
      <c r="C130" s="32"/>
      <c r="D130" s="32"/>
      <c r="E130" s="32"/>
    </row>
    <row r="131" spans="1:5" x14ac:dyDescent="0.25">
      <c r="A131" s="9" t="s">
        <v>2722</v>
      </c>
      <c r="B131" s="32">
        <v>6</v>
      </c>
      <c r="C131" s="32"/>
      <c r="D131" s="32"/>
      <c r="E131" s="32"/>
    </row>
    <row r="132" spans="1:5" x14ac:dyDescent="0.25">
      <c r="A132" s="9" t="s">
        <v>2723</v>
      </c>
      <c r="B132" s="32">
        <v>1</v>
      </c>
      <c r="C132" s="32"/>
      <c r="D132" s="32"/>
      <c r="E132" s="32"/>
    </row>
    <row r="133" spans="1:5" x14ac:dyDescent="0.25">
      <c r="A133" s="9" t="s">
        <v>2724</v>
      </c>
      <c r="B133" s="32">
        <v>1</v>
      </c>
      <c r="C133" s="32"/>
      <c r="D133" s="32"/>
      <c r="E133" s="32"/>
    </row>
    <row r="134" spans="1:5" x14ac:dyDescent="0.25">
      <c r="A134" s="9" t="s">
        <v>2725</v>
      </c>
      <c r="B134" s="32">
        <v>1</v>
      </c>
      <c r="C134" s="32"/>
      <c r="D134" s="32"/>
      <c r="E134" s="32"/>
    </row>
    <row r="135" spans="1:5" x14ac:dyDescent="0.25">
      <c r="A135" s="9" t="s">
        <v>2726</v>
      </c>
      <c r="B135" s="32">
        <v>1</v>
      </c>
      <c r="C135" s="32"/>
      <c r="D135" s="32"/>
      <c r="E135" s="32"/>
    </row>
    <row r="136" spans="1:5" x14ac:dyDescent="0.25">
      <c r="A136" s="9" t="s">
        <v>2727</v>
      </c>
      <c r="B136" s="32">
        <v>2</v>
      </c>
      <c r="C136" s="32"/>
      <c r="D136" s="32"/>
      <c r="E136" s="32"/>
    </row>
    <row r="137" spans="1:5" x14ac:dyDescent="0.25">
      <c r="A137" s="9" t="s">
        <v>2728</v>
      </c>
      <c r="B137" s="32">
        <v>1</v>
      </c>
      <c r="C137" s="32"/>
      <c r="D137" s="32"/>
      <c r="E137" s="32"/>
    </row>
    <row r="138" spans="1:5" x14ac:dyDescent="0.25">
      <c r="A138" s="9" t="s">
        <v>2729</v>
      </c>
      <c r="B138" s="32">
        <v>1</v>
      </c>
      <c r="C138" s="32"/>
      <c r="D138" s="32"/>
      <c r="E138" s="32"/>
    </row>
    <row r="139" spans="1:5" x14ac:dyDescent="0.25">
      <c r="A139" s="9" t="s">
        <v>2730</v>
      </c>
      <c r="B139" s="32">
        <v>4</v>
      </c>
      <c r="C139" s="32"/>
      <c r="D139" s="32"/>
      <c r="E139" s="32"/>
    </row>
    <row r="140" spans="1:5" x14ac:dyDescent="0.25">
      <c r="A140" s="9" t="s">
        <v>2731</v>
      </c>
      <c r="B140" s="32">
        <v>18</v>
      </c>
      <c r="C140" s="32"/>
      <c r="D140" s="32"/>
      <c r="E140" s="32"/>
    </row>
    <row r="141" spans="1:5" x14ac:dyDescent="0.25">
      <c r="A141" s="9" t="s">
        <v>2732</v>
      </c>
      <c r="B141" s="32">
        <v>11</v>
      </c>
      <c r="C141" s="32"/>
      <c r="D141" s="32"/>
      <c r="E141" s="32"/>
    </row>
    <row r="142" spans="1:5" x14ac:dyDescent="0.25">
      <c r="A142" s="9" t="s">
        <v>2733</v>
      </c>
      <c r="B142" s="32">
        <v>6</v>
      </c>
      <c r="C142" s="32"/>
      <c r="D142" s="32"/>
      <c r="E142" s="32"/>
    </row>
    <row r="143" spans="1:5" x14ac:dyDescent="0.25">
      <c r="A143" s="9" t="s">
        <v>2734</v>
      </c>
      <c r="B143" s="32">
        <v>1</v>
      </c>
      <c r="C143" s="32"/>
      <c r="D143" s="32"/>
      <c r="E143" s="32"/>
    </row>
    <row r="144" spans="1:5" x14ac:dyDescent="0.25">
      <c r="A144" s="9" t="s">
        <v>2735</v>
      </c>
      <c r="B144" s="32">
        <v>1</v>
      </c>
      <c r="C144" s="32"/>
      <c r="D144" s="32"/>
      <c r="E144" s="32"/>
    </row>
    <row r="145" spans="1:5" x14ac:dyDescent="0.25">
      <c r="A145" s="9" t="s">
        <v>2736</v>
      </c>
      <c r="B145" s="32">
        <v>1</v>
      </c>
      <c r="C145" s="32"/>
      <c r="D145" s="32"/>
      <c r="E145" s="32"/>
    </row>
    <row r="146" spans="1:5" x14ac:dyDescent="0.25">
      <c r="A146" s="9" t="s">
        <v>2737</v>
      </c>
      <c r="B146" s="32">
        <v>1</v>
      </c>
      <c r="C146" s="32"/>
      <c r="D146" s="32"/>
      <c r="E146" s="32"/>
    </row>
    <row r="147" spans="1:5" x14ac:dyDescent="0.25">
      <c r="A147" s="9" t="s">
        <v>2738</v>
      </c>
      <c r="B147" s="32">
        <v>4</v>
      </c>
      <c r="C147" s="32"/>
      <c r="D147" s="32"/>
      <c r="E147" s="32"/>
    </row>
    <row r="148" spans="1:5" x14ac:dyDescent="0.25">
      <c r="A148" s="9" t="s">
        <v>2739</v>
      </c>
      <c r="B148" s="32">
        <v>1</v>
      </c>
      <c r="C148" s="32"/>
      <c r="D148" s="32"/>
      <c r="E148" s="32"/>
    </row>
    <row r="149" spans="1:5" x14ac:dyDescent="0.25">
      <c r="A149" s="9" t="s">
        <v>2740</v>
      </c>
      <c r="B149" s="32">
        <v>6</v>
      </c>
      <c r="C149" s="32"/>
      <c r="D149" s="32"/>
      <c r="E149" s="32"/>
    </row>
    <row r="150" spans="1:5" x14ac:dyDescent="0.25">
      <c r="A150" s="9" t="s">
        <v>2741</v>
      </c>
      <c r="B150" s="32">
        <v>1</v>
      </c>
      <c r="C150" s="32"/>
      <c r="D150" s="32"/>
      <c r="E150" s="32"/>
    </row>
    <row r="151" spans="1:5" x14ac:dyDescent="0.25">
      <c r="A151" s="9" t="s">
        <v>2742</v>
      </c>
      <c r="B151" s="32">
        <v>45</v>
      </c>
      <c r="C151" s="32"/>
      <c r="D151" s="32"/>
      <c r="E151" s="32"/>
    </row>
    <row r="152" spans="1:5" x14ac:dyDescent="0.25">
      <c r="A152" s="9" t="s">
        <v>2743</v>
      </c>
      <c r="B152" s="32">
        <v>1</v>
      </c>
      <c r="C152" s="32"/>
      <c r="D152" s="32"/>
      <c r="E152" s="32"/>
    </row>
    <row r="153" spans="1:5" x14ac:dyDescent="0.25">
      <c r="A153" s="9" t="s">
        <v>2744</v>
      </c>
      <c r="B153" s="32">
        <v>1</v>
      </c>
      <c r="C153" s="32"/>
      <c r="D153" s="32"/>
      <c r="E153" s="32"/>
    </row>
    <row r="154" spans="1:5" x14ac:dyDescent="0.25">
      <c r="A154" s="9" t="s">
        <v>2745</v>
      </c>
      <c r="B154" s="32">
        <v>7</v>
      </c>
      <c r="C154" s="32"/>
      <c r="D154" s="32"/>
      <c r="E154" s="32"/>
    </row>
    <row r="155" spans="1:5" x14ac:dyDescent="0.25">
      <c r="A155" s="9" t="s">
        <v>2746</v>
      </c>
      <c r="B155" s="32">
        <v>4</v>
      </c>
      <c r="C155" s="32"/>
      <c r="D155" s="32"/>
      <c r="E155" s="32"/>
    </row>
    <row r="156" spans="1:5" x14ac:dyDescent="0.25">
      <c r="A156" s="9" t="s">
        <v>2747</v>
      </c>
      <c r="B156" s="32">
        <v>2</v>
      </c>
      <c r="C156" s="32"/>
      <c r="D156" s="32"/>
      <c r="E156" s="32"/>
    </row>
    <row r="157" spans="1:5" x14ac:dyDescent="0.25">
      <c r="A157" s="9" t="s">
        <v>2748</v>
      </c>
      <c r="B157" s="32">
        <v>4</v>
      </c>
      <c r="C157" s="32"/>
      <c r="D157" s="32"/>
      <c r="E157" s="32"/>
    </row>
    <row r="158" spans="1:5" x14ac:dyDescent="0.25">
      <c r="A158" s="9" t="s">
        <v>2749</v>
      </c>
      <c r="B158" s="32">
        <v>6</v>
      </c>
      <c r="C158" s="32"/>
      <c r="D158" s="32"/>
      <c r="E158" s="32"/>
    </row>
    <row r="159" spans="1:5" x14ac:dyDescent="0.25">
      <c r="A159" s="9" t="s">
        <v>2750</v>
      </c>
      <c r="B159" s="32">
        <v>2</v>
      </c>
      <c r="C159" s="32"/>
      <c r="D159" s="32"/>
      <c r="E159" s="32"/>
    </row>
    <row r="160" spans="1:5" x14ac:dyDescent="0.25">
      <c r="A160" s="9" t="s">
        <v>2751</v>
      </c>
      <c r="B160" s="32">
        <v>1</v>
      </c>
      <c r="C160" s="32"/>
      <c r="D160" s="32"/>
      <c r="E160" s="32"/>
    </row>
    <row r="161" spans="1:5" x14ac:dyDescent="0.25">
      <c r="A161" s="9" t="s">
        <v>2752</v>
      </c>
      <c r="B161" s="32">
        <v>1</v>
      </c>
      <c r="C161" s="32"/>
      <c r="D161" s="32"/>
      <c r="E161" s="32"/>
    </row>
    <row r="162" spans="1:5" x14ac:dyDescent="0.25">
      <c r="A162" s="9" t="s">
        <v>2753</v>
      </c>
      <c r="B162" s="32">
        <v>3</v>
      </c>
      <c r="C162" s="32"/>
      <c r="D162" s="32"/>
      <c r="E162" s="32"/>
    </row>
    <row r="163" spans="1:5" x14ac:dyDescent="0.25">
      <c r="A163" s="9" t="s">
        <v>2754</v>
      </c>
      <c r="B163" s="32">
        <v>2</v>
      </c>
      <c r="C163" s="32"/>
      <c r="D163" s="32"/>
      <c r="E163" s="32"/>
    </row>
    <row r="164" spans="1:5" x14ac:dyDescent="0.25">
      <c r="A164" s="9" t="s">
        <v>2755</v>
      </c>
      <c r="B164" s="32">
        <v>4</v>
      </c>
      <c r="C164" s="32"/>
      <c r="D164" s="32"/>
      <c r="E164" s="32"/>
    </row>
    <row r="165" spans="1:5" x14ac:dyDescent="0.25">
      <c r="A165" s="9" t="s">
        <v>2756</v>
      </c>
      <c r="B165" s="32">
        <v>1</v>
      </c>
      <c r="C165" s="32"/>
      <c r="D165" s="32"/>
      <c r="E165" s="32"/>
    </row>
    <row r="166" spans="1:5" x14ac:dyDescent="0.25">
      <c r="A166" s="9" t="s">
        <v>2757</v>
      </c>
      <c r="B166" s="32">
        <v>1</v>
      </c>
      <c r="C166" s="32"/>
      <c r="D166" s="32"/>
      <c r="E166" s="32"/>
    </row>
    <row r="167" spans="1:5" x14ac:dyDescent="0.25">
      <c r="A167" s="9" t="s">
        <v>2758</v>
      </c>
      <c r="B167" s="32">
        <v>1</v>
      </c>
      <c r="C167" s="32"/>
      <c r="D167" s="32"/>
      <c r="E167" s="32"/>
    </row>
    <row r="168" spans="1:5" x14ac:dyDescent="0.25">
      <c r="A168" s="9" t="s">
        <v>2759</v>
      </c>
      <c r="B168" s="32">
        <v>9</v>
      </c>
      <c r="C168" s="32"/>
      <c r="D168" s="32"/>
      <c r="E168" s="32"/>
    </row>
    <row r="169" spans="1:5" x14ac:dyDescent="0.25">
      <c r="A169" s="9" t="s">
        <v>2760</v>
      </c>
      <c r="B169" s="32">
        <v>2</v>
      </c>
      <c r="C169" s="32"/>
      <c r="D169" s="32"/>
      <c r="E169" s="32"/>
    </row>
    <row r="170" spans="1:5" x14ac:dyDescent="0.25">
      <c r="A170" s="9" t="s">
        <v>2761</v>
      </c>
      <c r="B170" s="32">
        <v>3</v>
      </c>
      <c r="C170" s="32"/>
      <c r="D170" s="32"/>
      <c r="E170" s="32"/>
    </row>
    <row r="171" spans="1:5" x14ac:dyDescent="0.25">
      <c r="A171" s="9" t="s">
        <v>2762</v>
      </c>
      <c r="B171" s="32">
        <v>15</v>
      </c>
      <c r="C171" s="32"/>
      <c r="D171" s="32"/>
      <c r="E171" s="32"/>
    </row>
    <row r="172" spans="1:5" x14ac:dyDescent="0.25">
      <c r="A172" s="9" t="s">
        <v>2763</v>
      </c>
      <c r="B172" s="32">
        <v>3</v>
      </c>
      <c r="C172" s="32"/>
      <c r="D172" s="32"/>
      <c r="E172" s="32"/>
    </row>
    <row r="173" spans="1:5" x14ac:dyDescent="0.25">
      <c r="A173" s="9" t="s">
        <v>2764</v>
      </c>
      <c r="B173" s="32">
        <v>1</v>
      </c>
      <c r="C173" s="32"/>
      <c r="D173" s="32"/>
      <c r="E173" s="32"/>
    </row>
    <row r="174" spans="1:5" x14ac:dyDescent="0.25">
      <c r="A174" s="9" t="s">
        <v>2765</v>
      </c>
      <c r="B174" s="32">
        <v>1</v>
      </c>
      <c r="C174" s="32"/>
      <c r="D174" s="32"/>
      <c r="E174" s="32"/>
    </row>
    <row r="175" spans="1:5" x14ac:dyDescent="0.25">
      <c r="A175" s="9" t="s">
        <v>2766</v>
      </c>
      <c r="B175" s="32">
        <v>2</v>
      </c>
      <c r="C175" s="32"/>
      <c r="D175" s="32"/>
      <c r="E175" s="32"/>
    </row>
    <row r="176" spans="1:5" x14ac:dyDescent="0.25">
      <c r="A176" s="9" t="s">
        <v>2767</v>
      </c>
      <c r="B176" s="32">
        <v>1</v>
      </c>
      <c r="C176" s="32"/>
      <c r="D176" s="32"/>
      <c r="E176" s="32"/>
    </row>
    <row r="177" spans="1:5" x14ac:dyDescent="0.25">
      <c r="A177" s="9" t="s">
        <v>2768</v>
      </c>
      <c r="B177" s="32">
        <v>1</v>
      </c>
      <c r="C177" s="32"/>
      <c r="D177" s="32"/>
      <c r="E177" s="32"/>
    </row>
    <row r="178" spans="1:5" x14ac:dyDescent="0.25">
      <c r="A178" s="9" t="s">
        <v>2769</v>
      </c>
      <c r="B178" s="32">
        <v>1</v>
      </c>
      <c r="C178" s="32"/>
      <c r="D178" s="32"/>
      <c r="E178" s="32"/>
    </row>
    <row r="179" spans="1:5" x14ac:dyDescent="0.25">
      <c r="A179" s="9" t="s">
        <v>2770</v>
      </c>
      <c r="B179" s="32">
        <v>6</v>
      </c>
      <c r="C179" s="32"/>
      <c r="D179" s="32"/>
      <c r="E179" s="32"/>
    </row>
    <row r="180" spans="1:5" x14ac:dyDescent="0.25">
      <c r="A180" s="9" t="s">
        <v>2771</v>
      </c>
      <c r="B180" s="32">
        <v>1</v>
      </c>
      <c r="C180" s="32"/>
      <c r="D180" s="32"/>
      <c r="E180" s="32"/>
    </row>
    <row r="181" spans="1:5" x14ac:dyDescent="0.25">
      <c r="A181" s="9" t="s">
        <v>2772</v>
      </c>
      <c r="B181" s="32">
        <v>1</v>
      </c>
      <c r="C181" s="32"/>
      <c r="D181" s="32"/>
      <c r="E181" s="32"/>
    </row>
    <row r="182" spans="1:5" x14ac:dyDescent="0.25">
      <c r="A182" s="9" t="s">
        <v>2773</v>
      </c>
      <c r="B182" s="32">
        <v>4</v>
      </c>
      <c r="C182" s="32"/>
      <c r="D182" s="32"/>
      <c r="E182" s="32"/>
    </row>
    <row r="183" spans="1:5" x14ac:dyDescent="0.25">
      <c r="A183" s="9" t="s">
        <v>2774</v>
      </c>
      <c r="B183" s="32">
        <v>4</v>
      </c>
      <c r="C183" s="32"/>
      <c r="D183" s="32"/>
      <c r="E183" s="32"/>
    </row>
    <row r="184" spans="1:5" x14ac:dyDescent="0.25">
      <c r="A184" s="9" t="s">
        <v>2775</v>
      </c>
      <c r="B184" s="32">
        <v>1</v>
      </c>
      <c r="C184" s="32"/>
      <c r="D184" s="32"/>
      <c r="E184" s="32"/>
    </row>
    <row r="185" spans="1:5" x14ac:dyDescent="0.25">
      <c r="A185" s="9" t="s">
        <v>2776</v>
      </c>
      <c r="B185" s="32">
        <v>1</v>
      </c>
      <c r="C185" s="32"/>
      <c r="D185" s="32"/>
      <c r="E185" s="32"/>
    </row>
    <row r="186" spans="1:5" x14ac:dyDescent="0.25">
      <c r="A186" s="9" t="s">
        <v>2777</v>
      </c>
      <c r="B186" s="32">
        <v>2</v>
      </c>
      <c r="C186" s="32"/>
      <c r="D186" s="32"/>
      <c r="E186" s="32"/>
    </row>
    <row r="187" spans="1:5" x14ac:dyDescent="0.25">
      <c r="A187" s="9" t="s">
        <v>2778</v>
      </c>
      <c r="B187" s="32">
        <v>1</v>
      </c>
      <c r="C187" s="32"/>
      <c r="D187" s="32"/>
      <c r="E187" s="32"/>
    </row>
    <row r="188" spans="1:5" x14ac:dyDescent="0.25">
      <c r="A188" s="9" t="s">
        <v>2779</v>
      </c>
      <c r="B188" s="32">
        <v>1</v>
      </c>
      <c r="C188" s="32"/>
      <c r="D188" s="32"/>
      <c r="E188" s="32"/>
    </row>
    <row r="189" spans="1:5" x14ac:dyDescent="0.25">
      <c r="A189" s="9" t="s">
        <v>2780</v>
      </c>
      <c r="B189" s="32">
        <v>2</v>
      </c>
      <c r="C189" s="32"/>
      <c r="D189" s="32"/>
      <c r="E189" s="32"/>
    </row>
    <row r="190" spans="1:5" x14ac:dyDescent="0.25">
      <c r="A190" s="9" t="s">
        <v>2781</v>
      </c>
      <c r="B190" s="32">
        <v>1</v>
      </c>
      <c r="C190" s="32"/>
      <c r="D190" s="32"/>
      <c r="E190" s="32"/>
    </row>
    <row r="191" spans="1:5" x14ac:dyDescent="0.25">
      <c r="A191" s="9" t="s">
        <v>2782</v>
      </c>
      <c r="B191" s="32">
        <v>1</v>
      </c>
      <c r="C191" s="32"/>
      <c r="D191" s="32"/>
      <c r="E191" s="32"/>
    </row>
    <row r="192" spans="1:5" x14ac:dyDescent="0.25">
      <c r="A192" s="9" t="s">
        <v>2783</v>
      </c>
      <c r="B192" s="32">
        <v>3</v>
      </c>
      <c r="C192" s="32"/>
      <c r="D192" s="32"/>
      <c r="E192" s="32"/>
    </row>
    <row r="193" spans="1:5" x14ac:dyDescent="0.25">
      <c r="A193" s="9" t="s">
        <v>2784</v>
      </c>
      <c r="B193" s="32">
        <v>1</v>
      </c>
      <c r="C193" s="32"/>
      <c r="D193" s="32"/>
      <c r="E193" s="32"/>
    </row>
    <row r="194" spans="1:5" x14ac:dyDescent="0.25">
      <c r="A194" s="9" t="s">
        <v>2785</v>
      </c>
      <c r="B194" s="32">
        <v>2</v>
      </c>
      <c r="C194" s="32"/>
      <c r="D194" s="32"/>
      <c r="E194" s="32"/>
    </row>
    <row r="195" spans="1:5" x14ac:dyDescent="0.25">
      <c r="A195" s="9" t="s">
        <v>2786</v>
      </c>
      <c r="B195" s="32">
        <v>2</v>
      </c>
      <c r="C195" s="32"/>
      <c r="D195" s="32"/>
      <c r="E195" s="32"/>
    </row>
    <row r="196" spans="1:5" x14ac:dyDescent="0.25">
      <c r="A196" s="9" t="s">
        <v>2787</v>
      </c>
      <c r="B196" s="32">
        <v>732</v>
      </c>
      <c r="C196" s="32"/>
      <c r="D196" s="32"/>
      <c r="E196" s="32"/>
    </row>
    <row r="197" spans="1:5" x14ac:dyDescent="0.25">
      <c r="C197" s="32"/>
      <c r="D197" s="32"/>
      <c r="E197" s="32"/>
    </row>
  </sheetData>
  <mergeCells count="6">
    <mergeCell ref="A3:B3"/>
    <mergeCell ref="G3:H3"/>
    <mergeCell ref="G13:I13"/>
    <mergeCell ref="A1:K1"/>
    <mergeCell ref="D16:E16"/>
    <mergeCell ref="K3:L3"/>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995EB-DFC4-4B39-8CB1-F1D76370E18F}">
  <dimension ref="A1:P40"/>
  <sheetViews>
    <sheetView topLeftCell="A2" zoomScale="87" zoomScaleNormal="87" workbookViewId="0">
      <selection activeCell="B30" sqref="B30"/>
    </sheetView>
  </sheetViews>
  <sheetFormatPr defaultRowHeight="15" x14ac:dyDescent="0.25"/>
  <sheetData>
    <row r="1" spans="1:16" ht="30" customHeight="1" x14ac:dyDescent="0.25">
      <c r="A1" s="25" t="s">
        <v>2832</v>
      </c>
      <c r="B1" s="25"/>
      <c r="C1" s="25"/>
      <c r="D1" s="25"/>
      <c r="E1" s="25"/>
      <c r="F1" s="25"/>
      <c r="G1" s="25"/>
      <c r="H1" s="25"/>
      <c r="I1" s="25"/>
      <c r="J1" s="25"/>
      <c r="K1" s="25"/>
      <c r="L1" s="25"/>
      <c r="M1" s="25"/>
      <c r="N1" s="25"/>
    </row>
    <row r="3" spans="1:16" ht="18" x14ac:dyDescent="0.25">
      <c r="B3" s="35" t="s">
        <v>2838</v>
      </c>
      <c r="C3" s="35"/>
      <c r="D3" s="35"/>
      <c r="E3" s="35"/>
      <c r="F3" s="35"/>
      <c r="G3" s="35"/>
      <c r="H3" s="35"/>
      <c r="J3" s="37" t="s">
        <v>2839</v>
      </c>
      <c r="K3" s="37"/>
      <c r="L3" s="37"/>
      <c r="M3" s="37"/>
      <c r="N3" s="37"/>
      <c r="O3" s="37"/>
      <c r="P3" s="37"/>
    </row>
    <row r="21" spans="2:16" ht="12" customHeight="1" x14ac:dyDescent="0.25">
      <c r="B21" s="40" t="s">
        <v>2835</v>
      </c>
      <c r="C21" s="40"/>
      <c r="D21" s="40"/>
      <c r="E21" s="40"/>
      <c r="F21" s="40"/>
      <c r="G21" s="40"/>
      <c r="H21" s="40"/>
      <c r="J21" s="40" t="s">
        <v>2836</v>
      </c>
      <c r="K21" s="40"/>
      <c r="L21" s="40"/>
      <c r="M21" s="40"/>
      <c r="N21" s="40"/>
      <c r="O21" s="40"/>
      <c r="P21" s="40"/>
    </row>
    <row r="23" spans="2:16" ht="18" x14ac:dyDescent="0.25">
      <c r="F23" s="37" t="s">
        <v>2840</v>
      </c>
      <c r="G23" s="37"/>
      <c r="H23" s="37"/>
      <c r="I23" s="37"/>
      <c r="J23" s="37"/>
      <c r="K23" s="37"/>
      <c r="L23" s="37"/>
    </row>
    <row r="24" spans="2:16" x14ac:dyDescent="0.25">
      <c r="C24" s="39"/>
    </row>
    <row r="40" spans="5:13" x14ac:dyDescent="0.25">
      <c r="E40" s="41" t="s">
        <v>2837</v>
      </c>
      <c r="F40" s="41"/>
      <c r="G40" s="41"/>
      <c r="H40" s="41"/>
      <c r="I40" s="41"/>
      <c r="J40" s="41"/>
      <c r="K40" s="41"/>
      <c r="L40" s="41"/>
      <c r="M40" s="41"/>
    </row>
  </sheetData>
  <mergeCells count="7">
    <mergeCell ref="E40:M40"/>
    <mergeCell ref="A1:N1"/>
    <mergeCell ref="B3:H3"/>
    <mergeCell ref="J3:P3"/>
    <mergeCell ref="F23:L23"/>
    <mergeCell ref="B21:H21"/>
    <mergeCell ref="J21:P2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D2C496-1D18-4605-BD49-284DFE2707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L2 T1 - Cleaned Data</vt:lpstr>
      <vt:lpstr>L2 T1 - Text Functions</vt:lpstr>
      <vt:lpstr>L2 T1 - Flash Fill</vt:lpstr>
      <vt:lpstr>Summary</vt:lpstr>
      <vt:lpstr>L2 T1 - Pivot Tables</vt:lpstr>
      <vt:lpstr>L2 T2 - Pivot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Duke mfalme</dc:creator>
  <cp:lastModifiedBy>Duke mfalme</cp:lastModifiedBy>
  <dcterms:created xsi:type="dcterms:W3CDTF">2026-06-07T11:02:11Z</dcterms:created>
  <dcterms:modified xsi:type="dcterms:W3CDTF">2026-06-15T11:14:50Z</dcterms:modified>
</cp:coreProperties>
</file>